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132" windowWidth="15300" windowHeight="8736"/>
  </bookViews>
  <sheets>
    <sheet name="Ren Info" sheetId="1" r:id="rId1"/>
    <sheet name="UAF" sheetId="2" r:id="rId2"/>
    <sheet name="Exhibit" sheetId="3" r:id="rId3"/>
    <sheet name="Total" sheetId="4" r:id="rId4"/>
    <sheet name="MPE" sheetId="6" r:id="rId5"/>
    <sheet name="HSA MPE" sheetId="7" r:id="rId6"/>
    <sheet name="PvCI Rpt" sheetId="8" r:id="rId7"/>
    <sheet name="Appeal" sheetId="9" r:id="rId8"/>
  </sheets>
  <externalReferences>
    <externalReference r:id="rId9"/>
  </externalReferences>
  <definedNames>
    <definedName name="_Fill" hidden="1">#REF!</definedName>
    <definedName name="AdminbySubs">[1]Table!$W$38:$AA$56</definedName>
    <definedName name="AdminbysubsLicense">[1]Table!$W$38:$AA$38</definedName>
    <definedName name="AdminbysubsSubs">[1]Table!$W$38:$W$56</definedName>
    <definedName name="AdminProfitBCR">[1]Table!$W$6:$AG$26</definedName>
    <definedName name="AP_PageSetUpParam">#REF!</definedName>
    <definedName name="appbysiteyesno">UAF!$A$280</definedName>
    <definedName name="appcortrunyes">UAF!$A$282</definedName>
    <definedName name="approvla" localSheetId="2" hidden="1">{#N/A,#N/A,FALSE,"Cosmos Report"}</definedName>
    <definedName name="approvla" localSheetId="4" hidden="1">{#N/A,#N/A,FALSE,"Cosmos Report"}</definedName>
    <definedName name="approvla" hidden="1">{#N/A,#N/A,FALSE,"Cosmos Report"}</definedName>
    <definedName name="appsite">UAF!$A$283</definedName>
    <definedName name="apptotalsubs">UAF!$F$276</definedName>
    <definedName name="assumptions">MPE!$B$55:$B$67</definedName>
    <definedName name="assumptions2">MPE!$B$130:$B$142</definedName>
    <definedName name="assumptions3">MPE!$B$205:$B$217</definedName>
    <definedName name="assumptions4">MPE!$B$280:$B$292</definedName>
    <definedName name="assumptions5">'HSA MPE'!$B$52:$B$64</definedName>
    <definedName name="assumptions6">'HSA MPE'!$B$124:$B$136</definedName>
    <definedName name="assumptions7">'HSA MPE'!$B$196:$B$208</definedName>
    <definedName name="BRCOONValues">'[1]Plan Change'!$BY$3:$CA$2104</definedName>
    <definedName name="BRCValues">'[1]Plan Change'!$BN$3:$BV$1988</definedName>
    <definedName name="bysitehide">#REF!</definedName>
    <definedName name="CaseHistoryActionList">[1]CaseHistory!$O$11:$O$18</definedName>
    <definedName name="CaseHistoryChangeRequestMethodList">[1]CaseHistory!$O$21:$O$27</definedName>
    <definedName name="CI_PageSetUpParam">#REF!</definedName>
    <definedName name="cortrunyes">[1]RJW!$C$157</definedName>
    <definedName name="decrementsource">[1]RJW!$B$238:$N$238</definedName>
    <definedName name="ERChange">'[1]Plan Change'!$DJ$25:$DK$41</definedName>
    <definedName name="ExhAll">Exhibit!$A$1:$N$395</definedName>
    <definedName name="ExhPg1Ass">Exhibit!$A$1:$N$65,Exhibit!$A$326:$N$395</definedName>
    <definedName name="ExhPg1to2Ass">Exhibit!$A$1:$N$130,Exhibit!$A$326:$N$395</definedName>
    <definedName name="ExhPg1to3Ass">Exhibit!$A$1:$N$195,Exhibit!$A$326:$N$395</definedName>
    <definedName name="ExhPg1to4Ass">Exhibit!$A$1:$N$260,Exhibit!$A$326:$N$395</definedName>
    <definedName name="ExhPgBrk1">Exhibit!$326:$326</definedName>
    <definedName name="ExhPgBrk2">Exhibit!$261:$261</definedName>
    <definedName name="ExhPgBrk3">Exhibit!$196:$196</definedName>
    <definedName name="ExhPgBrk4">Exhibit!$131:$131</definedName>
    <definedName name="ExhPgBrk5">Exhibit!$66:$66</definedName>
    <definedName name="ExpGrpHeader">[1]RJW!$C$8:$V$8</definedName>
    <definedName name="FeesYN">Exhibit!$A$2</definedName>
    <definedName name="FullListMedPlans">[1]Table!$CA$6:$CA$5000</definedName>
    <definedName name="FullListRxPlans">[1]Table!$BQ$6:$BQ$200</definedName>
    <definedName name="HideThreeTier">Exhibit!$36:$36,Exhibit!$43:$43,Exhibit!$101:$101,Exhibit!$108:$108,Exhibit!$166:$166,Exhibit!$173:$173,Exhibit!$231:$231,Exhibit!$238:$238,Exhibit!$296:$296,Exhibit!$303:$303</definedName>
    <definedName name="HideTwoTier">Exhibit!$35:$36,Exhibit!$42:$43,Exhibit!$100:$101,Exhibit!$107:$108,Exhibit!$165:$166,Exhibit!$172:$173,Exhibit!$230:$231,Exhibit!$237:$238,Exhibit!$295:$296,Exhibit!$302:$303</definedName>
    <definedName name="HRAHSAAssump">Exhibit!$A$383:$N$395</definedName>
    <definedName name="IndFact">[1]Table!$E$5:$E$390</definedName>
    <definedName name="IPChange">'[1]Plan Change'!$DD$25:$DE$35</definedName>
    <definedName name="MajDiagChange">'[1]Plan Change'!$DM$25:$DN$35</definedName>
    <definedName name="MedPlan1">[1]KARTOutput!#REF!</definedName>
    <definedName name="medplantable">[1]Table!$CA$8:$CZ$5000</definedName>
    <definedName name="MPEHSA1">[1]RJW!$BU$16</definedName>
    <definedName name="MPEHSA2">[1]RJW!$BV$16</definedName>
    <definedName name="MPEHSA3">[1]RJW!$BW$16</definedName>
    <definedName name="MPEHSARx1">[1]RJW!$BU$17</definedName>
    <definedName name="MPEHSARx2">[1]RJW!$BV$17</definedName>
    <definedName name="MPEHSARx3">[1]RJW!$BW$17</definedName>
    <definedName name="MPEOptionInfo">[1]RJW!$BQ$14:$BW$31</definedName>
    <definedName name="MPEPlan1">[1]RJW!$BQ$16</definedName>
    <definedName name="MPEPlan2">[1]RJW!$BR$16</definedName>
    <definedName name="MPEPlan3">[1]RJW!$BS$16</definedName>
    <definedName name="MPEPlan4">[1]RJW!$BT$16</definedName>
    <definedName name="MPERx1">[1]RJW!$BQ$17</definedName>
    <definedName name="MPERx2">[1]RJW!$BR$17</definedName>
    <definedName name="MPERx3">[1]RJW!$BS$17</definedName>
    <definedName name="MPERx4">[1]RJW!$BT$17</definedName>
    <definedName name="MRSData">'[1]Data Entry'!$F$206:$P$219</definedName>
    <definedName name="mrsprint">OFFSET([1]MRS!$A$17,0,0,COUNTA([1]MRS!$B:$B),40)</definedName>
    <definedName name="NewOpt">Exhibit!$E$13,Exhibit!$H$13,Exhibit!$K$13,Exhibit!$N$13,Exhibit!$E$78,Exhibit!$H$78,Exhibit!$K$78,Exhibit!$N$78,Exhibit!$E$143,Exhibit!$H$143,Exhibit!$K$143,Exhibit!$N$143,Exhibit!$E$208,Exhibit!$H$208,Exhibit!$K$208,Exhibit!$N$208,Exhibit!$E$273,Exhibit!$H$273,Exhibit!$K$273,Exhibit!$N$273</definedName>
    <definedName name="OOPListIN01">OFFSET('[1]Plan Change'!$CF$6,'[1]Plan Change'!$CD$34,0,COUNT('[1]Plan Change'!$CF:$CF),1)</definedName>
    <definedName name="OOPListIN02">OFFSET('[1]Plan Change'!$CF$6,'[1]Plan Change'!$CD$35,0,COUNT('[1]Plan Change'!$CF:$CF),1)</definedName>
    <definedName name="OOPListIn03">OFFSET('[1]Plan Change'!$CF$6,'[1]Plan Change'!$CD$36,0,COUNT('[1]Plan Change'!$CF:$CF),1)</definedName>
    <definedName name="OOPListIN04">OFFSET('[1]Plan Change'!$CF$6,'[1]Plan Change'!$CD$37,0,COUNT('[1]Plan Change'!$CF:$CF),1)</definedName>
    <definedName name="OOPListIN05">OFFSET('[1]Plan Change'!$CF$6,'[1]Plan Change'!$CD$38,0,COUNT('[1]Plan Change'!$CF:$CF),1)</definedName>
    <definedName name="OOPListIN06">OFFSET('[1]Plan Change'!$CF$6,'[1]Plan Change'!$CD$39,0,COUNT('[1]Plan Change'!$CF:$CF),1)</definedName>
    <definedName name="OOPListIN07">OFFSET('[1]Plan Change'!$CF$6,'[1]Plan Change'!$CD$40,0,COUNT('[1]Plan Change'!$CF:$CF),1)</definedName>
    <definedName name="OOPListIN08">OFFSET('[1]Plan Change'!$CF$6,'[1]Plan Change'!$CD$41,0,COUNT('[1]Plan Change'!$CF:$CF),1)</definedName>
    <definedName name="OOPListIN09">OFFSET('[1]Plan Change'!$CF$6,'[1]Plan Change'!$CD$42,0,COUNT('[1]Plan Change'!$CF:$CF),1)</definedName>
    <definedName name="OOPListIN10">OFFSET('[1]Plan Change'!$CF$6,'[1]Plan Change'!$CD$43,0,COUNT('[1]Plan Change'!$CF:$CF),1)</definedName>
    <definedName name="OOPListIN11">OFFSET('[1]Plan Change'!$CF$6,'[1]Plan Change'!$CD$44,0,COUNT('[1]Plan Change'!$CF:$CF),1)</definedName>
    <definedName name="OOPListIN12">OFFSET('[1]Plan Change'!$CF$6,'[1]Plan Change'!$CD$45,0,COUNT('[1]Plan Change'!$CF:$CF),1)</definedName>
    <definedName name="OOPListIN13">OFFSET('[1]Plan Change'!$CF$6,'[1]Plan Change'!$CD$46,0,COUNT('[1]Plan Change'!$CF:$CF),1)</definedName>
    <definedName name="OOPListIN14">OFFSET('[1]Plan Change'!$CF$6,'[1]Plan Change'!$CD$47,0,COUNT('[1]Plan Change'!$CF:$CF),1)</definedName>
    <definedName name="OOPListIN15">OFFSET('[1]Plan Change'!$CF$6,'[1]Plan Change'!$CD$48,0,COUNT('[1]Plan Change'!$CF:$CF),1)</definedName>
    <definedName name="OOPListIN16">OFFSET('[1]Plan Change'!$CF$6,'[1]Plan Change'!$CD$49,0,COUNT('[1]Plan Change'!$CF:$CF),1)</definedName>
    <definedName name="OOPListIN17">OFFSET('[1]Plan Change'!$CF$6,'[1]Plan Change'!$CD$50,0,COUNT('[1]Plan Change'!$CF:$CF),1)</definedName>
    <definedName name="OOPListIN18">OFFSET('[1]Plan Change'!$CF$6,'[1]Plan Change'!$CD$51,0,COUNT('[1]Plan Change'!$CF:$CF),1)</definedName>
    <definedName name="OOPListIN19">OFFSET('[1]Plan Change'!$CF$6,'[1]Plan Change'!$CD$52,0,COUNT('[1]Plan Change'!$CF:$CF),1)</definedName>
    <definedName name="OOPListIN20">OFFSET('[1]Plan Change'!$CF$6,'[1]Plan Change'!$CD$53,0,COUNT('[1]Plan Change'!$CF:$CF),1)</definedName>
    <definedName name="OOPListOON01">OFFSET('[1]Plan Change'!$CG$6,'[1]Plan Change'!$CE$34,0,COUNT('[1]Plan Change'!$CG:$CG),1)</definedName>
    <definedName name="OOPListOON02">OFFSET('[1]Plan Change'!$CG$6,'[1]Plan Change'!$CE$35,0,COUNT('[1]Plan Change'!$CG:$CG),1)</definedName>
    <definedName name="OOPListOON03">OFFSET('[1]Plan Change'!$CG$6,'[1]Plan Change'!$CE$36,0,COUNT('[1]Plan Change'!$CG:$CG),1)</definedName>
    <definedName name="OOPListOON04">OFFSET('[1]Plan Change'!$CG$6,'[1]Plan Change'!$CE$37,0,COUNT('[1]Plan Change'!$CG:$CG),1)</definedName>
    <definedName name="OOPListOON05">OFFSET('[1]Plan Change'!$CG$6,'[1]Plan Change'!$CE$38,0,COUNT('[1]Plan Change'!$CG:$CG),1)</definedName>
    <definedName name="OOPListOON06">OFFSET('[1]Plan Change'!$CG$6,'[1]Plan Change'!$CE$39,0,COUNT('[1]Plan Change'!$CG:$CG),1)</definedName>
    <definedName name="OOPListOON07">OFFSET('[1]Plan Change'!$CG$6,'[1]Plan Change'!$CE$40,0,COUNT('[1]Plan Change'!$CG:$CG),1)</definedName>
    <definedName name="OOPListOON08">OFFSET('[1]Plan Change'!$CG$6,'[1]Plan Change'!$CE$41,0,COUNT('[1]Plan Change'!$CG:$CG),1)</definedName>
    <definedName name="OOPListOON09">OFFSET('[1]Plan Change'!$CG$6,'[1]Plan Change'!$CE$42,0,COUNT('[1]Plan Change'!$CG:$CG),1)</definedName>
    <definedName name="OOPListOON10">OFFSET('[1]Plan Change'!$CG$6,'[1]Plan Change'!$CE$43,0,COUNT('[1]Plan Change'!$CG:$CG),1)</definedName>
    <definedName name="OOPListOON11">OFFSET('[1]Plan Change'!$CG$6,'[1]Plan Change'!$CE$44,0,COUNT('[1]Plan Change'!$CG:$CG),1)</definedName>
    <definedName name="OOPListOON12">OFFSET('[1]Plan Change'!$CG$6,'[1]Plan Change'!$CE$45,0,COUNT('[1]Plan Change'!$CG:$CG),1)</definedName>
    <definedName name="OOPListOON13">OFFSET('[1]Plan Change'!$CG$6,'[1]Plan Change'!$CE$46,0,COUNT('[1]Plan Change'!$CG:$CG),1)</definedName>
    <definedName name="OOPListOON14">OFFSET('[1]Plan Change'!$CG$6,'[1]Plan Change'!$CE$47,0,COUNT('[1]Plan Change'!$CG:$CG),1)</definedName>
    <definedName name="OOPListOON15">OFFSET('[1]Plan Change'!$CG$6,'[1]Plan Change'!$CE$48,0,COUNT('[1]Plan Change'!$CG:$CG),1)</definedName>
    <definedName name="OOPListOON16">OFFSET('[1]Plan Change'!$CG$6,'[1]Plan Change'!$CE$49,0,COUNT('[1]Plan Change'!$CG:$CG),1)</definedName>
    <definedName name="OOPListOON17">OFFSET('[1]Plan Change'!$CG$6,'[1]Plan Change'!$CE$50,0,COUNT('[1]Plan Change'!$CG:$CG),1)</definedName>
    <definedName name="OOPListOON18">OFFSET('[1]Plan Change'!$CG$6,'[1]Plan Change'!$CE$51,0,COUNT('[1]Plan Change'!$CG:$CG),1)</definedName>
    <definedName name="OOPListOON19">OFFSET('[1]Plan Change'!$CG$6,'[1]Plan Change'!$CE$52,0,COUNT('[1]Plan Change'!$CG:$CG),1)</definedName>
    <definedName name="OOPListOON20">OFFSET('[1]Plan Change'!$CG$6,'[1]Plan Change'!$CE$53,0,COUNT('[1]Plan Change'!$CG:$CG),1)</definedName>
    <definedName name="OPChange">'[1]Plan Change'!$DA$25:$DB$35</definedName>
    <definedName name="Option13to16Exh">Exhibit!$C$207:$N$243</definedName>
    <definedName name="Option17to20Exh">Exhibit!$C$272:$N$308</definedName>
    <definedName name="Option1Exh">Exhibit!$C$12:$E$48</definedName>
    <definedName name="Option2to4Exh">Exhibit!$F$12:$N$48</definedName>
    <definedName name="Option5to8Exh">Exhibit!$C$77:$N$113</definedName>
    <definedName name="Option9to12Exh">Exhibit!$C$142:$N$178</definedName>
    <definedName name="OptionKeys">Exhibit!$C$15,Exhibit!$F$15,Exhibit!$I$15,Exhibit!$L$15,Exhibit!$C$80,Exhibit!$F$80,Exhibit!$I$80,Exhibit!$L$80,Exhibit!$C$145,Exhibit!$F$145,Exhibit!$I$145,Exhibit!$L$145,Exhibit!$C$210,Exhibit!$F$210,Exhibit!$I$210,Exhibit!$L$210,Exhibit!$C$275,Exhibit!$F$275,Exhibit!$I$275,Exhibit!$L$275</definedName>
    <definedName name="options">[1]RJW!$C$84:$W$84</definedName>
    <definedName name="OVChange">'[1]Plan Change'!$CU$25:$CV$35</definedName>
    <definedName name="Pg2Exh">Exhibit!$A$66:$N$130</definedName>
    <definedName name="Pg3Exh">Exhibit!$A$131:$N$195</definedName>
    <definedName name="Pg4Exh">Exhibit!$A$196:$N$260</definedName>
    <definedName name="Pg5Exh">Exhibit!$A$261:$N$325</definedName>
    <definedName name="Plan13">Exhibit!$C$210</definedName>
    <definedName name="Plan17">Exhibit!$C$275</definedName>
    <definedName name="Plan5">Exhibit!$C$80</definedName>
    <definedName name="Plan9">Exhibit!$C$145</definedName>
    <definedName name="plans">MPE!$B$13:$B$47</definedName>
    <definedName name="plans2">MPE!$B$88:$B$122</definedName>
    <definedName name="plans3">MPE!$B$163:$B$197</definedName>
    <definedName name="plans4">MPE!$B$238:$B$272</definedName>
    <definedName name="plans5">'HSA MPE'!$B$13:$B$32</definedName>
    <definedName name="plans6">'HSA MPE'!$B$85:$B$104</definedName>
    <definedName name="plans7">'HSA MPE'!$B$157:$B$176</definedName>
    <definedName name="primaryplanbox">[1]RJW!$BJ$10:$BJ$11</definedName>
    <definedName name="_xlnm.Print_Area" localSheetId="2">Exhibit!$A$1:$N$65,Exhibit!$A$326:$N$395</definedName>
    <definedName name="_xlnm.Print_Area" localSheetId="5">'HSA MPE'!$A$1:$W$72</definedName>
    <definedName name="_xlnm.Print_Area" localSheetId="4">MPE!$A$1:$W$150</definedName>
    <definedName name="_xlnm.Print_Area" localSheetId="3">Total!$A$1:$M$83</definedName>
    <definedName name="_xlnm.Print_Area" localSheetId="1">UAF!$A$1:$O$220</definedName>
    <definedName name="_xlnm.Print_Titles" localSheetId="1">UAF!$1:$11</definedName>
    <definedName name="Puff_SaveDate">[1]PUFFMap!$B$49</definedName>
    <definedName name="Puff_Validate">[1]PUFFMap!$B$53</definedName>
    <definedName name="Puff_ValidateFail">[1]PUFFMap!$B$54</definedName>
    <definedName name="PUFFMsg">[1]PUFFMap!$D$63</definedName>
    <definedName name="PvCI_Mo">'PvCI Rpt'!$A$14:$A$37</definedName>
    <definedName name="rxplantable">[1]Table!$BQ$7:$BV$300</definedName>
    <definedName name="SICCodeDesc">[1]Table!$D$5:$D$390</definedName>
    <definedName name="SICCodeList">[1]Table!$B$5:$C$390</definedName>
    <definedName name="SiteList">'[1]Data Entry'!$CL$4:$CL$126</definedName>
    <definedName name="sitename">'[1]Data Entry'!$B$3</definedName>
    <definedName name="StateList">[1]RJW!$BY$4:$BY$59</definedName>
    <definedName name="TierNumber">'[1]Data Entry'!$B$43</definedName>
    <definedName name="totalsubsrjw">[1]RJW!$W$134</definedName>
    <definedName name="UAFOption01">UAF!$A$12:$O$20</definedName>
    <definedName name="UAFOption02">UAF!$A$21:$O$29</definedName>
    <definedName name="UAFOption03">UAF!$A$30:$O$38</definedName>
    <definedName name="UAFOption04">UAF!$A$39:$O$47</definedName>
    <definedName name="UAFOption05">UAF!$A$48:$O$56</definedName>
    <definedName name="UAFOption06">UAF!$A$57:$O$65</definedName>
    <definedName name="UAFOption07">UAF!$A$66:$O$74</definedName>
    <definedName name="UAFOption08">UAF!$A$75:$O$83</definedName>
    <definedName name="UAFOption09">UAF!$A$84:$O$92</definedName>
    <definedName name="UAFOption10">UAF!$A$93:$O$101</definedName>
    <definedName name="UAFOption11">UAF!$A$102:$O$110</definedName>
    <definedName name="UAFOption12">UAF!$A$111:$O$119</definedName>
    <definedName name="UAFOption13">UAF!$A$120:$O$128</definedName>
    <definedName name="UAFOption14">UAF!$A$129:$O$137</definedName>
    <definedName name="UAFOption15">UAF!$A$138:$O$146</definedName>
    <definedName name="UAFOption16">UAF!$A$147:$O$155</definedName>
    <definedName name="UAFOption17">UAF!$A$156:$O$164</definedName>
    <definedName name="UAFOption18">UAF!$A$165:$O$173</definedName>
    <definedName name="UAFOption19">UAF!$A$174:$O$182</definedName>
    <definedName name="UAFOption20">UAF!$A$183:$O$191</definedName>
    <definedName name="UAFOption21">UAF!$A$192:$O$199</definedName>
    <definedName name="UAFOption22">UAF!$A$200:$O$219</definedName>
    <definedName name="UBundleBySiteHide">#REF!</definedName>
    <definedName name="UBundleBySiteYN">#REF!</definedName>
    <definedName name="UBundleExhibitHide">Exhibit!$A$48:$N$48,Exhibit!$A$113:$N$113,Exhibit!$A$178:$N$178,Exhibit!$A$243:$N$243,Exhibit!$A$308:$N$308</definedName>
    <definedName name="UBundleExhibitYN">Exhibit!$B$2</definedName>
    <definedName name="UBundleRJWHide">Total!$A$69:$L$71</definedName>
    <definedName name="UBundleRJWYN">Total!$A$2</definedName>
    <definedName name="UCChange">'[1]Plan Change'!$DG$25:$DH$37</definedName>
    <definedName name="wrn.Approval." localSheetId="2" hidden="1">{#N/A,#N/A,FALSE,"Approval Form"}</definedName>
    <definedName name="wrn.Approval." localSheetId="4" hidden="1">{#N/A,#N/A,FALSE,"Approval Form"}</definedName>
    <definedName name="wrn.Approval." hidden="1">{#N/A,#N/A,FALSE,"Approval Form"}</definedName>
    <definedName name="wrn.Approval2." localSheetId="2" hidden="1">{#N/A,#N/A,FALSE,"Approval2"}</definedName>
    <definedName name="wrn.Approval2." localSheetId="4" hidden="1">{#N/A,#N/A,FALSE,"Approval2"}</definedName>
    <definedName name="wrn.Approval2." hidden="1">{#N/A,#N/A,FALSE,"Approval2"}</definedName>
    <definedName name="wrn.Cosmos._.Report." localSheetId="2" hidden="1">{#N/A,#N/A,FALSE,"Cosmos Report"}</definedName>
    <definedName name="wrn.Cosmos._.Report." localSheetId="4" hidden="1">{#N/A,#N/A,FALSE,"Cosmos Report"}</definedName>
    <definedName name="wrn.Cosmos._.Report." hidden="1">{#N/A,#N/A,FALSE,"Cosmos Report"}</definedName>
    <definedName name="wrn.Medical._.Ratio." localSheetId="2" hidden="1">{#N/A,#N/A,FALSE,"Medical Ratio"}</definedName>
    <definedName name="wrn.Medical._.Ratio." localSheetId="4" hidden="1">{#N/A,#N/A,FALSE,"Medical Ratio"}</definedName>
    <definedName name="wrn.Medical._.Ratio." hidden="1">{#N/A,#N/A,FALSE,"Medical Ratio"}</definedName>
    <definedName name="wrn.Renewal." localSheetId="2" hidden="1">{#N/A,#N/A,FALSE,"Approval Form";#N/A,#N/A,FALSE,"Renewal";#N/A,#N/A,FALSE,"Cosmos Report"}</definedName>
    <definedName name="wrn.Renewal." localSheetId="4" hidden="1">{#N/A,#N/A,FALSE,"Approval Form";#N/A,#N/A,FALSE,"Renewal";#N/A,#N/A,FALSE,"Cosmos Report"}</definedName>
    <definedName name="wrn.Renewal." hidden="1">{#N/A,#N/A,FALSE,"Approval Form";#N/A,#N/A,FALSE,"Renewal";#N/A,#N/A,FALSE,"Cosmos Report"}</definedName>
    <definedName name="wrn.Renewal._.Justification." localSheetId="2" hidden="1">{#N/A,#N/A,FALSE,"Renewal"}</definedName>
    <definedName name="wrn.Renewal._.Justification." localSheetId="4" hidden="1">{#N/A,#N/A,FALSE,"Renewal"}</definedName>
    <definedName name="wrn.Renewal._.Justification." hidden="1">{#N/A,#N/A,FALSE,"Renewal"}</definedName>
  </definedNames>
  <calcPr calcId="145621"/>
</workbook>
</file>

<file path=xl/calcChain.xml><?xml version="1.0" encoding="utf-8"?>
<calcChain xmlns="http://schemas.openxmlformats.org/spreadsheetml/2006/main">
  <c r="L71" i="9" l="1"/>
  <c r="I71" i="9"/>
  <c r="F71" i="9"/>
  <c r="C71" i="9"/>
  <c r="L70" i="9"/>
  <c r="I70" i="9"/>
  <c r="F70" i="9"/>
  <c r="C70" i="9"/>
  <c r="L68" i="9"/>
  <c r="I68" i="9"/>
  <c r="F68" i="9"/>
  <c r="C68" i="9"/>
  <c r="C72" i="9" s="1"/>
  <c r="L67" i="9"/>
  <c r="I67" i="9"/>
  <c r="F67" i="9"/>
  <c r="C67" i="9"/>
  <c r="AA37" i="9"/>
  <c r="X37" i="9"/>
  <c r="U37" i="9"/>
  <c r="R37" i="9"/>
  <c r="AA36" i="9"/>
  <c r="X36" i="9"/>
  <c r="U36" i="9"/>
  <c r="R36" i="9"/>
  <c r="AA34" i="9"/>
  <c r="X34" i="9"/>
  <c r="U34" i="9"/>
  <c r="R35" i="9" s="1"/>
  <c r="R34" i="9"/>
  <c r="AA33" i="9"/>
  <c r="X33" i="9"/>
  <c r="U33" i="9"/>
  <c r="R33" i="9"/>
  <c r="L33" i="9"/>
  <c r="L34" i="9" s="1"/>
  <c r="I33" i="9"/>
  <c r="I34" i="9" s="1"/>
  <c r="F33" i="9"/>
  <c r="F34" i="9" s="1"/>
  <c r="C33" i="9"/>
  <c r="C34" i="9" s="1"/>
  <c r="C35" i="9" s="1"/>
  <c r="C36" i="9" s="1"/>
  <c r="C69" i="9" l="1"/>
  <c r="F72" i="9" s="1"/>
  <c r="R38" i="9"/>
  <c r="U38" i="9"/>
</calcChain>
</file>

<file path=xl/sharedStrings.xml><?xml version="1.0" encoding="utf-8"?>
<sst xmlns="http://schemas.openxmlformats.org/spreadsheetml/2006/main" count="5950" uniqueCount="682">
  <si>
    <r>
      <t xml:space="preserve">RENEWAL INFORMATION SUMMARY - </t>
    </r>
    <r>
      <rPr>
        <b/>
        <sz val="16"/>
        <color indexed="10"/>
        <rFont val="Arial"/>
        <family val="2"/>
      </rPr>
      <t>INTERNAL USE ONLY</t>
    </r>
  </si>
  <si>
    <t>General Data</t>
  </si>
  <si>
    <t>Period 1 Incurred Dates:</t>
  </si>
  <si>
    <t>Period 2 Incurred Dates:</t>
  </si>
  <si>
    <t>Current Period Member Months:</t>
  </si>
  <si>
    <t>Site:</t>
  </si>
  <si>
    <t>Situs:</t>
  </si>
  <si>
    <t>Current Trend Factor Used:</t>
  </si>
  <si>
    <t>Platform:</t>
  </si>
  <si>
    <t>Industry:</t>
  </si>
  <si>
    <t>Broker:</t>
  </si>
  <si>
    <t>Industry Factor:</t>
  </si>
  <si>
    <t>Current Plan(s)</t>
  </si>
  <si>
    <t xml:space="preserve">   In Net</t>
  </si>
  <si>
    <t xml:space="preserve">     (In Net continued)</t>
  </si>
  <si>
    <t xml:space="preserve">   OON</t>
  </si>
  <si>
    <t xml:space="preserve">   RX</t>
  </si>
  <si>
    <t>Data Source</t>
  </si>
  <si>
    <t>Renewal</t>
  </si>
  <si>
    <t>% Change</t>
  </si>
  <si>
    <t>Demographics</t>
  </si>
  <si>
    <t>Subs</t>
  </si>
  <si>
    <t>Members</t>
  </si>
  <si>
    <t>ACS</t>
  </si>
  <si>
    <t>Age/Sex</t>
  </si>
  <si>
    <t>Revenue</t>
  </si>
  <si>
    <t>Weight To Most Recent Period</t>
  </si>
  <si>
    <t>Current Revenue PMPM</t>
  </si>
  <si>
    <t>Current Incurred Claim PMPM</t>
  </si>
  <si>
    <t>Current BCR</t>
  </si>
  <si>
    <t>Curr Per Experience BCR</t>
  </si>
  <si>
    <t>Manual Rate PMPM</t>
  </si>
  <si>
    <t>Formula Increase</t>
  </si>
  <si>
    <t>Experience Increase</t>
  </si>
  <si>
    <t>Manual Increase</t>
  </si>
  <si>
    <t>Credibility to Experience</t>
  </si>
  <si>
    <t>Blend Req'd Incr No UBundle</t>
  </si>
  <si>
    <t>First Year Adjustment</t>
  </si>
  <si>
    <t>Adjusted Req'd Incr No UBundle</t>
  </si>
  <si>
    <t>Plan Change to 2014 Plan</t>
  </si>
  <si>
    <t>Final Req'd Incr No UBundle</t>
  </si>
  <si>
    <t>Original Prop Ren'l w/UBundle</t>
  </si>
  <si>
    <t>Final Proposed Renewal</t>
  </si>
  <si>
    <t>Renewal for Sold Plan</t>
  </si>
  <si>
    <t>Actuarial Plan Change Value</t>
  </si>
  <si>
    <t>Pricing Plan Change Value</t>
  </si>
  <si>
    <t>Comm/Fee PEPM (PMPM Basis)</t>
  </si>
  <si>
    <t>Commissions Loaded</t>
  </si>
  <si>
    <t>Service Fee %</t>
  </si>
  <si>
    <t>Notes on Large Claims:</t>
  </si>
  <si>
    <t>Renewal Explanation:</t>
  </si>
  <si>
    <t>% Variance to Manual:</t>
  </si>
  <si>
    <t>Plan Change or Strategy Recommendations:</t>
  </si>
  <si>
    <t>Issues or Concerns:</t>
  </si>
  <si>
    <t>UNITED HEALTHCARE UNDERWRITING FULLY INSURED APPROVAL FORM - For Internal Use Only</t>
  </si>
  <si>
    <t>AGE/SEX</t>
  </si>
  <si>
    <t>ORIGINATING SITE</t>
  </si>
  <si>
    <t>EFFECTIVE DATE</t>
  </si>
  <si>
    <t>THROUGH</t>
  </si>
  <si>
    <t>GROUP NAME</t>
  </si>
  <si>
    <t>ACCOUNT EXEC.</t>
  </si>
  <si>
    <t>PROPOSAL/RENEWAL</t>
  </si>
  <si>
    <t>RENEWAL</t>
  </si>
  <si>
    <t>UNDERWRITER</t>
  </si>
  <si>
    <t>HP ALLIANCE GROUP:</t>
  </si>
  <si>
    <t>CARRIER REPLACE (Y/N):</t>
  </si>
  <si>
    <t>COMMISSION</t>
  </si>
  <si>
    <t>SERVICE FEE</t>
  </si>
  <si>
    <t># OF SITUS STATES:</t>
  </si>
  <si>
    <t>MULTI-SITE (Y/N):</t>
  </si>
  <si>
    <t>COMMISSION NOTES</t>
  </si>
  <si>
    <t>SECOND SITUS STATE:</t>
  </si>
  <si>
    <t>DATE</t>
  </si>
  <si>
    <t>AGGREGATED GRP #s</t>
  </si>
  <si>
    <t>HP RATE TIER:</t>
  </si>
  <si>
    <t>COMPOSITE RENEWAL ACTION</t>
  </si>
  <si>
    <t>SUBJECT TO MED U/W</t>
  </si>
  <si>
    <t>___ YES</t>
  </si>
  <si>
    <t>_X_ NO</t>
  </si>
  <si>
    <t>CASE CHARACTERISTIC SCORE</t>
  </si>
  <si>
    <t>N/A</t>
  </si>
  <si>
    <t>OPTION 1</t>
  </si>
  <si>
    <t>Premium Incl</t>
  </si>
  <si>
    <t>Premium</t>
  </si>
  <si>
    <t>Situs State</t>
  </si>
  <si>
    <t>Mbrs</t>
  </si>
  <si>
    <t>Comm, Fees</t>
  </si>
  <si>
    <t>Less Fees</t>
  </si>
  <si>
    <t>License (HMO vs Ins Co)</t>
  </si>
  <si>
    <t>Benefit Plan</t>
  </si>
  <si>
    <t>Site(s)/Network(s)</t>
  </si>
  <si>
    <t>In Network Copays</t>
  </si>
  <si>
    <t>Platform/Product</t>
  </si>
  <si>
    <t>In Net Ded/Coins/OOP</t>
  </si>
  <si>
    <t>Multiple Plan Offering</t>
  </si>
  <si>
    <t>Out Of Network</t>
  </si>
  <si>
    <t>Coverage for Retirees</t>
  </si>
  <si>
    <t>Min Value</t>
  </si>
  <si>
    <t>Other/Riders</t>
  </si>
  <si>
    <t>Totals/PMPM</t>
  </si>
  <si>
    <t>Rating Group</t>
  </si>
  <si>
    <t>Drug Benefit</t>
  </si>
  <si>
    <t>OPTION 2</t>
  </si>
  <si>
    <t>OPTION 3</t>
  </si>
  <si>
    <t>OPTION 4</t>
  </si>
  <si>
    <t>OPTION 5</t>
  </si>
  <si>
    <t>OPTION 6</t>
  </si>
  <si>
    <t>OPTION 7</t>
  </si>
  <si>
    <t>OPTION 8</t>
  </si>
  <si>
    <t>OPTION 9</t>
  </si>
  <si>
    <t>OPTION 10</t>
  </si>
  <si>
    <t>OPTION 11</t>
  </si>
  <si>
    <t>OPTION 12</t>
  </si>
  <si>
    <t>OPTION 13</t>
  </si>
  <si>
    <t>OPTION 14</t>
  </si>
  <si>
    <t>OPTION 15</t>
  </si>
  <si>
    <t>OPTION 16</t>
  </si>
  <si>
    <t>OPTION 17</t>
  </si>
  <si>
    <t>OPTION 18</t>
  </si>
  <si>
    <t>OPTION 19</t>
  </si>
  <si>
    <t>OPTION 20</t>
  </si>
  <si>
    <t>GRAND TOTAL</t>
  </si>
  <si>
    <t>Primary/Sold Plan</t>
  </si>
  <si>
    <t>ABC</t>
  </si>
  <si>
    <t>Quote Assumptions (displayed on Exhibit):</t>
  </si>
  <si>
    <t>- Rates are based on your submitted census.  UnitedHealthcare reserves the right to adjust the rates from audit date back to effective date if any of the following changes:</t>
  </si>
  <si>
    <t xml:space="preserve">        - Enrollment +/- 10%                      - Average Contract Size +/- 10%</t>
  </si>
  <si>
    <t xml:space="preserve">        - Area Factor +/- 7.5%                  - Age/Sex Factor +/- 10%</t>
  </si>
  <si>
    <t xml:space="preserve">        - Any Material Changes                 - Cobra enrollees are more than 10% of enrollment</t>
  </si>
  <si>
    <t>EE</t>
  </si>
  <si>
    <t>EE/SP</t>
  </si>
  <si>
    <t>EE/CH</t>
  </si>
  <si>
    <t>FAM</t>
  </si>
  <si>
    <t>Total</t>
  </si>
  <si>
    <t>PMPMs</t>
  </si>
  <si>
    <t>PMPMs Wghtd</t>
  </si>
  <si>
    <t>Option 1</t>
  </si>
  <si>
    <t>Option 2</t>
  </si>
  <si>
    <t>Option 3</t>
  </si>
  <si>
    <t>Option 4</t>
  </si>
  <si>
    <t>Option 5</t>
  </si>
  <si>
    <t>Option 6</t>
  </si>
  <si>
    <t>Option 7</t>
  </si>
  <si>
    <t>Option 8</t>
  </si>
  <si>
    <t>Option 9</t>
  </si>
  <si>
    <t>Option 10</t>
  </si>
  <si>
    <t>Option 11</t>
  </si>
  <si>
    <t>Option 12</t>
  </si>
  <si>
    <t>Option 13</t>
  </si>
  <si>
    <t>Option 14</t>
  </si>
  <si>
    <t>Option 15</t>
  </si>
  <si>
    <t>Option 16</t>
  </si>
  <si>
    <t>Option 17</t>
  </si>
  <si>
    <t>Option 18</t>
  </si>
  <si>
    <t>Option 19</t>
  </si>
  <si>
    <t>Option 20</t>
  </si>
  <si>
    <t>Totals</t>
  </si>
  <si>
    <t>Medical Proposed Rates and Alternate Plans</t>
  </si>
  <si>
    <t>Medical Proposed Rates with Alternate Plan Designs</t>
  </si>
  <si>
    <t xml:space="preserve">Customer Name: </t>
  </si>
  <si>
    <t xml:space="preserve">Medical Policy: </t>
  </si>
  <si>
    <t xml:space="preserve">Renewal Date: </t>
  </si>
  <si>
    <t>• The numbers below are on an illustrative basis.  Rates are subject to Underwriting approval.</t>
  </si>
  <si>
    <t>Plan Name</t>
  </si>
  <si>
    <t>Product</t>
  </si>
  <si>
    <t>Option</t>
  </si>
  <si>
    <t>Plan Offering</t>
  </si>
  <si>
    <t>Multiple Option with:</t>
  </si>
  <si>
    <t>HRA or HSA</t>
  </si>
  <si>
    <t>Benefits*</t>
  </si>
  <si>
    <t>Network Single/Family</t>
  </si>
  <si>
    <t>Office Copay (PCP/SPC)</t>
  </si>
  <si>
    <t>Hospital Copays</t>
  </si>
  <si>
    <t>UC/ER/Major Diag Copay</t>
  </si>
  <si>
    <t>Other</t>
  </si>
  <si>
    <t>Deductible</t>
  </si>
  <si>
    <t>Coinsurance</t>
  </si>
  <si>
    <t>Out-of-Pocket</t>
  </si>
  <si>
    <t>Pharmacy</t>
  </si>
  <si>
    <t>Out of Network Single/Family</t>
  </si>
  <si>
    <t>Out of Pocket</t>
  </si>
  <si>
    <t>Enrollment</t>
  </si>
  <si>
    <t>Employee</t>
  </si>
  <si>
    <t>Employee + Family</t>
  </si>
  <si>
    <t>Rates (Billed)</t>
  </si>
  <si>
    <t>Rates</t>
  </si>
  <si>
    <t>Current</t>
  </si>
  <si>
    <t>Proposed</t>
  </si>
  <si>
    <t>Monthly Cost</t>
  </si>
  <si>
    <t>Annual Cost</t>
  </si>
  <si>
    <t>Change from Current</t>
  </si>
  <si>
    <t>UBundle Applied</t>
  </si>
  <si>
    <t>*High level benefit summary. Please see your plan summary for more detailed benefit description.</t>
  </si>
  <si>
    <t>POD = Benefit paid as follows: Per Occurrence Deductible, then plan deductible and coinsurance.</t>
  </si>
  <si>
    <t>LTD # = the number of services covered at that copay, after the limit plan deductible and coinsurance will apply, note PCP and SPC may be combined (see benefit summary)</t>
  </si>
  <si>
    <t>Day x# = the max number of days the copay will apply</t>
  </si>
  <si>
    <t>For markets continuing to pay commissions, both the current (applicable for renewals only) and proposed rates include commissions.</t>
  </si>
  <si>
    <t>Medical Quote Assumptions</t>
  </si>
  <si>
    <t>- This premium may include state and federal taxes and fees.</t>
  </si>
  <si>
    <t xml:space="preserve">  information) and closely matches your current coverage.  Additional coverage options may be available to you.   </t>
  </si>
  <si>
    <t>- Agents may receive commissions and other compensation from us and these costs may be reflected in your premium or fee.  Separately, you may have contracted with producers</t>
  </si>
  <si>
    <t xml:space="preserve">  to provide services directly for your group and have agreed to pay them a 'service fee'.  Since 'service fees' are not a contingency of the purchase of health insurance such fees</t>
  </si>
  <si>
    <t xml:space="preserve">  are not part of your premium but may be included in your bill under total amount due.  </t>
  </si>
  <si>
    <t>- The UBundle program is available in select states and on select UHC platforms for both new and existing fully insured Key Account (non-community rated accounts with 101-3000</t>
  </si>
  <si>
    <t xml:space="preserve">  eligible employees) medical and specialty business adding a specialty line of qualified UHC coverage. Groups must meet qualification requirements and are subject to prior UHC</t>
  </si>
  <si>
    <t xml:space="preserve">  underwriting approval. The UBundle Program can result in up to a 2.5% savings in medical premium. United Healthcare retains sole and complete discretion to revise or terminate</t>
  </si>
  <si>
    <t xml:space="preserve">  the UBundle program at any time. Sold coverage notification of medical and ancillary lines along with receipt of specialty UBundle Underwriting Acceptance Form (UAF) by the</t>
  </si>
  <si>
    <t xml:space="preserve">  UHC Sales Representative is required prior to implementing rates. UBundle cannot be combined with any other discount program.</t>
  </si>
  <si>
    <t>HRA/HSA Assumptions (If Applicable)</t>
  </si>
  <si>
    <t>- Please refer to the vendor bank collateral for HRA/HSA account fee information.</t>
  </si>
  <si>
    <t xml:space="preserve">  medical/pharmacy deductibles.</t>
  </si>
  <si>
    <t>- Rates assume the Employer funds no more than 50% of the HSA/HRA deductible.  UnitedHealthcare reserved the right to adjust rates if this assumption changes.</t>
  </si>
  <si>
    <t>- Funds in the HSA account continue to accumulate and are fully portable to another HSA account.</t>
  </si>
  <si>
    <t>- Any unused HRA funds can be rolled over to next year's HRA, but are not portable as a cash out option.</t>
  </si>
  <si>
    <t>- Only medical expenses covered under the medical plan are reimbursable from the HRA.</t>
  </si>
  <si>
    <t>Renewal Justification</t>
  </si>
  <si>
    <t>Financial Exhibits - Medical</t>
  </si>
  <si>
    <t>Historical Information</t>
  </si>
  <si>
    <t xml:space="preserve">Current Period  </t>
  </si>
  <si>
    <t xml:space="preserve">Prior Period  </t>
  </si>
  <si>
    <t>Experience Rating PMPM</t>
  </si>
  <si>
    <t>Manual Rating PMPM</t>
  </si>
  <si>
    <t>Renewal Action</t>
  </si>
  <si>
    <t>Calculated Premium</t>
  </si>
  <si>
    <t>Credibility Factor</t>
  </si>
  <si>
    <t>x</t>
  </si>
  <si>
    <t>Current Subscribers</t>
  </si>
  <si>
    <t>Final Renewal Cost PMPM</t>
  </si>
  <si>
    <t>Current Members</t>
  </si>
  <si>
    <t>Final Renewal Monthly Cost</t>
  </si>
  <si>
    <t>Final Renewal Annual Cost</t>
  </si>
  <si>
    <t>Final renewal monthly/annual premiums are calculated using current enrollment</t>
  </si>
  <si>
    <t>Rates and benefits are subject to regulatory and home office approval</t>
  </si>
  <si>
    <t>Current Period</t>
  </si>
  <si>
    <t>Prior Period</t>
  </si>
  <si>
    <t>Blended</t>
  </si>
  <si>
    <t>Beginning of Experience Period</t>
  </si>
  <si>
    <t>End of Experience Period</t>
  </si>
  <si>
    <t>Medical Incurred Claims</t>
  </si>
  <si>
    <t>Rx Incurred Claims</t>
  </si>
  <si>
    <t>Member Months</t>
  </si>
  <si>
    <t>A</t>
  </si>
  <si>
    <t>Incurred Medical Claims PMPM</t>
  </si>
  <si>
    <t>B</t>
  </si>
  <si>
    <t>C</t>
  </si>
  <si>
    <t>Adjusted Medical Claims (A - B)</t>
  </si>
  <si>
    <t>D</t>
  </si>
  <si>
    <t>Incurred Rx Claims PMPM</t>
  </si>
  <si>
    <t>E</t>
  </si>
  <si>
    <t>Total Incurred Claims (C + D)</t>
  </si>
  <si>
    <t>F</t>
  </si>
  <si>
    <t>G</t>
  </si>
  <si>
    <t>H</t>
  </si>
  <si>
    <t>Trended/Adjusted Claims (E * F * G)</t>
  </si>
  <si>
    <t>I</t>
  </si>
  <si>
    <t>Claim Period Weighting</t>
  </si>
  <si>
    <t>J</t>
  </si>
  <si>
    <t>K</t>
  </si>
  <si>
    <t>L</t>
  </si>
  <si>
    <t>Expected claims (I * J + K)</t>
  </si>
  <si>
    <t>Retention:</t>
  </si>
  <si>
    <t>M</t>
  </si>
  <si>
    <t>Administration</t>
  </si>
  <si>
    <t>N</t>
  </si>
  <si>
    <t>State Taxes and Assessments</t>
  </si>
  <si>
    <t>O</t>
  </si>
  <si>
    <t>P</t>
  </si>
  <si>
    <t>Total retention (M +N + O)</t>
  </si>
  <si>
    <t>Q</t>
  </si>
  <si>
    <t>Experience Premium PMPM (L / (1 - P))</t>
  </si>
  <si>
    <t>R</t>
  </si>
  <si>
    <t>Manual Premium PMPM (unadjusted)</t>
  </si>
  <si>
    <t>S</t>
  </si>
  <si>
    <t>Age/Sex Adjustment</t>
  </si>
  <si>
    <t>T</t>
  </si>
  <si>
    <t>Other Adjustment</t>
  </si>
  <si>
    <t>U</t>
  </si>
  <si>
    <t>Manual Premium PMPM (R * S * T)</t>
  </si>
  <si>
    <t>V</t>
  </si>
  <si>
    <t>Experience Rating</t>
  </si>
  <si>
    <t>W</t>
  </si>
  <si>
    <t>Manual Rating</t>
  </si>
  <si>
    <t>X</t>
  </si>
  <si>
    <t>Initial Calculated Renewal Cost PMPM  (V + W)</t>
  </si>
  <si>
    <t>Y</t>
  </si>
  <si>
    <t>Z</t>
  </si>
  <si>
    <t>PMPM  Prior to Reform Items, Commission, Fees (X * Y)</t>
  </si>
  <si>
    <t>Renewal Prior to Reform Items, Commission, Fees</t>
  </si>
  <si>
    <t>AA</t>
  </si>
  <si>
    <t>Required Plan Change (Reform/Other)</t>
  </si>
  <si>
    <t>AB</t>
  </si>
  <si>
    <t>PPACA PCORI and Reinsurance Fee PMPM (if applicable)</t>
  </si>
  <si>
    <t>AC</t>
  </si>
  <si>
    <t>PPACA Insurer Fee</t>
  </si>
  <si>
    <t>AD</t>
  </si>
  <si>
    <t>AE</t>
  </si>
  <si>
    <t>Commission %</t>
  </si>
  <si>
    <t>AF</t>
  </si>
  <si>
    <t>Service Fee</t>
  </si>
  <si>
    <t>AG</t>
  </si>
  <si>
    <t>Commission or Service Fee PEPM (converted to PMPM)</t>
  </si>
  <si>
    <t>AH</t>
  </si>
  <si>
    <t>Calculated Renewal Cost PMPM ((((Z * AA + AB) / (1-AC) + AD) * (1+AE) * AF) + AG)</t>
  </si>
  <si>
    <t>AI</t>
  </si>
  <si>
    <t>AJ</t>
  </si>
  <si>
    <t>Calculated Renewal Action  (AH / AI) - 1</t>
  </si>
  <si>
    <t>AK</t>
  </si>
  <si>
    <t>Suggested Renewal Action</t>
  </si>
  <si>
    <t>AL</t>
  </si>
  <si>
    <t>Prospective Plan Change</t>
  </si>
  <si>
    <t>AM</t>
  </si>
  <si>
    <t>Final Renewal Action  ( (AI * (1+AK) * AL / AI) - 1)</t>
  </si>
  <si>
    <t>AN</t>
  </si>
  <si>
    <t>UBundle Discount</t>
  </si>
  <si>
    <t>AO</t>
  </si>
  <si>
    <t>PMPM with UBundle (AI * (1+AM) * (1-AN))</t>
  </si>
  <si>
    <t>AP</t>
  </si>
  <si>
    <t>Final Renewal with UBundle (AO / AI) -1</t>
  </si>
  <si>
    <t>Medical Plan Alternates</t>
  </si>
  <si>
    <t>In Network*</t>
  </si>
  <si>
    <t>Out Of Network*</t>
  </si>
  <si>
    <t>Pricing</t>
  </si>
  <si>
    <t>PCP OV</t>
  </si>
  <si>
    <t>SPC OV</t>
  </si>
  <si>
    <t>OP</t>
  </si>
  <si>
    <t>IP</t>
  </si>
  <si>
    <t>UC</t>
  </si>
  <si>
    <t>ER</t>
  </si>
  <si>
    <t>MAJ DIAG</t>
  </si>
  <si>
    <t>DED</t>
  </si>
  <si>
    <t>COINS</t>
  </si>
  <si>
    <t>OOP</t>
  </si>
  <si>
    <t>+ Family</t>
  </si>
  <si>
    <t>Variance</t>
  </si>
  <si>
    <t>Notes:</t>
  </si>
  <si>
    <t>- IF TWO OR MORE PLANS ARE SOLD AS A MULTIPLE PLAN ARRANGEMENT, AN ADJUSTMENT TO THE RATES MAY BE NECESSARY.</t>
  </si>
  <si>
    <t>Quote Assumptions:</t>
  </si>
  <si>
    <t>HSA Plan Alternates</t>
  </si>
  <si>
    <t>HSA Plan Assumptions:</t>
  </si>
  <si>
    <t>- Please refer to vendor bank collateral for employee banking fee information.</t>
  </si>
  <si>
    <t>- Deductibles are included in the Out Of Pocket amounts.</t>
  </si>
  <si>
    <t xml:space="preserve">      until the full family deductible or out of pocket amount has been met.  Pharmacy copays will only apply after the deductible has been satisfied.</t>
  </si>
  <si>
    <t>- If the HSA is sold in combination with other medical plans, an adjustment to the rates may be necessary.</t>
  </si>
  <si>
    <t>Premium vs Claims Report</t>
  </si>
  <si>
    <t>Premium vs Claims Incurred</t>
  </si>
  <si>
    <t>Please note:  For markets moving to service fees, premiums are shown with service fees included.  For markets continuing to pay commissions, premium still includes commissions.</t>
  </si>
  <si>
    <t>Month/Year</t>
  </si>
  <si>
    <t>Subscribers</t>
  </si>
  <si>
    <t>Premium PMPM</t>
  </si>
  <si>
    <t>Medical Payments</t>
  </si>
  <si>
    <t>Capitation Payments</t>
  </si>
  <si>
    <t>Managed Pharmacy Payments</t>
  </si>
  <si>
    <t>Total Payments</t>
  </si>
  <si>
    <t>Claims to Premium Ratio</t>
  </si>
  <si>
    <t>Total Payments PMPM</t>
  </si>
  <si>
    <t>12 Month Rolling Average PMPM</t>
  </si>
  <si>
    <t>Total by Experience Period</t>
  </si>
  <si>
    <t>Average Membership/PMPM Premium and Payments by Experience Period</t>
  </si>
  <si>
    <t>Current Period vs Prior Period</t>
  </si>
  <si>
    <t>Comments:</t>
  </si>
  <si>
    <t>Fully Insured Competitive Analysis</t>
  </si>
  <si>
    <t>Case Name:</t>
  </si>
  <si>
    <t>Policy:</t>
  </si>
  <si>
    <t>Renewal Date:</t>
  </si>
  <si>
    <t>Carrier</t>
  </si>
  <si>
    <t>UnitedHealthcare</t>
  </si>
  <si>
    <t>Competitor Name</t>
  </si>
  <si>
    <t>Option (Required)</t>
  </si>
  <si>
    <t>OV Primary/Specialist</t>
  </si>
  <si>
    <t>Outpatient Copay</t>
  </si>
  <si>
    <t>Inpatient Copay</t>
  </si>
  <si>
    <t>Urgent Care Copay</t>
  </si>
  <si>
    <t>Emergency Room Copay</t>
  </si>
  <si>
    <t>Major Diagnostics</t>
  </si>
  <si>
    <t>OON Single/Family</t>
  </si>
  <si>
    <t>Rate</t>
  </si>
  <si>
    <t>Tier</t>
  </si>
  <si>
    <t>Monthly Premium</t>
  </si>
  <si>
    <t>Annual Premium</t>
  </si>
  <si>
    <t>Total Premium</t>
  </si>
  <si>
    <t>Renewal Increase</t>
  </si>
  <si>
    <t>$ Variance by Plan</t>
  </si>
  <si>
    <t>% Variance by Plan</t>
  </si>
  <si>
    <t>Rating Difference</t>
  </si>
  <si>
    <t>SAE Request/Notes</t>
  </si>
  <si>
    <t>Include Group/Broker's ask with your submission in the box above or via email.</t>
  </si>
  <si>
    <t>Include all documentation used to develop the competitive data worksheet.</t>
  </si>
  <si>
    <t>PRELIMINARY RATES</t>
  </si>
  <si>
    <t/>
  </si>
  <si>
    <t xml:space="preserve">CA-SAN DIEGO        </t>
  </si>
  <si>
    <t>01/01/2018</t>
  </si>
  <si>
    <t>12/31/2018</t>
  </si>
  <si>
    <t>KYRIBA CORPORATION</t>
  </si>
  <si>
    <t>Sonya Koons</t>
  </si>
  <si>
    <t>Lalitha Veeravalli</t>
  </si>
  <si>
    <t xml:space="preserve">00904052  </t>
  </si>
  <si>
    <t>PRIMARY/SOLD PLAN</t>
  </si>
  <si>
    <t>CA</t>
  </si>
  <si>
    <t>Current Plan</t>
  </si>
  <si>
    <t>INS</t>
  </si>
  <si>
    <t>PQ1</t>
  </si>
  <si>
    <t>(Select Plus)</t>
  </si>
  <si>
    <t>EE Only</t>
  </si>
  <si>
    <t>Nat'l Excl. OOA</t>
  </si>
  <si>
    <t>PCP $15, SPC $15, OP N/A, IP N/A, UC $35, ER $100, MD N/A</t>
  </si>
  <si>
    <t>EE + Spouse</t>
  </si>
  <si>
    <t>UNET</t>
  </si>
  <si>
    <t>Select +</t>
  </si>
  <si>
    <t>Ded $250 / $500 (Emb), Coins 100%, OOP $250 / $500</t>
  </si>
  <si>
    <t>EE + CH(ren)</t>
  </si>
  <si>
    <t>Multiple Option with &lt;enter #(s)&gt;</t>
  </si>
  <si>
    <t>Ded $500 / $1,000 (Emb), Coins 80%, OOP $3,000 / $6,000</t>
  </si>
  <si>
    <t>Family</t>
  </si>
  <si>
    <t>NO</t>
  </si>
  <si>
    <t>$10/$25/$45     2.5x MO</t>
  </si>
  <si>
    <t>Rx Plan:  F5</t>
  </si>
  <si>
    <t>Renewal Plan</t>
  </si>
  <si>
    <t>AXE6</t>
  </si>
  <si>
    <t>(Select Plus HSA)</t>
  </si>
  <si>
    <t>HSA</t>
  </si>
  <si>
    <t>PCP N/A, SPC N/A, OP N/A, IP N/A, UC N/A, ER N/A, MD N/A</t>
  </si>
  <si>
    <t>Ded $2,700 / $5,400 (Emb), Coins 100%, OOP $3,700 / $7,400</t>
  </si>
  <si>
    <t>Ded $3,700 / $7,400 (Emb), Coins 80%, OOP $7,400 / $14,800</t>
  </si>
  <si>
    <t>AJ3E</t>
  </si>
  <si>
    <t>$10/$30/$50   2.5x MO</t>
  </si>
  <si>
    <t>Rx Plan:  H9-HSA</t>
  </si>
  <si>
    <t>(Choice Plus)</t>
  </si>
  <si>
    <t>Choice +</t>
  </si>
  <si>
    <t>479</t>
  </si>
  <si>
    <t>AXFB</t>
  </si>
  <si>
    <t>(Choice Plus HSA)</t>
  </si>
  <si>
    <t>AJ31</t>
  </si>
  <si>
    <t>- Rates are guaranteed for the contract period of 1/1/18 through 12/31/18.</t>
  </si>
  <si>
    <t>- Employer contributes a minimum of 100% toward the employee only rates and 62% toward the dependent rates.</t>
  </si>
  <si>
    <t>- Requires a minimum participation level of 75%.</t>
  </si>
  <si>
    <t xml:space="preserve">- Unless otherwise stated, this offer replaces and renders all previous offers null and void.  New divisions must be evaluated by UnitedHealthcare prior to their addition to the plan.  </t>
  </si>
  <si>
    <t>- Renewals will be delivered 60 days prior to the anniversary date.  Rates and plan designs assume no changes in state or federal mandated benefits.</t>
  </si>
  <si>
    <t xml:space="preserve">- In the event of termination by either UnitedHealthcare (except in the case of fraud or deception in the use of services or facilities, or knowingly permitting such fraud or deception by </t>
  </si>
  <si>
    <t xml:space="preserve">  another) or Group/Customer, UnitedHealthcare will, based on the terms of the Group's contract (whether it is daily proration based on the termination date, full month proration  </t>
  </si>
  <si>
    <t xml:space="preserve">  or mid-month proration based on the eligibility rules established by the Enrolling Group) return to the Group the money paid to UnitedHealthcare which corresponds to any unused </t>
  </si>
  <si>
    <t xml:space="preserve">  period for which payment has been received, together with amounts due on claims, if any, less any amounts due to UnitedHealthcare.</t>
  </si>
  <si>
    <t>- Infertility coverage is available for an additional charge.  Please contact your UnitedHealthcare Sales Representative if interested.</t>
  </si>
  <si>
    <t>- Quote does not include Simply Engaged</t>
  </si>
  <si>
    <t>- Quote includes $10,000 for Additional Program Amount.</t>
  </si>
  <si>
    <t>South CA</t>
  </si>
  <si>
    <t>HUB</t>
  </si>
  <si>
    <t>Select + INS</t>
  </si>
  <si>
    <t>Choice + INS</t>
  </si>
  <si>
    <t>No</t>
  </si>
  <si>
    <t>PCP $15, SPC $15</t>
  </si>
  <si>
    <t>PCP N/A, SPC N/A</t>
  </si>
  <si>
    <t>$35</t>
  </si>
  <si>
    <t>$100</t>
  </si>
  <si>
    <t>$250 / $500 (Emb)</t>
  </si>
  <si>
    <t>$2,700 / $5,400 (Emb)</t>
  </si>
  <si>
    <t>100%</t>
  </si>
  <si>
    <t>$250 / $500</t>
  </si>
  <si>
    <t>$3,700 / $7,400</t>
  </si>
  <si>
    <t>$500 / $1,000</t>
  </si>
  <si>
    <t>80%</t>
  </si>
  <si>
    <t>$3,000 / $6,000</t>
  </si>
  <si>
    <t>$7,400 / $14,800</t>
  </si>
  <si>
    <t>Employee + Spouse</t>
  </si>
  <si>
    <t>Employee + Child(ren)</t>
  </si>
  <si>
    <t>January 1, 2018</t>
  </si>
  <si>
    <t>Medical Plan Alternates for Insurance Select + * AXE6, H9-HSA Rx</t>
  </si>
  <si>
    <t>+ Spouse</t>
  </si>
  <si>
    <t>+ Child(ren)</t>
  </si>
  <si>
    <t>Select Plus HSA</t>
  </si>
  <si>
    <t>AXEK</t>
  </si>
  <si>
    <t>$1,350 / $2,700 (NonEmb)</t>
  </si>
  <si>
    <t>$6,650 / $13,300</t>
  </si>
  <si>
    <t>$2,700 / $5,400</t>
  </si>
  <si>
    <t>$13,300 / $26,600</t>
  </si>
  <si>
    <t>AXEL</t>
  </si>
  <si>
    <t>$1,500 / $2,700 (NonEmb)</t>
  </si>
  <si>
    <t>$6,000 / $12,000</t>
  </si>
  <si>
    <t>$12,000 / $24,000</t>
  </si>
  <si>
    <t>AXEW</t>
  </si>
  <si>
    <t>$6,000 / $6,000</t>
  </si>
  <si>
    <t>AXEO</t>
  </si>
  <si>
    <t>$2,000 / $2,700 (NonEmb)</t>
  </si>
  <si>
    <t>$4,000 / $8,000</t>
  </si>
  <si>
    <t>$5,400 / $10,800</t>
  </si>
  <si>
    <t>$8,000 / $16,000</t>
  </si>
  <si>
    <t>AXEY</t>
  </si>
  <si>
    <t>$6,650 / $6,650</t>
  </si>
  <si>
    <t>AXEN</t>
  </si>
  <si>
    <t>AXEM</t>
  </si>
  <si>
    <t>AXE7</t>
  </si>
  <si>
    <t>AXE9</t>
  </si>
  <si>
    <t>AXE8</t>
  </si>
  <si>
    <t>$4,700 / $9,400</t>
  </si>
  <si>
    <t>$9,400 / $18,800</t>
  </si>
  <si>
    <t>AXE5</t>
  </si>
  <si>
    <t>$5,000 / $10,000</t>
  </si>
  <si>
    <t>$10,000 / $20,000</t>
  </si>
  <si>
    <t>- HSA plans may include a non-embedded deductible and out of pocket.  In that instance, no individual family member's deductible or out of pocket is considered satisfied</t>
  </si>
  <si>
    <t>- HSA accounts must be paired with qualified HDHPs as determined under section 223 of the Internal Revenue Code</t>
  </si>
  <si>
    <t>- For 2017, the HDHP annual deductible cannot be less than $1,300 for individual or $2,600 for family coverage, for 2018 the minimums are $1,350 individual and $2,700 family.</t>
  </si>
  <si>
    <t>- Medical and pharmacy expenses covered under an HSA program are not eligible for reimbursement under an FSA program</t>
  </si>
  <si>
    <t>- All benefits include the following pharmacy plan:  $10/$30/$50   2.5x MO</t>
  </si>
  <si>
    <t>The rates quoted are based on the following assumptions.  Changes to these assumptions may result in an adjustment to the rates or revocation of the quote.</t>
  </si>
  <si>
    <t>Medical Plan Alternates for HMO  * ,  Rx</t>
  </si>
  <si>
    <t>Medical Plan Alternates for Insurance Select + * PQ1, F5 Rx</t>
  </si>
  <si>
    <t>Select Plus</t>
  </si>
  <si>
    <t>AB6Q</t>
  </si>
  <si>
    <t>N/A (Emb)</t>
  </si>
  <si>
    <t>$2,000 / $4,000</t>
  </si>
  <si>
    <t>PQU</t>
  </si>
  <si>
    <t>$0 / $0 (Emb)</t>
  </si>
  <si>
    <t>$300 / $600</t>
  </si>
  <si>
    <t>PQV</t>
  </si>
  <si>
    <t>$2,500 / $5,000</t>
  </si>
  <si>
    <t>AKJX</t>
  </si>
  <si>
    <t>$1,000 / $2,000</t>
  </si>
  <si>
    <t>PQX</t>
  </si>
  <si>
    <t>$7,500 / $15,000</t>
  </si>
  <si>
    <t>AKJZ</t>
  </si>
  <si>
    <t>$1,500 / $3,000</t>
  </si>
  <si>
    <t>PQ2</t>
  </si>
  <si>
    <t>$1,250 / $2,500</t>
  </si>
  <si>
    <t>AB6E</t>
  </si>
  <si>
    <t>$100 POD</t>
  </si>
  <si>
    <t>$150 / $300 (Emb)</t>
  </si>
  <si>
    <t>$1,150 / $2,300</t>
  </si>
  <si>
    <t>$150 / $300</t>
  </si>
  <si>
    <t>$2,150 / $4,300</t>
  </si>
  <si>
    <t>PQ3</t>
  </si>
  <si>
    <t>PQZ</t>
  </si>
  <si>
    <t>$6,500 / $13,000</t>
  </si>
  <si>
    <t>PQ6</t>
  </si>
  <si>
    <t>$500 / $1,000 (Emb)</t>
  </si>
  <si>
    <t>AB6H</t>
  </si>
  <si>
    <t>$1,750 / $3,500</t>
  </si>
  <si>
    <t>$3,500 / $7,000</t>
  </si>
  <si>
    <t>PQ4</t>
  </si>
  <si>
    <t>$2,250 / $4,500</t>
  </si>
  <si>
    <t>$4,500 / $9,000</t>
  </si>
  <si>
    <t>PQ8</t>
  </si>
  <si>
    <t>PQ5</t>
  </si>
  <si>
    <t>PQ7</t>
  </si>
  <si>
    <t>AB6G</t>
  </si>
  <si>
    <t>$200 / $400 (Emb)</t>
  </si>
  <si>
    <t>$2,200 / $4,400</t>
  </si>
  <si>
    <t>$200 / $400</t>
  </si>
  <si>
    <t>$5,200 / $10,400</t>
  </si>
  <si>
    <t>PRK</t>
  </si>
  <si>
    <t>PRF</t>
  </si>
  <si>
    <t>PQ9</t>
  </si>
  <si>
    <t>PRY</t>
  </si>
  <si>
    <t>$250 POD</t>
  </si>
  <si>
    <t>AB6F</t>
  </si>
  <si>
    <t>PRZ</t>
  </si>
  <si>
    <t>PR2</t>
  </si>
  <si>
    <t>PR1</t>
  </si>
  <si>
    <t>AKLU</t>
  </si>
  <si>
    <t>AB6I</t>
  </si>
  <si>
    <t>$3,250 / $6,500</t>
  </si>
  <si>
    <t>$7,750 / $15,500</t>
  </si>
  <si>
    <t>PR3</t>
  </si>
  <si>
    <t>PS3</t>
  </si>
  <si>
    <t>$1,000 / $2,000 (Emb)</t>
  </si>
  <si>
    <t>PR4</t>
  </si>
  <si>
    <t>$500 POD</t>
  </si>
  <si>
    <t>$7,000 / $14,000</t>
  </si>
  <si>
    <t>PS2</t>
  </si>
  <si>
    <t>AKLV</t>
  </si>
  <si>
    <t>PR5</t>
  </si>
  <si>
    <t>AB6L</t>
  </si>
  <si>
    <t>- All benefits include the following pharmacy plan:  $10/$25/$45     2.5x MO</t>
  </si>
  <si>
    <t>- IF THE INITIAL PLAN IS AN HRA, ALL ALTERNATES ARE ALSO ASSUMED TO BE THE SAME TYPE OF HRA.</t>
  </si>
  <si>
    <t xml:space="preserve">   The rates quoted are based on the following assumptions.  Changes to these assumptions may result in an adjustment to the rates or revocation of the quote.</t>
  </si>
  <si>
    <t>Medical Plan Alternates for Insurance Choice + * 479, F5 Rx</t>
  </si>
  <si>
    <t>Choice Plus</t>
  </si>
  <si>
    <t>1287A</t>
  </si>
  <si>
    <t>AM8R</t>
  </si>
  <si>
    <t>1289A</t>
  </si>
  <si>
    <t>$750 / $1,500 (Emb)</t>
  </si>
  <si>
    <t>1317A</t>
  </si>
  <si>
    <t>$1,500 / $3,000 (Emb)</t>
  </si>
  <si>
    <t>1311A</t>
  </si>
  <si>
    <t>1320A</t>
  </si>
  <si>
    <t>1309A</t>
  </si>
  <si>
    <t>$9,000 / $18,000</t>
  </si>
  <si>
    <t>05/01/2016</t>
  </si>
  <si>
    <t>05/01/2015</t>
  </si>
  <si>
    <t>04/30/2017</t>
  </si>
  <si>
    <t>04/30/2016</t>
  </si>
  <si>
    <t>Pooled Claims Over $75,000</t>
  </si>
  <si>
    <t>Trend Factor (Current 20 mos, Prior 32 mos)</t>
  </si>
  <si>
    <t>Plan Change Adjustment</t>
  </si>
  <si>
    <t>Adj for Member Change Between Plans</t>
  </si>
  <si>
    <t>Pooling charge for $75,000</t>
  </si>
  <si>
    <t>Other adjustment</t>
  </si>
  <si>
    <t>Additional Program Amount</t>
  </si>
  <si>
    <t>Renewal rates effective: 1/1/18 to 12/31/18</t>
  </si>
  <si>
    <t>*Annual trend rate: Medical 10.4%, Rx 13.0%</t>
  </si>
  <si>
    <t xml:space="preserve">              Renewal Plan</t>
  </si>
  <si>
    <t xml:space="preserve"> Option 1: Current</t>
  </si>
  <si>
    <t xml:space="preserve"> Option 2</t>
  </si>
  <si>
    <t>NEW</t>
  </si>
  <si>
    <t xml:space="preserve"> Option 3: Current</t>
  </si>
  <si>
    <t xml:space="preserve"> Option 4</t>
  </si>
  <si>
    <t>PQ1 (Select Plus) Rx Plan:  F5</t>
  </si>
  <si>
    <t>AXE6 (Select Plus HSA) Rx Plan:  H9-HSA</t>
  </si>
  <si>
    <t>479 (Choice Plus) Rx Plan:  F5</t>
  </si>
  <si>
    <t>AXFB (Choice Plus HSA) Rx Plan:  H9-HSA</t>
  </si>
  <si>
    <t>Select + Insurance *</t>
  </si>
  <si>
    <t>Choice + Insurance *</t>
  </si>
  <si>
    <t>Multiple Option</t>
  </si>
  <si>
    <t>Option(s) &lt;enter #(s)&gt;</t>
  </si>
  <si>
    <t>OP N/A, IP N/A</t>
  </si>
  <si>
    <t>UC $35, ER $100, MD N/A</t>
  </si>
  <si>
    <t>UC N/A, ER N/A, MD N/A</t>
  </si>
  <si>
    <t>$3,700 / $7,400 (Emb)</t>
  </si>
  <si>
    <t>For markets moving to service fees, current rates (for renewals only) include commission expenses.  Proposed rates, for your convenience, include any applicable producer</t>
  </si>
  <si>
    <t>service fees.  Producer service fees are not a contingency of obtaining insurance coverage but are fees agreed to between you (client) and your producer/service provider for service</t>
  </si>
  <si>
    <t>rendered on behalf of client.</t>
  </si>
  <si>
    <t xml:space="preserve"> Option 5: Current</t>
  </si>
  <si>
    <t xml:space="preserve"> Option 6: Current</t>
  </si>
  <si>
    <t xml:space="preserve"> Option 7: Current</t>
  </si>
  <si>
    <t xml:space="preserve"> Option 8: Current</t>
  </si>
  <si>
    <t xml:space="preserve">  </t>
  </si>
  <si>
    <t xml:space="preserve"> Option 9: Current</t>
  </si>
  <si>
    <t xml:space="preserve"> Option 10: Current</t>
  </si>
  <si>
    <t xml:space="preserve"> Option 11: Current</t>
  </si>
  <si>
    <t xml:space="preserve"> Option 12: Current</t>
  </si>
  <si>
    <t xml:space="preserve"> Option 13: Current</t>
  </si>
  <si>
    <t xml:space="preserve"> Option 14: Current</t>
  </si>
  <si>
    <t xml:space="preserve"> Option 15: Current</t>
  </si>
  <si>
    <t xml:space="preserve"> Option 16: Current</t>
  </si>
  <si>
    <t xml:space="preserve"> Option 17: Current</t>
  </si>
  <si>
    <t xml:space="preserve"> Option 18: Current</t>
  </si>
  <si>
    <t xml:space="preserve"> Option 19: Current</t>
  </si>
  <si>
    <t xml:space="preserve"> Option 20: Current</t>
  </si>
  <si>
    <t>The rates quoted here are based on the following assumptions.  Changes to these assumptions may result in an adjustment to rates.</t>
  </si>
  <si>
    <t>- UnitedHealthcare reserves the right to adjust the rates and/or fees (i) in the event of any changes in federal, state or other applicable legislation or regulation; (ii) in the event of</t>
  </si>
  <si>
    <t xml:space="preserve">  any changes in Plan design required by the applicable regulatory authority (i.e. mandated benefits) or by the Plan Sponsor; and (iii) as otherwise permitted in our policy.</t>
  </si>
  <si>
    <t>- Premium rates and/or product forms included herein are subject to approval by regulators.  If rates or product forms offered herein are subsequently modified by regulators we</t>
  </si>
  <si>
    <t xml:space="preserve">  will immediately advise you of the change in plan design and retroactively adjust premium in subsequent billings.</t>
  </si>
  <si>
    <t>- Plan design and corresponding premium rates offered herein represent a coverage option that is consistent with your current group size (based on most recent census or survey</t>
  </si>
  <si>
    <t>- This quote includes 5.00% commissions in commissionable sites.</t>
  </si>
  <si>
    <t xml:space="preserve">- Premium rates assume an allowance of up to $10,000 to be used by the client for costs incurred by them for wellness associated purposes.  These funds must be used by </t>
  </si>
  <si>
    <t xml:space="preserve">  12/31/2018 and any unused funds are not refundable by UHC.</t>
  </si>
  <si>
    <t>- HRA and HSA plans may include a non-embedded deductible and out of pocket.  In that instance, no individual family member's deductible or out of pocket is considered satisfied</t>
  </si>
  <si>
    <t xml:space="preserve">  until the full family deductible or out of pocket amount has been met.  Pharmacy copays will only apply after the deductible has been satisfied on HRA/HSA plans with integrated</t>
  </si>
  <si>
    <t>05/01/16 to 04/30/17</t>
  </si>
  <si>
    <t>Customer Name:</t>
  </si>
  <si>
    <t>05/01/15 to 04/30/16</t>
  </si>
  <si>
    <t>Customer Number:</t>
  </si>
  <si>
    <t>ER Contributions - EE:</t>
  </si>
  <si>
    <t>ER Contributions - Deps:</t>
  </si>
  <si>
    <t>SAE:</t>
  </si>
  <si>
    <t>Minimum Participation:</t>
  </si>
  <si>
    <t>Underwriter:</t>
  </si>
  <si>
    <t>Computer &amp; Data Processing Services</t>
  </si>
  <si>
    <t>PQ1, INS-Select +</t>
  </si>
  <si>
    <t>AJ3E, INS-Select +</t>
  </si>
  <si>
    <t>479, INS-Choice +</t>
  </si>
  <si>
    <t>$15 PCP; $15 SPC; N/A OP; N/A IP; $250 / $500 Ded; 100%; $250 / $500 OOP</t>
  </si>
  <si>
    <t>N/A PCP; N/A SPC; N/A OP; N/A IP; $2,600 / $5,200 Ded; 100%; $3,600 / $7,200 OOP</t>
  </si>
  <si>
    <t>$500 / $1,000; 80%; $3,000 / $6,000</t>
  </si>
  <si>
    <t>$3,600 / $7,200; 80%; $4,600 / $9,200</t>
  </si>
  <si>
    <t>01/01/18</t>
  </si>
  <si>
    <t>01/01/17</t>
  </si>
  <si>
    <t>01/01/16</t>
  </si>
  <si>
    <t>Pooling Level is $75,000</t>
  </si>
  <si>
    <t>Claimant #1</t>
  </si>
  <si>
    <t>$126,581</t>
  </si>
  <si>
    <t>Claimant #2</t>
  </si>
  <si>
    <t>$73,598</t>
  </si>
  <si>
    <t>Claimant #3</t>
  </si>
  <si>
    <t>$24,276</t>
  </si>
  <si>
    <t>Claimant #4</t>
  </si>
  <si>
    <t>$23,975</t>
  </si>
  <si>
    <t>Claimant #5</t>
  </si>
  <si>
    <t>$23,903</t>
  </si>
  <si>
    <t>Claimant #6</t>
  </si>
  <si>
    <t>$14,733</t>
  </si>
  <si>
    <t>Claimant #7</t>
  </si>
  <si>
    <t>$13,176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</si>
</sst>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65" formatCode="0.000"/>
    <numFmt numFmtId="166" formatCode="0.0%"/>
    <numFmt numFmtId="167" formatCode="&quot;$&quot;#,##0.00"/>
    <numFmt numFmtId="168" formatCode="0.000%"/>
    <numFmt numFmtId="169" formatCode="0.0"/>
    <numFmt numFmtId="170" formatCode="_(* #,##0_);_(* \(#,##0\);_(* &quot;-&quot;??_);_(@_)"/>
    <numFmt numFmtId="171" formatCode="&quot;$&quot;#,##0"/>
    <numFmt numFmtId="172" formatCode="&quot;$&quot;#,##0;[Red]&quot;$&quot;#,##0"/>
    <numFmt numFmtId="173" formatCode="#,##0.000_);[Red]\(#,##0.000\)"/>
    <numFmt numFmtId="174" formatCode="#,##0.000"/>
    <numFmt numFmtId="175" formatCode="m/d/yy"/>
    <numFmt numFmtId="176" formatCode="mm/dd/yy"/>
    <numFmt numFmtId="177" formatCode="m\-yyyy"/>
    <numFmt numFmtId="178" formatCode="&quot;$&quot;#,##0;\(&quot;$&quot;#,##0\)"/>
    <numFmt numFmtId="179" formatCode="0.0%;\(0.0%\)"/>
    <numFmt numFmtId="180" formatCode="&quot;$&quot;#,##0.00;\(&quot;$&quot;#,##0.00\)"/>
    <numFmt numFmtId="181" formatCode="00000"/>
    <numFmt numFmtId="182" formatCode="0.00_)"/>
    <numFmt numFmtId="183" formatCode="&quot;£&quot;#,##0.00;\-&quot;£&quot;#,##0.00"/>
    <numFmt numFmtId="184" formatCode="0.00000&quot;  &quot;"/>
  </numFmts>
  <fonts count="49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6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4"/>
      <color indexed="12"/>
      <name val="Arial"/>
      <family val="2"/>
    </font>
    <font>
      <b/>
      <sz val="14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name val="Courier"/>
      <family val="3"/>
    </font>
    <font>
      <u/>
      <sz val="1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name val="Arial Narrow"/>
      <family val="2"/>
    </font>
    <font>
      <b/>
      <sz val="16"/>
      <color indexed="30"/>
      <name val="Arial"/>
      <family val="2"/>
    </font>
    <font>
      <sz val="13"/>
      <color indexed="29"/>
      <name val="Arial"/>
      <family val="2"/>
    </font>
    <font>
      <b/>
      <sz val="18"/>
      <name val="Arial"/>
      <family val="2"/>
    </font>
    <font>
      <b/>
      <sz val="10"/>
      <name val="Times New Roman"/>
      <family val="1"/>
    </font>
    <font>
      <b/>
      <i/>
      <sz val="10"/>
      <color rgb="FFFF0000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name val="AriEL"/>
    </font>
    <font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i/>
      <u/>
      <sz val="10"/>
      <name val="Arial"/>
      <family val="2"/>
    </font>
    <font>
      <b/>
      <sz val="14"/>
      <name val="Times New Roman"/>
      <family val="1"/>
    </font>
    <font>
      <b/>
      <u/>
      <sz val="10"/>
      <name val="Arial"/>
      <family val="2"/>
    </font>
    <font>
      <u/>
      <sz val="10"/>
      <color indexed="9"/>
      <name val="Arial"/>
      <family val="2"/>
    </font>
    <font>
      <sz val="10"/>
      <color indexed="10"/>
      <name val="Arial"/>
      <family val="2"/>
    </font>
    <font>
      <i/>
      <sz val="8"/>
      <name val="Arial"/>
      <family val="2"/>
    </font>
    <font>
      <b/>
      <i/>
      <sz val="18"/>
      <name val="Arial"/>
      <family val="2"/>
    </font>
    <font>
      <sz val="18"/>
      <name val="Arial"/>
      <family val="2"/>
    </font>
    <font>
      <b/>
      <sz val="11"/>
      <color indexed="10"/>
      <name val="Arial"/>
      <family val="2"/>
    </font>
    <font>
      <b/>
      <sz val="12"/>
      <color indexed="9"/>
      <name val="Arial"/>
      <family val="2"/>
    </font>
    <font>
      <b/>
      <sz val="8"/>
      <color indexed="9"/>
      <name val="Arial"/>
      <family val="2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name val="MS Sans Serif"/>
      <family val="2"/>
    </font>
    <font>
      <u/>
      <sz val="10"/>
      <color indexed="12"/>
      <name val="Arial"/>
      <family val="2"/>
    </font>
    <font>
      <b/>
      <i/>
      <sz val="16"/>
      <name val="Helv"/>
    </font>
    <font>
      <b/>
      <sz val="10"/>
      <color indexed="8"/>
      <name val="Arial Narrow"/>
      <family val="2"/>
    </font>
    <font>
      <sz val="10"/>
      <color indexed="8"/>
      <name val="MS Sans Serif"/>
      <family val="2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29"/>
      </left>
      <right/>
      <top/>
      <bottom/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 style="thin">
        <color indexed="16"/>
      </left>
      <right/>
      <top/>
      <bottom/>
      <diagonal/>
    </border>
    <border>
      <left/>
      <right style="thin">
        <color indexed="16"/>
      </right>
      <top/>
      <bottom/>
      <diagonal/>
    </border>
    <border>
      <left style="thin">
        <color indexed="16"/>
      </left>
      <right/>
      <top/>
      <bottom style="thin">
        <color indexed="16"/>
      </bottom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medium">
        <color indexed="29"/>
      </left>
      <right/>
      <top style="medium">
        <color indexed="29"/>
      </top>
      <bottom/>
      <diagonal/>
    </border>
    <border>
      <left/>
      <right/>
      <top style="medium">
        <color indexed="29"/>
      </top>
      <bottom/>
      <diagonal/>
    </border>
    <border>
      <left/>
      <right style="medium">
        <color indexed="29"/>
      </right>
      <top style="medium">
        <color indexed="29"/>
      </top>
      <bottom/>
      <diagonal/>
    </border>
    <border>
      <left/>
      <right style="medium">
        <color indexed="29"/>
      </right>
      <top/>
      <bottom/>
      <diagonal/>
    </border>
    <border>
      <left style="medium">
        <color indexed="29"/>
      </left>
      <right/>
      <top style="medium">
        <color indexed="29"/>
      </top>
      <bottom style="medium">
        <color indexed="29"/>
      </bottom>
      <diagonal/>
    </border>
    <border>
      <left/>
      <right/>
      <top style="medium">
        <color indexed="29"/>
      </top>
      <bottom style="medium">
        <color indexed="29"/>
      </bottom>
      <diagonal/>
    </border>
    <border>
      <left/>
      <right style="medium">
        <color indexed="29"/>
      </right>
      <top style="medium">
        <color indexed="29"/>
      </top>
      <bottom style="medium">
        <color indexed="29"/>
      </bottom>
      <diagonal/>
    </border>
    <border>
      <left/>
      <right style="medium">
        <color indexed="9"/>
      </right>
      <top/>
      <bottom/>
      <diagonal/>
    </border>
    <border>
      <left style="medium">
        <color indexed="29"/>
      </left>
      <right style="medium">
        <color indexed="29"/>
      </right>
      <top style="medium">
        <color indexed="29"/>
      </top>
      <bottom/>
      <diagonal/>
    </border>
    <border>
      <left style="medium">
        <color indexed="29"/>
      </left>
      <right style="medium">
        <color indexed="29"/>
      </right>
      <top/>
      <bottom/>
      <diagonal/>
    </border>
    <border>
      <left style="medium">
        <color indexed="29"/>
      </left>
      <right/>
      <top/>
      <bottom style="medium">
        <color indexed="29"/>
      </bottom>
      <diagonal/>
    </border>
    <border>
      <left/>
      <right/>
      <top/>
      <bottom style="medium">
        <color indexed="29"/>
      </bottom>
      <diagonal/>
    </border>
    <border>
      <left/>
      <right style="medium">
        <color indexed="29"/>
      </right>
      <top/>
      <bottom style="medium">
        <color indexed="29"/>
      </bottom>
      <diagonal/>
    </border>
    <border>
      <left style="medium">
        <color indexed="29"/>
      </left>
      <right style="medium">
        <color indexed="29"/>
      </right>
      <top/>
      <bottom style="medium">
        <color indexed="29"/>
      </bottom>
      <diagonal/>
    </border>
    <border>
      <left style="thin">
        <color rgb="FF800000"/>
      </left>
      <right/>
      <top style="thin">
        <color rgb="FF800000"/>
      </top>
      <bottom/>
      <diagonal/>
    </border>
    <border>
      <left/>
      <right/>
      <top style="thin">
        <color rgb="FF800000"/>
      </top>
      <bottom/>
      <diagonal/>
    </border>
    <border>
      <left/>
      <right style="thin">
        <color rgb="FF800000"/>
      </right>
      <top style="thin">
        <color rgb="FF800000"/>
      </top>
      <bottom/>
      <diagonal/>
    </border>
    <border>
      <left style="thin">
        <color rgb="FF800000"/>
      </left>
      <right/>
      <top/>
      <bottom/>
      <diagonal/>
    </border>
    <border>
      <left/>
      <right style="thin">
        <color rgb="FF800000"/>
      </right>
      <top/>
      <bottom/>
      <diagonal/>
    </border>
    <border>
      <left style="thin">
        <color rgb="FF800000"/>
      </left>
      <right/>
      <top/>
      <bottom style="thin">
        <color rgb="FF800000"/>
      </bottom>
      <diagonal/>
    </border>
    <border>
      <left/>
      <right/>
      <top/>
      <bottom style="thin">
        <color rgb="FF800000"/>
      </bottom>
      <diagonal/>
    </border>
    <border>
      <left/>
      <right style="thin">
        <color rgb="FF800000"/>
      </right>
      <top/>
      <bottom style="thin">
        <color rgb="FF800000"/>
      </bottom>
      <diagonal/>
    </border>
    <border>
      <left style="thin">
        <color indexed="29"/>
      </left>
      <right/>
      <top style="thin">
        <color indexed="29"/>
      </top>
      <bottom/>
      <diagonal/>
    </border>
    <border>
      <left/>
      <right style="thin">
        <color indexed="29"/>
      </right>
      <top style="thin">
        <color indexed="29"/>
      </top>
      <bottom/>
      <diagonal/>
    </border>
    <border>
      <left/>
      <right/>
      <top style="thin">
        <color indexed="29"/>
      </top>
      <bottom/>
      <diagonal/>
    </border>
    <border>
      <left style="thin">
        <color indexed="29"/>
      </left>
      <right style="thin">
        <color indexed="29"/>
      </right>
      <top style="thin">
        <color indexed="29"/>
      </top>
      <bottom/>
      <diagonal/>
    </border>
    <border>
      <left style="thin">
        <color indexed="29"/>
      </left>
      <right/>
      <top/>
      <bottom/>
      <diagonal/>
    </border>
    <border>
      <left/>
      <right style="thin">
        <color indexed="29"/>
      </right>
      <top/>
      <bottom/>
      <diagonal/>
    </border>
    <border>
      <left style="thin">
        <color indexed="29"/>
      </left>
      <right style="thin">
        <color indexed="29"/>
      </right>
      <top/>
      <bottom/>
      <diagonal/>
    </border>
    <border>
      <left style="thin">
        <color indexed="29"/>
      </left>
      <right/>
      <top/>
      <bottom style="thin">
        <color indexed="29"/>
      </bottom>
      <diagonal/>
    </border>
    <border>
      <left/>
      <right style="thin">
        <color indexed="29"/>
      </right>
      <top/>
      <bottom style="thin">
        <color indexed="29"/>
      </bottom>
      <diagonal/>
    </border>
    <border>
      <left/>
      <right/>
      <top/>
      <bottom style="thin">
        <color indexed="29"/>
      </bottom>
      <diagonal/>
    </border>
    <border>
      <left style="thin">
        <color indexed="29"/>
      </left>
      <right style="thin">
        <color indexed="29"/>
      </right>
      <top/>
      <bottom style="thin">
        <color indexed="2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13" fillId="0" borderId="0"/>
    <xf numFmtId="0" fontId="2" fillId="0" borderId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42" fillId="0" borderId="0" applyFill="0" applyBorder="0" applyAlignment="0"/>
    <xf numFmtId="181" fontId="4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4" fontId="43" fillId="0" borderId="0" applyFill="0" applyBorder="0" applyAlignment="0"/>
    <xf numFmtId="38" fontId="44" fillId="0" borderId="64">
      <alignment vertical="center"/>
    </xf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0" fontId="28" fillId="0" borderId="65" applyNumberFormat="0" applyAlignment="0" applyProtection="0">
      <alignment horizontal="left" vertical="center"/>
    </xf>
    <xf numFmtId="0" fontId="28" fillId="0" borderId="9">
      <alignment horizontal="left" vertical="center"/>
    </xf>
    <xf numFmtId="0" fontId="45" fillId="0" borderId="0" applyNumberFormat="0" applyFill="0" applyBorder="0" applyAlignment="0" applyProtection="0">
      <alignment vertical="top"/>
      <protection locked="0"/>
    </xf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2" fontId="46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3" fontId="42" fillId="0" borderId="0" applyFont="0" applyFill="0" applyBorder="0" applyAlignment="0" applyProtection="0"/>
    <xf numFmtId="183" fontId="4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0" fontId="47" fillId="9" borderId="0"/>
    <xf numFmtId="0" fontId="48" fillId="0" borderId="5" applyNumberFormat="0" applyBorder="0"/>
    <xf numFmtId="184" fontId="42" fillId="0" borderId="0" applyFont="0" applyFill="0" applyBorder="0" applyAlignment="0" applyProtection="0"/>
    <xf numFmtId="184" fontId="42" fillId="0" borderId="0" applyFont="0" applyFill="0" applyBorder="0" applyAlignment="0" applyProtection="0"/>
    <xf numFmtId="0" fontId="29" fillId="0" borderId="0" applyNumberFormat="0" applyFont="0" applyFill="0" applyBorder="0" applyAlignment="0"/>
    <xf numFmtId="49" fontId="43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  <xf numFmtId="181" fontId="2" fillId="0" borderId="0" applyFill="0" applyBorder="0" applyAlignment="0"/>
  </cellStyleXfs>
  <cellXfs count="840">
    <xf numFmtId="0" fontId="0" fillId="0" borderId="0" xfId="0"/>
    <xf numFmtId="0" fontId="3" fillId="0" borderId="0" xfId="0" applyFont="1"/>
    <xf numFmtId="0" fontId="2" fillId="0" borderId="0" xfId="0" applyFont="1"/>
    <xf numFmtId="0" fontId="5" fillId="0" borderId="0" xfId="0" applyFont="1" applyAlignment="1">
      <alignment horizontal="left"/>
    </xf>
    <xf numFmtId="0" fontId="6" fillId="0" borderId="0" xfId="0" applyFont="1"/>
    <xf numFmtId="0" fontId="7" fillId="0" borderId="1" xfId="0" applyFont="1" applyBorder="1"/>
    <xf numFmtId="0" fontId="5" fillId="0" borderId="2" xfId="0" applyFont="1" applyBorder="1"/>
    <xf numFmtId="0" fontId="6" fillId="0" borderId="2" xfId="0" applyFont="1" applyBorder="1"/>
    <xf numFmtId="0" fontId="2" fillId="0" borderId="2" xfId="0" applyFont="1" applyBorder="1"/>
    <xf numFmtId="0" fontId="2" fillId="0" borderId="2" xfId="0" applyFont="1" applyBorder="1" applyAlignment="1">
      <alignment horizontal="left"/>
    </xf>
    <xf numFmtId="0" fontId="2" fillId="0" borderId="3" xfId="0" applyFont="1" applyBorder="1"/>
    <xf numFmtId="0" fontId="2" fillId="0" borderId="4" xfId="0" applyFont="1" applyBorder="1"/>
    <xf numFmtId="0" fontId="2" fillId="0" borderId="0" xfId="0" applyFont="1" applyBorder="1" applyAlignment="1">
      <alignment horizontal="left"/>
    </xf>
    <xf numFmtId="0" fontId="2" fillId="0" borderId="0" xfId="0" applyFont="1" applyBorder="1"/>
    <xf numFmtId="0" fontId="2" fillId="0" borderId="5" xfId="0" applyFont="1" applyBorder="1"/>
    <xf numFmtId="3" fontId="2" fillId="0" borderId="0" xfId="0" applyNumberFormat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9" fontId="2" fillId="0" borderId="0" xfId="0" applyNumberFormat="1" applyFont="1" applyBorder="1" applyAlignment="1">
      <alignment horizontal="left"/>
    </xf>
    <xf numFmtId="164" fontId="2" fillId="0" borderId="0" xfId="0" applyNumberFormat="1" applyFont="1" applyFill="1" applyBorder="1" applyAlignment="1">
      <alignment horizontal="left"/>
    </xf>
    <xf numFmtId="14" fontId="2" fillId="0" borderId="4" xfId="0" applyNumberFormat="1" applyFont="1" applyBorder="1"/>
    <xf numFmtId="14" fontId="2" fillId="0" borderId="0" xfId="0" applyNumberFormat="1" applyFont="1" applyBorder="1" applyAlignment="1">
      <alignment horizontal="left"/>
    </xf>
    <xf numFmtId="0" fontId="2" fillId="0" borderId="0" xfId="0" applyNumberFormat="1" applyFont="1" applyBorder="1" applyAlignment="1">
      <alignment horizontal="left"/>
    </xf>
    <xf numFmtId="0" fontId="2" fillId="0" borderId="6" xfId="0" applyFont="1" applyBorder="1"/>
    <xf numFmtId="165" fontId="2" fillId="0" borderId="7" xfId="0" applyNumberFormat="1" applyFont="1" applyBorder="1" applyAlignment="1">
      <alignment horizontal="left"/>
    </xf>
    <xf numFmtId="0" fontId="2" fillId="0" borderId="7" xfId="0" applyFont="1" applyBorder="1"/>
    <xf numFmtId="0" fontId="2" fillId="0" borderId="8" xfId="0" applyFont="1" applyBorder="1"/>
    <xf numFmtId="0" fontId="2" fillId="0" borderId="2" xfId="0" applyFont="1" applyFill="1" applyBorder="1" applyAlignment="1">
      <alignment horizontal="left"/>
    </xf>
    <xf numFmtId="0" fontId="7" fillId="0" borderId="4" xfId="0" applyFont="1" applyBorder="1"/>
    <xf numFmtId="0" fontId="2" fillId="0" borderId="0" xfId="4" quotePrefix="1" applyFont="1" applyFill="1" applyBorder="1" applyAlignment="1" applyProtection="1">
      <alignment horizontal="left" wrapText="1"/>
    </xf>
    <xf numFmtId="0" fontId="2" fillId="0" borderId="5" xfId="4" quotePrefix="1" applyFont="1" applyFill="1" applyBorder="1" applyAlignment="1" applyProtection="1">
      <alignment horizontal="left" wrapText="1"/>
    </xf>
    <xf numFmtId="0" fontId="2" fillId="0" borderId="0" xfId="4" quotePrefix="1" applyFont="1" applyFill="1" applyBorder="1" applyAlignment="1" applyProtection="1">
      <alignment horizontal="left"/>
    </xf>
    <xf numFmtId="0" fontId="2" fillId="0" borderId="5" xfId="4" quotePrefix="1" applyFont="1" applyFill="1" applyBorder="1" applyAlignment="1" applyProtection="1">
      <alignment horizontal="left"/>
    </xf>
    <xf numFmtId="0" fontId="7" fillId="0" borderId="6" xfId="0" applyFont="1" applyBorder="1"/>
    <xf numFmtId="2" fontId="2" fillId="0" borderId="7" xfId="4" quotePrefix="1" applyNumberFormat="1" applyFont="1" applyFill="1" applyBorder="1" applyAlignment="1" applyProtection="1">
      <alignment horizontal="left"/>
    </xf>
    <xf numFmtId="0" fontId="2" fillId="0" borderId="7" xfId="0" applyFont="1" applyFill="1" applyBorder="1"/>
    <xf numFmtId="0" fontId="2" fillId="0" borderId="8" xfId="0" applyFont="1" applyFill="1" applyBorder="1"/>
    <xf numFmtId="0" fontId="7" fillId="0" borderId="0" xfId="0" applyFont="1" applyBorder="1"/>
    <xf numFmtId="0" fontId="7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7" fillId="2" borderId="2" xfId="0" applyFont="1" applyFill="1" applyBorder="1" applyAlignment="1" applyProtection="1">
      <alignment horizontal="center"/>
      <protection locked="0"/>
    </xf>
    <xf numFmtId="0" fontId="2" fillId="0" borderId="3" xfId="0" applyFont="1" applyBorder="1" applyProtection="1">
      <protection locked="0"/>
    </xf>
    <xf numFmtId="0" fontId="7" fillId="0" borderId="0" xfId="0" applyFont="1" applyBorder="1" applyAlignment="1">
      <alignment horizontal="center"/>
    </xf>
    <xf numFmtId="0" fontId="7" fillId="2" borderId="0" xfId="0" applyFont="1" applyFill="1" applyBorder="1" applyAlignment="1" applyProtection="1">
      <alignment horizontal="center"/>
      <protection locked="0"/>
    </xf>
    <xf numFmtId="0" fontId="2" fillId="0" borderId="5" xfId="0" applyFont="1" applyBorder="1" applyProtection="1">
      <protection locked="0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4" xfId="0" applyFont="1" applyBorder="1" applyAlignment="1">
      <alignment horizontal="left"/>
    </xf>
    <xf numFmtId="3" fontId="2" fillId="0" borderId="0" xfId="0" applyNumberFormat="1" applyFont="1" applyBorder="1" applyAlignment="1">
      <alignment horizontal="center"/>
    </xf>
    <xf numFmtId="166" fontId="2" fillId="0" borderId="0" xfId="0" applyNumberFormat="1" applyFont="1" applyBorder="1" applyAlignment="1">
      <alignment horizontal="center"/>
    </xf>
    <xf numFmtId="3" fontId="2" fillId="2" borderId="0" xfId="0" applyNumberFormat="1" applyFont="1" applyFill="1" applyBorder="1" applyAlignment="1" applyProtection="1">
      <alignment horizontal="center"/>
      <protection locked="0"/>
    </xf>
    <xf numFmtId="2" fontId="2" fillId="0" borderId="0" xfId="0" applyNumberFormat="1" applyFont="1" applyFill="1" applyBorder="1" applyAlignment="1">
      <alignment horizontal="center"/>
    </xf>
    <xf numFmtId="166" fontId="2" fillId="0" borderId="0" xfId="0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165" fontId="2" fillId="2" borderId="0" xfId="0" applyNumberFormat="1" applyFont="1" applyFill="1" applyBorder="1" applyAlignment="1" applyProtection="1">
      <alignment horizontal="center"/>
      <protection locked="0"/>
    </xf>
    <xf numFmtId="0" fontId="2" fillId="0" borderId="4" xfId="0" applyFont="1" applyBorder="1" applyProtection="1">
      <protection locked="0"/>
    </xf>
    <xf numFmtId="0" fontId="2" fillId="0" borderId="0" xfId="0" applyFont="1" applyFill="1" applyBorder="1" applyProtection="1">
      <protection locked="0"/>
    </xf>
    <xf numFmtId="9" fontId="2" fillId="0" borderId="0" xfId="0" applyNumberFormat="1" applyFont="1" applyFill="1" applyBorder="1" applyAlignment="1">
      <alignment horizontal="center"/>
    </xf>
    <xf numFmtId="7" fontId="2" fillId="0" borderId="0" xfId="0" applyNumberFormat="1" applyFont="1" applyBorder="1" applyAlignment="1">
      <alignment horizontal="center"/>
    </xf>
    <xf numFmtId="7" fontId="2" fillId="2" borderId="0" xfId="0" applyNumberFormat="1" applyFont="1" applyFill="1" applyBorder="1" applyAlignment="1" applyProtection="1">
      <alignment horizontal="center"/>
      <protection locked="0"/>
    </xf>
    <xf numFmtId="167" fontId="2" fillId="0" borderId="0" xfId="0" applyNumberFormat="1" applyFont="1" applyFill="1" applyBorder="1" applyAlignment="1">
      <alignment horizontal="center"/>
    </xf>
    <xf numFmtId="167" fontId="2" fillId="2" borderId="0" xfId="0" applyNumberFormat="1" applyFont="1" applyFill="1" applyBorder="1" applyAlignment="1" applyProtection="1">
      <alignment horizontal="center"/>
      <protection locked="0"/>
    </xf>
    <xf numFmtId="166" fontId="2" fillId="2" borderId="0" xfId="0" applyNumberFormat="1" applyFont="1" applyFill="1" applyBorder="1" applyAlignment="1" applyProtection="1">
      <alignment horizontal="center"/>
      <protection locked="0"/>
    </xf>
    <xf numFmtId="167" fontId="2" fillId="0" borderId="0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0" fontId="2" fillId="0" borderId="0" xfId="0" applyFont="1" applyBorder="1" applyProtection="1">
      <protection locked="0"/>
    </xf>
    <xf numFmtId="0" fontId="2" fillId="0" borderId="0" xfId="0" applyFont="1" applyBorder="1" applyAlignment="1" applyProtection="1">
      <alignment horizontal="center"/>
      <protection locked="0"/>
    </xf>
    <xf numFmtId="9" fontId="2" fillId="0" borderId="0" xfId="0" applyNumberFormat="1" applyFont="1" applyBorder="1" applyAlignment="1">
      <alignment horizontal="center"/>
    </xf>
    <xf numFmtId="9" fontId="2" fillId="2" borderId="0" xfId="0" applyNumberFormat="1" applyFont="1" applyFill="1" applyBorder="1" applyAlignment="1" applyProtection="1">
      <alignment horizontal="center"/>
      <protection locked="0"/>
    </xf>
    <xf numFmtId="165" fontId="2" fillId="0" borderId="0" xfId="0" applyNumberFormat="1" applyFont="1" applyBorder="1" applyAlignment="1">
      <alignment horizontal="center"/>
    </xf>
    <xf numFmtId="168" fontId="2" fillId="2" borderId="0" xfId="0" applyNumberFormat="1" applyFont="1" applyFill="1" applyBorder="1" applyAlignment="1" applyProtection="1">
      <alignment horizontal="center"/>
      <protection locked="0"/>
    </xf>
    <xf numFmtId="0" fontId="2" fillId="0" borderId="4" xfId="0" applyFont="1" applyFill="1" applyBorder="1"/>
    <xf numFmtId="10" fontId="2" fillId="2" borderId="0" xfId="0" applyNumberFormat="1" applyFont="1" applyFill="1" applyBorder="1" applyAlignment="1" applyProtection="1">
      <alignment horizontal="center"/>
      <protection locked="0"/>
    </xf>
    <xf numFmtId="10" fontId="2" fillId="0" borderId="7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10" fontId="2" fillId="2" borderId="7" xfId="0" applyNumberFormat="1" applyFont="1" applyFill="1" applyBorder="1" applyAlignment="1" applyProtection="1">
      <alignment horizontal="center"/>
      <protection locked="0"/>
    </xf>
    <xf numFmtId="0" fontId="2" fillId="0" borderId="8" xfId="0" applyFont="1" applyBorder="1" applyProtection="1">
      <protection locked="0"/>
    </xf>
    <xf numFmtId="0" fontId="2" fillId="0" borderId="2" xfId="0" applyFont="1" applyBorder="1" applyAlignment="1">
      <alignment horizontal="right"/>
    </xf>
    <xf numFmtId="0" fontId="2" fillId="0" borderId="0" xfId="0" applyFont="1" applyBorder="1" applyAlignment="1" applyProtection="1">
      <alignment horizontal="right"/>
      <protection locked="0"/>
    </xf>
    <xf numFmtId="0" fontId="2" fillId="3" borderId="4" xfId="0" applyFont="1" applyFill="1" applyBorder="1" applyProtection="1">
      <protection locked="0"/>
    </xf>
    <xf numFmtId="3" fontId="2" fillId="3" borderId="0" xfId="0" applyNumberFormat="1" applyFont="1" applyFill="1" applyBorder="1" applyProtection="1">
      <protection locked="0"/>
    </xf>
    <xf numFmtId="0" fontId="2" fillId="3" borderId="6" xfId="0" applyFont="1" applyFill="1" applyBorder="1" applyProtection="1">
      <protection locked="0"/>
    </xf>
    <xf numFmtId="3" fontId="2" fillId="3" borderId="7" xfId="0" applyNumberFormat="1" applyFont="1" applyFill="1" applyBorder="1" applyProtection="1">
      <protection locked="0"/>
    </xf>
    <xf numFmtId="0" fontId="2" fillId="0" borderId="7" xfId="0" applyFont="1" applyBorder="1" applyProtection="1">
      <protection locked="0"/>
    </xf>
    <xf numFmtId="10" fontId="2" fillId="0" borderId="2" xfId="0" applyNumberFormat="1" applyFont="1" applyBorder="1"/>
    <xf numFmtId="9" fontId="2" fillId="0" borderId="3" xfId="0" applyNumberFormat="1" applyFont="1" applyBorder="1"/>
    <xf numFmtId="0" fontId="2" fillId="0" borderId="6" xfId="0" applyFont="1" applyBorder="1" applyProtection="1">
      <protection locked="0"/>
    </xf>
    <xf numFmtId="0" fontId="7" fillId="0" borderId="1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2" fillId="0" borderId="0" xfId="0" applyFont="1" applyProtection="1">
      <protection locked="0"/>
    </xf>
    <xf numFmtId="0" fontId="8" fillId="4" borderId="0" xfId="4" applyFont="1" applyFill="1" applyAlignment="1" applyProtection="1">
      <alignment horizontal="centerContinuous"/>
    </xf>
    <xf numFmtId="0" fontId="7" fillId="4" borderId="0" xfId="4" applyFont="1" applyFill="1" applyAlignment="1" applyProtection="1">
      <alignment horizontal="centerContinuous"/>
    </xf>
    <xf numFmtId="0" fontId="2" fillId="4" borderId="0" xfId="4" applyFont="1" applyFill="1" applyAlignment="1" applyProtection="1">
      <alignment horizontal="centerContinuous"/>
    </xf>
    <xf numFmtId="0" fontId="2" fillId="4" borderId="0" xfId="4" applyFont="1" applyFill="1" applyProtection="1"/>
    <xf numFmtId="0" fontId="9" fillId="4" borderId="0" xfId="4" applyFont="1" applyFill="1" applyAlignment="1" applyProtection="1">
      <alignment horizontal="centerContinuous"/>
    </xf>
    <xf numFmtId="0" fontId="10" fillId="4" borderId="0" xfId="4" applyFont="1" applyFill="1" applyAlignment="1" applyProtection="1">
      <alignment horizontal="left"/>
    </xf>
    <xf numFmtId="0" fontId="7" fillId="4" borderId="0" xfId="4" applyFont="1" applyFill="1" applyBorder="1" applyAlignment="1" applyProtection="1">
      <alignment horizontal="centerContinuous"/>
    </xf>
    <xf numFmtId="2" fontId="11" fillId="4" borderId="7" xfId="4" applyNumberFormat="1" applyFont="1" applyFill="1" applyBorder="1" applyAlignment="1" applyProtection="1">
      <alignment horizontal="left"/>
    </xf>
    <xf numFmtId="14" fontId="12" fillId="4" borderId="7" xfId="4" applyNumberFormat="1" applyFont="1" applyFill="1" applyBorder="1" applyProtection="1"/>
    <xf numFmtId="0" fontId="2" fillId="4" borderId="7" xfId="4" applyFont="1" applyFill="1" applyBorder="1" applyProtection="1"/>
    <xf numFmtId="14" fontId="12" fillId="4" borderId="7" xfId="4" applyNumberFormat="1" applyFont="1" applyFill="1" applyBorder="1" applyAlignment="1" applyProtection="1">
      <alignment horizontal="left"/>
    </xf>
    <xf numFmtId="0" fontId="2" fillId="4" borderId="0" xfId="4" applyFont="1" applyFill="1" applyBorder="1" applyAlignment="1" applyProtection="1">
      <alignment horizontal="center"/>
    </xf>
    <xf numFmtId="14" fontId="12" fillId="0" borderId="7" xfId="5" quotePrefix="1" applyNumberFormat="1" applyFont="1" applyBorder="1" applyAlignment="1" applyProtection="1">
      <alignment horizontal="left"/>
    </xf>
    <xf numFmtId="0" fontId="12" fillId="4" borderId="0" xfId="4" applyFont="1" applyFill="1" applyBorder="1" applyProtection="1"/>
    <xf numFmtId="166" fontId="12" fillId="4" borderId="0" xfId="3" applyNumberFormat="1" applyFont="1" applyFill="1" applyBorder="1" applyAlignment="1" applyProtection="1">
      <alignment horizontal="left"/>
    </xf>
    <xf numFmtId="14" fontId="12" fillId="4" borderId="7" xfId="4" applyNumberFormat="1" applyFont="1" applyFill="1" applyBorder="1" applyAlignment="1" applyProtection="1">
      <alignment horizontal="left"/>
      <protection locked="0"/>
    </xf>
    <xf numFmtId="0" fontId="12" fillId="4" borderId="7" xfId="4" applyFont="1" applyFill="1" applyBorder="1" applyProtection="1"/>
    <xf numFmtId="0" fontId="6" fillId="4" borderId="0" xfId="4" applyFont="1" applyFill="1" applyBorder="1" applyProtection="1"/>
    <xf numFmtId="0" fontId="12" fillId="4" borderId="9" xfId="4" applyFont="1" applyFill="1" applyBorder="1" applyAlignment="1" applyProtection="1">
      <alignment horizontal="center"/>
    </xf>
    <xf numFmtId="0" fontId="12" fillId="4" borderId="9" xfId="4" applyFont="1" applyFill="1" applyBorder="1" applyProtection="1"/>
    <xf numFmtId="0" fontId="12" fillId="4" borderId="0" xfId="4" quotePrefix="1" applyFont="1" applyFill="1" applyBorder="1" applyProtection="1"/>
    <xf numFmtId="1" fontId="12" fillId="4" borderId="0" xfId="4" applyNumberFormat="1" applyFont="1" applyFill="1" applyBorder="1" applyAlignment="1" applyProtection="1">
      <alignment horizontal="left"/>
    </xf>
    <xf numFmtId="0" fontId="2" fillId="4" borderId="0" xfId="4" applyFont="1" applyFill="1" applyBorder="1" applyProtection="1"/>
    <xf numFmtId="22" fontId="2" fillId="4" borderId="0" xfId="4" applyNumberFormat="1" applyFont="1" applyFill="1" applyBorder="1" applyProtection="1"/>
    <xf numFmtId="0" fontId="12" fillId="4" borderId="7" xfId="4" quotePrefix="1" applyNumberFormat="1" applyFont="1" applyFill="1" applyBorder="1" applyAlignment="1" applyProtection="1">
      <alignment horizontal="center"/>
    </xf>
    <xf numFmtId="0" fontId="12" fillId="4" borderId="0" xfId="4" applyFont="1" applyFill="1" applyProtection="1"/>
    <xf numFmtId="0" fontId="12" fillId="4" borderId="0" xfId="4" quotePrefix="1" applyFont="1" applyFill="1" applyProtection="1"/>
    <xf numFmtId="10" fontId="12" fillId="4" borderId="9" xfId="3" applyNumberFormat="1" applyFont="1" applyFill="1" applyBorder="1" applyAlignment="1" applyProtection="1">
      <alignment horizontal="left"/>
    </xf>
    <xf numFmtId="166" fontId="2" fillId="4" borderId="0" xfId="3" applyNumberFormat="1" applyFont="1" applyFill="1" applyBorder="1" applyAlignment="1" applyProtection="1">
      <alignment horizontal="center"/>
    </xf>
    <xf numFmtId="0" fontId="12" fillId="4" borderId="7" xfId="4" quotePrefix="1" applyFont="1" applyFill="1" applyBorder="1" applyAlignment="1" applyProtection="1">
      <alignment horizontal="center"/>
    </xf>
    <xf numFmtId="0" fontId="12" fillId="4" borderId="7" xfId="4" applyFont="1" applyFill="1" applyBorder="1" applyProtection="1">
      <protection locked="0"/>
    </xf>
    <xf numFmtId="0" fontId="7" fillId="4" borderId="0" xfId="4" applyFont="1" applyFill="1" applyProtection="1"/>
    <xf numFmtId="0" fontId="12" fillId="4" borderId="7" xfId="4" quotePrefix="1" applyFont="1" applyFill="1" applyBorder="1" applyProtection="1"/>
    <xf numFmtId="10" fontId="12" fillId="0" borderId="7" xfId="4" applyNumberFormat="1" applyFont="1" applyFill="1" applyBorder="1" applyAlignment="1" applyProtection="1">
      <alignment horizontal="left"/>
    </xf>
    <xf numFmtId="0" fontId="2" fillId="4" borderId="0" xfId="4" applyFont="1" applyFill="1" applyAlignment="1" applyProtection="1">
      <alignment horizontal="left"/>
    </xf>
    <xf numFmtId="0" fontId="2" fillId="4" borderId="0" xfId="4" applyFont="1" applyFill="1" applyAlignment="1" applyProtection="1">
      <alignment horizontal="right"/>
    </xf>
    <xf numFmtId="1" fontId="12" fillId="4" borderId="7" xfId="4" applyNumberFormat="1" applyFont="1" applyFill="1" applyBorder="1" applyAlignment="1" applyProtection="1">
      <alignment horizontal="center"/>
    </xf>
    <xf numFmtId="0" fontId="2" fillId="4" borderId="10" xfId="4" applyFont="1" applyFill="1" applyBorder="1" applyProtection="1"/>
    <xf numFmtId="169" fontId="2" fillId="4" borderId="10" xfId="4" applyNumberFormat="1" applyFont="1" applyFill="1" applyBorder="1" applyProtection="1"/>
    <xf numFmtId="2" fontId="2" fillId="4" borderId="10" xfId="4" applyNumberFormat="1" applyFont="1" applyFill="1" applyBorder="1" applyAlignment="1" applyProtection="1">
      <alignment horizontal="left"/>
    </xf>
    <xf numFmtId="0" fontId="5" fillId="4" borderId="0" xfId="4" applyFont="1" applyFill="1" applyProtection="1"/>
    <xf numFmtId="0" fontId="2" fillId="4" borderId="0" xfId="0" applyFont="1" applyFill="1" applyBorder="1" applyAlignment="1">
      <alignment horizontal="center"/>
    </xf>
    <xf numFmtId="0" fontId="2" fillId="4" borderId="0" xfId="4" applyFont="1" applyFill="1" applyAlignment="1" applyProtection="1">
      <alignment horizontal="center"/>
    </xf>
    <xf numFmtId="0" fontId="12" fillId="4" borderId="0" xfId="4" applyFont="1" applyFill="1" applyAlignment="1" applyProtection="1">
      <alignment horizontal="right"/>
    </xf>
    <xf numFmtId="0" fontId="12" fillId="4" borderId="7" xfId="4" applyFont="1" applyFill="1" applyBorder="1" applyAlignment="1" applyProtection="1"/>
    <xf numFmtId="0" fontId="2" fillId="4" borderId="0" xfId="4" applyFont="1" applyFill="1" applyAlignment="1" applyProtection="1">
      <alignment horizontal="left" indent="1"/>
    </xf>
    <xf numFmtId="1" fontId="12" fillId="4" borderId="11" xfId="1" applyNumberFormat="1" applyFont="1" applyFill="1" applyBorder="1" applyProtection="1"/>
    <xf numFmtId="7" fontId="12" fillId="4" borderId="11" xfId="2" applyNumberFormat="1" applyFont="1" applyFill="1" applyBorder="1" applyProtection="1"/>
    <xf numFmtId="0" fontId="14" fillId="4" borderId="0" xfId="4" applyFont="1" applyFill="1" applyBorder="1" applyProtection="1"/>
    <xf numFmtId="1" fontId="12" fillId="4" borderId="9" xfId="4" applyNumberFormat="1" applyFont="1" applyFill="1" applyBorder="1" applyAlignment="1" applyProtection="1"/>
    <xf numFmtId="0" fontId="12" fillId="4" borderId="9" xfId="4" applyFont="1" applyFill="1" applyBorder="1" applyAlignment="1" applyProtection="1">
      <alignment horizontal="left"/>
    </xf>
    <xf numFmtId="0" fontId="2" fillId="4" borderId="9" xfId="4" applyFont="1" applyFill="1" applyBorder="1" applyProtection="1"/>
    <xf numFmtId="0" fontId="12" fillId="4" borderId="7" xfId="4" quotePrefix="1" applyFont="1" applyFill="1" applyBorder="1" applyAlignment="1" applyProtection="1">
      <alignment horizontal="left"/>
    </xf>
    <xf numFmtId="165" fontId="12" fillId="4" borderId="9" xfId="4" quotePrefix="1" applyNumberFormat="1" applyFont="1" applyFill="1" applyBorder="1" applyProtection="1"/>
    <xf numFmtId="0" fontId="12" fillId="4" borderId="9" xfId="4" quotePrefix="1" applyFont="1" applyFill="1" applyBorder="1" applyAlignment="1" applyProtection="1">
      <alignment horizontal="right"/>
    </xf>
    <xf numFmtId="165" fontId="12" fillId="4" borderId="9" xfId="4" quotePrefix="1" applyNumberFormat="1" applyFont="1" applyFill="1" applyBorder="1" applyAlignment="1" applyProtection="1">
      <alignment horizontal="center"/>
    </xf>
    <xf numFmtId="0" fontId="12" fillId="0" borderId="9" xfId="4" quotePrefix="1" applyFont="1" applyFill="1" applyBorder="1" applyAlignment="1" applyProtection="1">
      <alignment horizontal="left"/>
    </xf>
    <xf numFmtId="0" fontId="12" fillId="4" borderId="7" xfId="4" quotePrefix="1" applyFont="1" applyFill="1" applyBorder="1" applyAlignment="1" applyProtection="1">
      <alignment horizontal="left"/>
      <protection locked="0"/>
    </xf>
    <xf numFmtId="0" fontId="7" fillId="4" borderId="0" xfId="4" applyFont="1" applyFill="1" applyBorder="1" applyAlignment="1" applyProtection="1">
      <alignment horizontal="left" indent="1"/>
    </xf>
    <xf numFmtId="1" fontId="2" fillId="4" borderId="11" xfId="1" applyNumberFormat="1" applyFont="1" applyFill="1" applyBorder="1" applyProtection="1"/>
    <xf numFmtId="1" fontId="2" fillId="4" borderId="11" xfId="4" applyNumberFormat="1" applyFont="1" applyFill="1" applyBorder="1" applyProtection="1"/>
    <xf numFmtId="7" fontId="2" fillId="4" borderId="11" xfId="2" applyNumberFormat="1" applyFont="1" applyFill="1" applyBorder="1" applyProtection="1"/>
    <xf numFmtId="166" fontId="12" fillId="4" borderId="7" xfId="3" applyNumberFormat="1" applyFont="1" applyFill="1" applyBorder="1" applyProtection="1"/>
    <xf numFmtId="0" fontId="2" fillId="4" borderId="7" xfId="4" applyFont="1" applyFill="1" applyBorder="1" applyAlignment="1" applyProtection="1">
      <alignment horizontal="right"/>
    </xf>
    <xf numFmtId="2" fontId="12" fillId="4" borderId="7" xfId="4" quotePrefix="1" applyNumberFormat="1" applyFont="1" applyFill="1" applyBorder="1" applyAlignment="1" applyProtection="1">
      <alignment horizontal="left"/>
    </xf>
    <xf numFmtId="0" fontId="12" fillId="4" borderId="7" xfId="4" applyFont="1" applyFill="1" applyBorder="1" applyAlignment="1" applyProtection="1">
      <alignment horizontal="right"/>
    </xf>
    <xf numFmtId="0" fontId="7" fillId="4" borderId="0" xfId="4" applyFont="1" applyFill="1" applyAlignment="1" applyProtection="1">
      <alignment horizontal="left" indent="1"/>
    </xf>
    <xf numFmtId="0" fontId="7" fillId="4" borderId="0" xfId="4" applyFont="1" applyFill="1" applyBorder="1" applyAlignment="1" applyProtection="1"/>
    <xf numFmtId="0" fontId="7" fillId="4" borderId="0" xfId="4" applyFont="1" applyFill="1" applyBorder="1" applyAlignment="1" applyProtection="1">
      <alignment horizontal="center"/>
    </xf>
    <xf numFmtId="14" fontId="12" fillId="4" borderId="0" xfId="4" applyNumberFormat="1" applyFont="1" applyFill="1" applyBorder="1" applyProtection="1"/>
    <xf numFmtId="166" fontId="12" fillId="4" borderId="0" xfId="3" applyNumberFormat="1" applyFont="1" applyFill="1" applyBorder="1" applyProtection="1"/>
    <xf numFmtId="0" fontId="12" fillId="4" borderId="0" xfId="4" applyFont="1" applyFill="1" applyBorder="1" applyAlignment="1" applyProtection="1">
      <alignment horizontal="right"/>
    </xf>
    <xf numFmtId="0" fontId="7" fillId="4" borderId="0" xfId="4" applyFont="1" applyFill="1" applyBorder="1" applyAlignment="1" applyProtection="1">
      <alignment horizontal="left"/>
    </xf>
    <xf numFmtId="170" fontId="2" fillId="4" borderId="0" xfId="1" applyNumberFormat="1" applyFont="1" applyFill="1" applyBorder="1" applyProtection="1"/>
    <xf numFmtId="1" fontId="2" fillId="4" borderId="0" xfId="4" applyNumberFormat="1" applyFont="1" applyFill="1" applyBorder="1" applyProtection="1"/>
    <xf numFmtId="0" fontId="2" fillId="4" borderId="0" xfId="2" applyNumberFormat="1" applyFont="1" applyFill="1" applyBorder="1" applyAlignment="1" applyProtection="1">
      <alignment horizontal="right"/>
    </xf>
    <xf numFmtId="165" fontId="2" fillId="4" borderId="0" xfId="4" applyNumberFormat="1" applyFont="1" applyFill="1" applyBorder="1" applyProtection="1"/>
    <xf numFmtId="14" fontId="15" fillId="4" borderId="0" xfId="4" applyNumberFormat="1" applyFont="1" applyFill="1" applyBorder="1" applyProtection="1"/>
    <xf numFmtId="0" fontId="2" fillId="4" borderId="0" xfId="4" applyNumberFormat="1" applyFont="1" applyFill="1" applyAlignment="1" applyProtection="1">
      <alignment horizontal="right"/>
    </xf>
    <xf numFmtId="0" fontId="2" fillId="4" borderId="0" xfId="4" applyNumberFormat="1" applyFont="1" applyFill="1" applyBorder="1" applyAlignment="1" applyProtection="1">
      <alignment horizontal="right"/>
    </xf>
    <xf numFmtId="7" fontId="2" fillId="4" borderId="0" xfId="2" applyNumberFormat="1" applyFont="1" applyFill="1" applyBorder="1" applyProtection="1"/>
    <xf numFmtId="0" fontId="16" fillId="4" borderId="0" xfId="4" applyFont="1" applyFill="1" applyBorder="1" applyProtection="1"/>
    <xf numFmtId="14" fontId="2" fillId="4" borderId="0" xfId="4" applyNumberFormat="1" applyFont="1" applyFill="1" applyBorder="1" applyProtection="1"/>
    <xf numFmtId="14" fontId="2" fillId="4" borderId="10" xfId="4" applyNumberFormat="1" applyFont="1" applyFill="1" applyBorder="1" applyProtection="1"/>
    <xf numFmtId="0" fontId="7" fillId="4" borderId="7" xfId="4" applyFont="1" applyFill="1" applyBorder="1" applyProtection="1"/>
    <xf numFmtId="2" fontId="2" fillId="4" borderId="7" xfId="4" applyNumberFormat="1" applyFont="1" applyFill="1" applyBorder="1" applyAlignment="1" applyProtection="1">
      <alignment horizontal="left"/>
    </xf>
    <xf numFmtId="0" fontId="7" fillId="4" borderId="7" xfId="4" applyFont="1" applyFill="1" applyBorder="1" applyAlignment="1" applyProtection="1">
      <alignment horizontal="right"/>
    </xf>
    <xf numFmtId="0" fontId="7" fillId="4" borderId="7" xfId="4" applyFont="1" applyFill="1" applyBorder="1" applyAlignment="1" applyProtection="1">
      <alignment horizontal="center"/>
    </xf>
    <xf numFmtId="0" fontId="2" fillId="0" borderId="9" xfId="5" quotePrefix="1" applyFont="1" applyBorder="1" applyAlignment="1" applyProtection="1"/>
    <xf numFmtId="0" fontId="7" fillId="4" borderId="9" xfId="4" applyFont="1" applyFill="1" applyBorder="1" applyProtection="1"/>
    <xf numFmtId="171" fontId="2" fillId="4" borderId="7" xfId="2" applyNumberFormat="1" applyFont="1" applyFill="1" applyBorder="1" applyProtection="1"/>
    <xf numFmtId="171" fontId="2" fillId="4" borderId="9" xfId="4" applyNumberFormat="1" applyFont="1" applyFill="1" applyBorder="1" applyProtection="1"/>
    <xf numFmtId="0" fontId="2" fillId="0" borderId="9" xfId="5" quotePrefix="1" applyFont="1" applyBorder="1" applyAlignment="1" applyProtection="1">
      <protection locked="0"/>
    </xf>
    <xf numFmtId="5" fontId="2" fillId="4" borderId="7" xfId="2" applyNumberFormat="1" applyFont="1" applyFill="1" applyBorder="1" applyProtection="1"/>
    <xf numFmtId="0" fontId="2" fillId="4" borderId="0" xfId="4" applyFont="1" applyFill="1" applyAlignment="1" applyProtection="1"/>
    <xf numFmtId="9" fontId="2" fillId="4" borderId="7" xfId="4" applyNumberFormat="1" applyFont="1" applyFill="1" applyBorder="1" applyProtection="1"/>
    <xf numFmtId="0" fontId="16" fillId="4" borderId="7" xfId="4" applyFont="1" applyFill="1" applyBorder="1" applyProtection="1"/>
    <xf numFmtId="0" fontId="2" fillId="4" borderId="9" xfId="4" applyFont="1" applyFill="1" applyBorder="1" applyAlignment="1" applyProtection="1"/>
    <xf numFmtId="14" fontId="2" fillId="4" borderId="9" xfId="4" applyNumberFormat="1" applyFont="1" applyFill="1" applyBorder="1" applyProtection="1"/>
    <xf numFmtId="0" fontId="6" fillId="4" borderId="9" xfId="4" applyFont="1" applyFill="1" applyBorder="1" applyProtection="1"/>
    <xf numFmtId="171" fontId="2" fillId="4" borderId="7" xfId="4" applyNumberFormat="1" applyFont="1" applyFill="1" applyBorder="1" applyProtection="1"/>
    <xf numFmtId="0" fontId="2" fillId="0" borderId="9" xfId="5" quotePrefix="1" applyFont="1" applyBorder="1" applyProtection="1">
      <protection locked="0"/>
    </xf>
    <xf numFmtId="0" fontId="17" fillId="4" borderId="9" xfId="5" quotePrefix="1" applyFont="1" applyFill="1" applyBorder="1"/>
    <xf numFmtId="0" fontId="2" fillId="0" borderId="9" xfId="5" quotePrefix="1" applyFont="1" applyBorder="1" applyProtection="1"/>
    <xf numFmtId="0" fontId="12" fillId="0" borderId="9" xfId="5" quotePrefix="1" applyFont="1" applyBorder="1" applyProtection="1"/>
    <xf numFmtId="2" fontId="2" fillId="4" borderId="0" xfId="4" applyNumberFormat="1" applyFont="1" applyFill="1" applyBorder="1" applyAlignment="1" applyProtection="1">
      <alignment horizontal="center"/>
    </xf>
    <xf numFmtId="0" fontId="2" fillId="4" borderId="9" xfId="4" applyFont="1" applyFill="1" applyBorder="1" applyProtection="1">
      <protection locked="0"/>
    </xf>
    <xf numFmtId="0" fontId="12" fillId="0" borderId="0" xfId="5" quotePrefix="1" applyFont="1" applyBorder="1" applyProtection="1"/>
    <xf numFmtId="1" fontId="2" fillId="4" borderId="0" xfId="4" applyNumberFormat="1" applyFont="1" applyFill="1" applyAlignment="1" applyProtection="1">
      <alignment horizontal="right"/>
    </xf>
    <xf numFmtId="1" fontId="2" fillId="4" borderId="0" xfId="4" applyNumberFormat="1" applyFont="1" applyFill="1" applyBorder="1" applyAlignment="1" applyProtection="1">
      <alignment horizontal="right"/>
    </xf>
    <xf numFmtId="1" fontId="2" fillId="4" borderId="0" xfId="4" applyNumberFormat="1" applyFont="1" applyFill="1" applyProtection="1"/>
    <xf numFmtId="3" fontId="2" fillId="4" borderId="0" xfId="4" applyNumberFormat="1" applyFont="1" applyFill="1" applyAlignment="1" applyProtection="1">
      <alignment horizontal="right"/>
    </xf>
    <xf numFmtId="3" fontId="2" fillId="4" borderId="0" xfId="4" applyNumberFormat="1" applyFont="1" applyFill="1" applyBorder="1" applyAlignment="1" applyProtection="1">
      <alignment horizontal="right"/>
    </xf>
    <xf numFmtId="4" fontId="2" fillId="4" borderId="0" xfId="4" applyNumberFormat="1" applyFont="1" applyFill="1" applyAlignment="1" applyProtection="1">
      <alignment horizontal="right"/>
    </xf>
    <xf numFmtId="1" fontId="2" fillId="4" borderId="0" xfId="4" applyNumberFormat="1" applyFont="1" applyFill="1" applyBorder="1" applyAlignment="1" applyProtection="1">
      <alignment horizontal="center"/>
    </xf>
    <xf numFmtId="1" fontId="14" fillId="4" borderId="0" xfId="4" applyNumberFormat="1" applyFont="1" applyFill="1" applyBorder="1" applyAlignment="1" applyProtection="1">
      <alignment horizontal="center"/>
    </xf>
    <xf numFmtId="3" fontId="2" fillId="4" borderId="0" xfId="4" applyNumberFormat="1" applyFont="1" applyFill="1" applyBorder="1" applyAlignment="1" applyProtection="1">
      <alignment horizontal="center"/>
    </xf>
    <xf numFmtId="0" fontId="2" fillId="5" borderId="0" xfId="0" applyFont="1" applyFill="1"/>
    <xf numFmtId="0" fontId="2" fillId="4" borderId="0" xfId="6" applyFont="1" applyFill="1"/>
    <xf numFmtId="0" fontId="6" fillId="4" borderId="0" xfId="0" applyFont="1" applyFill="1"/>
    <xf numFmtId="0" fontId="16" fillId="4" borderId="0" xfId="0" applyFont="1" applyFill="1"/>
    <xf numFmtId="0" fontId="2" fillId="4" borderId="0" xfId="0" applyFont="1" applyFill="1"/>
    <xf numFmtId="0" fontId="2" fillId="4" borderId="0" xfId="0" applyFont="1" applyFill="1" applyBorder="1"/>
    <xf numFmtId="0" fontId="7" fillId="4" borderId="0" xfId="0" applyFont="1" applyFill="1" applyBorder="1" applyAlignment="1">
      <alignment horizontal="left"/>
    </xf>
    <xf numFmtId="0" fontId="18" fillId="0" borderId="0" xfId="0" applyFont="1" applyFill="1" applyBorder="1" applyAlignment="1">
      <alignment horizontal="right" vertical="center" indent="1"/>
    </xf>
    <xf numFmtId="0" fontId="19" fillId="0" borderId="12" xfId="0" applyFont="1" applyBorder="1" applyAlignment="1">
      <alignment horizontal="left" vertical="center" wrapText="1" indent="1"/>
    </xf>
    <xf numFmtId="0" fontId="19" fillId="0" borderId="0" xfId="0" applyFont="1" applyBorder="1" applyAlignment="1">
      <alignment horizontal="left" vertical="center" wrapText="1" indent="1"/>
    </xf>
    <xf numFmtId="0" fontId="2" fillId="4" borderId="0" xfId="6" applyFont="1" applyFill="1" applyBorder="1"/>
    <xf numFmtId="0" fontId="20" fillId="4" borderId="0" xfId="0" applyFont="1" applyFill="1" applyBorder="1" applyAlignment="1">
      <alignment horizontal="left"/>
    </xf>
    <xf numFmtId="0" fontId="8" fillId="4" borderId="0" xfId="0" applyFont="1" applyFill="1" applyBorder="1" applyAlignment="1" applyProtection="1">
      <protection locked="0"/>
    </xf>
    <xf numFmtId="0" fontId="7" fillId="4" borderId="0" xfId="0" applyFont="1" applyFill="1" applyBorder="1" applyAlignment="1" applyProtection="1">
      <alignment horizontal="left"/>
      <protection locked="0"/>
    </xf>
    <xf numFmtId="0" fontId="21" fillId="4" borderId="0" xfId="0" applyFont="1" applyFill="1" applyBorder="1" applyAlignment="1">
      <alignment horizontal="left"/>
    </xf>
    <xf numFmtId="0" fontId="2" fillId="4" borderId="13" xfId="0" applyFont="1" applyFill="1" applyBorder="1"/>
    <xf numFmtId="0" fontId="7" fillId="4" borderId="14" xfId="0" applyFont="1" applyFill="1" applyBorder="1" applyAlignment="1">
      <alignment horizontal="right"/>
    </xf>
    <xf numFmtId="0" fontId="2" fillId="4" borderId="14" xfId="0" applyFont="1" applyFill="1" applyBorder="1" applyAlignment="1">
      <alignment horizontal="left"/>
    </xf>
    <xf numFmtId="0" fontId="7" fillId="4" borderId="14" xfId="0" applyFont="1" applyFill="1" applyBorder="1" applyAlignment="1">
      <alignment horizontal="left"/>
    </xf>
    <xf numFmtId="0" fontId="7" fillId="4" borderId="15" xfId="0" applyFont="1" applyFill="1" applyBorder="1" applyAlignment="1">
      <alignment horizontal="left"/>
    </xf>
    <xf numFmtId="0" fontId="2" fillId="4" borderId="16" xfId="0" applyFont="1" applyFill="1" applyBorder="1"/>
    <xf numFmtId="0" fontId="7" fillId="4" borderId="0" xfId="0" applyFont="1" applyFill="1" applyBorder="1" applyAlignment="1">
      <alignment horizontal="right"/>
    </xf>
    <xf numFmtId="0" fontId="2" fillId="4" borderId="0" xfId="0" applyFont="1" applyFill="1" applyBorder="1" applyAlignment="1">
      <alignment horizontal="left"/>
    </xf>
    <xf numFmtId="0" fontId="7" fillId="4" borderId="17" xfId="0" applyFont="1" applyFill="1" applyBorder="1" applyAlignment="1">
      <alignment horizontal="left"/>
    </xf>
    <xf numFmtId="0" fontId="2" fillId="4" borderId="18" xfId="0" applyFont="1" applyFill="1" applyBorder="1"/>
    <xf numFmtId="0" fontId="7" fillId="4" borderId="19" xfId="0" applyFont="1" applyFill="1" applyBorder="1" applyAlignment="1">
      <alignment horizontal="right" vertical="top"/>
    </xf>
    <xf numFmtId="0" fontId="2" fillId="4" borderId="19" xfId="0" applyFont="1" applyFill="1" applyBorder="1" applyAlignment="1">
      <alignment horizontal="left" vertical="top"/>
    </xf>
    <xf numFmtId="0" fontId="7" fillId="4" borderId="19" xfId="0" applyFont="1" applyFill="1" applyBorder="1" applyAlignment="1">
      <alignment horizontal="left"/>
    </xf>
    <xf numFmtId="0" fontId="7" fillId="4" borderId="20" xfId="0" applyFont="1" applyFill="1" applyBorder="1" applyAlignment="1">
      <alignment horizontal="left"/>
    </xf>
    <xf numFmtId="0" fontId="7" fillId="4" borderId="0" xfId="0" applyFont="1" applyFill="1" applyAlignment="1">
      <alignment horizontal="left"/>
    </xf>
    <xf numFmtId="0" fontId="22" fillId="4" borderId="0" xfId="0" applyFont="1" applyFill="1" applyAlignment="1">
      <alignment vertical="center"/>
    </xf>
    <xf numFmtId="0" fontId="5" fillId="4" borderId="0" xfId="0" applyFont="1" applyFill="1"/>
    <xf numFmtId="0" fontId="23" fillId="5" borderId="21" xfId="0" applyFont="1" applyFill="1" applyBorder="1" applyAlignment="1">
      <alignment horizontal="left" vertical="center"/>
    </xf>
    <xf numFmtId="0" fontId="23" fillId="5" borderId="22" xfId="0" applyFont="1" applyFill="1" applyBorder="1" applyAlignment="1">
      <alignment horizontal="center" vertical="center"/>
    </xf>
    <xf numFmtId="0" fontId="23" fillId="5" borderId="23" xfId="0" applyFont="1" applyFill="1" applyBorder="1" applyAlignment="1">
      <alignment horizontal="center" vertical="center"/>
    </xf>
    <xf numFmtId="0" fontId="7" fillId="4" borderId="0" xfId="6" applyFont="1" applyFill="1" applyBorder="1"/>
    <xf numFmtId="0" fontId="23" fillId="5" borderId="12" xfId="6" applyFont="1" applyFill="1" applyBorder="1" applyAlignment="1">
      <alignment horizontal="center" vertical="center" wrapText="1"/>
    </xf>
    <xf numFmtId="0" fontId="23" fillId="5" borderId="0" xfId="6" applyFont="1" applyFill="1" applyBorder="1" applyAlignment="1">
      <alignment horizontal="center" vertical="center" wrapText="1"/>
    </xf>
    <xf numFmtId="0" fontId="23" fillId="5" borderId="24" xfId="6" applyFont="1" applyFill="1" applyBorder="1" applyAlignment="1">
      <alignment horizontal="center" vertical="center" wrapText="1"/>
    </xf>
    <xf numFmtId="0" fontId="7" fillId="4" borderId="0" xfId="6" applyFont="1" applyFill="1"/>
    <xf numFmtId="0" fontId="2" fillId="4" borderId="12" xfId="6" applyFont="1" applyFill="1" applyBorder="1" applyAlignment="1">
      <alignment horizontal="center"/>
    </xf>
    <xf numFmtId="0" fontId="2" fillId="4" borderId="0" xfId="6" applyFont="1" applyFill="1" applyBorder="1" applyAlignment="1">
      <alignment horizontal="center"/>
    </xf>
    <xf numFmtId="0" fontId="2" fillId="4" borderId="24" xfId="6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24" xfId="0" applyFont="1" applyFill="1" applyBorder="1" applyAlignment="1">
      <alignment horizontal="center"/>
    </xf>
    <xf numFmtId="0" fontId="2" fillId="4" borderId="0" xfId="6" applyFont="1" applyFill="1" applyBorder="1" applyAlignment="1">
      <alignment vertical="center"/>
    </xf>
    <xf numFmtId="0" fontId="2" fillId="4" borderId="12" xfId="6" applyFont="1" applyFill="1" applyBorder="1" applyAlignment="1">
      <alignment horizontal="center" vertical="center"/>
    </xf>
    <xf numFmtId="0" fontId="2" fillId="4" borderId="0" xfId="6" applyFont="1" applyFill="1" applyBorder="1" applyAlignment="1">
      <alignment horizontal="center" vertical="center"/>
    </xf>
    <xf numFmtId="0" fontId="2" fillId="4" borderId="24" xfId="6" applyFont="1" applyFill="1" applyBorder="1" applyAlignment="1">
      <alignment horizontal="center" vertical="center"/>
    </xf>
    <xf numFmtId="0" fontId="7" fillId="4" borderId="0" xfId="6" applyFont="1" applyFill="1" applyBorder="1" applyAlignment="1"/>
    <xf numFmtId="0" fontId="7" fillId="4" borderId="0" xfId="6" applyFont="1" applyFill="1" applyBorder="1" applyAlignment="1">
      <alignment vertical="center"/>
    </xf>
    <xf numFmtId="0" fontId="23" fillId="6" borderId="12" xfId="6" applyFont="1" applyFill="1" applyBorder="1" applyAlignment="1">
      <alignment horizontal="center" vertical="center"/>
    </xf>
    <xf numFmtId="0" fontId="23" fillId="6" borderId="0" xfId="6" applyFont="1" applyFill="1" applyBorder="1" applyAlignment="1">
      <alignment horizontal="center" vertical="center"/>
    </xf>
    <xf numFmtId="0" fontId="23" fillId="6" borderId="24" xfId="6" applyFont="1" applyFill="1" applyBorder="1" applyAlignment="1">
      <alignment horizontal="center" vertical="center"/>
    </xf>
    <xf numFmtId="0" fontId="2" fillId="4" borderId="12" xfId="6" applyFont="1" applyFill="1" applyBorder="1" applyAlignment="1">
      <alignment horizontal="center" vertical="center" wrapText="1"/>
    </xf>
    <xf numFmtId="0" fontId="2" fillId="0" borderId="0" xfId="6" applyFont="1" applyBorder="1" applyAlignment="1">
      <alignment vertical="center" wrapText="1"/>
    </xf>
    <xf numFmtId="0" fontId="2" fillId="0" borderId="24" xfId="6" applyFont="1" applyBorder="1" applyAlignment="1">
      <alignment vertical="center" wrapText="1"/>
    </xf>
    <xf numFmtId="1" fontId="23" fillId="6" borderId="12" xfId="6" applyNumberFormat="1" applyFont="1" applyFill="1" applyBorder="1" applyAlignment="1"/>
    <xf numFmtId="1" fontId="23" fillId="6" borderId="0" xfId="6" applyNumberFormat="1" applyFont="1" applyFill="1" applyBorder="1" applyAlignment="1"/>
    <xf numFmtId="1" fontId="23" fillId="6" borderId="24" xfId="6" applyNumberFormat="1" applyFont="1" applyFill="1" applyBorder="1" applyAlignment="1"/>
    <xf numFmtId="1" fontId="2" fillId="4" borderId="12" xfId="6" applyNumberFormat="1" applyFont="1" applyFill="1" applyBorder="1" applyAlignment="1">
      <alignment horizontal="center"/>
    </xf>
    <xf numFmtId="0" fontId="2" fillId="0" borderId="0" xfId="6" applyFont="1" applyBorder="1"/>
    <xf numFmtId="0" fontId="2" fillId="0" borderId="24" xfId="6" applyFont="1" applyBorder="1"/>
    <xf numFmtId="1" fontId="2" fillId="4" borderId="0" xfId="6" applyNumberFormat="1" applyFont="1" applyFill="1" applyBorder="1" applyAlignment="1">
      <alignment horizontal="center"/>
    </xf>
    <xf numFmtId="1" fontId="2" fillId="4" borderId="24" xfId="6" applyNumberFormat="1" applyFont="1" applyFill="1" applyBorder="1" applyAlignment="1">
      <alignment horizontal="center"/>
    </xf>
    <xf numFmtId="1" fontId="2" fillId="4" borderId="12" xfId="6" applyNumberFormat="1" applyFont="1" applyFill="1" applyBorder="1" applyAlignment="1">
      <alignment horizontal="center" vertical="center"/>
    </xf>
    <xf numFmtId="1" fontId="2" fillId="4" borderId="0" xfId="6" applyNumberFormat="1" applyFont="1" applyFill="1" applyBorder="1" applyAlignment="1">
      <alignment horizontal="center" vertical="center"/>
    </xf>
    <xf numFmtId="1" fontId="2" fillId="4" borderId="24" xfId="6" applyNumberFormat="1" applyFont="1" applyFill="1" applyBorder="1" applyAlignment="1">
      <alignment horizontal="center" vertical="center"/>
    </xf>
    <xf numFmtId="1" fontId="23" fillId="6" borderId="12" xfId="6" applyNumberFormat="1" applyFont="1" applyFill="1" applyBorder="1" applyAlignment="1">
      <alignment horizontal="center" vertical="center"/>
    </xf>
    <xf numFmtId="1" fontId="23" fillId="6" borderId="0" xfId="6" applyNumberFormat="1" applyFont="1" applyFill="1" applyBorder="1" applyAlignment="1">
      <alignment horizontal="center" vertical="center"/>
    </xf>
    <xf numFmtId="1" fontId="23" fillId="6" borderId="24" xfId="6" applyNumberFormat="1" applyFont="1" applyFill="1" applyBorder="1" applyAlignment="1">
      <alignment horizontal="center" vertical="center"/>
    </xf>
    <xf numFmtId="0" fontId="23" fillId="6" borderId="12" xfId="0" applyFont="1" applyFill="1" applyBorder="1" applyAlignment="1">
      <alignment horizontal="center" vertical="center"/>
    </xf>
    <xf numFmtId="1" fontId="23" fillId="6" borderId="0" xfId="0" applyNumberFormat="1" applyFont="1" applyFill="1" applyBorder="1" applyAlignment="1">
      <alignment horizontal="center" vertical="center"/>
    </xf>
    <xf numFmtId="1" fontId="23" fillId="6" borderId="24" xfId="0" applyNumberFormat="1" applyFont="1" applyFill="1" applyBorder="1" applyAlignment="1">
      <alignment horizontal="center" vertical="center"/>
    </xf>
    <xf numFmtId="167" fontId="2" fillId="4" borderId="12" xfId="0" applyNumberFormat="1" applyFont="1" applyFill="1" applyBorder="1"/>
    <xf numFmtId="167" fontId="7" fillId="4" borderId="0" xfId="0" applyNumberFormat="1" applyFont="1" applyFill="1" applyBorder="1" applyAlignment="1">
      <alignment horizontal="center"/>
    </xf>
    <xf numFmtId="167" fontId="7" fillId="4" borderId="24" xfId="0" applyNumberFormat="1" applyFont="1" applyFill="1" applyBorder="1" applyAlignment="1">
      <alignment horizontal="center"/>
    </xf>
    <xf numFmtId="171" fontId="2" fillId="4" borderId="12" xfId="0" applyNumberFormat="1" applyFont="1" applyFill="1" applyBorder="1"/>
    <xf numFmtId="172" fontId="7" fillId="4" borderId="0" xfId="0" applyNumberFormat="1" applyFont="1" applyFill="1" applyBorder="1" applyAlignment="1">
      <alignment horizontal="center"/>
    </xf>
    <xf numFmtId="172" fontId="7" fillId="4" borderId="24" xfId="0" applyNumberFormat="1" applyFont="1" applyFill="1" applyBorder="1" applyAlignment="1">
      <alignment horizontal="center"/>
    </xf>
    <xf numFmtId="171" fontId="2" fillId="4" borderId="12" xfId="0" applyNumberFormat="1" applyFont="1" applyFill="1" applyBorder="1" applyAlignment="1">
      <alignment vertical="center"/>
    </xf>
    <xf numFmtId="171" fontId="7" fillId="4" borderId="0" xfId="0" applyNumberFormat="1" applyFont="1" applyFill="1" applyBorder="1" applyAlignment="1">
      <alignment horizontal="center" vertical="center"/>
    </xf>
    <xf numFmtId="171" fontId="7" fillId="4" borderId="24" xfId="0" applyNumberFormat="1" applyFont="1" applyFill="1" applyBorder="1" applyAlignment="1">
      <alignment horizontal="center" vertical="center"/>
    </xf>
    <xf numFmtId="0" fontId="7" fillId="4" borderId="0" xfId="0" applyFont="1" applyFill="1" applyBorder="1" applyAlignment="1">
      <alignment vertical="center"/>
    </xf>
    <xf numFmtId="166" fontId="7" fillId="4" borderId="25" xfId="0" applyNumberFormat="1" applyFont="1" applyFill="1" applyBorder="1" applyAlignment="1">
      <alignment horizontal="center" vertical="center"/>
    </xf>
    <xf numFmtId="166" fontId="7" fillId="4" borderId="26" xfId="0" applyNumberFormat="1" applyFont="1" applyFill="1" applyBorder="1" applyAlignment="1">
      <alignment horizontal="center" vertical="center"/>
    </xf>
    <xf numFmtId="166" fontId="7" fillId="4" borderId="27" xfId="0" applyNumberFormat="1" applyFont="1" applyFill="1" applyBorder="1" applyAlignment="1">
      <alignment horizontal="center" vertical="center"/>
    </xf>
    <xf numFmtId="0" fontId="24" fillId="4" borderId="0" xfId="5" applyFont="1" applyFill="1" applyAlignment="1">
      <alignment horizontal="left"/>
    </xf>
    <xf numFmtId="0" fontId="2" fillId="4" borderId="0" xfId="6" applyFont="1" applyFill="1" applyBorder="1" applyAlignment="1">
      <alignment horizontal="center"/>
    </xf>
    <xf numFmtId="0" fontId="2" fillId="4" borderId="0" xfId="5" applyFont="1" applyFill="1" applyAlignment="1">
      <alignment horizontal="left"/>
    </xf>
    <xf numFmtId="0" fontId="24" fillId="4" borderId="0" xfId="0" applyFont="1" applyFill="1"/>
    <xf numFmtId="0" fontId="25" fillId="4" borderId="0" xfId="5" applyFont="1" applyFill="1" applyAlignment="1">
      <alignment horizontal="left"/>
    </xf>
    <xf numFmtId="0" fontId="24" fillId="4" borderId="0" xfId="0" applyFont="1" applyFill="1" applyAlignment="1">
      <alignment vertical="center"/>
    </xf>
    <xf numFmtId="0" fontId="2" fillId="5" borderId="0" xfId="6" applyFont="1" applyFill="1"/>
    <xf numFmtId="0" fontId="7" fillId="4" borderId="0" xfId="6" applyFont="1" applyFill="1" applyBorder="1" applyAlignment="1">
      <alignment horizontal="left"/>
    </xf>
    <xf numFmtId="0" fontId="18" fillId="0" borderId="0" xfId="6" applyFont="1" applyFill="1" applyBorder="1" applyAlignment="1">
      <alignment horizontal="right" vertical="center" indent="1"/>
    </xf>
    <xf numFmtId="0" fontId="19" fillId="0" borderId="12" xfId="6" applyFont="1" applyBorder="1" applyAlignment="1">
      <alignment horizontal="left" vertical="center" wrapText="1" indent="1"/>
    </xf>
    <xf numFmtId="0" fontId="19" fillId="0" borderId="0" xfId="6" applyFont="1" applyBorder="1" applyAlignment="1">
      <alignment horizontal="left" vertical="center" wrapText="1" indent="1"/>
    </xf>
    <xf numFmtId="0" fontId="20" fillId="4" borderId="0" xfId="6" applyFont="1" applyFill="1" applyBorder="1" applyAlignment="1">
      <alignment horizontal="left"/>
    </xf>
    <xf numFmtId="0" fontId="8" fillId="4" borderId="0" xfId="6" applyFont="1" applyFill="1" applyBorder="1" applyAlignment="1">
      <alignment vertical="center"/>
    </xf>
    <xf numFmtId="0" fontId="8" fillId="4" borderId="0" xfId="6" applyFont="1" applyFill="1" applyBorder="1" applyAlignment="1">
      <alignment vertical="center" wrapText="1"/>
    </xf>
    <xf numFmtId="0" fontId="22" fillId="0" borderId="0" xfId="6" applyFont="1" applyAlignment="1">
      <alignment vertical="center"/>
    </xf>
    <xf numFmtId="0" fontId="7" fillId="4" borderId="0" xfId="6" applyFont="1" applyFill="1" applyAlignment="1">
      <alignment horizontal="left"/>
    </xf>
    <xf numFmtId="0" fontId="23" fillId="4" borderId="0" xfId="0" applyFont="1" applyFill="1" applyBorder="1"/>
    <xf numFmtId="0" fontId="6" fillId="4" borderId="0" xfId="0" applyFont="1" applyFill="1" applyBorder="1"/>
    <xf numFmtId="0" fontId="23" fillId="4" borderId="12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center" vertical="center"/>
    </xf>
    <xf numFmtId="0" fontId="23" fillId="4" borderId="0" xfId="0" applyFont="1" applyFill="1" applyBorder="1" applyAlignment="1">
      <alignment horizontal="left" vertical="center"/>
    </xf>
    <xf numFmtId="0" fontId="7" fillId="4" borderId="28" xfId="6" applyFont="1" applyFill="1" applyBorder="1"/>
    <xf numFmtId="0" fontId="23" fillId="4" borderId="12" xfId="6" applyFont="1" applyFill="1" applyBorder="1" applyAlignment="1">
      <alignment horizontal="center" vertical="center" wrapText="1"/>
    </xf>
    <xf numFmtId="0" fontId="23" fillId="4" borderId="0" xfId="6" applyFont="1" applyFill="1" applyBorder="1" applyAlignment="1">
      <alignment horizontal="center" vertical="center" wrapText="1"/>
    </xf>
    <xf numFmtId="0" fontId="6" fillId="4" borderId="12" xfId="6" applyFont="1" applyFill="1" applyBorder="1" applyAlignment="1">
      <alignment horizontal="center"/>
    </xf>
    <xf numFmtId="0" fontId="6" fillId="4" borderId="0" xfId="6" applyFont="1" applyFill="1" applyBorder="1" applyAlignment="1">
      <alignment horizontal="center"/>
    </xf>
    <xf numFmtId="0" fontId="6" fillId="4" borderId="12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6" fillId="4" borderId="12" xfId="6" applyFont="1" applyFill="1" applyBorder="1" applyAlignment="1">
      <alignment horizontal="center" vertical="center"/>
    </xf>
    <xf numFmtId="0" fontId="6" fillId="4" borderId="0" xfId="6" applyFont="1" applyFill="1" applyBorder="1" applyAlignment="1">
      <alignment horizontal="center" vertical="center"/>
    </xf>
    <xf numFmtId="0" fontId="23" fillId="4" borderId="12" xfId="6" applyFont="1" applyFill="1" applyBorder="1" applyAlignment="1">
      <alignment horizontal="center" vertical="center"/>
    </xf>
    <xf numFmtId="0" fontId="23" fillId="4" borderId="0" xfId="6" applyFont="1" applyFill="1" applyBorder="1" applyAlignment="1">
      <alignment horizontal="center" vertical="center"/>
    </xf>
    <xf numFmtId="0" fontId="6" fillId="4" borderId="12" xfId="6" applyFont="1" applyFill="1" applyBorder="1" applyAlignment="1">
      <alignment horizontal="center" vertical="center" wrapText="1"/>
    </xf>
    <xf numFmtId="0" fontId="6" fillId="4" borderId="0" xfId="6" applyFont="1" applyFill="1" applyBorder="1" applyAlignment="1">
      <alignment vertical="center" wrapText="1"/>
    </xf>
    <xf numFmtId="0" fontId="6" fillId="4" borderId="0" xfId="6" applyFont="1" applyFill="1" applyBorder="1" applyAlignment="1">
      <alignment horizontal="center" vertical="center" wrapText="1"/>
    </xf>
    <xf numFmtId="1" fontId="23" fillId="4" borderId="12" xfId="6" applyNumberFormat="1" applyFont="1" applyFill="1" applyBorder="1" applyAlignment="1"/>
    <xf numFmtId="1" fontId="23" fillId="4" borderId="0" xfId="6" applyNumberFormat="1" applyFont="1" applyFill="1" applyBorder="1" applyAlignment="1"/>
    <xf numFmtId="1" fontId="6" fillId="4" borderId="12" xfId="6" applyNumberFormat="1" applyFont="1" applyFill="1" applyBorder="1" applyAlignment="1">
      <alignment horizontal="center"/>
    </xf>
    <xf numFmtId="0" fontId="6" fillId="4" borderId="0" xfId="6" applyFont="1" applyFill="1" applyBorder="1"/>
    <xf numFmtId="1" fontId="6" fillId="4" borderId="0" xfId="6" applyNumberFormat="1" applyFont="1" applyFill="1" applyBorder="1" applyAlignment="1">
      <alignment horizontal="center"/>
    </xf>
    <xf numFmtId="1" fontId="6" fillId="4" borderId="12" xfId="6" applyNumberFormat="1" applyFont="1" applyFill="1" applyBorder="1" applyAlignment="1">
      <alignment horizontal="center" vertical="center"/>
    </xf>
    <xf numFmtId="1" fontId="6" fillId="4" borderId="0" xfId="6" applyNumberFormat="1" applyFont="1" applyFill="1" applyBorder="1" applyAlignment="1">
      <alignment horizontal="center" vertical="center"/>
    </xf>
    <xf numFmtId="1" fontId="23" fillId="4" borderId="12" xfId="6" applyNumberFormat="1" applyFont="1" applyFill="1" applyBorder="1" applyAlignment="1">
      <alignment horizontal="center" vertical="center"/>
    </xf>
    <xf numFmtId="1" fontId="23" fillId="4" borderId="0" xfId="6" applyNumberFormat="1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1" fontId="23" fillId="4" borderId="0" xfId="0" applyNumberFormat="1" applyFont="1" applyFill="1" applyBorder="1" applyAlignment="1">
      <alignment horizontal="center" vertical="center"/>
    </xf>
    <xf numFmtId="167" fontId="6" fillId="4" borderId="12" xfId="0" applyNumberFormat="1" applyFont="1" applyFill="1" applyBorder="1"/>
    <xf numFmtId="167" fontId="23" fillId="4" borderId="0" xfId="0" applyNumberFormat="1" applyFont="1" applyFill="1" applyBorder="1" applyAlignment="1">
      <alignment horizontal="center"/>
    </xf>
    <xf numFmtId="167" fontId="6" fillId="4" borderId="0" xfId="0" applyNumberFormat="1" applyFont="1" applyFill="1" applyBorder="1"/>
    <xf numFmtId="171" fontId="6" fillId="4" borderId="12" xfId="0" applyNumberFormat="1" applyFont="1" applyFill="1" applyBorder="1"/>
    <xf numFmtId="172" fontId="23" fillId="4" borderId="0" xfId="0" applyNumberFormat="1" applyFont="1" applyFill="1" applyBorder="1" applyAlignment="1">
      <alignment horizontal="center"/>
    </xf>
    <xf numFmtId="171" fontId="6" fillId="4" borderId="0" xfId="0" applyNumberFormat="1" applyFont="1" applyFill="1" applyBorder="1"/>
    <xf numFmtId="171" fontId="6" fillId="4" borderId="12" xfId="0" applyNumberFormat="1" applyFont="1" applyFill="1" applyBorder="1" applyAlignment="1">
      <alignment vertical="center"/>
    </xf>
    <xf numFmtId="171" fontId="23" fillId="4" borderId="0" xfId="0" applyNumberFormat="1" applyFont="1" applyFill="1" applyBorder="1" applyAlignment="1">
      <alignment horizontal="center" vertical="center"/>
    </xf>
    <xf numFmtId="171" fontId="6" fillId="4" borderId="0" xfId="0" applyNumberFormat="1" applyFont="1" applyFill="1" applyBorder="1" applyAlignment="1">
      <alignment vertical="center"/>
    </xf>
    <xf numFmtId="166" fontId="23" fillId="4" borderId="12" xfId="0" applyNumberFormat="1" applyFont="1" applyFill="1" applyBorder="1" applyAlignment="1">
      <alignment horizontal="center" vertical="center"/>
    </xf>
    <xf numFmtId="166" fontId="23" fillId="4" borderId="0" xfId="0" applyNumberFormat="1" applyFont="1" applyFill="1" applyBorder="1" applyAlignment="1">
      <alignment horizontal="center" vertical="center"/>
    </xf>
    <xf numFmtId="0" fontId="6" fillId="4" borderId="0" xfId="6" applyFont="1" applyFill="1" applyBorder="1"/>
    <xf numFmtId="0" fontId="24" fillId="4" borderId="0" xfId="6" applyFont="1" applyFill="1" applyBorder="1"/>
    <xf numFmtId="0" fontId="25" fillId="4" borderId="0" xfId="6" applyFont="1" applyFill="1" applyBorder="1"/>
    <xf numFmtId="0" fontId="6" fillId="4" borderId="0" xfId="6" applyFont="1" applyFill="1" applyBorder="1" applyAlignment="1">
      <alignment horizontal="center"/>
    </xf>
    <xf numFmtId="0" fontId="7" fillId="4" borderId="0" xfId="6" applyFont="1" applyFill="1" applyBorder="1" applyAlignment="1">
      <alignment vertical="center" wrapText="1"/>
    </xf>
    <xf numFmtId="0" fontId="22" fillId="4" borderId="0" xfId="6" applyFont="1" applyFill="1"/>
    <xf numFmtId="0" fontId="24" fillId="4" borderId="0" xfId="6" applyFont="1" applyFill="1"/>
    <xf numFmtId="0" fontId="23" fillId="5" borderId="0" xfId="6" applyFont="1" applyFill="1" applyAlignment="1">
      <alignment horizontal="center" vertical="center"/>
    </xf>
    <xf numFmtId="0" fontId="2" fillId="4" borderId="0" xfId="6" applyFont="1" applyFill="1" applyAlignment="1">
      <alignment wrapText="1"/>
    </xf>
    <xf numFmtId="0" fontId="26" fillId="4" borderId="0" xfId="6" quotePrefix="1" applyFont="1" applyFill="1" applyBorder="1"/>
    <xf numFmtId="0" fontId="2" fillId="7" borderId="0" xfId="6" applyFont="1" applyFill="1" applyAlignment="1">
      <alignment horizontal="left"/>
    </xf>
    <xf numFmtId="0" fontId="2" fillId="7" borderId="0" xfId="6" quotePrefix="1" applyFont="1" applyFill="1" applyAlignment="1">
      <alignment horizontal="left" vertical="center"/>
    </xf>
    <xf numFmtId="0" fontId="2" fillId="7" borderId="0" xfId="6" applyFont="1" applyFill="1" applyAlignment="1">
      <alignment horizontal="left" vertical="center"/>
    </xf>
    <xf numFmtId="0" fontId="2" fillId="4" borderId="0" xfId="0" applyFont="1" applyFill="1" applyAlignment="1">
      <alignment horizontal="left"/>
    </xf>
    <xf numFmtId="14" fontId="2" fillId="4" borderId="0" xfId="6" applyNumberFormat="1" applyFont="1" applyFill="1"/>
    <xf numFmtId="0" fontId="2" fillId="7" borderId="0" xfId="6" quotePrefix="1" applyFont="1" applyFill="1" applyAlignment="1">
      <alignment vertical="center"/>
    </xf>
    <xf numFmtId="0" fontId="2" fillId="7" borderId="0" xfId="6" quotePrefix="1" applyFont="1" applyFill="1"/>
    <xf numFmtId="167" fontId="2" fillId="4" borderId="0" xfId="2" quotePrefix="1" applyNumberFormat="1" applyFont="1" applyFill="1" applyBorder="1" applyAlignment="1" applyProtection="1">
      <alignment horizontal="left"/>
    </xf>
    <xf numFmtId="0" fontId="2" fillId="4" borderId="0" xfId="0" quotePrefix="1" applyFont="1" applyFill="1"/>
    <xf numFmtId="0" fontId="2" fillId="4" borderId="0" xfId="6" quotePrefix="1" applyFont="1" applyFill="1"/>
    <xf numFmtId="0" fontId="2" fillId="4" borderId="0" xfId="4" quotePrefix="1" applyFont="1" applyFill="1" applyBorder="1" applyProtection="1"/>
    <xf numFmtId="0" fontId="24" fillId="4" borderId="0" xfId="5" applyFont="1" applyFill="1"/>
    <xf numFmtId="0" fontId="19" fillId="0" borderId="12" xfId="0" applyFont="1" applyBorder="1" applyAlignment="1">
      <alignment horizontal="left" vertical="center" indent="1"/>
    </xf>
    <xf numFmtId="0" fontId="20" fillId="4" borderId="0" xfId="5" applyFont="1" applyFill="1" applyBorder="1"/>
    <xf numFmtId="0" fontId="2" fillId="4" borderId="0" xfId="5" applyFont="1" applyFill="1" applyBorder="1"/>
    <xf numFmtId="0" fontId="27" fillId="4" borderId="0" xfId="0" applyFont="1" applyFill="1" applyBorder="1" applyAlignment="1">
      <alignment horizontal="left"/>
    </xf>
    <xf numFmtId="0" fontId="27" fillId="4" borderId="0" xfId="0" applyFont="1" applyFill="1" applyBorder="1"/>
    <xf numFmtId="0" fontId="27" fillId="4" borderId="0" xfId="0" applyFont="1" applyFill="1" applyBorder="1" applyAlignment="1">
      <alignment horizontal="right"/>
    </xf>
    <xf numFmtId="0" fontId="8" fillId="4" borderId="0" xfId="0" applyFont="1" applyFill="1" applyBorder="1" applyAlignment="1">
      <alignment horizontal="right"/>
    </xf>
    <xf numFmtId="0" fontId="8" fillId="4" borderId="0" xfId="5" applyFont="1" applyFill="1" applyBorder="1"/>
    <xf numFmtId="0" fontId="2" fillId="4" borderId="0" xfId="5" applyFont="1" applyFill="1"/>
    <xf numFmtId="0" fontId="2" fillId="4" borderId="0" xfId="0" applyFont="1" applyFill="1" applyBorder="1" applyAlignment="1">
      <alignment horizontal="right"/>
    </xf>
    <xf numFmtId="167" fontId="2" fillId="4" borderId="0" xfId="5" applyNumberFormat="1" applyFont="1" applyFill="1" applyBorder="1"/>
    <xf numFmtId="0" fontId="28" fillId="4" borderId="0" xfId="0" applyFont="1" applyFill="1" applyBorder="1" applyAlignment="1">
      <alignment horizontal="left"/>
    </xf>
    <xf numFmtId="0" fontId="29" fillId="4" borderId="13" xfId="0" applyFont="1" applyFill="1" applyBorder="1"/>
    <xf numFmtId="0" fontId="29" fillId="4" borderId="14" xfId="0" applyFont="1" applyFill="1" applyBorder="1"/>
    <xf numFmtId="0" fontId="7" fillId="4" borderId="13" xfId="0" applyFont="1" applyFill="1" applyBorder="1" applyAlignment="1">
      <alignment horizontal="right"/>
    </xf>
    <xf numFmtId="0" fontId="8" fillId="4" borderId="14" xfId="0" applyFont="1" applyFill="1" applyBorder="1" applyAlignment="1">
      <alignment horizontal="left"/>
    </xf>
    <xf numFmtId="0" fontId="8" fillId="4" borderId="15" xfId="0" applyFont="1" applyFill="1" applyBorder="1" applyAlignment="1">
      <alignment horizontal="left"/>
    </xf>
    <xf numFmtId="0" fontId="29" fillId="4" borderId="0" xfId="0" applyFont="1" applyFill="1"/>
    <xf numFmtId="0" fontId="29" fillId="4" borderId="16" xfId="0" applyFont="1" applyFill="1" applyBorder="1"/>
    <xf numFmtId="0" fontId="29" fillId="4" borderId="0" xfId="0" applyFont="1" applyFill="1" applyBorder="1"/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left" vertical="top"/>
    </xf>
    <xf numFmtId="0" fontId="8" fillId="4" borderId="0" xfId="0" applyFont="1" applyFill="1" applyBorder="1" applyAlignment="1">
      <alignment horizontal="left"/>
    </xf>
    <xf numFmtId="0" fontId="29" fillId="4" borderId="18" xfId="0" applyFont="1" applyFill="1" applyBorder="1"/>
    <xf numFmtId="0" fontId="29" fillId="4" borderId="19" xfId="0" applyFont="1" applyFill="1" applyBorder="1"/>
    <xf numFmtId="0" fontId="8" fillId="4" borderId="19" xfId="0" applyFont="1" applyFill="1" applyBorder="1" applyAlignment="1">
      <alignment horizontal="left"/>
    </xf>
    <xf numFmtId="0" fontId="8" fillId="4" borderId="20" xfId="0" applyFont="1" applyFill="1" applyBorder="1" applyAlignment="1">
      <alignment horizontal="left"/>
    </xf>
    <xf numFmtId="14" fontId="7" fillId="4" borderId="0" xfId="0" applyNumberFormat="1" applyFont="1" applyFill="1" applyAlignment="1">
      <alignment horizontal="left"/>
    </xf>
    <xf numFmtId="1" fontId="2" fillId="4" borderId="0" xfId="0" applyNumberFormat="1" applyFont="1" applyFill="1" applyBorder="1"/>
    <xf numFmtId="0" fontId="2" fillId="5" borderId="21" xfId="0" applyFont="1" applyFill="1" applyBorder="1" applyAlignment="1">
      <alignment horizontal="left" vertical="center"/>
    </xf>
    <xf numFmtId="0" fontId="23" fillId="5" borderId="22" xfId="0" applyFont="1" applyFill="1" applyBorder="1" applyAlignment="1">
      <alignment horizontal="left" vertical="center"/>
    </xf>
    <xf numFmtId="0" fontId="6" fillId="5" borderId="22" xfId="0" applyFont="1" applyFill="1" applyBorder="1" applyAlignment="1">
      <alignment vertical="center"/>
    </xf>
    <xf numFmtId="0" fontId="2" fillId="5" borderId="23" xfId="0" applyFont="1" applyFill="1" applyBorder="1" applyAlignment="1">
      <alignment vertical="center"/>
    </xf>
    <xf numFmtId="0" fontId="23" fillId="5" borderId="29" xfId="0" applyFont="1" applyFill="1" applyBorder="1" applyAlignment="1">
      <alignment horizontal="right" vertical="center"/>
    </xf>
    <xf numFmtId="0" fontId="7" fillId="5" borderId="21" xfId="0" applyFont="1" applyFill="1" applyBorder="1" applyAlignment="1">
      <alignment horizontal="right" vertical="center"/>
    </xf>
    <xf numFmtId="0" fontId="23" fillId="5" borderId="23" xfId="0" applyFont="1" applyFill="1" applyBorder="1" applyAlignment="1">
      <alignment horizontal="right" vertical="center"/>
    </xf>
    <xf numFmtId="0" fontId="23" fillId="5" borderId="22" xfId="0" applyFont="1" applyFill="1" applyBorder="1" applyAlignment="1">
      <alignment horizontal="right" vertical="center"/>
    </xf>
    <xf numFmtId="0" fontId="2" fillId="5" borderId="23" xfId="0" applyFont="1" applyFill="1" applyBorder="1" applyAlignment="1">
      <alignment horizontal="right" vertical="center"/>
    </xf>
    <xf numFmtId="0" fontId="2" fillId="4" borderId="12" xfId="0" applyFont="1" applyFill="1" applyBorder="1" applyAlignment="1">
      <alignment horizontal="left"/>
    </xf>
    <xf numFmtId="14" fontId="2" fillId="4" borderId="0" xfId="0" applyNumberFormat="1" applyFont="1" applyFill="1" applyBorder="1" applyAlignment="1">
      <alignment horizontal="left"/>
    </xf>
    <xf numFmtId="0" fontId="2" fillId="4" borderId="24" xfId="0" applyFont="1" applyFill="1" applyBorder="1"/>
    <xf numFmtId="14" fontId="2" fillId="4" borderId="30" xfId="0" applyNumberFormat="1" applyFont="1" applyFill="1" applyBorder="1" applyAlignment="1">
      <alignment horizontal="right"/>
    </xf>
    <xf numFmtId="0" fontId="2" fillId="4" borderId="12" xfId="0" applyFont="1" applyFill="1" applyBorder="1" applyAlignment="1">
      <alignment horizontal="right"/>
    </xf>
    <xf numFmtId="14" fontId="2" fillId="4" borderId="24" xfId="0" applyNumberFormat="1" applyFont="1" applyFill="1" applyBorder="1" applyAlignment="1">
      <alignment horizontal="right"/>
    </xf>
    <xf numFmtId="0" fontId="2" fillId="4" borderId="24" xfId="0" applyFont="1" applyFill="1" applyBorder="1" applyAlignment="1">
      <alignment horizontal="right"/>
    </xf>
    <xf numFmtId="171" fontId="2" fillId="4" borderId="30" xfId="0" applyNumberFormat="1" applyFont="1" applyFill="1" applyBorder="1" applyAlignment="1">
      <alignment horizontal="right"/>
    </xf>
    <xf numFmtId="171" fontId="2" fillId="4" borderId="12" xfId="0" applyNumberFormat="1" applyFont="1" applyFill="1" applyBorder="1" applyAlignment="1">
      <alignment horizontal="right"/>
    </xf>
    <xf numFmtId="171" fontId="2" fillId="4" borderId="24" xfId="0" applyNumberFormat="1" applyFont="1" applyFill="1" applyBorder="1" applyAlignment="1">
      <alignment horizontal="right"/>
    </xf>
    <xf numFmtId="0" fontId="2" fillId="4" borderId="31" xfId="0" applyFont="1" applyFill="1" applyBorder="1" applyAlignment="1">
      <alignment horizontal="left"/>
    </xf>
    <xf numFmtId="0" fontId="7" fillId="4" borderId="32" xfId="0" applyFont="1" applyFill="1" applyBorder="1" applyAlignment="1">
      <alignment horizontal="left"/>
    </xf>
    <xf numFmtId="14" fontId="2" fillId="4" borderId="32" xfId="0" applyNumberFormat="1" applyFont="1" applyFill="1" applyBorder="1" applyAlignment="1">
      <alignment horizontal="left"/>
    </xf>
    <xf numFmtId="0" fontId="2" fillId="4" borderId="32" xfId="0" applyFont="1" applyFill="1" applyBorder="1"/>
    <xf numFmtId="0" fontId="2" fillId="4" borderId="33" xfId="0" applyFont="1" applyFill="1" applyBorder="1"/>
    <xf numFmtId="3" fontId="2" fillId="4" borderId="34" xfId="0" applyNumberFormat="1" applyFont="1" applyFill="1" applyBorder="1" applyAlignment="1">
      <alignment horizontal="right"/>
    </xf>
    <xf numFmtId="3" fontId="2" fillId="4" borderId="31" xfId="0" applyNumberFormat="1" applyFont="1" applyFill="1" applyBorder="1" applyAlignment="1">
      <alignment horizontal="right"/>
    </xf>
    <xf numFmtId="3" fontId="2" fillId="4" borderId="33" xfId="0" applyNumberFormat="1" applyFont="1" applyFill="1" applyBorder="1" applyAlignment="1">
      <alignment horizontal="right"/>
    </xf>
    <xf numFmtId="0" fontId="2" fillId="4" borderId="31" xfId="0" applyFont="1" applyFill="1" applyBorder="1" applyAlignment="1">
      <alignment horizontal="right"/>
    </xf>
    <xf numFmtId="0" fontId="2" fillId="4" borderId="32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2" fillId="4" borderId="21" xfId="0" applyFont="1" applyFill="1" applyBorder="1" applyAlignment="1">
      <alignment horizontal="left"/>
    </xf>
    <xf numFmtId="0" fontId="7" fillId="4" borderId="22" xfId="0" applyFont="1" applyFill="1" applyBorder="1" applyAlignment="1">
      <alignment horizontal="left"/>
    </xf>
    <xf numFmtId="14" fontId="2" fillId="4" borderId="22" xfId="0" applyNumberFormat="1" applyFont="1" applyFill="1" applyBorder="1" applyAlignment="1">
      <alignment horizontal="left"/>
    </xf>
    <xf numFmtId="0" fontId="2" fillId="4" borderId="22" xfId="0" applyFont="1" applyFill="1" applyBorder="1"/>
    <xf numFmtId="0" fontId="2" fillId="4" borderId="23" xfId="0" applyFont="1" applyFill="1" applyBorder="1"/>
    <xf numFmtId="3" fontId="2" fillId="4" borderId="29" xfId="0" applyNumberFormat="1" applyFont="1" applyFill="1" applyBorder="1" applyAlignment="1">
      <alignment horizontal="right"/>
    </xf>
    <xf numFmtId="3" fontId="2" fillId="4" borderId="21" xfId="0" applyNumberFormat="1" applyFont="1" applyFill="1" applyBorder="1" applyAlignment="1">
      <alignment horizontal="right"/>
    </xf>
    <xf numFmtId="3" fontId="2" fillId="4" borderId="23" xfId="0" applyNumberFormat="1" applyFont="1" applyFill="1" applyBorder="1" applyAlignment="1">
      <alignment horizontal="right"/>
    </xf>
    <xf numFmtId="0" fontId="2" fillId="4" borderId="21" xfId="0" applyFont="1" applyFill="1" applyBorder="1" applyAlignment="1">
      <alignment horizontal="right"/>
    </xf>
    <xf numFmtId="0" fontId="2" fillId="4" borderId="22" xfId="0" applyFont="1" applyFill="1" applyBorder="1" applyAlignment="1">
      <alignment horizontal="right"/>
    </xf>
    <xf numFmtId="0" fontId="2" fillId="4" borderId="23" xfId="0" applyFont="1" applyFill="1" applyBorder="1" applyAlignment="1">
      <alignment horizontal="right"/>
    </xf>
    <xf numFmtId="0" fontId="23" fillId="6" borderId="0" xfId="0" applyFont="1" applyFill="1" applyBorder="1" applyAlignment="1">
      <alignment horizontal="left" vertical="center"/>
    </xf>
    <xf numFmtId="14" fontId="6" fillId="6" borderId="0" xfId="0" applyNumberFormat="1" applyFont="1" applyFill="1" applyBorder="1" applyAlignment="1">
      <alignment horizontal="left"/>
    </xf>
    <xf numFmtId="0" fontId="6" fillId="6" borderId="0" xfId="0" applyFont="1" applyFill="1" applyBorder="1"/>
    <xf numFmtId="3" fontId="2" fillId="4" borderId="30" xfId="0" applyNumberFormat="1" applyFont="1" applyFill="1" applyBorder="1" applyAlignment="1">
      <alignment horizontal="right"/>
    </xf>
    <xf numFmtId="3" fontId="2" fillId="4" borderId="12" xfId="0" applyNumberFormat="1" applyFont="1" applyFill="1" applyBorder="1" applyAlignment="1">
      <alignment horizontal="right"/>
    </xf>
    <xf numFmtId="3" fontId="2" fillId="4" borderId="24" xfId="0" applyNumberFormat="1" applyFont="1" applyFill="1" applyBorder="1" applyAlignment="1">
      <alignment horizontal="right"/>
    </xf>
    <xf numFmtId="8" fontId="2" fillId="4" borderId="30" xfId="0" applyNumberFormat="1" applyFont="1" applyFill="1" applyBorder="1" applyAlignment="1">
      <alignment horizontal="right"/>
    </xf>
    <xf numFmtId="8" fontId="2" fillId="4" borderId="12" xfId="0" applyNumberFormat="1" applyFont="1" applyFill="1" applyBorder="1" applyAlignment="1">
      <alignment horizontal="right"/>
    </xf>
    <xf numFmtId="8" fontId="2" fillId="4" borderId="24" xfId="0" applyNumberFormat="1" applyFont="1" applyFill="1" applyBorder="1" applyAlignment="1">
      <alignment horizontal="right"/>
    </xf>
    <xf numFmtId="167" fontId="2" fillId="4" borderId="0" xfId="0" applyNumberFormat="1" applyFont="1" applyFill="1" applyBorder="1" applyAlignment="1">
      <alignment horizontal="right"/>
    </xf>
    <xf numFmtId="0" fontId="30" fillId="4" borderId="0" xfId="0" applyFont="1" applyFill="1" applyBorder="1"/>
    <xf numFmtId="0" fontId="30" fillId="4" borderId="12" xfId="0" applyFont="1" applyFill="1" applyBorder="1"/>
    <xf numFmtId="8" fontId="30" fillId="4" borderId="12" xfId="0" applyNumberFormat="1" applyFont="1" applyFill="1" applyBorder="1" applyAlignment="1">
      <alignment horizontal="right"/>
    </xf>
    <xf numFmtId="0" fontId="30" fillId="4" borderId="24" xfId="0" applyFont="1" applyFill="1" applyBorder="1" applyAlignment="1">
      <alignment horizontal="right"/>
    </xf>
    <xf numFmtId="173" fontId="2" fillId="4" borderId="30" xfId="0" applyNumberFormat="1" applyFont="1" applyFill="1" applyBorder="1" applyAlignment="1">
      <alignment horizontal="right"/>
    </xf>
    <xf numFmtId="173" fontId="2" fillId="4" borderId="12" xfId="0" applyNumberFormat="1" applyFont="1" applyFill="1" applyBorder="1" applyAlignment="1">
      <alignment horizontal="right"/>
    </xf>
    <xf numFmtId="173" fontId="2" fillId="4" borderId="24" xfId="0" applyNumberFormat="1" applyFont="1" applyFill="1" applyBorder="1" applyAlignment="1">
      <alignment horizontal="right"/>
    </xf>
    <xf numFmtId="4" fontId="2" fillId="4" borderId="0" xfId="0" applyNumberFormat="1" applyFont="1" applyFill="1" applyBorder="1" applyAlignment="1">
      <alignment horizontal="right"/>
    </xf>
    <xf numFmtId="0" fontId="2" fillId="4" borderId="12" xfId="0" applyFont="1" applyFill="1" applyBorder="1"/>
    <xf numFmtId="8" fontId="2" fillId="4" borderId="24" xfId="0" applyNumberFormat="1" applyFont="1" applyFill="1" applyBorder="1"/>
    <xf numFmtId="9" fontId="2" fillId="4" borderId="30" xfId="0" applyNumberFormat="1" applyFont="1" applyFill="1" applyBorder="1" applyAlignment="1">
      <alignment horizontal="right"/>
    </xf>
    <xf numFmtId="9" fontId="2" fillId="4" borderId="24" xfId="0" applyNumberFormat="1" applyFont="1" applyFill="1" applyBorder="1" applyAlignment="1">
      <alignment horizontal="right"/>
    </xf>
    <xf numFmtId="174" fontId="2" fillId="4" borderId="0" xfId="0" applyNumberFormat="1" applyFont="1" applyFill="1" applyBorder="1" applyAlignment="1">
      <alignment horizontal="right"/>
    </xf>
    <xf numFmtId="0" fontId="2" fillId="4" borderId="30" xfId="0" applyFont="1" applyFill="1" applyBorder="1"/>
    <xf numFmtId="166" fontId="2" fillId="4" borderId="24" xfId="0" applyNumberFormat="1" applyFont="1" applyFill="1" applyBorder="1" applyAlignment="1">
      <alignment horizontal="right"/>
    </xf>
    <xf numFmtId="0" fontId="31" fillId="4" borderId="0" xfId="0" applyFont="1" applyFill="1" applyBorder="1" applyAlignment="1">
      <alignment horizontal="left"/>
    </xf>
    <xf numFmtId="166" fontId="2" fillId="4" borderId="0" xfId="0" applyNumberFormat="1" applyFont="1" applyFill="1" applyBorder="1" applyAlignment="1">
      <alignment horizontal="right"/>
    </xf>
    <xf numFmtId="8" fontId="7" fillId="4" borderId="0" xfId="0" applyNumberFormat="1" applyFont="1" applyFill="1" applyBorder="1" applyAlignment="1">
      <alignment horizontal="right"/>
    </xf>
    <xf numFmtId="0" fontId="2" fillId="4" borderId="32" xfId="0" applyFont="1" applyFill="1" applyBorder="1" applyAlignment="1">
      <alignment horizontal="left"/>
    </xf>
    <xf numFmtId="8" fontId="2" fillId="4" borderId="34" xfId="0" applyNumberFormat="1" applyFont="1" applyFill="1" applyBorder="1"/>
    <xf numFmtId="8" fontId="2" fillId="4" borderId="31" xfId="0" applyNumberFormat="1" applyFont="1" applyFill="1" applyBorder="1"/>
    <xf numFmtId="8" fontId="2" fillId="4" borderId="33" xfId="0" applyNumberFormat="1" applyFont="1" applyFill="1" applyBorder="1" applyAlignment="1">
      <alignment horizontal="right"/>
    </xf>
    <xf numFmtId="8" fontId="2" fillId="4" borderId="31" xfId="0" applyNumberFormat="1" applyFont="1" applyFill="1" applyBorder="1" applyAlignment="1">
      <alignment horizontal="right"/>
    </xf>
    <xf numFmtId="8" fontId="2" fillId="4" borderId="32" xfId="0" applyNumberFormat="1" applyFont="1" applyFill="1" applyBorder="1" applyAlignment="1">
      <alignment horizontal="right"/>
    </xf>
    <xf numFmtId="0" fontId="2" fillId="4" borderId="22" xfId="0" applyFont="1" applyFill="1" applyBorder="1" applyAlignment="1">
      <alignment horizontal="left"/>
    </xf>
    <xf numFmtId="8" fontId="2" fillId="4" borderId="29" xfId="0" applyNumberFormat="1" applyFont="1" applyFill="1" applyBorder="1"/>
    <xf numFmtId="8" fontId="2" fillId="4" borderId="21" xfId="0" applyNumberFormat="1" applyFont="1" applyFill="1" applyBorder="1"/>
    <xf numFmtId="8" fontId="2" fillId="4" borderId="23" xfId="0" applyNumberFormat="1" applyFont="1" applyFill="1" applyBorder="1" applyAlignment="1">
      <alignment horizontal="right"/>
    </xf>
    <xf numFmtId="8" fontId="2" fillId="4" borderId="21" xfId="0" applyNumberFormat="1" applyFont="1" applyFill="1" applyBorder="1" applyAlignment="1">
      <alignment horizontal="right"/>
    </xf>
    <xf numFmtId="8" fontId="2" fillId="4" borderId="22" xfId="0" applyNumberFormat="1" applyFont="1" applyFill="1" applyBorder="1" applyAlignment="1">
      <alignment horizontal="right"/>
    </xf>
    <xf numFmtId="0" fontId="6" fillId="6" borderId="0" xfId="0" applyFont="1" applyFill="1" applyBorder="1" applyAlignment="1">
      <alignment horizontal="right"/>
    </xf>
    <xf numFmtId="0" fontId="2" fillId="4" borderId="30" xfId="0" applyFont="1" applyFill="1" applyBorder="1" applyAlignment="1">
      <alignment horizontal="right"/>
    </xf>
    <xf numFmtId="0" fontId="2" fillId="4" borderId="24" xfId="0" applyFont="1" applyFill="1" applyBorder="1" applyAlignment="1">
      <alignment horizontal="left"/>
    </xf>
    <xf numFmtId="167" fontId="7" fillId="4" borderId="0" xfId="0" applyNumberFormat="1" applyFont="1" applyFill="1" applyBorder="1" applyAlignment="1">
      <alignment horizontal="right"/>
    </xf>
    <xf numFmtId="0" fontId="2" fillId="4" borderId="33" xfId="0" applyFont="1" applyFill="1" applyBorder="1" applyAlignment="1">
      <alignment horizontal="left"/>
    </xf>
    <xf numFmtId="0" fontId="2" fillId="4" borderId="34" xfId="0" applyFont="1" applyFill="1" applyBorder="1"/>
    <xf numFmtId="0" fontId="2" fillId="4" borderId="31" xfId="0" applyFont="1" applyFill="1" applyBorder="1"/>
    <xf numFmtId="0" fontId="6" fillId="6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167" fontId="2" fillId="4" borderId="0" xfId="0" applyNumberFormat="1" applyFont="1" applyFill="1" applyBorder="1" applyAlignment="1">
      <alignment horizontal="center"/>
    </xf>
    <xf numFmtId="166" fontId="2" fillId="4" borderId="0" xfId="0" applyNumberFormat="1" applyFont="1" applyFill="1" applyBorder="1" applyAlignment="1">
      <alignment horizontal="center"/>
    </xf>
    <xf numFmtId="10" fontId="7" fillId="4" borderId="0" xfId="0" applyNumberFormat="1" applyFont="1" applyFill="1" applyBorder="1" applyAlignment="1">
      <alignment horizontal="right"/>
    </xf>
    <xf numFmtId="0" fontId="7" fillId="4" borderId="0" xfId="0" applyFont="1" applyFill="1" applyBorder="1"/>
    <xf numFmtId="174" fontId="7" fillId="4" borderId="0" xfId="0" applyNumberFormat="1" applyFont="1" applyFill="1" applyBorder="1" applyAlignment="1">
      <alignment horizontal="right"/>
    </xf>
    <xf numFmtId="10" fontId="2" fillId="4" borderId="0" xfId="0" applyNumberFormat="1" applyFont="1" applyFill="1" applyBorder="1" applyAlignment="1">
      <alignment horizontal="right"/>
    </xf>
    <xf numFmtId="164" fontId="2" fillId="4" borderId="0" xfId="0" applyNumberFormat="1" applyFont="1" applyFill="1" applyBorder="1" applyAlignment="1">
      <alignment horizontal="right"/>
    </xf>
    <xf numFmtId="0" fontId="7" fillId="4" borderId="12" xfId="0" applyFont="1" applyFill="1" applyBorder="1"/>
    <xf numFmtId="0" fontId="7" fillId="4" borderId="24" xfId="0" applyFont="1" applyFill="1" applyBorder="1" applyAlignment="1">
      <alignment horizontal="right"/>
    </xf>
    <xf numFmtId="0" fontId="2" fillId="4" borderId="0" xfId="0" applyFont="1" applyFill="1" applyBorder="1" applyAlignment="1" applyProtection="1">
      <alignment horizontal="right"/>
    </xf>
    <xf numFmtId="0" fontId="7" fillId="4" borderId="31" xfId="0" applyFont="1" applyFill="1" applyBorder="1"/>
    <xf numFmtId="0" fontId="7" fillId="4" borderId="32" xfId="0" applyFont="1" applyFill="1" applyBorder="1"/>
    <xf numFmtId="0" fontId="2" fillId="4" borderId="32" xfId="0" applyFont="1" applyFill="1" applyBorder="1" applyAlignment="1" applyProtection="1">
      <alignment horizontal="right"/>
    </xf>
    <xf numFmtId="0" fontId="7" fillId="4" borderId="32" xfId="0" applyFont="1" applyFill="1" applyBorder="1" applyAlignment="1">
      <alignment horizontal="right"/>
    </xf>
    <xf numFmtId="171" fontId="2" fillId="4" borderId="32" xfId="0" applyNumberFormat="1" applyFont="1" applyFill="1" applyBorder="1" applyAlignment="1">
      <alignment horizontal="right"/>
    </xf>
    <xf numFmtId="0" fontId="7" fillId="4" borderId="33" xfId="0" applyFont="1" applyFill="1" applyBorder="1" applyAlignment="1">
      <alignment horizontal="right"/>
    </xf>
    <xf numFmtId="0" fontId="7" fillId="4" borderId="21" xfId="0" applyFont="1" applyFill="1" applyBorder="1"/>
    <xf numFmtId="0" fontId="7" fillId="4" borderId="22" xfId="0" applyFont="1" applyFill="1" applyBorder="1"/>
    <xf numFmtId="0" fontId="2" fillId="4" borderId="22" xfId="0" applyFont="1" applyFill="1" applyBorder="1" applyAlignment="1" applyProtection="1">
      <alignment horizontal="right"/>
    </xf>
    <xf numFmtId="0" fontId="7" fillId="4" borderId="22" xfId="0" applyFont="1" applyFill="1" applyBorder="1" applyAlignment="1">
      <alignment horizontal="right"/>
    </xf>
    <xf numFmtId="171" fontId="2" fillId="4" borderId="22" xfId="0" applyNumberFormat="1" applyFont="1" applyFill="1" applyBorder="1" applyAlignment="1">
      <alignment horizontal="right"/>
    </xf>
    <xf numFmtId="0" fontId="7" fillId="4" borderId="23" xfId="0" applyFont="1" applyFill="1" applyBorder="1" applyAlignment="1">
      <alignment horizontal="right"/>
    </xf>
    <xf numFmtId="3" fontId="2" fillId="4" borderId="0" xfId="0" applyNumberFormat="1" applyFont="1" applyFill="1" applyBorder="1"/>
    <xf numFmtId="0" fontId="7" fillId="4" borderId="0" xfId="0" applyFont="1" applyFill="1" applyBorder="1" applyAlignment="1" applyProtection="1">
      <alignment horizontal="right"/>
    </xf>
    <xf numFmtId="171" fontId="2" fillId="4" borderId="0" xfId="0" applyNumberFormat="1" applyFont="1" applyFill="1" applyBorder="1" applyAlignment="1">
      <alignment horizontal="right"/>
    </xf>
    <xf numFmtId="166" fontId="2" fillId="4" borderId="31" xfId="0" applyNumberFormat="1" applyFont="1" applyFill="1" applyBorder="1"/>
    <xf numFmtId="0" fontId="2" fillId="4" borderId="0" xfId="0" applyFont="1" applyFill="1" applyBorder="1" applyAlignment="1" applyProtection="1">
      <alignment horizontal="left"/>
    </xf>
    <xf numFmtId="0" fontId="2" fillId="0" borderId="0" xfId="0" applyFont="1" applyBorder="1" applyProtection="1"/>
    <xf numFmtId="0" fontId="6" fillId="5" borderId="0" xfId="0" applyFont="1" applyFill="1" applyBorder="1" applyAlignment="1">
      <alignment horizontal="right"/>
    </xf>
    <xf numFmtId="0" fontId="2" fillId="5" borderId="0" xfId="5" applyFont="1" applyFill="1"/>
    <xf numFmtId="0" fontId="2" fillId="5" borderId="0" xfId="5" applyFont="1" applyFill="1" applyAlignment="1">
      <alignment horizontal="center"/>
    </xf>
    <xf numFmtId="167" fontId="2" fillId="5" borderId="0" xfId="5" applyNumberFormat="1" applyFont="1" applyFill="1"/>
    <xf numFmtId="0" fontId="2" fillId="4" borderId="0" xfId="5" applyFont="1" applyFill="1" applyAlignment="1">
      <alignment horizontal="center"/>
    </xf>
    <xf numFmtId="167" fontId="2" fillId="4" borderId="0" xfId="5" applyNumberFormat="1" applyFont="1" applyFill="1"/>
    <xf numFmtId="0" fontId="19" fillId="4" borderId="0" xfId="0" applyFont="1" applyFill="1" applyBorder="1" applyAlignment="1">
      <alignment vertical="center"/>
    </xf>
    <xf numFmtId="0" fontId="32" fillId="4" borderId="0" xfId="0" applyFont="1" applyFill="1" applyBorder="1" applyAlignment="1">
      <alignment horizontal="right"/>
    </xf>
    <xf numFmtId="0" fontId="2" fillId="4" borderId="0" xfId="5" applyFont="1" applyFill="1" applyBorder="1" applyAlignment="1">
      <alignment horizontal="center"/>
    </xf>
    <xf numFmtId="167" fontId="8" fillId="4" borderId="0" xfId="5" applyNumberFormat="1" applyFont="1" applyFill="1" applyBorder="1" applyAlignment="1">
      <alignment horizontal="right"/>
    </xf>
    <xf numFmtId="0" fontId="8" fillId="4" borderId="0" xfId="5" applyFont="1" applyFill="1" applyBorder="1" applyAlignment="1">
      <alignment horizontal="right"/>
    </xf>
    <xf numFmtId="0" fontId="8" fillId="4" borderId="0" xfId="5" applyFont="1" applyFill="1"/>
    <xf numFmtId="0" fontId="8" fillId="4" borderId="0" xfId="5" applyFont="1" applyFill="1" applyBorder="1" applyAlignment="1">
      <alignment horizontal="center"/>
    </xf>
    <xf numFmtId="0" fontId="28" fillId="4" borderId="0" xfId="0" applyFont="1" applyFill="1" applyAlignment="1">
      <alignment horizontal="left"/>
    </xf>
    <xf numFmtId="0" fontId="28" fillId="4" borderId="0" xfId="0" applyFont="1" applyFill="1" applyAlignment="1">
      <alignment horizontal="center"/>
    </xf>
    <xf numFmtId="0" fontId="2" fillId="4" borderId="35" xfId="0" applyFont="1" applyFill="1" applyBorder="1"/>
    <xf numFmtId="0" fontId="7" fillId="4" borderId="36" xfId="0" applyFont="1" applyFill="1" applyBorder="1" applyAlignment="1">
      <alignment horizontal="right"/>
    </xf>
    <xf numFmtId="0" fontId="2" fillId="4" borderId="36" xfId="0" applyFont="1" applyFill="1" applyBorder="1" applyAlignment="1">
      <alignment horizontal="left"/>
    </xf>
    <xf numFmtId="0" fontId="8" fillId="4" borderId="36" xfId="0" applyFont="1" applyFill="1" applyBorder="1" applyAlignment="1">
      <alignment horizontal="left"/>
    </xf>
    <xf numFmtId="167" fontId="2" fillId="4" borderId="36" xfId="5" applyNumberFormat="1" applyFont="1" applyFill="1" applyBorder="1"/>
    <xf numFmtId="0" fontId="8" fillId="4" borderId="37" xfId="0" applyFont="1" applyFill="1" applyBorder="1" applyAlignment="1">
      <alignment horizontal="left"/>
    </xf>
    <xf numFmtId="0" fontId="2" fillId="4" borderId="38" xfId="0" applyFont="1" applyFill="1" applyBorder="1"/>
    <xf numFmtId="0" fontId="8" fillId="4" borderId="39" xfId="0" applyFont="1" applyFill="1" applyBorder="1" applyAlignment="1">
      <alignment horizontal="left"/>
    </xf>
    <xf numFmtId="0" fontId="7" fillId="4" borderId="0" xfId="0" applyFont="1" applyFill="1" applyBorder="1" applyAlignment="1">
      <alignment horizontal="right" vertical="top"/>
    </xf>
    <xf numFmtId="0" fontId="2" fillId="4" borderId="40" xfId="0" applyFont="1" applyFill="1" applyBorder="1"/>
    <xf numFmtId="0" fontId="7" fillId="4" borderId="41" xfId="0" applyFont="1" applyFill="1" applyBorder="1" applyAlignment="1">
      <alignment horizontal="right" vertical="top"/>
    </xf>
    <xf numFmtId="0" fontId="2" fillId="4" borderId="41" xfId="0" applyFont="1" applyFill="1" applyBorder="1" applyAlignment="1">
      <alignment horizontal="left" vertical="top"/>
    </xf>
    <xf numFmtId="0" fontId="8" fillId="4" borderId="41" xfId="0" applyFont="1" applyFill="1" applyBorder="1" applyAlignment="1">
      <alignment horizontal="left"/>
    </xf>
    <xf numFmtId="167" fontId="2" fillId="4" borderId="41" xfId="5" applyNumberFormat="1" applyFont="1" applyFill="1" applyBorder="1"/>
    <xf numFmtId="0" fontId="8" fillId="4" borderId="42" xfId="0" applyFont="1" applyFill="1" applyBorder="1" applyAlignment="1">
      <alignment horizontal="left"/>
    </xf>
    <xf numFmtId="0" fontId="33" fillId="4" borderId="0" xfId="5" applyFont="1" applyFill="1"/>
    <xf numFmtId="0" fontId="33" fillId="4" borderId="0" xfId="5" applyFont="1" applyFill="1" applyAlignment="1">
      <alignment horizontal="center"/>
    </xf>
    <xf numFmtId="0" fontId="23" fillId="5" borderId="0" xfId="5" applyFont="1" applyFill="1" applyAlignment="1">
      <alignment horizontal="center"/>
    </xf>
    <xf numFmtId="167" fontId="6" fillId="5" borderId="0" xfId="5" applyNumberFormat="1" applyFont="1" applyFill="1"/>
    <xf numFmtId="167" fontId="6" fillId="5" borderId="0" xfId="5" applyNumberFormat="1" applyFont="1" applyFill="1" applyAlignment="1">
      <alignment horizontal="center"/>
    </xf>
    <xf numFmtId="0" fontId="6" fillId="5" borderId="0" xfId="5" quotePrefix="1" applyFont="1" applyFill="1" applyAlignment="1">
      <alignment horizontal="center"/>
    </xf>
    <xf numFmtId="0" fontId="6" fillId="5" borderId="0" xfId="5" applyFont="1" applyFill="1" applyAlignment="1">
      <alignment horizontal="center"/>
    </xf>
    <xf numFmtId="171" fontId="6" fillId="5" borderId="0" xfId="0" applyNumberFormat="1" applyFont="1" applyFill="1" applyBorder="1" applyAlignment="1">
      <alignment horizontal="right"/>
    </xf>
    <xf numFmtId="9" fontId="6" fillId="5" borderId="0" xfId="0" applyNumberFormat="1" applyFont="1" applyFill="1" applyBorder="1" applyAlignment="1">
      <alignment horizontal="right"/>
    </xf>
    <xf numFmtId="0" fontId="34" fillId="5" borderId="0" xfId="5" applyFont="1" applyFill="1" applyBorder="1"/>
    <xf numFmtId="167" fontId="6" fillId="5" borderId="0" xfId="5" applyNumberFormat="1" applyFont="1" applyFill="1" applyAlignment="1">
      <alignment horizontal="center" wrapText="1"/>
    </xf>
    <xf numFmtId="167" fontId="6" fillId="5" borderId="0" xfId="5" quotePrefix="1" applyNumberFormat="1" applyFont="1" applyFill="1" applyAlignment="1">
      <alignment horizontal="center" wrapText="1"/>
    </xf>
    <xf numFmtId="0" fontId="6" fillId="5" borderId="0" xfId="5" applyFont="1" applyFill="1" applyAlignment="1">
      <alignment horizontal="center" wrapText="1"/>
    </xf>
    <xf numFmtId="0" fontId="14" fillId="4" borderId="0" xfId="5" applyFont="1" applyFill="1" applyAlignment="1">
      <alignment horizontal="center"/>
    </xf>
    <xf numFmtId="0" fontId="2" fillId="4" borderId="43" xfId="5" applyFont="1" applyFill="1" applyBorder="1"/>
    <xf numFmtId="171" fontId="2" fillId="4" borderId="44" xfId="5" applyNumberFormat="1" applyFont="1" applyFill="1" applyBorder="1" applyAlignment="1">
      <alignment horizontal="center"/>
    </xf>
    <xf numFmtId="171" fontId="2" fillId="4" borderId="43" xfId="5" applyNumberFormat="1" applyFont="1" applyFill="1" applyBorder="1" applyAlignment="1">
      <alignment horizontal="right"/>
    </xf>
    <xf numFmtId="171" fontId="2" fillId="4" borderId="45" xfId="5" applyNumberFormat="1" applyFont="1" applyFill="1" applyBorder="1" applyAlignment="1">
      <alignment horizontal="right"/>
    </xf>
    <xf numFmtId="9" fontId="2" fillId="4" borderId="45" xfId="5" applyNumberFormat="1" applyFont="1" applyFill="1" applyBorder="1" applyAlignment="1">
      <alignment horizontal="right"/>
    </xf>
    <xf numFmtId="171" fontId="2" fillId="4" borderId="44" xfId="5" applyNumberFormat="1" applyFont="1" applyFill="1" applyBorder="1" applyAlignment="1">
      <alignment horizontal="right"/>
    </xf>
    <xf numFmtId="0" fontId="2" fillId="4" borderId="44" xfId="5" applyFont="1" applyFill="1" applyBorder="1"/>
    <xf numFmtId="167" fontId="2" fillId="4" borderId="43" xfId="5" applyNumberFormat="1" applyFont="1" applyFill="1" applyBorder="1"/>
    <xf numFmtId="167" fontId="2" fillId="4" borderId="45" xfId="5" applyNumberFormat="1" applyFont="1" applyFill="1" applyBorder="1"/>
    <xf numFmtId="44" fontId="2" fillId="4" borderId="44" xfId="5" applyNumberFormat="1" applyFont="1" applyFill="1" applyBorder="1"/>
    <xf numFmtId="166" fontId="2" fillId="4" borderId="46" xfId="3" applyNumberFormat="1" applyFont="1" applyFill="1" applyBorder="1" applyAlignment="1">
      <alignment horizontal="center"/>
    </xf>
    <xf numFmtId="165" fontId="2" fillId="4" borderId="0" xfId="5" applyNumberFormat="1" applyFont="1" applyFill="1" applyAlignment="1">
      <alignment horizontal="center"/>
    </xf>
    <xf numFmtId="166" fontId="2" fillId="4" borderId="0" xfId="3" applyNumberFormat="1" applyFont="1" applyFill="1" applyAlignment="1">
      <alignment horizontal="center"/>
    </xf>
    <xf numFmtId="0" fontId="2" fillId="4" borderId="47" xfId="5" applyFont="1" applyFill="1" applyBorder="1"/>
    <xf numFmtId="171" fontId="2" fillId="4" borderId="48" xfId="5" applyNumberFormat="1" applyFont="1" applyFill="1" applyBorder="1" applyAlignment="1">
      <alignment horizontal="center"/>
    </xf>
    <xf numFmtId="171" fontId="2" fillId="4" borderId="47" xfId="5" applyNumberFormat="1" applyFont="1" applyFill="1" applyBorder="1" applyAlignment="1">
      <alignment horizontal="right"/>
    </xf>
    <xf numFmtId="171" fontId="2" fillId="4" borderId="0" xfId="5" applyNumberFormat="1" applyFont="1" applyFill="1" applyBorder="1" applyAlignment="1">
      <alignment horizontal="right"/>
    </xf>
    <xf numFmtId="9" fontId="2" fillId="4" borderId="0" xfId="5" applyNumberFormat="1" applyFont="1" applyFill="1" applyBorder="1" applyAlignment="1">
      <alignment horizontal="right"/>
    </xf>
    <xf numFmtId="171" fontId="2" fillId="4" borderId="48" xfId="5" applyNumberFormat="1" applyFont="1" applyFill="1" applyBorder="1" applyAlignment="1">
      <alignment horizontal="right"/>
    </xf>
    <xf numFmtId="0" fontId="2" fillId="4" borderId="48" xfId="5" applyFont="1" applyFill="1" applyBorder="1"/>
    <xf numFmtId="167" fontId="2" fillId="4" borderId="47" xfId="5" applyNumberFormat="1" applyFont="1" applyFill="1" applyBorder="1"/>
    <xf numFmtId="44" fontId="2" fillId="4" borderId="48" xfId="5" applyNumberFormat="1" applyFont="1" applyFill="1" applyBorder="1"/>
    <xf numFmtId="166" fontId="2" fillId="4" borderId="49" xfId="3" applyNumberFormat="1" applyFont="1" applyFill="1" applyBorder="1" applyAlignment="1">
      <alignment horizontal="center"/>
    </xf>
    <xf numFmtId="0" fontId="2" fillId="4" borderId="50" xfId="5" applyFont="1" applyFill="1" applyBorder="1"/>
    <xf numFmtId="171" fontId="2" fillId="4" borderId="51" xfId="5" applyNumberFormat="1" applyFont="1" applyFill="1" applyBorder="1" applyAlignment="1">
      <alignment horizontal="center"/>
    </xf>
    <xf numFmtId="171" fontId="2" fillId="4" borderId="50" xfId="5" applyNumberFormat="1" applyFont="1" applyFill="1" applyBorder="1" applyAlignment="1">
      <alignment horizontal="right"/>
    </xf>
    <xf numFmtId="171" fontId="2" fillId="4" borderId="52" xfId="5" applyNumberFormat="1" applyFont="1" applyFill="1" applyBorder="1" applyAlignment="1">
      <alignment horizontal="right"/>
    </xf>
    <xf numFmtId="9" fontId="2" fillId="4" borderId="52" xfId="5" applyNumberFormat="1" applyFont="1" applyFill="1" applyBorder="1" applyAlignment="1">
      <alignment horizontal="right"/>
    </xf>
    <xf numFmtId="171" fontId="2" fillId="4" borderId="51" xfId="5" applyNumberFormat="1" applyFont="1" applyFill="1" applyBorder="1" applyAlignment="1">
      <alignment horizontal="right"/>
    </xf>
    <xf numFmtId="0" fontId="2" fillId="4" borderId="51" xfId="5" applyFont="1" applyFill="1" applyBorder="1"/>
    <xf numFmtId="167" fontId="2" fillId="4" borderId="50" xfId="5" applyNumberFormat="1" applyFont="1" applyFill="1" applyBorder="1"/>
    <xf numFmtId="167" fontId="2" fillId="4" borderId="52" xfId="5" applyNumberFormat="1" applyFont="1" applyFill="1" applyBorder="1"/>
    <xf numFmtId="44" fontId="2" fillId="4" borderId="51" xfId="5" applyNumberFormat="1" applyFont="1" applyFill="1" applyBorder="1"/>
    <xf numFmtId="166" fontId="2" fillId="4" borderId="53" xfId="3" applyNumberFormat="1" applyFont="1" applyFill="1" applyBorder="1" applyAlignment="1">
      <alignment horizontal="center"/>
    </xf>
    <xf numFmtId="171" fontId="2" fillId="4" borderId="0" xfId="5" applyNumberFormat="1" applyFont="1" applyFill="1" applyBorder="1" applyAlignment="1">
      <alignment horizontal="center"/>
    </xf>
    <xf numFmtId="0" fontId="2" fillId="4" borderId="45" xfId="5" applyFont="1" applyFill="1" applyBorder="1"/>
    <xf numFmtId="0" fontId="2" fillId="4" borderId="45" xfId="5" applyFont="1" applyFill="1" applyBorder="1" applyAlignment="1">
      <alignment horizontal="center"/>
    </xf>
    <xf numFmtId="44" fontId="2" fillId="4" borderId="45" xfId="5" applyNumberFormat="1" applyFont="1" applyFill="1" applyBorder="1"/>
    <xf numFmtId="166" fontId="2" fillId="4" borderId="45" xfId="3" applyNumberFormat="1" applyFont="1" applyFill="1" applyBorder="1" applyAlignment="1">
      <alignment horizontal="center"/>
    </xf>
    <xf numFmtId="0" fontId="7" fillId="4" borderId="0" xfId="5" applyFont="1" applyFill="1" applyBorder="1"/>
    <xf numFmtId="0" fontId="7" fillId="4" borderId="0" xfId="5" applyFont="1" applyFill="1" applyBorder="1" applyAlignment="1">
      <alignment horizontal="center"/>
    </xf>
    <xf numFmtId="44" fontId="2" fillId="4" borderId="0" xfId="5" applyNumberFormat="1" applyFont="1" applyFill="1" applyBorder="1"/>
    <xf numFmtId="166" fontId="2" fillId="4" borderId="0" xfId="3" applyNumberFormat="1" applyFont="1" applyFill="1" applyBorder="1" applyAlignment="1">
      <alignment horizontal="center"/>
    </xf>
    <xf numFmtId="0" fontId="7" fillId="4" borderId="0" xfId="5" applyFont="1" applyFill="1"/>
    <xf numFmtId="9" fontId="35" fillId="4" borderId="0" xfId="5" applyNumberFormat="1" applyFont="1" applyFill="1" applyBorder="1" applyAlignment="1">
      <alignment horizontal="left"/>
    </xf>
    <xf numFmtId="0" fontId="7" fillId="4" borderId="0" xfId="5" quotePrefix="1" applyFont="1" applyFill="1"/>
    <xf numFmtId="0" fontId="7" fillId="4" borderId="0" xfId="5" applyFont="1" applyFill="1" applyAlignment="1">
      <alignment horizontal="center"/>
    </xf>
    <xf numFmtId="175" fontId="2" fillId="4" borderId="0" xfId="5" quotePrefix="1" applyNumberFormat="1" applyFont="1" applyFill="1" applyBorder="1" applyProtection="1"/>
    <xf numFmtId="175" fontId="2" fillId="4" borderId="0" xfId="5" quotePrefix="1" applyNumberFormat="1" applyFont="1" applyFill="1" applyBorder="1" applyAlignment="1" applyProtection="1">
      <alignment horizontal="center"/>
    </xf>
    <xf numFmtId="0" fontId="2" fillId="4" borderId="0" xfId="5" quotePrefix="1" applyFont="1" applyFill="1" applyBorder="1" applyAlignment="1" applyProtection="1">
      <alignment horizontal="center"/>
    </xf>
    <xf numFmtId="176" fontId="2" fillId="4" borderId="0" xfId="5" applyNumberFormat="1" applyFont="1" applyFill="1" applyAlignment="1">
      <alignment horizontal="left"/>
    </xf>
    <xf numFmtId="14" fontId="2" fillId="4" borderId="0" xfId="5" applyNumberFormat="1" applyFont="1" applyFill="1" applyAlignment="1">
      <alignment horizontal="left"/>
    </xf>
    <xf numFmtId="167" fontId="2" fillId="4" borderId="0" xfId="5" applyNumberFormat="1" applyFont="1" applyFill="1" applyAlignment="1">
      <alignment horizontal="left"/>
    </xf>
    <xf numFmtId="14" fontId="2" fillId="4" borderId="0" xfId="5" applyNumberFormat="1" applyFont="1" applyFill="1"/>
    <xf numFmtId="0" fontId="2" fillId="4" borderId="0" xfId="5" quotePrefix="1" applyFont="1" applyFill="1" applyBorder="1" applyAlignment="1">
      <alignment horizontal="center"/>
    </xf>
    <xf numFmtId="0" fontId="2" fillId="4" borderId="0" xfId="5" quotePrefix="1" applyFont="1" applyFill="1" applyAlignment="1">
      <alignment horizontal="center"/>
    </xf>
    <xf numFmtId="10" fontId="2" fillId="4" borderId="0" xfId="3" applyNumberFormat="1" applyFont="1" applyFill="1"/>
    <xf numFmtId="0" fontId="24" fillId="4" borderId="0" xfId="5" applyFont="1" applyFill="1" applyAlignment="1">
      <alignment horizontal="center"/>
    </xf>
    <xf numFmtId="22" fontId="36" fillId="4" borderId="0" xfId="5" applyNumberFormat="1" applyFont="1" applyFill="1"/>
    <xf numFmtId="0" fontId="2" fillId="4" borderId="0" xfId="5" quotePrefix="1" applyFont="1" applyFill="1" applyAlignment="1">
      <alignment vertical="top"/>
    </xf>
    <xf numFmtId="167" fontId="2" fillId="4" borderId="14" xfId="5" applyNumberFormat="1" applyFont="1" applyFill="1" applyBorder="1"/>
    <xf numFmtId="0" fontId="8" fillId="4" borderId="17" xfId="0" applyFont="1" applyFill="1" applyBorder="1" applyAlignment="1">
      <alignment horizontal="left"/>
    </xf>
    <xf numFmtId="167" fontId="2" fillId="4" borderId="19" xfId="5" applyNumberFormat="1" applyFont="1" applyFill="1" applyBorder="1"/>
    <xf numFmtId="171" fontId="6" fillId="5" borderId="0" xfId="0" applyNumberFormat="1" applyFont="1" applyFill="1" applyBorder="1" applyAlignment="1">
      <alignment horizontal="center"/>
    </xf>
    <xf numFmtId="175" fontId="2" fillId="4" borderId="0" xfId="5" quotePrefix="1" applyNumberFormat="1" applyFont="1" applyFill="1" applyBorder="1" applyAlignment="1" applyProtection="1">
      <alignment vertical="top"/>
    </xf>
    <xf numFmtId="175" fontId="24" fillId="4" borderId="0" xfId="5" quotePrefix="1" applyNumberFormat="1" applyFont="1" applyFill="1" applyBorder="1" applyProtection="1"/>
    <xf numFmtId="0" fontId="0" fillId="5" borderId="0" xfId="0" applyFill="1"/>
    <xf numFmtId="0" fontId="0" fillId="4" borderId="0" xfId="0" applyFill="1"/>
    <xf numFmtId="0" fontId="8" fillId="4" borderId="0" xfId="5" applyFont="1" applyFill="1" applyBorder="1" applyAlignment="1" applyProtection="1">
      <alignment horizontal="center"/>
      <protection locked="0"/>
    </xf>
    <xf numFmtId="0" fontId="2" fillId="4" borderId="0" xfId="5" applyFont="1" applyFill="1" applyProtection="1">
      <protection locked="0"/>
    </xf>
    <xf numFmtId="0" fontId="0" fillId="4" borderId="0" xfId="0" applyFill="1" applyProtection="1">
      <protection locked="0"/>
    </xf>
    <xf numFmtId="0" fontId="2" fillId="4" borderId="0" xfId="5" quotePrefix="1" applyFont="1" applyFill="1"/>
    <xf numFmtId="0" fontId="2" fillId="4" borderId="0" xfId="4" quotePrefix="1" applyFont="1" applyFill="1" applyBorder="1" applyAlignment="1" applyProtection="1">
      <alignment horizontal="center"/>
    </xf>
    <xf numFmtId="0" fontId="24" fillId="4" borderId="0" xfId="5" quotePrefix="1" applyFont="1" applyFill="1"/>
    <xf numFmtId="3" fontId="2" fillId="5" borderId="0" xfId="0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3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0" fillId="0" borderId="0" xfId="0" applyFont="1"/>
    <xf numFmtId="0" fontId="8" fillId="4" borderId="0" xfId="0" applyFont="1" applyFill="1" applyAlignment="1">
      <alignment vertic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7" fillId="4" borderId="16" xfId="0" applyFont="1" applyFill="1" applyBorder="1" applyAlignment="1">
      <alignment horizontal="right"/>
    </xf>
    <xf numFmtId="0" fontId="2" fillId="4" borderId="0" xfId="0" applyFont="1" applyFill="1" applyBorder="1" applyAlignment="1"/>
    <xf numFmtId="0" fontId="7" fillId="4" borderId="18" xfId="0" applyFont="1" applyFill="1" applyBorder="1" applyAlignment="1">
      <alignment horizontal="right" vertical="top"/>
    </xf>
    <xf numFmtId="0" fontId="37" fillId="4" borderId="0" xfId="0" applyFont="1" applyFill="1" applyAlignment="1">
      <alignment vertical="center" wrapText="1"/>
    </xf>
    <xf numFmtId="0" fontId="25" fillId="4" borderId="0" xfId="0" applyFont="1" applyFill="1" applyBorder="1" applyAlignment="1">
      <alignment horizontal="left" vertical="top"/>
    </xf>
    <xf numFmtId="0" fontId="23" fillId="5" borderId="0" xfId="0" applyFont="1" applyFill="1" applyAlignment="1">
      <alignment wrapText="1"/>
    </xf>
    <xf numFmtId="3" fontId="23" fillId="5" borderId="0" xfId="0" applyNumberFormat="1" applyFont="1" applyFill="1" applyAlignment="1">
      <alignment horizontal="right" wrapText="1"/>
    </xf>
    <xf numFmtId="0" fontId="23" fillId="5" borderId="0" xfId="0" applyFont="1" applyFill="1" applyAlignment="1">
      <alignment horizontal="right" wrapText="1"/>
    </xf>
    <xf numFmtId="177" fontId="12" fillId="0" borderId="54" xfId="0" applyNumberFormat="1" applyFont="1" applyFill="1" applyBorder="1" applyAlignment="1">
      <alignment horizontal="left" vertical="center" wrapText="1"/>
    </xf>
    <xf numFmtId="37" fontId="2" fillId="0" borderId="54" xfId="0" applyNumberFormat="1" applyFont="1" applyFill="1" applyBorder="1" applyAlignment="1">
      <alignment horizontal="right" vertical="center"/>
    </xf>
    <xf numFmtId="5" fontId="2" fillId="0" borderId="54" xfId="0" applyNumberFormat="1" applyFont="1" applyFill="1" applyBorder="1" applyAlignment="1">
      <alignment horizontal="right" vertical="center"/>
    </xf>
    <xf numFmtId="7" fontId="2" fillId="0" borderId="54" xfId="0" applyNumberFormat="1" applyFont="1" applyFill="1" applyBorder="1" applyAlignment="1">
      <alignment horizontal="right" vertical="center"/>
    </xf>
    <xf numFmtId="166" fontId="2" fillId="0" borderId="54" xfId="3" applyNumberFormat="1" applyFont="1" applyFill="1" applyBorder="1" applyAlignment="1">
      <alignment horizontal="right" vertical="center"/>
    </xf>
    <xf numFmtId="7" fontId="2" fillId="0" borderId="54" xfId="0" applyNumberFormat="1" applyFont="1" applyBorder="1" applyAlignment="1">
      <alignment horizontal="right" vertical="center"/>
    </xf>
    <xf numFmtId="177" fontId="12" fillId="0" borderId="55" xfId="0" applyNumberFormat="1" applyFont="1" applyFill="1" applyBorder="1" applyAlignment="1">
      <alignment horizontal="left" vertical="center" wrapText="1"/>
    </xf>
    <xf numFmtId="37" fontId="2" fillId="0" borderId="55" xfId="0" applyNumberFormat="1" applyFont="1" applyFill="1" applyBorder="1" applyAlignment="1">
      <alignment horizontal="right" vertical="center"/>
    </xf>
    <xf numFmtId="5" fontId="2" fillId="0" borderId="55" xfId="0" applyNumberFormat="1" applyFont="1" applyFill="1" applyBorder="1" applyAlignment="1">
      <alignment horizontal="right" vertical="center"/>
    </xf>
    <xf numFmtId="7" fontId="2" fillId="0" borderId="55" xfId="0" applyNumberFormat="1" applyFont="1" applyFill="1" applyBorder="1" applyAlignment="1">
      <alignment horizontal="right" vertical="center"/>
    </xf>
    <xf numFmtId="166" fontId="2" fillId="0" borderId="55" xfId="3" applyNumberFormat="1" applyFont="1" applyFill="1" applyBorder="1" applyAlignment="1">
      <alignment horizontal="right" vertical="center"/>
    </xf>
    <xf numFmtId="7" fontId="2" fillId="0" borderId="55" xfId="0" applyNumberFormat="1" applyFont="1" applyBorder="1" applyAlignment="1">
      <alignment horizontal="right" vertical="center"/>
    </xf>
    <xf numFmtId="177" fontId="12" fillId="0" borderId="56" xfId="0" applyNumberFormat="1" applyFont="1" applyFill="1" applyBorder="1" applyAlignment="1">
      <alignment horizontal="left" vertical="center" wrapText="1"/>
    </xf>
    <xf numFmtId="37" fontId="2" fillId="0" borderId="56" xfId="0" applyNumberFormat="1" applyFont="1" applyFill="1" applyBorder="1" applyAlignment="1">
      <alignment horizontal="right" vertical="center"/>
    </xf>
    <xf numFmtId="5" fontId="2" fillId="0" borderId="56" xfId="0" applyNumberFormat="1" applyFont="1" applyFill="1" applyBorder="1" applyAlignment="1">
      <alignment horizontal="right" vertical="center"/>
    </xf>
    <xf numFmtId="7" fontId="2" fillId="0" borderId="56" xfId="0" applyNumberFormat="1" applyFont="1" applyFill="1" applyBorder="1" applyAlignment="1">
      <alignment horizontal="right" vertical="center"/>
    </xf>
    <xf numFmtId="166" fontId="2" fillId="0" borderId="56" xfId="3" applyNumberFormat="1" applyFont="1" applyFill="1" applyBorder="1" applyAlignment="1">
      <alignment horizontal="right" vertical="center"/>
    </xf>
    <xf numFmtId="7" fontId="2" fillId="0" borderId="56" xfId="0" applyNumberFormat="1" applyFont="1" applyBorder="1" applyAlignment="1">
      <alignment horizontal="right" vertical="center"/>
    </xf>
    <xf numFmtId="0" fontId="2" fillId="0" borderId="0" xfId="0" applyFont="1" applyAlignment="1"/>
    <xf numFmtId="5" fontId="2" fillId="0" borderId="0" xfId="0" applyNumberFormat="1" applyFont="1" applyAlignment="1">
      <alignment horizontal="center"/>
    </xf>
    <xf numFmtId="7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5" fillId="4" borderId="0" xfId="0" applyFont="1" applyFill="1" applyAlignment="1">
      <alignment vertical="top"/>
    </xf>
    <xf numFmtId="0" fontId="2" fillId="4" borderId="0" xfId="0" applyFont="1" applyFill="1" applyAlignment="1">
      <alignment vertical="center"/>
    </xf>
    <xf numFmtId="37" fontId="2" fillId="4" borderId="0" xfId="0" applyNumberFormat="1" applyFont="1" applyFill="1" applyBorder="1" applyAlignment="1">
      <alignment horizontal="right" vertical="center"/>
    </xf>
    <xf numFmtId="5" fontId="2" fillId="4" borderId="0" xfId="0" applyNumberFormat="1" applyFont="1" applyFill="1" applyBorder="1" applyAlignment="1">
      <alignment horizontal="right" vertical="center"/>
    </xf>
    <xf numFmtId="7" fontId="2" fillId="0" borderId="0" xfId="0" applyNumberFormat="1" applyFont="1" applyAlignment="1">
      <alignment horizontal="right"/>
    </xf>
    <xf numFmtId="5" fontId="2" fillId="0" borderId="0" xfId="0" applyNumberFormat="1" applyFont="1" applyAlignment="1">
      <alignment horizontal="right" vertical="center"/>
    </xf>
    <xf numFmtId="166" fontId="2" fillId="8" borderId="0" xfId="3" applyNumberFormat="1" applyFont="1" applyFill="1" applyAlignment="1">
      <alignment horizontal="right" vertical="center"/>
    </xf>
    <xf numFmtId="7" fontId="2" fillId="0" borderId="0" xfId="0" applyNumberFormat="1" applyFont="1" applyAlignment="1">
      <alignment horizontal="right" vertical="center"/>
    </xf>
    <xf numFmtId="178" fontId="2" fillId="0" borderId="0" xfId="0" applyNumberFormat="1" applyFont="1" applyAlignment="1">
      <alignment horizontal="center" vertical="center"/>
    </xf>
    <xf numFmtId="37" fontId="2" fillId="0" borderId="0" xfId="0" applyNumberFormat="1" applyFont="1" applyAlignment="1">
      <alignment horizontal="right"/>
    </xf>
    <xf numFmtId="5" fontId="2" fillId="0" borderId="0" xfId="0" applyNumberFormat="1" applyFont="1" applyAlignment="1">
      <alignment horizontal="right"/>
    </xf>
    <xf numFmtId="166" fontId="2" fillId="0" borderId="0" xfId="0" applyNumberFormat="1" applyFont="1" applyAlignment="1">
      <alignment horizontal="right"/>
    </xf>
    <xf numFmtId="166" fontId="2" fillId="0" borderId="0" xfId="3" applyNumberFormat="1" applyFont="1" applyAlignment="1">
      <alignment horizontal="right" vertical="center"/>
    </xf>
    <xf numFmtId="0" fontId="2" fillId="4" borderId="0" xfId="0" applyFont="1" applyFill="1" applyAlignment="1">
      <alignment vertical="top"/>
    </xf>
    <xf numFmtId="3" fontId="2" fillId="4" borderId="0" xfId="0" applyNumberFormat="1" applyFont="1" applyFill="1" applyAlignment="1">
      <alignment horizontal="right" vertical="top"/>
    </xf>
    <xf numFmtId="3" fontId="2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 applyFill="1" applyAlignment="1">
      <alignment horizontal="right"/>
    </xf>
    <xf numFmtId="166" fontId="2" fillId="0" borderId="0" xfId="0" applyNumberFormat="1" applyFont="1" applyFill="1" applyAlignment="1">
      <alignment horizontal="right"/>
    </xf>
    <xf numFmtId="3" fontId="25" fillId="4" borderId="0" xfId="0" applyNumberFormat="1" applyFont="1" applyFill="1" applyAlignment="1">
      <alignment horizontal="center" vertical="top"/>
    </xf>
    <xf numFmtId="0" fontId="25" fillId="4" borderId="0" xfId="0" applyFont="1" applyFill="1" applyAlignment="1">
      <alignment horizontal="center" vertical="top"/>
    </xf>
    <xf numFmtId="0" fontId="2" fillId="0" borderId="0" xfId="0" applyFont="1" applyFill="1" applyAlignment="1">
      <alignment horizontal="center"/>
    </xf>
    <xf numFmtId="37" fontId="2" fillId="0" borderId="0" xfId="0" applyNumberFormat="1" applyFont="1" applyAlignment="1">
      <alignment horizontal="right" vertical="center"/>
    </xf>
    <xf numFmtId="7" fontId="2" fillId="0" borderId="0" xfId="3" applyNumberFormat="1" applyFont="1" applyAlignment="1">
      <alignment horizontal="right" vertical="center"/>
    </xf>
    <xf numFmtId="7" fontId="2" fillId="0" borderId="0" xfId="0" applyNumberFormat="1" applyFont="1" applyFill="1" applyAlignment="1">
      <alignment horizontal="right" vertical="center"/>
    </xf>
    <xf numFmtId="7" fontId="2" fillId="0" borderId="0" xfId="0" applyNumberFormat="1" applyFont="1" applyAlignment="1">
      <alignment horizontal="center" vertical="center"/>
    </xf>
    <xf numFmtId="3" fontId="2" fillId="4" borderId="0" xfId="0" applyNumberFormat="1" applyFont="1" applyFill="1" applyAlignment="1">
      <alignment horizontal="center" vertical="top"/>
    </xf>
    <xf numFmtId="0" fontId="2" fillId="4" borderId="0" xfId="0" applyFont="1" applyFill="1" applyAlignment="1">
      <alignment horizontal="right"/>
    </xf>
    <xf numFmtId="0" fontId="2" fillId="4" borderId="0" xfId="0" applyFont="1" applyFill="1" applyAlignment="1">
      <alignment horizontal="center"/>
    </xf>
    <xf numFmtId="179" fontId="2" fillId="4" borderId="0" xfId="0" applyNumberFormat="1" applyFont="1" applyFill="1" applyAlignment="1">
      <alignment horizontal="right" vertical="center"/>
    </xf>
    <xf numFmtId="179" fontId="2" fillId="4" borderId="0" xfId="0" applyNumberFormat="1" applyFont="1" applyFill="1" applyAlignment="1">
      <alignment horizontal="right"/>
    </xf>
    <xf numFmtId="180" fontId="2" fillId="0" borderId="0" xfId="0" applyNumberFormat="1" applyFont="1" applyFill="1" applyAlignment="1">
      <alignment horizontal="center" vertical="center"/>
    </xf>
    <xf numFmtId="178" fontId="2" fillId="0" borderId="0" xfId="0" applyNumberFormat="1" applyFont="1" applyFill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0" fontId="25" fillId="4" borderId="1" xfId="0" applyFont="1" applyFill="1" applyBorder="1" applyAlignment="1" applyProtection="1">
      <alignment horizontal="left" vertical="top"/>
      <protection locked="0"/>
    </xf>
    <xf numFmtId="3" fontId="2" fillId="0" borderId="2" xfId="0" applyNumberFormat="1" applyFont="1" applyBorder="1" applyAlignment="1" applyProtection="1">
      <alignment horizontal="left"/>
      <protection locked="0"/>
    </xf>
    <xf numFmtId="0" fontId="2" fillId="0" borderId="2" xfId="0" applyFont="1" applyBorder="1" applyAlignment="1" applyProtection="1">
      <alignment horizontal="left"/>
      <protection locked="0"/>
    </xf>
    <xf numFmtId="0" fontId="2" fillId="0" borderId="2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 applyProtection="1">
      <alignment horizontal="left"/>
      <protection locked="0"/>
    </xf>
    <xf numFmtId="0" fontId="2" fillId="0" borderId="4" xfId="0" applyFont="1" applyBorder="1" applyAlignment="1" applyProtection="1">
      <alignment horizontal="left" wrapText="1"/>
      <protection locked="0"/>
    </xf>
    <xf numFmtId="0" fontId="2" fillId="0" borderId="0" xfId="0" applyFont="1" applyBorder="1" applyAlignment="1" applyProtection="1">
      <alignment horizontal="left" wrapText="1"/>
      <protection locked="0"/>
    </xf>
    <xf numFmtId="0" fontId="2" fillId="0" borderId="5" xfId="0" applyFont="1" applyBorder="1" applyAlignment="1" applyProtection="1">
      <alignment horizontal="left" wrapText="1"/>
      <protection locked="0"/>
    </xf>
    <xf numFmtId="0" fontId="2" fillId="0" borderId="6" xfId="0" applyFont="1" applyBorder="1" applyAlignment="1" applyProtection="1">
      <alignment horizontal="left" wrapText="1"/>
      <protection locked="0"/>
    </xf>
    <xf numFmtId="0" fontId="2" fillId="0" borderId="7" xfId="0" applyFont="1" applyBorder="1" applyAlignment="1" applyProtection="1">
      <alignment horizontal="left" wrapText="1"/>
      <protection locked="0"/>
    </xf>
    <xf numFmtId="0" fontId="2" fillId="0" borderId="8" xfId="0" applyFont="1" applyBorder="1" applyAlignment="1" applyProtection="1">
      <alignment horizontal="left" wrapText="1"/>
      <protection locked="0"/>
    </xf>
    <xf numFmtId="0" fontId="20" fillId="4" borderId="0" xfId="0" applyFont="1" applyFill="1" applyProtection="1">
      <protection locked="0"/>
    </xf>
    <xf numFmtId="0" fontId="38" fillId="4" borderId="0" xfId="0" applyFont="1" applyFill="1" applyProtection="1">
      <protection locked="0"/>
    </xf>
    <xf numFmtId="0" fontId="8" fillId="4" borderId="0" xfId="0" applyFont="1" applyFill="1" applyProtection="1">
      <protection locked="0"/>
    </xf>
    <xf numFmtId="0" fontId="0" fillId="4" borderId="0" xfId="0" applyFill="1" applyBorder="1" applyProtection="1">
      <protection locked="0"/>
    </xf>
    <xf numFmtId="0" fontId="0" fillId="4" borderId="0" xfId="0" applyFill="1" applyBorder="1" applyAlignment="1" applyProtection="1">
      <alignment horizontal="left"/>
      <protection locked="0"/>
    </xf>
    <xf numFmtId="14" fontId="0" fillId="4" borderId="0" xfId="0" applyNumberFormat="1" applyFill="1" applyBorder="1" applyAlignment="1" applyProtection="1">
      <alignment horizontal="left"/>
      <protection locked="0"/>
    </xf>
    <xf numFmtId="0" fontId="2" fillId="4" borderId="0" xfId="0" applyFont="1" applyFill="1" applyProtection="1">
      <protection locked="0"/>
    </xf>
    <xf numFmtId="0" fontId="23" fillId="5" borderId="25" xfId="0" applyFont="1" applyFill="1" applyBorder="1" applyAlignment="1" applyProtection="1">
      <alignment horizontal="center" vertical="center"/>
      <protection locked="0"/>
    </xf>
    <xf numFmtId="0" fontId="23" fillId="5" borderId="26" xfId="0" applyFont="1" applyFill="1" applyBorder="1" applyAlignment="1" applyProtection="1">
      <alignment horizontal="center" vertical="center"/>
      <protection locked="0"/>
    </xf>
    <xf numFmtId="0" fontId="23" fillId="5" borderId="27" xfId="0" applyFont="1" applyFill="1" applyBorder="1" applyAlignment="1" applyProtection="1">
      <alignment horizontal="center" vertical="center"/>
      <protection locked="0"/>
    </xf>
    <xf numFmtId="0" fontId="7" fillId="4" borderId="0" xfId="0" applyFont="1" applyFill="1" applyProtection="1">
      <protection locked="0"/>
    </xf>
    <xf numFmtId="0" fontId="23" fillId="5" borderId="21" xfId="0" applyFont="1" applyFill="1" applyBorder="1" applyAlignment="1" applyProtection="1">
      <alignment horizontal="center" vertical="center"/>
      <protection locked="0"/>
    </xf>
    <xf numFmtId="0" fontId="23" fillId="5" borderId="22" xfId="0" applyFont="1" applyFill="1" applyBorder="1" applyAlignment="1" applyProtection="1">
      <alignment horizontal="center" vertical="center"/>
      <protection locked="0"/>
    </xf>
    <xf numFmtId="0" fontId="23" fillId="5" borderId="23" xfId="0" applyFont="1" applyFill="1" applyBorder="1" applyAlignment="1" applyProtection="1">
      <alignment horizontal="center" vertical="center"/>
      <protection locked="0"/>
    </xf>
    <xf numFmtId="0" fontId="7" fillId="4" borderId="0" xfId="0" applyFont="1" applyFill="1" applyBorder="1" applyProtection="1">
      <protection locked="0"/>
    </xf>
    <xf numFmtId="0" fontId="23" fillId="5" borderId="21" xfId="0" applyFont="1" applyFill="1" applyBorder="1" applyAlignment="1" applyProtection="1">
      <alignment horizontal="center" vertical="center"/>
      <protection locked="0"/>
    </xf>
    <xf numFmtId="0" fontId="0" fillId="0" borderId="22" xfId="0" applyBorder="1"/>
    <xf numFmtId="0" fontId="0" fillId="0" borderId="23" xfId="0" applyBorder="1"/>
    <xf numFmtId="0" fontId="23" fillId="5" borderId="22" xfId="0" applyFont="1" applyFill="1" applyBorder="1" applyAlignment="1" applyProtection="1">
      <alignment horizontal="center" vertical="center"/>
      <protection locked="0"/>
    </xf>
    <xf numFmtId="0" fontId="23" fillId="5" borderId="23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Border="1" applyProtection="1"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2" fillId="4" borderId="24" xfId="0" applyFont="1" applyFill="1" applyBorder="1" applyAlignment="1" applyProtection="1">
      <alignment horizontal="center"/>
      <protection locked="0"/>
    </xf>
    <xf numFmtId="0" fontId="2" fillId="4" borderId="0" xfId="0" applyFont="1" applyFill="1" applyBorder="1" applyAlignment="1" applyProtection="1">
      <alignment vertical="center"/>
      <protection locked="0"/>
    </xf>
    <xf numFmtId="0" fontId="2" fillId="7" borderId="12" xfId="0" applyFont="1" applyFill="1" applyBorder="1" applyAlignment="1" applyProtection="1">
      <alignment horizontal="center" vertical="center"/>
      <protection locked="0"/>
    </xf>
    <xf numFmtId="0" fontId="2" fillId="7" borderId="0" xfId="0" applyFont="1" applyFill="1" applyBorder="1" applyAlignment="1" applyProtection="1">
      <alignment horizontal="center" vertical="center"/>
      <protection locked="0"/>
    </xf>
    <xf numFmtId="0" fontId="2" fillId="7" borderId="24" xfId="0" applyFont="1" applyFill="1" applyBorder="1" applyAlignment="1" applyProtection="1">
      <alignment horizontal="center" vertical="center"/>
      <protection locked="0"/>
    </xf>
    <xf numFmtId="0" fontId="2" fillId="4" borderId="12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Border="1" applyAlignment="1" applyProtection="1">
      <alignment horizontal="center" vertical="center"/>
      <protection locked="0"/>
    </xf>
    <xf numFmtId="0" fontId="2" fillId="4" borderId="24" xfId="0" applyFont="1" applyFill="1" applyBorder="1" applyAlignment="1" applyProtection="1">
      <alignment horizontal="center" vertical="center"/>
      <protection locked="0"/>
    </xf>
    <xf numFmtId="0" fontId="23" fillId="6" borderId="12" xfId="0" applyFont="1" applyFill="1" applyBorder="1" applyAlignment="1" applyProtection="1">
      <alignment horizontal="center"/>
      <protection locked="0"/>
    </xf>
    <xf numFmtId="0" fontId="23" fillId="6" borderId="0" xfId="0" applyFont="1" applyFill="1" applyBorder="1" applyAlignment="1" applyProtection="1">
      <alignment horizontal="center"/>
      <protection locked="0"/>
    </xf>
    <xf numFmtId="0" fontId="23" fillId="6" borderId="24" xfId="0" applyFont="1" applyFill="1" applyBorder="1" applyAlignment="1" applyProtection="1">
      <alignment horizontal="center"/>
      <protection locked="0"/>
    </xf>
    <xf numFmtId="171" fontId="2" fillId="4" borderId="12" xfId="0" applyNumberFormat="1" applyFont="1" applyFill="1" applyBorder="1" applyAlignment="1" applyProtection="1">
      <alignment horizontal="center"/>
      <protection locked="0"/>
    </xf>
    <xf numFmtId="171" fontId="2" fillId="4" borderId="0" xfId="0" applyNumberFormat="1" applyFont="1" applyFill="1" applyBorder="1" applyAlignment="1" applyProtection="1">
      <alignment horizontal="center"/>
      <protection locked="0"/>
    </xf>
    <xf numFmtId="171" fontId="2" fillId="4" borderId="24" xfId="0" applyNumberFormat="1" applyFont="1" applyFill="1" applyBorder="1" applyAlignment="1" applyProtection="1">
      <alignment horizontal="center"/>
      <protection locked="0"/>
    </xf>
    <xf numFmtId="171" fontId="2" fillId="4" borderId="12" xfId="0" applyNumberFormat="1" applyFont="1" applyFill="1" applyBorder="1" applyAlignment="1" applyProtection="1">
      <alignment horizontal="center"/>
      <protection locked="0"/>
    </xf>
    <xf numFmtId="171" fontId="2" fillId="4" borderId="0" xfId="0" applyNumberFormat="1" applyFont="1" applyFill="1" applyBorder="1" applyAlignment="1" applyProtection="1">
      <alignment horizontal="center"/>
      <protection locked="0"/>
    </xf>
    <xf numFmtId="171" fontId="2" fillId="4" borderId="24" xfId="0" applyNumberFormat="1" applyFont="1" applyFill="1" applyBorder="1" applyAlignment="1" applyProtection="1">
      <alignment horizontal="center"/>
      <protection locked="0"/>
    </xf>
    <xf numFmtId="9" fontId="2" fillId="4" borderId="12" xfId="0" applyNumberFormat="1" applyFont="1" applyFill="1" applyBorder="1" applyAlignment="1" applyProtection="1">
      <alignment horizontal="center"/>
      <protection locked="0"/>
    </xf>
    <xf numFmtId="9" fontId="2" fillId="4" borderId="0" xfId="0" applyNumberFormat="1" applyFont="1" applyFill="1" applyBorder="1" applyAlignment="1" applyProtection="1">
      <alignment horizontal="center"/>
      <protection locked="0"/>
    </xf>
    <xf numFmtId="9" fontId="2" fillId="4" borderId="24" xfId="0" applyNumberFormat="1" applyFont="1" applyFill="1" applyBorder="1" applyAlignment="1" applyProtection="1">
      <alignment horizontal="center"/>
      <protection locked="0"/>
    </xf>
    <xf numFmtId="0" fontId="2" fillId="4" borderId="12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171" fontId="2" fillId="4" borderId="12" xfId="0" applyNumberFormat="1" applyFont="1" applyFill="1" applyBorder="1" applyAlignment="1" applyProtection="1">
      <alignment horizontal="center" vertical="center" wrapText="1"/>
      <protection locked="0"/>
    </xf>
    <xf numFmtId="171" fontId="2" fillId="4" borderId="0" xfId="0" applyNumberFormat="1" applyFont="1" applyFill="1" applyBorder="1" applyAlignment="1" applyProtection="1">
      <alignment horizontal="center" vertical="center" wrapText="1"/>
      <protection locked="0"/>
    </xf>
    <xf numFmtId="171" fontId="2" fillId="4" borderId="24" xfId="0" applyNumberFormat="1" applyFont="1" applyFill="1" applyBorder="1" applyAlignment="1" applyProtection="1">
      <alignment horizontal="center" vertical="center" wrapText="1"/>
      <protection locked="0"/>
    </xf>
    <xf numFmtId="171" fontId="2" fillId="4" borderId="12" xfId="0" applyNumberFormat="1" applyFont="1" applyFill="1" applyBorder="1" applyAlignment="1" applyProtection="1">
      <alignment horizontal="center" vertical="center"/>
      <protection locked="0"/>
    </xf>
    <xf numFmtId="171" fontId="2" fillId="4" borderId="0" xfId="0" applyNumberFormat="1" applyFont="1" applyFill="1" applyBorder="1" applyAlignment="1" applyProtection="1">
      <alignment horizontal="center" vertical="center"/>
      <protection locked="0"/>
    </xf>
    <xf numFmtId="171" fontId="2" fillId="4" borderId="24" xfId="0" applyNumberFormat="1" applyFont="1" applyFill="1" applyBorder="1" applyAlignment="1" applyProtection="1">
      <alignment horizontal="center" vertical="center"/>
      <protection locked="0"/>
    </xf>
    <xf numFmtId="0" fontId="23" fillId="6" borderId="12" xfId="0" applyFont="1" applyFill="1" applyBorder="1" applyAlignment="1" applyProtection="1">
      <alignment horizontal="center"/>
      <protection locked="0"/>
    </xf>
    <xf numFmtId="1" fontId="23" fillId="6" borderId="0" xfId="0" applyNumberFormat="1" applyFont="1" applyFill="1" applyBorder="1" applyAlignment="1" applyProtection="1">
      <alignment horizontal="center"/>
      <protection locked="0"/>
    </xf>
    <xf numFmtId="1" fontId="23" fillId="6" borderId="24" xfId="0" applyNumberFormat="1" applyFont="1" applyFill="1" applyBorder="1" applyAlignment="1" applyProtection="1">
      <alignment horizontal="center"/>
      <protection locked="0"/>
    </xf>
    <xf numFmtId="3" fontId="2" fillId="4" borderId="12" xfId="0" applyNumberFormat="1" applyFont="1" applyFill="1" applyBorder="1" applyAlignment="1" applyProtection="1">
      <alignment horizontal="center"/>
      <protection locked="0"/>
    </xf>
    <xf numFmtId="167" fontId="7" fillId="4" borderId="0" xfId="0" applyNumberFormat="1" applyFont="1" applyFill="1" applyBorder="1" applyAlignment="1" applyProtection="1">
      <alignment horizontal="center"/>
      <protection locked="0"/>
    </xf>
    <xf numFmtId="4" fontId="7" fillId="4" borderId="24" xfId="0" applyNumberFormat="1" applyFont="1" applyFill="1" applyBorder="1" applyAlignment="1" applyProtection="1">
      <alignment horizontal="center"/>
      <protection locked="0"/>
    </xf>
    <xf numFmtId="172" fontId="7" fillId="4" borderId="12" xfId="0" applyNumberFormat="1" applyFont="1" applyFill="1" applyBorder="1" applyAlignment="1" applyProtection="1">
      <alignment horizontal="center"/>
      <protection locked="0"/>
    </xf>
    <xf numFmtId="172" fontId="7" fillId="4" borderId="0" xfId="0" applyNumberFormat="1" applyFont="1" applyFill="1" applyBorder="1" applyAlignment="1" applyProtection="1">
      <alignment horizontal="center"/>
      <protection locked="0"/>
    </xf>
    <xf numFmtId="172" fontId="7" fillId="4" borderId="24" xfId="0" applyNumberFormat="1" applyFont="1" applyFill="1" applyBorder="1" applyAlignment="1" applyProtection="1">
      <alignment horizontal="center"/>
      <protection locked="0"/>
    </xf>
    <xf numFmtId="0" fontId="7" fillId="4" borderId="0" xfId="0" applyFont="1" applyFill="1" applyBorder="1" applyAlignment="1" applyProtection="1">
      <alignment vertical="center"/>
      <protection locked="0"/>
    </xf>
    <xf numFmtId="171" fontId="7" fillId="4" borderId="31" xfId="0" applyNumberFormat="1" applyFont="1" applyFill="1" applyBorder="1" applyAlignment="1" applyProtection="1">
      <alignment horizontal="center" vertical="center"/>
      <protection locked="0"/>
    </xf>
    <xf numFmtId="171" fontId="7" fillId="4" borderId="32" xfId="0" applyNumberFormat="1" applyFont="1" applyFill="1" applyBorder="1" applyAlignment="1" applyProtection="1">
      <alignment horizontal="center" vertical="center"/>
      <protection locked="0"/>
    </xf>
    <xf numFmtId="171" fontId="7" fillId="4" borderId="33" xfId="0" applyNumberFormat="1" applyFont="1" applyFill="1" applyBorder="1" applyAlignment="1" applyProtection="1">
      <alignment horizontal="center" vertical="center"/>
      <protection locked="0"/>
    </xf>
    <xf numFmtId="171" fontId="7" fillId="4" borderId="25" xfId="0" applyNumberFormat="1" applyFont="1" applyFill="1" applyBorder="1" applyAlignment="1" applyProtection="1">
      <alignment horizontal="center" vertical="center"/>
      <protection locked="0"/>
    </xf>
    <xf numFmtId="171" fontId="7" fillId="4" borderId="26" xfId="0" applyNumberFormat="1" applyFont="1" applyFill="1" applyBorder="1" applyAlignment="1" applyProtection="1">
      <alignment horizontal="center" vertical="center"/>
      <protection locked="0"/>
    </xf>
    <xf numFmtId="171" fontId="7" fillId="4" borderId="27" xfId="0" applyNumberFormat="1" applyFont="1" applyFill="1" applyBorder="1" applyAlignment="1" applyProtection="1">
      <alignment horizontal="center" vertical="center"/>
      <protection locked="0"/>
    </xf>
    <xf numFmtId="171" fontId="7" fillId="4" borderId="0" xfId="0" applyNumberFormat="1" applyFont="1" applyFill="1" applyBorder="1" applyAlignment="1" applyProtection="1">
      <alignment horizontal="center" vertical="center"/>
      <protection locked="0"/>
    </xf>
    <xf numFmtId="166" fontId="7" fillId="4" borderId="25" xfId="0" applyNumberFormat="1" applyFont="1" applyFill="1" applyBorder="1" applyAlignment="1" applyProtection="1">
      <alignment horizontal="center" vertical="center"/>
      <protection locked="0"/>
    </xf>
    <xf numFmtId="166" fontId="7" fillId="4" borderId="26" xfId="0" applyNumberFormat="1" applyFont="1" applyFill="1" applyBorder="1" applyAlignment="1" applyProtection="1">
      <alignment horizontal="center" vertical="center"/>
      <protection locked="0"/>
    </xf>
    <xf numFmtId="166" fontId="7" fillId="4" borderId="27" xfId="0" applyNumberFormat="1" applyFont="1" applyFill="1" applyBorder="1" applyAlignment="1" applyProtection="1">
      <alignment horizontal="center" vertical="center"/>
      <protection locked="0"/>
    </xf>
    <xf numFmtId="171" fontId="7" fillId="4" borderId="25" xfId="3" applyNumberFormat="1" applyFont="1" applyFill="1" applyBorder="1" applyAlignment="1" applyProtection="1">
      <alignment horizontal="center" vertical="center"/>
      <protection locked="0"/>
    </xf>
    <xf numFmtId="171" fontId="0" fillId="0" borderId="26" xfId="3" applyNumberFormat="1" applyFont="1" applyBorder="1" applyAlignment="1">
      <alignment horizontal="center" vertical="center"/>
    </xf>
    <xf numFmtId="171" fontId="0" fillId="0" borderId="27" xfId="3" applyNumberFormat="1" applyFont="1" applyBorder="1" applyAlignment="1">
      <alignment horizontal="center" vertical="center"/>
    </xf>
    <xf numFmtId="166" fontId="0" fillId="0" borderId="26" xfId="0" applyNumberFormat="1" applyBorder="1" applyAlignment="1">
      <alignment horizontal="center" vertical="center"/>
    </xf>
    <xf numFmtId="166" fontId="0" fillId="0" borderId="27" xfId="0" applyNumberFormat="1" applyBorder="1" applyAlignment="1">
      <alignment horizontal="center" vertical="center"/>
    </xf>
    <xf numFmtId="0" fontId="6" fillId="4" borderId="0" xfId="0" applyFont="1" applyFill="1" applyProtection="1">
      <protection locked="0"/>
    </xf>
    <xf numFmtId="166" fontId="2" fillId="4" borderId="0" xfId="0" applyNumberFormat="1" applyFont="1" applyFill="1" applyBorder="1" applyAlignment="1" applyProtection="1">
      <alignment vertical="center"/>
      <protection locked="0"/>
    </xf>
    <xf numFmtId="166" fontId="7" fillId="4" borderId="0" xfId="0" applyNumberFormat="1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Protection="1">
      <protection locked="0"/>
    </xf>
    <xf numFmtId="0" fontId="2" fillId="2" borderId="57" xfId="0" applyFont="1" applyFill="1" applyBorder="1" applyAlignment="1" applyProtection="1">
      <alignment wrapText="1"/>
      <protection locked="0"/>
    </xf>
    <xf numFmtId="0" fontId="2" fillId="2" borderId="58" xfId="0" applyFont="1" applyFill="1" applyBorder="1" applyAlignment="1" applyProtection="1">
      <alignment wrapText="1"/>
      <protection locked="0"/>
    </xf>
    <xf numFmtId="0" fontId="2" fillId="2" borderId="59" xfId="0" applyFont="1" applyFill="1" applyBorder="1" applyAlignment="1" applyProtection="1">
      <alignment wrapText="1"/>
      <protection locked="0"/>
    </xf>
    <xf numFmtId="0" fontId="2" fillId="2" borderId="60" xfId="0" applyFont="1" applyFill="1" applyBorder="1" applyAlignment="1" applyProtection="1">
      <alignment wrapText="1"/>
      <protection locked="0"/>
    </xf>
    <xf numFmtId="0" fontId="2" fillId="2" borderId="0" xfId="0" applyFont="1" applyFill="1" applyBorder="1" applyAlignment="1" applyProtection="1">
      <alignment wrapText="1"/>
      <protection locked="0"/>
    </xf>
    <xf numFmtId="0" fontId="2" fillId="2" borderId="61" xfId="0" applyFont="1" applyFill="1" applyBorder="1" applyAlignment="1" applyProtection="1">
      <alignment wrapText="1"/>
      <protection locked="0"/>
    </xf>
    <xf numFmtId="0" fontId="8" fillId="2" borderId="60" xfId="0" applyFont="1" applyFill="1" applyBorder="1" applyAlignment="1" applyProtection="1">
      <alignment horizontal="left" wrapText="1"/>
      <protection locked="0"/>
    </xf>
    <xf numFmtId="0" fontId="8" fillId="2" borderId="0" xfId="0" applyFont="1" applyFill="1" applyBorder="1" applyAlignment="1" applyProtection="1">
      <alignment horizontal="left" wrapText="1"/>
      <protection locked="0"/>
    </xf>
    <xf numFmtId="0" fontId="8" fillId="2" borderId="0" xfId="0" applyFont="1" applyFill="1" applyBorder="1" applyAlignment="1" applyProtection="1">
      <alignment horizontal="right" wrapText="1"/>
      <protection locked="0"/>
    </xf>
    <xf numFmtId="0" fontId="7" fillId="2" borderId="60" xfId="0" applyFont="1" applyFill="1" applyBorder="1" applyAlignment="1" applyProtection="1">
      <alignment horizontal="left" wrapText="1"/>
      <protection locked="0"/>
    </xf>
    <xf numFmtId="0" fontId="7" fillId="2" borderId="0" xfId="0" applyFont="1" applyFill="1" applyBorder="1" applyAlignment="1" applyProtection="1">
      <alignment horizontal="left" wrapText="1"/>
      <protection locked="0"/>
    </xf>
    <xf numFmtId="0" fontId="2" fillId="2" borderId="60" xfId="0" applyFont="1" applyFill="1" applyBorder="1" applyAlignment="1" applyProtection="1">
      <alignment horizontal="left" wrapText="1"/>
      <protection locked="0"/>
    </xf>
    <xf numFmtId="0" fontId="39" fillId="2" borderId="60" xfId="0" applyFont="1" applyFill="1" applyBorder="1" applyAlignment="1" applyProtection="1">
      <alignment wrapText="1"/>
      <protection locked="0"/>
    </xf>
    <xf numFmtId="0" fontId="39" fillId="2" borderId="0" xfId="0" applyFont="1" applyFill="1" applyBorder="1" applyAlignment="1" applyProtection="1">
      <alignment wrapText="1"/>
      <protection locked="0"/>
    </xf>
    <xf numFmtId="9" fontId="2" fillId="4" borderId="12" xfId="0" applyNumberFormat="1" applyFont="1" applyFill="1" applyBorder="1" applyAlignment="1" applyProtection="1">
      <alignment horizontal="center"/>
      <protection locked="0"/>
    </xf>
    <xf numFmtId="9" fontId="2" fillId="4" borderId="0" xfId="0" applyNumberFormat="1" applyFont="1" applyFill="1" applyBorder="1" applyAlignment="1" applyProtection="1">
      <alignment horizontal="center"/>
      <protection locked="0"/>
    </xf>
    <xf numFmtId="9" fontId="2" fillId="4" borderId="24" xfId="0" applyNumberFormat="1" applyFont="1" applyFill="1" applyBorder="1" applyAlignment="1" applyProtection="1">
      <alignment horizontal="center"/>
      <protection locked="0"/>
    </xf>
    <xf numFmtId="0" fontId="40" fillId="2" borderId="62" xfId="0" applyFont="1" applyFill="1" applyBorder="1" applyAlignment="1" applyProtection="1">
      <alignment horizontal="left" wrapText="1"/>
      <protection locked="0"/>
    </xf>
    <xf numFmtId="0" fontId="40" fillId="2" borderId="10" xfId="0" applyFont="1" applyFill="1" applyBorder="1" applyAlignment="1" applyProtection="1">
      <alignment horizontal="center" wrapText="1"/>
      <protection locked="0"/>
    </xf>
    <xf numFmtId="0" fontId="41" fillId="2" borderId="10" xfId="0" applyFont="1" applyFill="1" applyBorder="1" applyAlignment="1" applyProtection="1">
      <alignment horizontal="center" vertical="center" wrapText="1"/>
      <protection locked="0"/>
    </xf>
    <xf numFmtId="0" fontId="40" fillId="2" borderId="10" xfId="0" applyFont="1" applyFill="1" applyBorder="1" applyAlignment="1" applyProtection="1">
      <alignment horizontal="left" wrapText="1"/>
      <protection locked="0"/>
    </xf>
    <xf numFmtId="0" fontId="7" fillId="2" borderId="10" xfId="0" applyFont="1" applyFill="1" applyBorder="1" applyAlignment="1" applyProtection="1">
      <alignment horizontal="center" wrapText="1"/>
      <protection locked="0"/>
    </xf>
    <xf numFmtId="0" fontId="2" fillId="2" borderId="10" xfId="0" applyFont="1" applyFill="1" applyBorder="1" applyAlignment="1" applyProtection="1">
      <alignment wrapText="1"/>
      <protection locked="0"/>
    </xf>
    <xf numFmtId="0" fontId="2" fillId="2" borderId="63" xfId="0" applyFont="1" applyFill="1" applyBorder="1" applyAlignment="1" applyProtection="1">
      <alignment wrapText="1"/>
      <protection locked="0"/>
    </xf>
    <xf numFmtId="171" fontId="2" fillId="4" borderId="12" xfId="0" applyNumberFormat="1" applyFont="1" applyFill="1" applyBorder="1" applyAlignment="1" applyProtection="1">
      <alignment horizontal="center" vertical="center"/>
      <protection locked="0"/>
    </xf>
    <xf numFmtId="171" fontId="2" fillId="4" borderId="0" xfId="0" applyNumberFormat="1" applyFont="1" applyFill="1" applyBorder="1" applyAlignment="1" applyProtection="1">
      <alignment horizontal="center" vertical="center"/>
      <protection locked="0"/>
    </xf>
    <xf numFmtId="171" fontId="2" fillId="4" borderId="24" xfId="0" applyNumberFormat="1" applyFont="1" applyFill="1" applyBorder="1" applyAlignment="1" applyProtection="1">
      <alignment horizontal="center" vertical="center"/>
      <protection locked="0"/>
    </xf>
    <xf numFmtId="0" fontId="23" fillId="4" borderId="0" xfId="0" applyFont="1" applyFill="1" applyBorder="1" applyAlignment="1" applyProtection="1">
      <alignment horizontal="center"/>
      <protection locked="0"/>
    </xf>
    <xf numFmtId="0" fontId="7" fillId="4" borderId="0" xfId="0" applyFont="1" applyFill="1" applyBorder="1" applyAlignment="1" applyProtection="1">
      <protection locked="0"/>
    </xf>
    <xf numFmtId="0" fontId="7" fillId="4" borderId="0" xfId="0" applyFont="1" applyFill="1" applyBorder="1" applyAlignment="1" applyProtection="1">
      <alignment vertical="center"/>
      <protection locked="0"/>
    </xf>
    <xf numFmtId="0" fontId="0" fillId="4" borderId="0" xfId="0" applyFill="1" applyAlignment="1" applyProtection="1">
      <protection locked="0"/>
    </xf>
    <xf numFmtId="0" fontId="0" fillId="4" borderId="0" xfId="0" applyFill="1" applyAlignment="1" applyProtection="1">
      <protection locked="0"/>
    </xf>
    <xf numFmtId="172" fontId="7" fillId="4" borderId="12" xfId="0" applyNumberFormat="1" applyFont="1" applyFill="1" applyBorder="1" applyAlignment="1" applyProtection="1">
      <alignment horizontal="center"/>
      <protection locked="0"/>
    </xf>
    <xf numFmtId="172" fontId="7" fillId="4" borderId="0" xfId="0" applyNumberFormat="1" applyFont="1" applyFill="1" applyBorder="1" applyAlignment="1" applyProtection="1">
      <alignment horizontal="center"/>
      <protection locked="0"/>
    </xf>
    <xf numFmtId="172" fontId="7" fillId="4" borderId="24" xfId="0" applyNumberFormat="1" applyFont="1" applyFill="1" applyBorder="1" applyAlignment="1" applyProtection="1">
      <alignment horizontal="center"/>
      <protection locked="0"/>
    </xf>
    <xf numFmtId="171" fontId="7" fillId="4" borderId="31" xfId="0" applyNumberFormat="1" applyFont="1" applyFill="1" applyBorder="1" applyAlignment="1" applyProtection="1">
      <alignment horizontal="center" vertical="center"/>
      <protection locked="0"/>
    </xf>
    <xf numFmtId="171" fontId="7" fillId="4" borderId="32" xfId="0" applyNumberFormat="1" applyFont="1" applyFill="1" applyBorder="1" applyAlignment="1" applyProtection="1">
      <alignment horizontal="center" vertical="center"/>
      <protection locked="0"/>
    </xf>
    <xf numFmtId="171" fontId="7" fillId="4" borderId="33" xfId="0" applyNumberFormat="1" applyFont="1" applyFill="1" applyBorder="1" applyAlignment="1" applyProtection="1">
      <alignment horizontal="center" vertical="center"/>
      <protection locked="0"/>
    </xf>
  </cellXfs>
  <cellStyles count="93">
    <cellStyle name="Calc Currency (0)" xfId="7"/>
    <cellStyle name="Calc Currency (0) 2" xfId="8"/>
    <cellStyle name="Calc Currency (2)" xfId="9"/>
    <cellStyle name="Calc Currency (2) 2" xfId="10"/>
    <cellStyle name="Calc Percent (0)" xfId="11"/>
    <cellStyle name="Calc Percent (0) 2" xfId="12"/>
    <cellStyle name="Calc Percent (1)" xfId="13"/>
    <cellStyle name="Calc Percent (1) 2" xfId="14"/>
    <cellStyle name="Calc Percent (2)" xfId="15"/>
    <cellStyle name="Calc Percent (2) 2" xfId="16"/>
    <cellStyle name="Calc Units (0)" xfId="17"/>
    <cellStyle name="Calc Units (0) 2" xfId="18"/>
    <cellStyle name="Calc Units (1)" xfId="19"/>
    <cellStyle name="Calc Units (1) 2" xfId="20"/>
    <cellStyle name="Calc Units (2)" xfId="21"/>
    <cellStyle name="Calc Units (2) 2" xfId="22"/>
    <cellStyle name="Comma" xfId="1" builtinId="3"/>
    <cellStyle name="Comma [00]" xfId="23"/>
    <cellStyle name="Comma [00] 2" xfId="24"/>
    <cellStyle name="Comma 2" xfId="25"/>
    <cellStyle name="Comma 3" xfId="26"/>
    <cellStyle name="Currency" xfId="2" builtinId="4"/>
    <cellStyle name="Currency [00]" xfId="27"/>
    <cellStyle name="Currency [00] 2" xfId="28"/>
    <cellStyle name="Currency 2" xfId="29"/>
    <cellStyle name="Currency 3" xfId="30"/>
    <cellStyle name="Date Short" xfId="31"/>
    <cellStyle name="DELTA" xfId="32"/>
    <cellStyle name="Enter Currency (0)" xfId="33"/>
    <cellStyle name="Enter Currency (0) 2" xfId="34"/>
    <cellStyle name="Enter Currency (2)" xfId="35"/>
    <cellStyle name="Enter Currency (2) 2" xfId="36"/>
    <cellStyle name="Enter Units (0)" xfId="37"/>
    <cellStyle name="Enter Units (0) 2" xfId="38"/>
    <cellStyle name="Enter Units (1)" xfId="39"/>
    <cellStyle name="Enter Units (1) 2" xfId="40"/>
    <cellStyle name="Enter Units (2)" xfId="41"/>
    <cellStyle name="Enter Units (2) 2" xfId="42"/>
    <cellStyle name="Header1" xfId="43"/>
    <cellStyle name="Header2" xfId="44"/>
    <cellStyle name="Hyperlink_Run Down Template" xfId="45"/>
    <cellStyle name="Link Currency (0)" xfId="46"/>
    <cellStyle name="Link Currency (0) 2" xfId="47"/>
    <cellStyle name="Link Currency (2)" xfId="48"/>
    <cellStyle name="Link Currency (2) 2" xfId="49"/>
    <cellStyle name="Link Units (0)" xfId="50"/>
    <cellStyle name="Link Units (0) 2" xfId="51"/>
    <cellStyle name="Link Units (1)" xfId="52"/>
    <cellStyle name="Link Units (1) 2" xfId="53"/>
    <cellStyle name="Link Units (2)" xfId="54"/>
    <cellStyle name="Link Units (2) 2" xfId="55"/>
    <cellStyle name="Normal" xfId="0" builtinId="0"/>
    <cellStyle name="Normal - Style1" xfId="56"/>
    <cellStyle name="Normal 2" xfId="57"/>
    <cellStyle name="Normal 2 2" xfId="58"/>
    <cellStyle name="Normal 2 3" xfId="59"/>
    <cellStyle name="Normal 3" xfId="60"/>
    <cellStyle name="Normal 34 3" xfId="61"/>
    <cellStyle name="Normal 4" xfId="6"/>
    <cellStyle name="Normal 5" xfId="62"/>
    <cellStyle name="Normal 6" xfId="63"/>
    <cellStyle name="Normal 7" xfId="64"/>
    <cellStyle name="Normal 8" xfId="65"/>
    <cellStyle name="Normal 9" xfId="66"/>
    <cellStyle name="Normal_AZrenewal1001" xfId="4"/>
    <cellStyle name="Normal_Renewal.Split.Temp" xfId="5"/>
    <cellStyle name="Percent" xfId="3" builtinId="5"/>
    <cellStyle name="Percent [0]" xfId="67"/>
    <cellStyle name="Percent [0] 2" xfId="68"/>
    <cellStyle name="Percent [00]" xfId="69"/>
    <cellStyle name="Percent [00] 2" xfId="70"/>
    <cellStyle name="Percent 2" xfId="71"/>
    <cellStyle name="Percent 3" xfId="72"/>
    <cellStyle name="PrePop Currency (0)" xfId="73"/>
    <cellStyle name="PrePop Currency (0) 2" xfId="74"/>
    <cellStyle name="PrePop Currency (2)" xfId="75"/>
    <cellStyle name="PrePop Currency (2) 2" xfId="76"/>
    <cellStyle name="PrePop Units (0)" xfId="77"/>
    <cellStyle name="PrePop Units (0) 2" xfId="78"/>
    <cellStyle name="PrePop Units (1)" xfId="79"/>
    <cellStyle name="PrePop Units (1) 2" xfId="80"/>
    <cellStyle name="PrePop Units (2)" xfId="81"/>
    <cellStyle name="PrePop Units (2) 2" xfId="82"/>
    <cellStyle name="Product Header" xfId="83"/>
    <cellStyle name="results" xfId="84"/>
    <cellStyle name="Short $" xfId="85"/>
    <cellStyle name="Short $ 2" xfId="86"/>
    <cellStyle name="TABLE" xfId="87"/>
    <cellStyle name="Text Indent A" xfId="88"/>
    <cellStyle name="Text Indent B" xfId="89"/>
    <cellStyle name="Text Indent B 2" xfId="90"/>
    <cellStyle name="Text Indent C" xfId="91"/>
    <cellStyle name="Text Indent C 2" xfId="9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879196"/>
      <rgbColor rgb="00005293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Mid\2018%20Calendar%20Year\2018%20Key%20Accounts-%20Renewals\Kyriba%20Corporation\Kyriba%20Corporation_PM_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 Ldg Tab"/>
      <sheetName val="CaseHistory"/>
      <sheetName val="Data Entry"/>
      <sheetName val="MRS"/>
      <sheetName val="Plan Change"/>
      <sheetName val="RJW"/>
      <sheetName val="Ren Info"/>
      <sheetName val="UAF"/>
      <sheetName val="Exhibit"/>
      <sheetName val="Table"/>
      <sheetName val="Total"/>
      <sheetName val="By Site"/>
      <sheetName val="MPE"/>
      <sheetName val="PvCI IN"/>
      <sheetName val="HSA MPE"/>
      <sheetName val="PvCI Rpt"/>
      <sheetName val="Appeal"/>
      <sheetName val="CustRpt"/>
      <sheetName val="LgClaimant"/>
      <sheetName val="Tracking"/>
      <sheetName val="PUFF"/>
      <sheetName val="PUFFMap"/>
      <sheetName val="KARTOutput"/>
      <sheetName val="MPE Table"/>
      <sheetName val="Sheet1"/>
    </sheetNames>
    <sheetDataSet>
      <sheetData sheetId="0"/>
      <sheetData sheetId="1">
        <row r="11">
          <cell r="O11" t="str">
            <v>Original UW Work-Up</v>
          </cell>
        </row>
        <row r="12">
          <cell r="O12" t="str">
            <v>Internal UW Block Meeting</v>
          </cell>
        </row>
        <row r="13">
          <cell r="O13" t="str">
            <v>Block Call - Sales</v>
          </cell>
        </row>
        <row r="14">
          <cell r="O14" t="str">
            <v>Appeal</v>
          </cell>
        </row>
        <row r="15">
          <cell r="O15" t="str">
            <v>Error Correction</v>
          </cell>
        </row>
        <row r="16">
          <cell r="O16" t="str">
            <v>Commission/Fee Change</v>
          </cell>
        </row>
        <row r="17">
          <cell r="O17" t="str">
            <v>Final Sold</v>
          </cell>
        </row>
        <row r="18">
          <cell r="O18" t="str">
            <v>Other</v>
          </cell>
        </row>
        <row r="21">
          <cell r="O21" t="str">
            <v>Original UW Work-Up</v>
          </cell>
        </row>
        <row r="22">
          <cell r="O22" t="str">
            <v>Phone Conversation</v>
          </cell>
        </row>
        <row r="23">
          <cell r="O23" t="str">
            <v>E-mail</v>
          </cell>
        </row>
        <row r="24">
          <cell r="O24" t="str">
            <v>Meeting</v>
          </cell>
        </row>
        <row r="25">
          <cell r="O25" t="str">
            <v>Final Sold</v>
          </cell>
        </row>
        <row r="26">
          <cell r="O26" t="str">
            <v>Error Correction</v>
          </cell>
        </row>
        <row r="27">
          <cell r="O27" t="str">
            <v>Other</v>
          </cell>
        </row>
      </sheetData>
      <sheetData sheetId="2">
        <row r="3">
          <cell r="B3" t="str">
            <v>South CA</v>
          </cell>
        </row>
        <row r="4">
          <cell r="CL4" t="str">
            <v>AK</v>
          </cell>
        </row>
        <row r="5">
          <cell r="CL5" t="str">
            <v>AL</v>
          </cell>
        </row>
        <row r="6">
          <cell r="CL6" t="str">
            <v>AR</v>
          </cell>
        </row>
        <row r="7">
          <cell r="CL7" t="str">
            <v>AUS</v>
          </cell>
        </row>
        <row r="8">
          <cell r="CL8" t="str">
            <v>AZ</v>
          </cell>
        </row>
        <row r="9">
          <cell r="CL9" t="str">
            <v>North CA</v>
          </cell>
        </row>
        <row r="10">
          <cell r="CL10" t="str">
            <v>North CA EASY</v>
          </cell>
        </row>
        <row r="11">
          <cell r="CL11" t="str">
            <v>South CA</v>
          </cell>
        </row>
        <row r="12">
          <cell r="CL12" t="str">
            <v>South CA EASY</v>
          </cell>
        </row>
        <row r="13">
          <cell r="CL13" t="str">
            <v>CO</v>
          </cell>
        </row>
        <row r="14">
          <cell r="CL14" t="str">
            <v>CT</v>
          </cell>
        </row>
        <row r="15">
          <cell r="CL15" t="str">
            <v>DAL</v>
          </cell>
        </row>
        <row r="16">
          <cell r="CL16" t="str">
            <v>DC</v>
          </cell>
        </row>
        <row r="17">
          <cell r="CL17" t="str">
            <v>DE</v>
          </cell>
        </row>
        <row r="18">
          <cell r="CL18" t="str">
            <v>DES</v>
          </cell>
        </row>
        <row r="19">
          <cell r="CL19" t="str">
            <v>GA</v>
          </cell>
        </row>
        <row r="20">
          <cell r="CL20" t="str">
            <v>HI</v>
          </cell>
        </row>
        <row r="21">
          <cell r="CL21" t="str">
            <v>HOU</v>
          </cell>
        </row>
        <row r="22">
          <cell r="CL22" t="str">
            <v>ID</v>
          </cell>
        </row>
        <row r="23">
          <cell r="CL23" t="str">
            <v>IL-602</v>
          </cell>
        </row>
        <row r="24">
          <cell r="CL24" t="str">
            <v>IL-CHICAGO</v>
          </cell>
        </row>
        <row r="25">
          <cell r="CL25" t="str">
            <v>IL-Quad Cities</v>
          </cell>
        </row>
        <row r="26">
          <cell r="CL26" t="str">
            <v>IN</v>
          </cell>
        </row>
        <row r="27">
          <cell r="CL27" t="str">
            <v>JACKSONVILLE</v>
          </cell>
        </row>
        <row r="28">
          <cell r="CL28" t="str">
            <v>JDH-IA</v>
          </cell>
        </row>
        <row r="29">
          <cell r="CL29" t="str">
            <v>JDH-ILL</v>
          </cell>
        </row>
        <row r="30">
          <cell r="CL30" t="str">
            <v>JDH-VA</v>
          </cell>
        </row>
        <row r="31">
          <cell r="CL31" t="str">
            <v>KC KS</v>
          </cell>
        </row>
        <row r="32">
          <cell r="CL32" t="str">
            <v>KC MO</v>
          </cell>
        </row>
        <row r="33">
          <cell r="CL33" t="str">
            <v>KY-LEX</v>
          </cell>
        </row>
        <row r="34">
          <cell r="CL34" t="str">
            <v>KY-LVL</v>
          </cell>
        </row>
        <row r="35">
          <cell r="CL35" t="str">
            <v>KY-SESW IN</v>
          </cell>
        </row>
        <row r="36">
          <cell r="CL36" t="str">
            <v>LA</v>
          </cell>
        </row>
        <row r="37">
          <cell r="CL37" t="str">
            <v>MA</v>
          </cell>
        </row>
        <row r="38">
          <cell r="CL38" t="str">
            <v>MAINE</v>
          </cell>
        </row>
        <row r="39">
          <cell r="CL39" t="str">
            <v>MD</v>
          </cell>
        </row>
        <row r="40">
          <cell r="CL40" t="str">
            <v>MI</v>
          </cell>
        </row>
        <row r="41">
          <cell r="CL41" t="str">
            <v>MIAMI</v>
          </cell>
        </row>
        <row r="42">
          <cell r="CL42" t="str">
            <v>MS</v>
          </cell>
        </row>
        <row r="43">
          <cell r="B43">
            <v>4</v>
          </cell>
          <cell r="CL43" t="str">
            <v>MT</v>
          </cell>
        </row>
        <row r="44">
          <cell r="CL44" t="str">
            <v>NC</v>
          </cell>
        </row>
        <row r="45">
          <cell r="CL45" t="str">
            <v>NC2</v>
          </cell>
        </row>
        <row r="46">
          <cell r="CL46" t="str">
            <v>NH</v>
          </cell>
        </row>
        <row r="47">
          <cell r="CL47" t="str">
            <v>NHP-SFL</v>
          </cell>
        </row>
        <row r="48">
          <cell r="CL48" t="str">
            <v>NJ</v>
          </cell>
        </row>
        <row r="49">
          <cell r="CL49" t="str">
            <v>NJ2</v>
          </cell>
        </row>
        <row r="50">
          <cell r="CL50" t="str">
            <v>NM</v>
          </cell>
        </row>
        <row r="51">
          <cell r="CL51" t="str">
            <v>NV</v>
          </cell>
        </row>
        <row r="52">
          <cell r="CL52" t="str">
            <v>NW IN</v>
          </cell>
        </row>
        <row r="53">
          <cell r="CL53" t="str">
            <v>NY</v>
          </cell>
        </row>
        <row r="54">
          <cell r="CL54" t="str">
            <v>NY2</v>
          </cell>
        </row>
        <row r="55">
          <cell r="CL55" t="str">
            <v>OH-CINCINNATI</v>
          </cell>
        </row>
        <row r="56">
          <cell r="CL56" t="str">
            <v>OH-CLEVELAND</v>
          </cell>
        </row>
        <row r="57">
          <cell r="CL57" t="str">
            <v>OH-COLUMBUS</v>
          </cell>
        </row>
        <row r="58">
          <cell r="CL58" t="str">
            <v>OH-DAYTON</v>
          </cell>
        </row>
        <row r="59">
          <cell r="CL59" t="str">
            <v>OH-NKY</v>
          </cell>
        </row>
        <row r="60">
          <cell r="CL60" t="str">
            <v>OH-TOLEDO</v>
          </cell>
        </row>
        <row r="61">
          <cell r="CL61" t="str">
            <v>OH-SOCA CINCINNATI</v>
          </cell>
        </row>
        <row r="62">
          <cell r="CL62" t="str">
            <v>OH-SOCA CLEVELAND</v>
          </cell>
        </row>
        <row r="63">
          <cell r="CL63" t="str">
            <v>OH-SOCA COLUMBUS</v>
          </cell>
        </row>
        <row r="64">
          <cell r="CL64" t="str">
            <v>OH-SOCA DAYTON</v>
          </cell>
        </row>
        <row r="65">
          <cell r="CL65" t="str">
            <v>OH-SOCA TOLEDO</v>
          </cell>
        </row>
        <row r="66">
          <cell r="CL66" t="str">
            <v>OKC</v>
          </cell>
        </row>
        <row r="67">
          <cell r="CL67" t="str">
            <v>OMA</v>
          </cell>
        </row>
        <row r="68">
          <cell r="CL68" t="str">
            <v>OR</v>
          </cell>
        </row>
        <row r="69">
          <cell r="CL69" t="str">
            <v>ORLANDO</v>
          </cell>
        </row>
        <row r="70">
          <cell r="CL70" t="str">
            <v>PA</v>
          </cell>
        </row>
        <row r="71">
          <cell r="CL71" t="str">
            <v>PENSACOLA</v>
          </cell>
        </row>
        <row r="72">
          <cell r="CL72" t="str">
            <v>RI</v>
          </cell>
        </row>
        <row r="73">
          <cell r="CL73" t="str">
            <v>RI2</v>
          </cell>
        </row>
        <row r="74">
          <cell r="CL74" t="str">
            <v>SAN</v>
          </cell>
        </row>
        <row r="75">
          <cell r="CL75" t="str">
            <v>SC</v>
          </cell>
        </row>
        <row r="76">
          <cell r="CL76" t="str">
            <v>SC2</v>
          </cell>
        </row>
        <row r="77">
          <cell r="CL77" t="str">
            <v>STL-IL</v>
          </cell>
        </row>
        <row r="78">
          <cell r="CL78" t="str">
            <v>STL-MO</v>
          </cell>
        </row>
        <row r="79">
          <cell r="CL79" t="str">
            <v>SYRACUSE</v>
          </cell>
        </row>
        <row r="80">
          <cell r="CL80" t="str">
            <v>SYRACUSE2</v>
          </cell>
        </row>
        <row r="81">
          <cell r="CL81" t="str">
            <v>TAMPA</v>
          </cell>
        </row>
        <row r="82">
          <cell r="CL82" t="str">
            <v>TN</v>
          </cell>
        </row>
        <row r="83">
          <cell r="CL83" t="str">
            <v>TUL</v>
          </cell>
        </row>
        <row r="84">
          <cell r="CL84" t="str">
            <v>UT</v>
          </cell>
        </row>
        <row r="85">
          <cell r="CL85" t="str">
            <v>VA</v>
          </cell>
        </row>
        <row r="86">
          <cell r="CL86" t="str">
            <v>W IA</v>
          </cell>
        </row>
        <row r="87">
          <cell r="CL87" t="str">
            <v>WA</v>
          </cell>
        </row>
        <row r="88">
          <cell r="CL88" t="str">
            <v>WI-MILWAUKEE</v>
          </cell>
        </row>
        <row r="89">
          <cell r="CL89" t="str">
            <v>WI-NE WISCONSIN</v>
          </cell>
        </row>
        <row r="90">
          <cell r="CL90" t="str">
            <v>WV</v>
          </cell>
        </row>
        <row r="91">
          <cell r="CL91" t="str">
            <v>WY</v>
          </cell>
        </row>
        <row r="92">
          <cell r="CL92" t="str">
            <v>AK SB</v>
          </cell>
        </row>
        <row r="93">
          <cell r="CL93" t="str">
            <v>North CA SB</v>
          </cell>
        </row>
        <row r="94">
          <cell r="CL94" t="str">
            <v>South CA SB</v>
          </cell>
        </row>
        <row r="95">
          <cell r="CL95" t="str">
            <v>CT SB</v>
          </cell>
        </row>
        <row r="96">
          <cell r="CL96" t="str">
            <v>DC SB</v>
          </cell>
        </row>
        <row r="97">
          <cell r="CL97" t="str">
            <v>DE SB</v>
          </cell>
        </row>
        <row r="98">
          <cell r="CL98" t="str">
            <v>ID SB</v>
          </cell>
        </row>
        <row r="99">
          <cell r="CL99" t="str">
            <v>JDH-IA SB</v>
          </cell>
        </row>
        <row r="100">
          <cell r="CL100" t="str">
            <v>JDH-ILL SB</v>
          </cell>
        </row>
        <row r="101">
          <cell r="CL101" t="str">
            <v>MA SB</v>
          </cell>
        </row>
        <row r="102">
          <cell r="CL102" t="str">
            <v>MAINE SB</v>
          </cell>
        </row>
        <row r="103">
          <cell r="CL103" t="str">
            <v>MD SB</v>
          </cell>
        </row>
        <row r="104">
          <cell r="CL104" t="str">
            <v>MT SB</v>
          </cell>
        </row>
        <row r="105">
          <cell r="CL105" t="str">
            <v>NH SB</v>
          </cell>
        </row>
        <row r="106">
          <cell r="CL106" t="str">
            <v>NJ SB</v>
          </cell>
        </row>
        <row r="107">
          <cell r="CL107" t="str">
            <v>NJ2 SB</v>
          </cell>
        </row>
        <row r="108">
          <cell r="CL108" t="str">
            <v>NV SB</v>
          </cell>
        </row>
        <row r="109">
          <cell r="CL109" t="str">
            <v>NY SB</v>
          </cell>
        </row>
        <row r="110">
          <cell r="CL110" t="str">
            <v>NY2 SB</v>
          </cell>
        </row>
        <row r="111">
          <cell r="CL111" t="str">
            <v>OR SB</v>
          </cell>
        </row>
        <row r="112">
          <cell r="CL112" t="str">
            <v>PA SB</v>
          </cell>
        </row>
        <row r="113">
          <cell r="CL113" t="str">
            <v>RI SB</v>
          </cell>
        </row>
        <row r="114">
          <cell r="CL114" t="str">
            <v>RI SB2</v>
          </cell>
        </row>
        <row r="115">
          <cell r="CL115" t="str">
            <v>SYRACUSE SB</v>
          </cell>
        </row>
        <row r="116">
          <cell r="CL116" t="str">
            <v>SYRACUSE2 SB</v>
          </cell>
        </row>
        <row r="117">
          <cell r="CL117" t="str">
            <v>UT SB</v>
          </cell>
        </row>
        <row r="118">
          <cell r="CL118" t="str">
            <v>VA SB</v>
          </cell>
        </row>
        <row r="119">
          <cell r="CL119" t="str">
            <v>WA SB</v>
          </cell>
        </row>
        <row r="120">
          <cell r="CL120" t="str">
            <v>WV SB</v>
          </cell>
        </row>
        <row r="121">
          <cell r="CL121" t="str">
            <v>AUS PHS</v>
          </cell>
        </row>
        <row r="122">
          <cell r="CL122" t="str">
            <v>DAL PHS</v>
          </cell>
        </row>
        <row r="123">
          <cell r="CL123" t="str">
            <v>HOU PHS</v>
          </cell>
        </row>
        <row r="124">
          <cell r="CL124" t="str">
            <v>SAN PHS</v>
          </cell>
        </row>
        <row r="125">
          <cell r="CL125" t="str">
            <v>OKC PHS</v>
          </cell>
        </row>
        <row r="126">
          <cell r="CL126" t="str">
            <v>TUL PHS</v>
          </cell>
        </row>
        <row r="206">
          <cell r="F206" t="str">
            <v>MRS 1</v>
          </cell>
          <cell r="G206" t="str">
            <v>MRS 2</v>
          </cell>
          <cell r="H206" t="str">
            <v>MRS 3</v>
          </cell>
          <cell r="I206" t="str">
            <v>MRS 4</v>
          </cell>
          <cell r="J206" t="str">
            <v>MRS 5</v>
          </cell>
          <cell r="K206" t="str">
            <v>MRS 6</v>
          </cell>
          <cell r="L206" t="str">
            <v>MRS 7</v>
          </cell>
          <cell r="M206" t="str">
            <v>MRS 8</v>
          </cell>
          <cell r="N206" t="str">
            <v>MRS 9</v>
          </cell>
          <cell r="O206" t="str">
            <v>MRS 10</v>
          </cell>
          <cell r="P206" t="str">
            <v>MRS 11</v>
          </cell>
        </row>
        <row r="207">
          <cell r="F207">
            <v>56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</row>
        <row r="208">
          <cell r="F208">
            <v>15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</row>
        <row r="209">
          <cell r="F209">
            <v>11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</row>
        <row r="210">
          <cell r="F210">
            <v>38</v>
          </cell>
          <cell r="G210">
            <v>1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</row>
        <row r="211">
          <cell r="F211">
            <v>271</v>
          </cell>
          <cell r="G211">
            <v>6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</row>
        <row r="212">
          <cell r="F212">
            <v>0.8871328413284133</v>
          </cell>
          <cell r="G212">
            <v>0.66500000000000004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</row>
        <row r="213">
          <cell r="F213">
            <v>618.88284132841306</v>
          </cell>
          <cell r="G213">
            <v>490.69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</row>
        <row r="214">
          <cell r="F214">
            <v>0.10442030230391755</v>
          </cell>
          <cell r="G214">
            <v>0.10000000000000009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</row>
        <row r="215">
          <cell r="F215">
            <v>0.13083582809793073</v>
          </cell>
          <cell r="G215">
            <v>0.10000000000000009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</row>
        <row r="216">
          <cell r="F216">
            <v>0.10922141228764484</v>
          </cell>
          <cell r="G216">
            <v>0.10000000000000009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</row>
        <row r="217">
          <cell r="F217">
            <v>1.433690036900369E-2</v>
          </cell>
          <cell r="G217">
            <v>1.7500000000000002E-2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</row>
        <row r="218">
          <cell r="F218">
            <v>506.39881918819196</v>
          </cell>
          <cell r="G218">
            <v>408.64000000000004</v>
          </cell>
          <cell r="H218" t="e">
            <v>#DIV/0!</v>
          </cell>
          <cell r="I218" t="e">
            <v>#DIV/0!</v>
          </cell>
          <cell r="J218" t="e">
            <v>#DIV/0!</v>
          </cell>
          <cell r="K218" t="e">
            <v>#DIV/0!</v>
          </cell>
          <cell r="L218" t="e">
            <v>#DIV/0!</v>
          </cell>
          <cell r="M218" t="e">
            <v>#DIV/0!</v>
          </cell>
          <cell r="N218" t="e">
            <v>#DIV/0!</v>
          </cell>
          <cell r="O218" t="e">
            <v>#DIV/0!</v>
          </cell>
          <cell r="P218" t="e">
            <v>#DIV/0!</v>
          </cell>
        </row>
        <row r="219">
          <cell r="F219">
            <v>112.48402214022144</v>
          </cell>
          <cell r="G219">
            <v>82.05</v>
          </cell>
          <cell r="H219" t="e">
            <v>#DIV/0!</v>
          </cell>
          <cell r="I219" t="e">
            <v>#DIV/0!</v>
          </cell>
          <cell r="J219" t="e">
            <v>#DIV/0!</v>
          </cell>
          <cell r="K219" t="e">
            <v>#DIV/0!</v>
          </cell>
          <cell r="L219" t="e">
            <v>#DIV/0!</v>
          </cell>
          <cell r="M219" t="e">
            <v>#DIV/0!</v>
          </cell>
          <cell r="N219" t="e">
            <v>#DIV/0!</v>
          </cell>
          <cell r="O219" t="e">
            <v>#DIV/0!</v>
          </cell>
          <cell r="P219" t="e">
            <v>#DIV/0!</v>
          </cell>
        </row>
      </sheetData>
      <sheetData sheetId="3">
        <row r="16">
          <cell r="B16" t="str">
            <v>Industry Code</v>
          </cell>
        </row>
        <row r="17">
          <cell r="B17" t="str">
            <v>Tier Structure</v>
          </cell>
        </row>
        <row r="18">
          <cell r="B18" t="str">
            <v>Quote Effective Date</v>
          </cell>
        </row>
        <row r="19">
          <cell r="B19" t="str">
            <v>Run Date</v>
          </cell>
        </row>
        <row r="20">
          <cell r="B20" t="str">
            <v>Factor Version Date</v>
          </cell>
        </row>
        <row r="22">
          <cell r="B22">
            <v>1</v>
          </cell>
        </row>
        <row r="23">
          <cell r="B23" t="str">
            <v>State</v>
          </cell>
        </row>
        <row r="24">
          <cell r="B24" t="str">
            <v>AZ</v>
          </cell>
        </row>
        <row r="25">
          <cell r="B25" t="str">
            <v>AZ</v>
          </cell>
        </row>
        <row r="26">
          <cell r="B26" t="str">
            <v>AZ</v>
          </cell>
        </row>
        <row r="27">
          <cell r="B27" t="str">
            <v>AZ</v>
          </cell>
        </row>
        <row r="28">
          <cell r="B28" t="str">
            <v>AZ</v>
          </cell>
        </row>
        <row r="29">
          <cell r="B29" t="str">
            <v>AZ</v>
          </cell>
        </row>
        <row r="30">
          <cell r="B30" t="str">
            <v>AZ</v>
          </cell>
        </row>
        <row r="31">
          <cell r="B31" t="str">
            <v>AZ</v>
          </cell>
        </row>
        <row r="32">
          <cell r="B32" t="str">
            <v>AZ</v>
          </cell>
        </row>
        <row r="33">
          <cell r="B33" t="str">
            <v>AZ</v>
          </cell>
        </row>
        <row r="34">
          <cell r="B34" t="str">
            <v>AZ</v>
          </cell>
        </row>
        <row r="35">
          <cell r="B35" t="str">
            <v>AZ</v>
          </cell>
        </row>
        <row r="36">
          <cell r="B36" t="str">
            <v>AZ</v>
          </cell>
        </row>
        <row r="37">
          <cell r="B37" t="str">
            <v>AZ</v>
          </cell>
        </row>
        <row r="38">
          <cell r="B38" t="str">
            <v>AZ</v>
          </cell>
        </row>
        <row r="39">
          <cell r="B39" t="str">
            <v>AZ</v>
          </cell>
        </row>
        <row r="40">
          <cell r="B40" t="str">
            <v>AZ</v>
          </cell>
        </row>
        <row r="41">
          <cell r="B41" t="str">
            <v>AZ</v>
          </cell>
        </row>
        <row r="42">
          <cell r="B42" t="str">
            <v>AZ</v>
          </cell>
        </row>
        <row r="43">
          <cell r="B43" t="str">
            <v>AZ</v>
          </cell>
        </row>
        <row r="44">
          <cell r="B44" t="str">
            <v>AZ</v>
          </cell>
        </row>
        <row r="45">
          <cell r="B45" t="str">
            <v>AZ</v>
          </cell>
        </row>
        <row r="46">
          <cell r="B46" t="str">
            <v>AZ</v>
          </cell>
        </row>
        <row r="47">
          <cell r="B47" t="str">
            <v>AZ</v>
          </cell>
        </row>
        <row r="48">
          <cell r="B48" t="str">
            <v>AZ</v>
          </cell>
        </row>
        <row r="49">
          <cell r="B49" t="str">
            <v>AZ</v>
          </cell>
        </row>
        <row r="50">
          <cell r="B50" t="str">
            <v>AZ</v>
          </cell>
        </row>
        <row r="51">
          <cell r="B51" t="str">
            <v>AZ</v>
          </cell>
        </row>
        <row r="52">
          <cell r="B52" t="str">
            <v>CA</v>
          </cell>
        </row>
        <row r="53">
          <cell r="B53" t="str">
            <v>CA</v>
          </cell>
        </row>
        <row r="54">
          <cell r="B54" t="str">
            <v>CA</v>
          </cell>
        </row>
        <row r="55">
          <cell r="B55" t="str">
            <v>CA</v>
          </cell>
        </row>
        <row r="56">
          <cell r="B56" t="str">
            <v>CA</v>
          </cell>
        </row>
        <row r="57">
          <cell r="B57" t="str">
            <v>CA</v>
          </cell>
        </row>
        <row r="58">
          <cell r="B58" t="str">
            <v>CA</v>
          </cell>
        </row>
        <row r="59">
          <cell r="B59" t="str">
            <v>CA</v>
          </cell>
        </row>
        <row r="60">
          <cell r="B60" t="str">
            <v>CA</v>
          </cell>
        </row>
        <row r="61">
          <cell r="B61" t="str">
            <v>CA</v>
          </cell>
        </row>
        <row r="62">
          <cell r="B62" t="str">
            <v>CA</v>
          </cell>
        </row>
        <row r="63">
          <cell r="B63" t="str">
            <v>CA</v>
          </cell>
        </row>
        <row r="64">
          <cell r="B64" t="str">
            <v>CA</v>
          </cell>
        </row>
        <row r="65">
          <cell r="B65" t="str">
            <v>CA</v>
          </cell>
        </row>
        <row r="66">
          <cell r="B66" t="str">
            <v>CA</v>
          </cell>
        </row>
        <row r="67">
          <cell r="B67" t="str">
            <v>CA</v>
          </cell>
        </row>
        <row r="68">
          <cell r="B68" t="str">
            <v>CA</v>
          </cell>
        </row>
        <row r="69">
          <cell r="B69" t="str">
            <v>CA</v>
          </cell>
        </row>
        <row r="70">
          <cell r="B70" t="str">
            <v>CA</v>
          </cell>
        </row>
        <row r="71">
          <cell r="B71" t="str">
            <v>CA</v>
          </cell>
        </row>
        <row r="72">
          <cell r="B72" t="str">
            <v>CA</v>
          </cell>
        </row>
        <row r="73">
          <cell r="B73" t="str">
            <v>CA</v>
          </cell>
        </row>
        <row r="74">
          <cell r="B74" t="str">
            <v>CA</v>
          </cell>
        </row>
        <row r="75">
          <cell r="B75" t="str">
            <v>CA</v>
          </cell>
        </row>
        <row r="76">
          <cell r="B76" t="str">
            <v>CA</v>
          </cell>
        </row>
        <row r="77">
          <cell r="B77" t="str">
            <v>CA</v>
          </cell>
        </row>
        <row r="78">
          <cell r="B78" t="str">
            <v>CA</v>
          </cell>
        </row>
        <row r="79">
          <cell r="B79" t="str">
            <v>CA</v>
          </cell>
        </row>
        <row r="80">
          <cell r="B80" t="str">
            <v>CA</v>
          </cell>
        </row>
        <row r="81">
          <cell r="B81" t="str">
            <v>CA</v>
          </cell>
        </row>
        <row r="82">
          <cell r="B82" t="str">
            <v>CA</v>
          </cell>
        </row>
        <row r="83">
          <cell r="B83" t="str">
            <v>CA</v>
          </cell>
        </row>
        <row r="84">
          <cell r="B84" t="str">
            <v>CA</v>
          </cell>
        </row>
        <row r="85">
          <cell r="B85" t="str">
            <v>CA</v>
          </cell>
        </row>
        <row r="86">
          <cell r="B86" t="str">
            <v>CA</v>
          </cell>
        </row>
        <row r="87">
          <cell r="B87" t="str">
            <v>CA</v>
          </cell>
        </row>
        <row r="88">
          <cell r="B88" t="str">
            <v>CA</v>
          </cell>
        </row>
        <row r="89">
          <cell r="B89" t="str">
            <v>CA</v>
          </cell>
        </row>
        <row r="90">
          <cell r="B90" t="str">
            <v>CA</v>
          </cell>
        </row>
        <row r="91">
          <cell r="B91" t="str">
            <v>CA</v>
          </cell>
        </row>
        <row r="92">
          <cell r="B92" t="str">
            <v>CA</v>
          </cell>
        </row>
        <row r="93">
          <cell r="B93" t="str">
            <v>CA</v>
          </cell>
        </row>
        <row r="94">
          <cell r="B94" t="str">
            <v>CA</v>
          </cell>
        </row>
        <row r="95">
          <cell r="B95" t="str">
            <v>CA</v>
          </cell>
        </row>
        <row r="96">
          <cell r="B96" t="str">
            <v>CA</v>
          </cell>
        </row>
        <row r="97">
          <cell r="B97" t="str">
            <v>CA</v>
          </cell>
        </row>
        <row r="98">
          <cell r="B98" t="str">
            <v>CA</v>
          </cell>
        </row>
        <row r="99">
          <cell r="B99" t="str">
            <v>CA</v>
          </cell>
        </row>
        <row r="100">
          <cell r="B100" t="str">
            <v>CA</v>
          </cell>
        </row>
        <row r="101">
          <cell r="B101" t="str">
            <v>CA</v>
          </cell>
        </row>
        <row r="102">
          <cell r="B102" t="str">
            <v>CA</v>
          </cell>
        </row>
        <row r="103">
          <cell r="B103" t="str">
            <v>CA</v>
          </cell>
        </row>
        <row r="104">
          <cell r="B104" t="str">
            <v>CA</v>
          </cell>
        </row>
        <row r="105">
          <cell r="B105" t="str">
            <v>CA</v>
          </cell>
        </row>
        <row r="106">
          <cell r="B106" t="str">
            <v>CA</v>
          </cell>
        </row>
        <row r="107">
          <cell r="B107" t="str">
            <v>CA</v>
          </cell>
        </row>
        <row r="108">
          <cell r="B108" t="str">
            <v>CA</v>
          </cell>
        </row>
        <row r="109">
          <cell r="B109" t="str">
            <v>CA</v>
          </cell>
        </row>
        <row r="110">
          <cell r="B110" t="str">
            <v>CA</v>
          </cell>
        </row>
        <row r="111">
          <cell r="B111" t="str">
            <v>CA</v>
          </cell>
        </row>
        <row r="112">
          <cell r="B112" t="str">
            <v>CA</v>
          </cell>
        </row>
        <row r="113">
          <cell r="B113" t="str">
            <v>CA</v>
          </cell>
        </row>
        <row r="114">
          <cell r="B114" t="str">
            <v>CA</v>
          </cell>
        </row>
        <row r="115">
          <cell r="B115" t="str">
            <v>CA</v>
          </cell>
        </row>
        <row r="116">
          <cell r="B116" t="str">
            <v>CA</v>
          </cell>
        </row>
        <row r="117">
          <cell r="B117" t="str">
            <v>CA</v>
          </cell>
        </row>
        <row r="118">
          <cell r="B118" t="str">
            <v>CA</v>
          </cell>
        </row>
        <row r="119">
          <cell r="B119" t="str">
            <v>CA</v>
          </cell>
        </row>
        <row r="120">
          <cell r="B120" t="str">
            <v>CA</v>
          </cell>
        </row>
        <row r="121">
          <cell r="B121" t="str">
            <v>CA</v>
          </cell>
        </row>
        <row r="122">
          <cell r="B122" t="str">
            <v>CA</v>
          </cell>
        </row>
        <row r="123">
          <cell r="B123" t="str">
            <v>CA</v>
          </cell>
        </row>
        <row r="124">
          <cell r="B124" t="str">
            <v>CA</v>
          </cell>
        </row>
        <row r="125">
          <cell r="B125" t="str">
            <v>CA</v>
          </cell>
        </row>
        <row r="126">
          <cell r="B126" t="str">
            <v>CA</v>
          </cell>
        </row>
        <row r="127">
          <cell r="B127" t="str">
            <v>CA</v>
          </cell>
        </row>
        <row r="128">
          <cell r="B128" t="str">
            <v>CA</v>
          </cell>
        </row>
        <row r="129">
          <cell r="B129" t="str">
            <v>CA</v>
          </cell>
        </row>
        <row r="130">
          <cell r="B130" t="str">
            <v>CO</v>
          </cell>
        </row>
        <row r="131">
          <cell r="B131" t="str">
            <v>CO</v>
          </cell>
        </row>
        <row r="132">
          <cell r="B132" t="str">
            <v>CO</v>
          </cell>
        </row>
        <row r="133">
          <cell r="B133" t="str">
            <v>CO</v>
          </cell>
        </row>
        <row r="134">
          <cell r="B134" t="str">
            <v>CO</v>
          </cell>
        </row>
        <row r="135">
          <cell r="B135" t="str">
            <v>CO</v>
          </cell>
        </row>
        <row r="136">
          <cell r="B136" t="str">
            <v>CO</v>
          </cell>
        </row>
        <row r="137">
          <cell r="B137" t="str">
            <v>CO</v>
          </cell>
        </row>
        <row r="138">
          <cell r="B138" t="str">
            <v>CO</v>
          </cell>
        </row>
        <row r="139">
          <cell r="B139" t="str">
            <v>CO</v>
          </cell>
        </row>
        <row r="140">
          <cell r="B140" t="str">
            <v>CO</v>
          </cell>
        </row>
        <row r="141">
          <cell r="B141" t="str">
            <v>CO</v>
          </cell>
        </row>
        <row r="142">
          <cell r="B142" t="str">
            <v>CO</v>
          </cell>
        </row>
        <row r="143">
          <cell r="B143" t="str">
            <v>CO</v>
          </cell>
        </row>
        <row r="144">
          <cell r="B144" t="str">
            <v>CO</v>
          </cell>
        </row>
        <row r="145">
          <cell r="B145" t="str">
            <v>CO</v>
          </cell>
        </row>
        <row r="146">
          <cell r="B146" t="str">
            <v>CO</v>
          </cell>
        </row>
        <row r="147">
          <cell r="B147" t="str">
            <v>CO</v>
          </cell>
        </row>
        <row r="148">
          <cell r="B148" t="str">
            <v>CO</v>
          </cell>
        </row>
        <row r="149">
          <cell r="B149" t="str">
            <v>CO</v>
          </cell>
        </row>
        <row r="150">
          <cell r="B150" t="str">
            <v>CO</v>
          </cell>
        </row>
        <row r="151">
          <cell r="B151" t="str">
            <v>CO</v>
          </cell>
        </row>
        <row r="152">
          <cell r="B152" t="str">
            <v>CO</v>
          </cell>
        </row>
        <row r="153">
          <cell r="B153" t="str">
            <v>CO</v>
          </cell>
        </row>
        <row r="154">
          <cell r="B154" t="str">
            <v>CO</v>
          </cell>
        </row>
        <row r="155">
          <cell r="B155" t="str">
            <v>CO</v>
          </cell>
        </row>
        <row r="156">
          <cell r="B156" t="str">
            <v>CO</v>
          </cell>
        </row>
        <row r="157">
          <cell r="B157" t="str">
            <v>CO</v>
          </cell>
        </row>
        <row r="158">
          <cell r="B158" t="str">
            <v>CO</v>
          </cell>
        </row>
        <row r="159">
          <cell r="B159" t="str">
            <v>CO</v>
          </cell>
        </row>
        <row r="160">
          <cell r="B160" t="str">
            <v>CO</v>
          </cell>
        </row>
        <row r="161">
          <cell r="B161" t="str">
            <v>CO</v>
          </cell>
        </row>
        <row r="162">
          <cell r="B162" t="str">
            <v>CT</v>
          </cell>
        </row>
        <row r="163">
          <cell r="B163" t="str">
            <v>CT</v>
          </cell>
        </row>
        <row r="164">
          <cell r="B164" t="str">
            <v>CT</v>
          </cell>
        </row>
        <row r="165">
          <cell r="B165" t="str">
            <v>CT</v>
          </cell>
        </row>
        <row r="166">
          <cell r="B166" t="str">
            <v>CT</v>
          </cell>
        </row>
        <row r="167">
          <cell r="B167" t="str">
            <v>CT</v>
          </cell>
        </row>
        <row r="168">
          <cell r="B168" t="str">
            <v>CT</v>
          </cell>
        </row>
        <row r="169">
          <cell r="B169" t="str">
            <v>CT</v>
          </cell>
        </row>
        <row r="170">
          <cell r="B170" t="str">
            <v>CT</v>
          </cell>
        </row>
        <row r="171">
          <cell r="B171" t="str">
            <v>CT</v>
          </cell>
        </row>
        <row r="172">
          <cell r="B172" t="str">
            <v>CT</v>
          </cell>
        </row>
        <row r="173">
          <cell r="B173" t="str">
            <v>CT</v>
          </cell>
        </row>
        <row r="174">
          <cell r="B174" t="str">
            <v>FL</v>
          </cell>
        </row>
        <row r="175">
          <cell r="B175" t="str">
            <v>FL</v>
          </cell>
        </row>
        <row r="176">
          <cell r="B176" t="str">
            <v>FL</v>
          </cell>
        </row>
        <row r="177">
          <cell r="B177" t="str">
            <v>FL</v>
          </cell>
        </row>
        <row r="178">
          <cell r="B178" t="str">
            <v>FL</v>
          </cell>
        </row>
        <row r="179">
          <cell r="B179" t="str">
            <v>FL</v>
          </cell>
        </row>
        <row r="180">
          <cell r="B180" t="str">
            <v>FL</v>
          </cell>
        </row>
        <row r="181">
          <cell r="B181" t="str">
            <v>FL</v>
          </cell>
        </row>
        <row r="182">
          <cell r="B182" t="str">
            <v>FL</v>
          </cell>
        </row>
        <row r="183">
          <cell r="B183" t="str">
            <v>FL</v>
          </cell>
        </row>
        <row r="184">
          <cell r="B184" t="str">
            <v>FL</v>
          </cell>
        </row>
        <row r="185">
          <cell r="B185" t="str">
            <v>FL</v>
          </cell>
        </row>
        <row r="186">
          <cell r="B186" t="str">
            <v>FL</v>
          </cell>
        </row>
        <row r="187">
          <cell r="B187" t="str">
            <v>FL</v>
          </cell>
        </row>
        <row r="188">
          <cell r="B188" t="str">
            <v>FL</v>
          </cell>
        </row>
        <row r="189">
          <cell r="B189" t="str">
            <v>FL</v>
          </cell>
        </row>
        <row r="190">
          <cell r="B190" t="str">
            <v>FL</v>
          </cell>
        </row>
        <row r="191">
          <cell r="B191" t="str">
            <v>FL</v>
          </cell>
        </row>
        <row r="192">
          <cell r="B192" t="str">
            <v>FL</v>
          </cell>
        </row>
        <row r="193">
          <cell r="B193" t="str">
            <v>FL</v>
          </cell>
        </row>
        <row r="194">
          <cell r="B194" t="str">
            <v>FL</v>
          </cell>
        </row>
        <row r="195">
          <cell r="B195" t="str">
            <v>FL</v>
          </cell>
        </row>
        <row r="196">
          <cell r="B196" t="str">
            <v>FL</v>
          </cell>
        </row>
        <row r="197">
          <cell r="B197" t="str">
            <v>FL</v>
          </cell>
        </row>
        <row r="198">
          <cell r="B198" t="str">
            <v>FL</v>
          </cell>
        </row>
        <row r="199">
          <cell r="B199" t="str">
            <v>FL</v>
          </cell>
        </row>
        <row r="200">
          <cell r="B200" t="str">
            <v>FL</v>
          </cell>
        </row>
        <row r="201">
          <cell r="B201" t="str">
            <v>FL</v>
          </cell>
        </row>
        <row r="202">
          <cell r="B202" t="str">
            <v>FL</v>
          </cell>
        </row>
        <row r="203">
          <cell r="B203" t="str">
            <v>FL</v>
          </cell>
        </row>
        <row r="204">
          <cell r="B204" t="str">
            <v>FL</v>
          </cell>
        </row>
        <row r="205">
          <cell r="B205" t="str">
            <v>FL</v>
          </cell>
        </row>
        <row r="206">
          <cell r="B206" t="str">
            <v>FL</v>
          </cell>
        </row>
        <row r="207">
          <cell r="B207" t="str">
            <v>FL</v>
          </cell>
        </row>
        <row r="208">
          <cell r="B208" t="str">
            <v>FL</v>
          </cell>
        </row>
        <row r="209">
          <cell r="B209" t="str">
            <v>FL</v>
          </cell>
        </row>
        <row r="210">
          <cell r="B210" t="str">
            <v>FL</v>
          </cell>
        </row>
        <row r="211">
          <cell r="B211" t="str">
            <v>FL</v>
          </cell>
        </row>
        <row r="212">
          <cell r="B212" t="str">
            <v>FL</v>
          </cell>
        </row>
        <row r="213">
          <cell r="B213" t="str">
            <v>FL</v>
          </cell>
        </row>
        <row r="214">
          <cell r="B214" t="str">
            <v>FL</v>
          </cell>
        </row>
        <row r="215">
          <cell r="B215" t="str">
            <v>FL</v>
          </cell>
        </row>
        <row r="216">
          <cell r="B216" t="str">
            <v>FL</v>
          </cell>
        </row>
        <row r="217">
          <cell r="B217" t="str">
            <v>FL</v>
          </cell>
        </row>
        <row r="218">
          <cell r="B218" t="str">
            <v>FL</v>
          </cell>
        </row>
        <row r="219">
          <cell r="B219" t="str">
            <v>FL</v>
          </cell>
        </row>
        <row r="220">
          <cell r="B220" t="str">
            <v>FL</v>
          </cell>
        </row>
        <row r="221">
          <cell r="B221" t="str">
            <v>FL</v>
          </cell>
        </row>
        <row r="222">
          <cell r="B222" t="str">
            <v>ID</v>
          </cell>
        </row>
        <row r="223">
          <cell r="B223" t="str">
            <v>ID</v>
          </cell>
        </row>
        <row r="224">
          <cell r="B224" t="str">
            <v>ID</v>
          </cell>
        </row>
        <row r="225">
          <cell r="B225" t="str">
            <v>ID</v>
          </cell>
        </row>
        <row r="226">
          <cell r="B226" t="str">
            <v>IL</v>
          </cell>
        </row>
        <row r="227">
          <cell r="B227" t="str">
            <v>IL</v>
          </cell>
        </row>
        <row r="228">
          <cell r="B228" t="str">
            <v>IL</v>
          </cell>
        </row>
        <row r="229">
          <cell r="B229" t="str">
            <v>IL</v>
          </cell>
        </row>
        <row r="230">
          <cell r="B230" t="str">
            <v>IL</v>
          </cell>
        </row>
        <row r="231">
          <cell r="B231" t="str">
            <v>IL</v>
          </cell>
        </row>
        <row r="232">
          <cell r="B232" t="str">
            <v>IL</v>
          </cell>
        </row>
        <row r="233">
          <cell r="B233" t="str">
            <v>IL</v>
          </cell>
        </row>
        <row r="234">
          <cell r="B234" t="str">
            <v>IL</v>
          </cell>
        </row>
        <row r="235">
          <cell r="B235" t="str">
            <v>IL</v>
          </cell>
        </row>
        <row r="236">
          <cell r="B236" t="str">
            <v>IL</v>
          </cell>
        </row>
        <row r="237">
          <cell r="B237" t="str">
            <v>IL</v>
          </cell>
        </row>
        <row r="238">
          <cell r="B238" t="str">
            <v>IL</v>
          </cell>
        </row>
        <row r="239">
          <cell r="B239" t="str">
            <v>IL</v>
          </cell>
        </row>
        <row r="240">
          <cell r="B240" t="str">
            <v>IL</v>
          </cell>
        </row>
        <row r="241">
          <cell r="B241" t="str">
            <v>IL</v>
          </cell>
        </row>
        <row r="242">
          <cell r="B242" t="str">
            <v>IL</v>
          </cell>
        </row>
        <row r="243">
          <cell r="B243" t="str">
            <v>IL</v>
          </cell>
        </row>
        <row r="244">
          <cell r="B244" t="str">
            <v>IL</v>
          </cell>
        </row>
        <row r="245">
          <cell r="B245" t="str">
            <v>IL</v>
          </cell>
        </row>
        <row r="246">
          <cell r="B246" t="str">
            <v>IL</v>
          </cell>
        </row>
        <row r="247">
          <cell r="B247" t="str">
            <v>IL</v>
          </cell>
        </row>
        <row r="248">
          <cell r="B248" t="str">
            <v>IL</v>
          </cell>
        </row>
        <row r="249">
          <cell r="B249" t="str">
            <v>IL</v>
          </cell>
        </row>
        <row r="250">
          <cell r="B250" t="str">
            <v>IN</v>
          </cell>
        </row>
        <row r="251">
          <cell r="B251" t="str">
            <v>IN</v>
          </cell>
        </row>
        <row r="252">
          <cell r="B252" t="str">
            <v>IN</v>
          </cell>
        </row>
        <row r="253">
          <cell r="B253" t="str">
            <v>IN</v>
          </cell>
        </row>
        <row r="254">
          <cell r="B254" t="str">
            <v>IN</v>
          </cell>
        </row>
        <row r="255">
          <cell r="B255" t="str">
            <v>IN</v>
          </cell>
        </row>
        <row r="256">
          <cell r="B256" t="str">
            <v>IN</v>
          </cell>
        </row>
        <row r="257">
          <cell r="B257" t="str">
            <v>IN</v>
          </cell>
        </row>
        <row r="258">
          <cell r="B258" t="str">
            <v>IN</v>
          </cell>
        </row>
        <row r="259">
          <cell r="B259" t="str">
            <v>MD</v>
          </cell>
        </row>
        <row r="260">
          <cell r="B260" t="str">
            <v>MD</v>
          </cell>
        </row>
        <row r="261">
          <cell r="B261" t="str">
            <v>MD</v>
          </cell>
        </row>
        <row r="262">
          <cell r="B262" t="str">
            <v>MD</v>
          </cell>
        </row>
        <row r="263">
          <cell r="B263" t="str">
            <v>MD</v>
          </cell>
        </row>
        <row r="264">
          <cell r="B264" t="str">
            <v>MD</v>
          </cell>
        </row>
        <row r="265">
          <cell r="B265" t="str">
            <v>MD</v>
          </cell>
        </row>
        <row r="266">
          <cell r="B266" t="str">
            <v>MD</v>
          </cell>
        </row>
        <row r="267">
          <cell r="B267" t="str">
            <v>MD</v>
          </cell>
        </row>
        <row r="268">
          <cell r="B268" t="str">
            <v>MD</v>
          </cell>
        </row>
        <row r="269">
          <cell r="B269" t="str">
            <v>MD</v>
          </cell>
        </row>
        <row r="270">
          <cell r="B270" t="str">
            <v>MD</v>
          </cell>
        </row>
        <row r="271">
          <cell r="B271" t="str">
            <v>MD</v>
          </cell>
        </row>
        <row r="272">
          <cell r="B272" t="str">
            <v>MD</v>
          </cell>
        </row>
        <row r="273">
          <cell r="B273" t="str">
            <v>MD</v>
          </cell>
        </row>
        <row r="274">
          <cell r="B274" t="str">
            <v>MD</v>
          </cell>
        </row>
        <row r="275">
          <cell r="B275" t="str">
            <v>MD</v>
          </cell>
        </row>
        <row r="276">
          <cell r="B276" t="str">
            <v>MD</v>
          </cell>
        </row>
        <row r="277">
          <cell r="B277" t="str">
            <v>MD</v>
          </cell>
        </row>
        <row r="278">
          <cell r="B278" t="str">
            <v>MD</v>
          </cell>
        </row>
        <row r="279">
          <cell r="B279" t="str">
            <v>MD</v>
          </cell>
        </row>
        <row r="280">
          <cell r="B280" t="str">
            <v>MD</v>
          </cell>
        </row>
        <row r="281">
          <cell r="B281" t="str">
            <v>MD</v>
          </cell>
        </row>
        <row r="282">
          <cell r="B282" t="str">
            <v>MD</v>
          </cell>
        </row>
        <row r="283">
          <cell r="B283" t="str">
            <v>MD</v>
          </cell>
        </row>
        <row r="284">
          <cell r="B284" t="str">
            <v>MD</v>
          </cell>
        </row>
        <row r="285">
          <cell r="B285" t="str">
            <v>MD</v>
          </cell>
        </row>
        <row r="286">
          <cell r="B286" t="str">
            <v>MD</v>
          </cell>
        </row>
        <row r="287">
          <cell r="B287" t="str">
            <v>MD</v>
          </cell>
        </row>
        <row r="288">
          <cell r="B288" t="str">
            <v>MD</v>
          </cell>
        </row>
        <row r="289">
          <cell r="B289" t="str">
            <v>MD</v>
          </cell>
        </row>
        <row r="290">
          <cell r="B290" t="str">
            <v>MD</v>
          </cell>
        </row>
        <row r="291">
          <cell r="B291" t="str">
            <v>MA</v>
          </cell>
        </row>
        <row r="292">
          <cell r="B292" t="str">
            <v>MA</v>
          </cell>
        </row>
        <row r="293">
          <cell r="B293" t="str">
            <v>MA</v>
          </cell>
        </row>
        <row r="294">
          <cell r="B294" t="str">
            <v>MA</v>
          </cell>
        </row>
        <row r="295">
          <cell r="B295" t="str">
            <v>MA</v>
          </cell>
        </row>
        <row r="296">
          <cell r="B296" t="str">
            <v>MA</v>
          </cell>
        </row>
        <row r="297">
          <cell r="B297" t="str">
            <v>MA</v>
          </cell>
        </row>
        <row r="298">
          <cell r="B298" t="str">
            <v>MA</v>
          </cell>
        </row>
        <row r="299">
          <cell r="B299" t="str">
            <v>MI</v>
          </cell>
        </row>
        <row r="300">
          <cell r="B300" t="str">
            <v>MI</v>
          </cell>
        </row>
        <row r="301">
          <cell r="B301" t="str">
            <v>MI</v>
          </cell>
        </row>
        <row r="302">
          <cell r="B302" t="str">
            <v>MI</v>
          </cell>
        </row>
        <row r="303">
          <cell r="B303" t="str">
            <v>MI</v>
          </cell>
        </row>
        <row r="304">
          <cell r="B304" t="str">
            <v>MI</v>
          </cell>
        </row>
        <row r="305">
          <cell r="B305" t="str">
            <v>MI</v>
          </cell>
        </row>
        <row r="306">
          <cell r="B306" t="str">
            <v>MI</v>
          </cell>
        </row>
        <row r="307">
          <cell r="B307" t="str">
            <v>MI</v>
          </cell>
        </row>
        <row r="308">
          <cell r="B308" t="str">
            <v>NJ</v>
          </cell>
        </row>
        <row r="309">
          <cell r="B309" t="str">
            <v>NJ</v>
          </cell>
        </row>
        <row r="310">
          <cell r="B310" t="str">
            <v>NJ</v>
          </cell>
        </row>
        <row r="311">
          <cell r="B311" t="str">
            <v>NJ</v>
          </cell>
        </row>
        <row r="312">
          <cell r="B312" t="str">
            <v>NJ</v>
          </cell>
        </row>
        <row r="313">
          <cell r="B313" t="str">
            <v>NJ</v>
          </cell>
        </row>
        <row r="314">
          <cell r="B314" t="str">
            <v>NJ</v>
          </cell>
        </row>
        <row r="315">
          <cell r="B315" t="str">
            <v>NJ</v>
          </cell>
        </row>
        <row r="316">
          <cell r="B316" t="str">
            <v>NJ</v>
          </cell>
        </row>
        <row r="317">
          <cell r="B317" t="str">
            <v>NJ</v>
          </cell>
        </row>
        <row r="318">
          <cell r="B318" t="str">
            <v>NJ</v>
          </cell>
        </row>
        <row r="319">
          <cell r="B319" t="str">
            <v>NJ</v>
          </cell>
        </row>
        <row r="320">
          <cell r="B320" t="str">
            <v>NJ</v>
          </cell>
        </row>
        <row r="321">
          <cell r="B321" t="str">
            <v>NJ</v>
          </cell>
        </row>
        <row r="322">
          <cell r="B322" t="str">
            <v>NJ</v>
          </cell>
        </row>
        <row r="323">
          <cell r="B323" t="str">
            <v>NJ</v>
          </cell>
        </row>
        <row r="324">
          <cell r="B324" t="str">
            <v>NJ</v>
          </cell>
        </row>
        <row r="325">
          <cell r="B325" t="str">
            <v>NJ</v>
          </cell>
        </row>
        <row r="326">
          <cell r="B326" t="str">
            <v>NJ</v>
          </cell>
        </row>
        <row r="327">
          <cell r="B327" t="str">
            <v>NJ</v>
          </cell>
        </row>
        <row r="328">
          <cell r="B328" t="str">
            <v>NJ</v>
          </cell>
        </row>
        <row r="329">
          <cell r="B329" t="str">
            <v>NJ</v>
          </cell>
        </row>
        <row r="330">
          <cell r="B330" t="str">
            <v>NJ</v>
          </cell>
        </row>
        <row r="331">
          <cell r="B331" t="str">
            <v>NJ</v>
          </cell>
        </row>
        <row r="332">
          <cell r="B332" t="str">
            <v>NJ</v>
          </cell>
        </row>
        <row r="333">
          <cell r="B333" t="str">
            <v>NJ</v>
          </cell>
        </row>
        <row r="334">
          <cell r="B334" t="str">
            <v>NJ</v>
          </cell>
        </row>
        <row r="335">
          <cell r="B335" t="str">
            <v>NJ</v>
          </cell>
        </row>
        <row r="336">
          <cell r="B336" t="str">
            <v>NJ</v>
          </cell>
        </row>
        <row r="337">
          <cell r="B337" t="str">
            <v>NJ</v>
          </cell>
        </row>
        <row r="338">
          <cell r="B338" t="str">
            <v>NJ</v>
          </cell>
        </row>
        <row r="339">
          <cell r="B339" t="str">
            <v>NJ</v>
          </cell>
        </row>
        <row r="340">
          <cell r="B340" t="str">
            <v>NJ</v>
          </cell>
        </row>
        <row r="341">
          <cell r="B341" t="str">
            <v>NJ</v>
          </cell>
        </row>
        <row r="342">
          <cell r="B342" t="str">
            <v>NJ</v>
          </cell>
        </row>
        <row r="343">
          <cell r="B343" t="str">
            <v>NJ</v>
          </cell>
        </row>
        <row r="344">
          <cell r="B344" t="str">
            <v>NJ</v>
          </cell>
        </row>
        <row r="345">
          <cell r="B345" t="str">
            <v>NJ</v>
          </cell>
        </row>
        <row r="346">
          <cell r="B346" t="str">
            <v>NJ</v>
          </cell>
        </row>
        <row r="347">
          <cell r="B347" t="str">
            <v>NY</v>
          </cell>
        </row>
        <row r="348">
          <cell r="B348" t="str">
            <v>NY</v>
          </cell>
        </row>
        <row r="349">
          <cell r="B349" t="str">
            <v>NY</v>
          </cell>
        </row>
        <row r="350">
          <cell r="B350" t="str">
            <v>NY</v>
          </cell>
        </row>
        <row r="351">
          <cell r="B351" t="str">
            <v>NY</v>
          </cell>
        </row>
        <row r="352">
          <cell r="B352" t="str">
            <v>NY</v>
          </cell>
        </row>
        <row r="353">
          <cell r="B353" t="str">
            <v>NY</v>
          </cell>
        </row>
        <row r="354">
          <cell r="B354" t="str">
            <v>NY</v>
          </cell>
        </row>
        <row r="355">
          <cell r="B355" t="str">
            <v>NY</v>
          </cell>
        </row>
        <row r="356">
          <cell r="B356" t="str">
            <v>NY</v>
          </cell>
        </row>
        <row r="357">
          <cell r="B357" t="str">
            <v>NY</v>
          </cell>
        </row>
        <row r="358">
          <cell r="B358" t="str">
            <v>NY</v>
          </cell>
        </row>
        <row r="359">
          <cell r="B359" t="str">
            <v>NY</v>
          </cell>
        </row>
        <row r="360">
          <cell r="B360" t="str">
            <v>NY</v>
          </cell>
        </row>
        <row r="361">
          <cell r="B361" t="str">
            <v>NY</v>
          </cell>
        </row>
        <row r="362">
          <cell r="B362" t="str">
            <v>NY</v>
          </cell>
        </row>
        <row r="363">
          <cell r="B363" t="str">
            <v>NY</v>
          </cell>
        </row>
        <row r="364">
          <cell r="B364" t="str">
            <v>NY</v>
          </cell>
        </row>
        <row r="365">
          <cell r="B365" t="str">
            <v>NY</v>
          </cell>
        </row>
        <row r="366">
          <cell r="B366" t="str">
            <v>NY</v>
          </cell>
        </row>
        <row r="367">
          <cell r="B367" t="str">
            <v>NY</v>
          </cell>
        </row>
        <row r="368">
          <cell r="B368" t="str">
            <v>NY</v>
          </cell>
        </row>
        <row r="369">
          <cell r="B369" t="str">
            <v>NY</v>
          </cell>
        </row>
        <row r="370">
          <cell r="B370" t="str">
            <v>NY</v>
          </cell>
        </row>
        <row r="371">
          <cell r="B371" t="str">
            <v>NY</v>
          </cell>
        </row>
        <row r="372">
          <cell r="B372" t="str">
            <v>NY</v>
          </cell>
        </row>
        <row r="373">
          <cell r="B373" t="str">
            <v>NY</v>
          </cell>
        </row>
        <row r="374">
          <cell r="B374" t="str">
            <v>NY</v>
          </cell>
        </row>
        <row r="375">
          <cell r="B375" t="str">
            <v>NY</v>
          </cell>
        </row>
        <row r="376">
          <cell r="B376" t="str">
            <v>NY</v>
          </cell>
        </row>
        <row r="377">
          <cell r="B377" t="str">
            <v>NY</v>
          </cell>
        </row>
        <row r="378">
          <cell r="B378" t="str">
            <v>NY</v>
          </cell>
        </row>
        <row r="379">
          <cell r="B379" t="str">
            <v>NY</v>
          </cell>
        </row>
        <row r="380">
          <cell r="B380" t="str">
            <v>NY</v>
          </cell>
        </row>
        <row r="381">
          <cell r="B381" t="str">
            <v>NY</v>
          </cell>
        </row>
        <row r="382">
          <cell r="B382" t="str">
            <v>NY</v>
          </cell>
        </row>
        <row r="383">
          <cell r="B383" t="str">
            <v>NY</v>
          </cell>
        </row>
        <row r="384">
          <cell r="B384" t="str">
            <v>NY</v>
          </cell>
        </row>
        <row r="385">
          <cell r="B385" t="str">
            <v>NY</v>
          </cell>
        </row>
        <row r="386">
          <cell r="B386" t="str">
            <v>NY</v>
          </cell>
        </row>
        <row r="387">
          <cell r="B387" t="str">
            <v>NC</v>
          </cell>
        </row>
        <row r="388">
          <cell r="B388" t="str">
            <v>NC</v>
          </cell>
        </row>
        <row r="389">
          <cell r="B389" t="str">
            <v>NC</v>
          </cell>
        </row>
        <row r="390">
          <cell r="B390" t="str">
            <v>NC</v>
          </cell>
        </row>
        <row r="391">
          <cell r="B391" t="str">
            <v>NC</v>
          </cell>
        </row>
        <row r="392">
          <cell r="B392" t="str">
            <v>NC</v>
          </cell>
        </row>
        <row r="393">
          <cell r="B393" t="str">
            <v>NC</v>
          </cell>
        </row>
        <row r="394">
          <cell r="B394" t="str">
            <v>NC</v>
          </cell>
        </row>
        <row r="395">
          <cell r="B395" t="str">
            <v>NC</v>
          </cell>
        </row>
        <row r="396">
          <cell r="B396" t="str">
            <v>NC</v>
          </cell>
        </row>
        <row r="397">
          <cell r="B397" t="str">
            <v>NC</v>
          </cell>
        </row>
        <row r="398">
          <cell r="B398" t="str">
            <v>NC</v>
          </cell>
        </row>
        <row r="399">
          <cell r="B399" t="str">
            <v>NC</v>
          </cell>
        </row>
        <row r="400">
          <cell r="B400" t="str">
            <v>NC</v>
          </cell>
        </row>
        <row r="401">
          <cell r="B401" t="str">
            <v>NC</v>
          </cell>
        </row>
        <row r="402">
          <cell r="B402" t="str">
            <v>PA</v>
          </cell>
        </row>
        <row r="403">
          <cell r="B403" t="str">
            <v>PA</v>
          </cell>
        </row>
        <row r="404">
          <cell r="B404" t="str">
            <v>PA</v>
          </cell>
        </row>
        <row r="405">
          <cell r="B405" t="str">
            <v>PA</v>
          </cell>
        </row>
        <row r="406">
          <cell r="B406" t="str">
            <v>PA</v>
          </cell>
        </row>
        <row r="407">
          <cell r="B407" t="str">
            <v>PA</v>
          </cell>
        </row>
        <row r="408">
          <cell r="B408" t="str">
            <v>PA</v>
          </cell>
        </row>
        <row r="409">
          <cell r="B409" t="str">
            <v>PA</v>
          </cell>
        </row>
        <row r="410">
          <cell r="B410" t="str">
            <v>PA</v>
          </cell>
        </row>
        <row r="411">
          <cell r="B411" t="str">
            <v>PA</v>
          </cell>
        </row>
        <row r="412">
          <cell r="B412" t="str">
            <v>PA</v>
          </cell>
        </row>
        <row r="413">
          <cell r="B413" t="str">
            <v>PA</v>
          </cell>
        </row>
        <row r="414">
          <cell r="B414" t="str">
            <v>PA</v>
          </cell>
        </row>
        <row r="415">
          <cell r="B415" t="str">
            <v>PA</v>
          </cell>
        </row>
        <row r="416">
          <cell r="B416" t="str">
            <v>PA</v>
          </cell>
        </row>
        <row r="417">
          <cell r="B417" t="str">
            <v>PA</v>
          </cell>
        </row>
        <row r="418">
          <cell r="B418" t="str">
            <v>PA</v>
          </cell>
        </row>
        <row r="419">
          <cell r="B419" t="str">
            <v>PA</v>
          </cell>
        </row>
        <row r="420">
          <cell r="B420" t="str">
            <v>PA</v>
          </cell>
        </row>
        <row r="421">
          <cell r="B421" t="str">
            <v>PA</v>
          </cell>
        </row>
        <row r="422">
          <cell r="B422" t="str">
            <v>PA</v>
          </cell>
        </row>
        <row r="423">
          <cell r="B423" t="str">
            <v>PA</v>
          </cell>
        </row>
        <row r="424">
          <cell r="B424" t="str">
            <v>PA</v>
          </cell>
        </row>
        <row r="425">
          <cell r="B425" t="str">
            <v>PA</v>
          </cell>
        </row>
        <row r="426">
          <cell r="B426" t="str">
            <v>SC</v>
          </cell>
        </row>
        <row r="427">
          <cell r="B427" t="str">
            <v>SC</v>
          </cell>
        </row>
        <row r="428">
          <cell r="B428" t="str">
            <v>SC</v>
          </cell>
        </row>
        <row r="429">
          <cell r="B429" t="str">
            <v>SC</v>
          </cell>
        </row>
        <row r="430">
          <cell r="B430" t="str">
            <v>SC</v>
          </cell>
        </row>
        <row r="431">
          <cell r="B431" t="str">
            <v>SC</v>
          </cell>
        </row>
        <row r="432">
          <cell r="B432" t="str">
            <v>SC</v>
          </cell>
        </row>
        <row r="433">
          <cell r="B433" t="str">
            <v>SC</v>
          </cell>
        </row>
        <row r="434">
          <cell r="B434" t="str">
            <v>SC</v>
          </cell>
        </row>
        <row r="435">
          <cell r="B435" t="str">
            <v>SC</v>
          </cell>
        </row>
        <row r="436">
          <cell r="B436" t="str">
            <v>SC</v>
          </cell>
        </row>
        <row r="437">
          <cell r="B437" t="str">
            <v>TX</v>
          </cell>
        </row>
        <row r="438">
          <cell r="B438" t="str">
            <v>TX</v>
          </cell>
        </row>
        <row r="439">
          <cell r="B439" t="str">
            <v>TX</v>
          </cell>
        </row>
        <row r="440">
          <cell r="B440" t="str">
            <v>TX</v>
          </cell>
        </row>
        <row r="441">
          <cell r="B441" t="str">
            <v>TX</v>
          </cell>
        </row>
        <row r="442">
          <cell r="B442" t="str">
            <v>TX</v>
          </cell>
        </row>
        <row r="443">
          <cell r="B443" t="str">
            <v>TX</v>
          </cell>
        </row>
        <row r="444">
          <cell r="B444" t="str">
            <v>TX</v>
          </cell>
        </row>
        <row r="445">
          <cell r="B445" t="str">
            <v>TX</v>
          </cell>
        </row>
        <row r="446">
          <cell r="B446" t="str">
            <v>TX</v>
          </cell>
        </row>
        <row r="447">
          <cell r="B447" t="str">
            <v>TX</v>
          </cell>
        </row>
        <row r="448">
          <cell r="B448" t="str">
            <v>TX</v>
          </cell>
        </row>
        <row r="449">
          <cell r="B449" t="str">
            <v>TX</v>
          </cell>
        </row>
        <row r="450">
          <cell r="B450" t="str">
            <v>TX</v>
          </cell>
        </row>
        <row r="451">
          <cell r="B451" t="str">
            <v>TX</v>
          </cell>
        </row>
        <row r="452">
          <cell r="B452" t="str">
            <v>TX</v>
          </cell>
        </row>
        <row r="453">
          <cell r="B453" t="str">
            <v>TX</v>
          </cell>
        </row>
        <row r="454">
          <cell r="B454" t="str">
            <v>TX</v>
          </cell>
        </row>
        <row r="455">
          <cell r="B455" t="str">
            <v>TX</v>
          </cell>
        </row>
        <row r="456">
          <cell r="B456" t="str">
            <v>TX</v>
          </cell>
        </row>
        <row r="457">
          <cell r="B457" t="str">
            <v>TX</v>
          </cell>
        </row>
        <row r="458">
          <cell r="B458" t="str">
            <v>TX</v>
          </cell>
        </row>
        <row r="459">
          <cell r="B459" t="str">
            <v>TX</v>
          </cell>
        </row>
        <row r="460">
          <cell r="B460" t="str">
            <v>TX</v>
          </cell>
        </row>
        <row r="461">
          <cell r="B461" t="str">
            <v>TX</v>
          </cell>
        </row>
        <row r="462">
          <cell r="B462" t="str">
            <v>TX</v>
          </cell>
        </row>
        <row r="463">
          <cell r="B463" t="str">
            <v>TX</v>
          </cell>
        </row>
        <row r="464">
          <cell r="B464" t="str">
            <v>TX</v>
          </cell>
        </row>
        <row r="465">
          <cell r="B465" t="str">
            <v>TX</v>
          </cell>
        </row>
        <row r="466">
          <cell r="B466" t="str">
            <v>TX</v>
          </cell>
        </row>
        <row r="467">
          <cell r="B467" t="str">
            <v>TX</v>
          </cell>
        </row>
        <row r="468">
          <cell r="B468" t="str">
            <v>TX</v>
          </cell>
        </row>
        <row r="469">
          <cell r="B469" t="str">
            <v>TX</v>
          </cell>
        </row>
        <row r="470">
          <cell r="B470" t="str">
            <v>TX</v>
          </cell>
        </row>
        <row r="471">
          <cell r="B471" t="str">
            <v>TX</v>
          </cell>
        </row>
        <row r="472">
          <cell r="B472" t="str">
            <v>TX</v>
          </cell>
        </row>
        <row r="473">
          <cell r="B473" t="str">
            <v>TX</v>
          </cell>
        </row>
        <row r="474">
          <cell r="B474" t="str">
            <v>TX</v>
          </cell>
        </row>
        <row r="475">
          <cell r="B475" t="str">
            <v>TX</v>
          </cell>
        </row>
        <row r="476">
          <cell r="B476" t="str">
            <v>TX</v>
          </cell>
        </row>
        <row r="477">
          <cell r="B477" t="str">
            <v>TX</v>
          </cell>
        </row>
        <row r="478">
          <cell r="B478" t="str">
            <v>TX</v>
          </cell>
        </row>
        <row r="479">
          <cell r="B479" t="str">
            <v>VA</v>
          </cell>
        </row>
        <row r="480">
          <cell r="B480" t="str">
            <v>VA</v>
          </cell>
        </row>
        <row r="481">
          <cell r="B481" t="str">
            <v>VA</v>
          </cell>
        </row>
        <row r="482">
          <cell r="B482" t="str">
            <v>VA</v>
          </cell>
        </row>
        <row r="483">
          <cell r="B483" t="str">
            <v>VA</v>
          </cell>
        </row>
        <row r="484">
          <cell r="B484" t="str">
            <v>VA</v>
          </cell>
        </row>
        <row r="485">
          <cell r="B485" t="str">
            <v>VA</v>
          </cell>
        </row>
        <row r="486">
          <cell r="B486" t="str">
            <v>VA</v>
          </cell>
        </row>
        <row r="487">
          <cell r="B487" t="str">
            <v>VA</v>
          </cell>
        </row>
        <row r="488">
          <cell r="B488" t="str">
            <v>VA</v>
          </cell>
        </row>
        <row r="489">
          <cell r="B489" t="str">
            <v>VA</v>
          </cell>
        </row>
        <row r="490">
          <cell r="B490" t="str">
            <v>VA</v>
          </cell>
        </row>
        <row r="491">
          <cell r="B491" t="str">
            <v>VA</v>
          </cell>
        </row>
        <row r="492">
          <cell r="B492" t="str">
            <v>VA</v>
          </cell>
        </row>
        <row r="493">
          <cell r="B493" t="str">
            <v>WA</v>
          </cell>
        </row>
        <row r="494">
          <cell r="B494" t="str">
            <v>WA</v>
          </cell>
        </row>
        <row r="495">
          <cell r="B495" t="str">
            <v>WA</v>
          </cell>
        </row>
        <row r="496">
          <cell r="B496" t="str">
            <v>WA</v>
          </cell>
        </row>
        <row r="497">
          <cell r="B497" t="str">
            <v>WA</v>
          </cell>
        </row>
        <row r="498">
          <cell r="B498" t="str">
            <v>WA</v>
          </cell>
        </row>
        <row r="499">
          <cell r="B499" t="str">
            <v>WA</v>
          </cell>
        </row>
        <row r="500">
          <cell r="B500" t="str">
            <v>WA</v>
          </cell>
        </row>
        <row r="501">
          <cell r="B501" t="str">
            <v>WA</v>
          </cell>
        </row>
        <row r="502">
          <cell r="B502" t="str">
            <v>WA</v>
          </cell>
        </row>
        <row r="503">
          <cell r="B503" t="str">
            <v>WA</v>
          </cell>
        </row>
        <row r="504">
          <cell r="B504" t="str">
            <v>WA</v>
          </cell>
        </row>
        <row r="505">
          <cell r="B505" t="str">
            <v>WA</v>
          </cell>
        </row>
        <row r="506">
          <cell r="B506" t="str">
            <v>WA</v>
          </cell>
        </row>
        <row r="507">
          <cell r="B507" t="str">
            <v>WA</v>
          </cell>
        </row>
        <row r="508">
          <cell r="B508" t="str">
            <v>WA</v>
          </cell>
        </row>
        <row r="509">
          <cell r="B509" t="str">
            <v>WA</v>
          </cell>
        </row>
        <row r="510">
          <cell r="B510" t="str">
            <v>WA</v>
          </cell>
        </row>
        <row r="511">
          <cell r="B511" t="str">
            <v>WA</v>
          </cell>
        </row>
        <row r="512">
          <cell r="B512" t="str">
            <v>WA</v>
          </cell>
        </row>
      </sheetData>
      <sheetData sheetId="4">
        <row r="3">
          <cell r="BN3">
            <v>1</v>
          </cell>
          <cell r="BO3">
            <v>2</v>
          </cell>
          <cell r="BP3">
            <v>3</v>
          </cell>
          <cell r="BQ3">
            <v>4</v>
          </cell>
          <cell r="BR3">
            <v>5</v>
          </cell>
          <cell r="BS3">
            <v>6</v>
          </cell>
          <cell r="BT3">
            <v>7</v>
          </cell>
          <cell r="BU3">
            <v>8</v>
          </cell>
          <cell r="BV3">
            <v>9</v>
          </cell>
          <cell r="BY3">
            <v>1</v>
          </cell>
          <cell r="BZ3">
            <v>2</v>
          </cell>
          <cell r="CA3">
            <v>3</v>
          </cell>
        </row>
        <row r="4">
          <cell r="BO4" t="str">
            <v>INN Emb Copay</v>
          </cell>
          <cell r="BP4" t="str">
            <v>INN Emb Copay (IP)</v>
          </cell>
          <cell r="BQ4" t="str">
            <v>INN Emb Copay (MajorDX)</v>
          </cell>
          <cell r="BR4" t="str">
            <v>INN Emb Copay (OV-FAC POD)</v>
          </cell>
          <cell r="BS4" t="str">
            <v>INN Non-Emb Cpy (OV-FAC POD)</v>
          </cell>
          <cell r="BT4" t="str">
            <v>INN Emb Non-Copay</v>
          </cell>
          <cell r="BU4" t="str">
            <v>INN Int-Rx Emb Non-Copay</v>
          </cell>
          <cell r="BV4" t="str">
            <v>INN Int-Rx Non-Emb Non-Copay</v>
          </cell>
          <cell r="BZ4" t="str">
            <v>OON Emb</v>
          </cell>
          <cell r="CA4" t="str">
            <v>OON Non-Emb</v>
          </cell>
          <cell r="CF4" t="str">
            <v>OOPM Choices INN</v>
          </cell>
          <cell r="CG4" t="str">
            <v>OOPM Choices OON</v>
          </cell>
        </row>
        <row r="5">
          <cell r="BY5" t="str">
            <v>0/0.8/0</v>
          </cell>
          <cell r="BZ5">
            <v>2.8206809685441092E-2</v>
          </cell>
          <cell r="CA5">
            <v>2.8350139159793786E-2</v>
          </cell>
        </row>
        <row r="6">
          <cell r="BN6" t="str">
            <v>0/1/250</v>
          </cell>
          <cell r="BO6">
            <v>0.96997558035649423</v>
          </cell>
          <cell r="BP6">
            <v>0.97030286810344679</v>
          </cell>
          <cell r="BQ6">
            <v>0.96988412265643886</v>
          </cell>
          <cell r="BR6">
            <v>0.97030286810344646</v>
          </cell>
          <cell r="BS6">
            <v>0.96417852702095019</v>
          </cell>
          <cell r="BT6">
            <v>0.99204341663363294</v>
          </cell>
          <cell r="BU6">
            <v>1.1751296338055042</v>
          </cell>
          <cell r="BV6">
            <v>1.1666782630874062</v>
          </cell>
          <cell r="BY6" t="str">
            <v>0/0.8/250</v>
          </cell>
          <cell r="BZ6">
            <v>2.7499970507194327E-2</v>
          </cell>
          <cell r="CA6">
            <v>2.7579967838547992E-2</v>
          </cell>
          <cell r="CF6">
            <v>250</v>
          </cell>
          <cell r="CG6">
            <v>250</v>
          </cell>
        </row>
        <row r="7">
          <cell r="BN7" t="str">
            <v>0/1/500</v>
          </cell>
          <cell r="BO7">
            <v>0.93843689212616554</v>
          </cell>
          <cell r="BP7">
            <v>0.937956971543494</v>
          </cell>
          <cell r="BQ7">
            <v>0.9356515167881001</v>
          </cell>
          <cell r="BR7">
            <v>0.937956971543494</v>
          </cell>
          <cell r="BS7">
            <v>0.931668444582055</v>
          </cell>
          <cell r="BT7">
            <v>0.97291964844518208</v>
          </cell>
          <cell r="BU7">
            <v>1.1453188656626254</v>
          </cell>
          <cell r="BV7">
            <v>1.1416993721388362</v>
          </cell>
          <cell r="BY7" t="str">
            <v>0/0.8/500</v>
          </cell>
          <cell r="BZ7">
            <v>2.7082734093538674E-2</v>
          </cell>
          <cell r="CA7">
            <v>2.7136650757670022E-2</v>
          </cell>
          <cell r="CF7">
            <v>500</v>
          </cell>
          <cell r="CG7">
            <v>500</v>
          </cell>
        </row>
        <row r="8">
          <cell r="BN8" t="str">
            <v>0/1/750</v>
          </cell>
          <cell r="BO8">
            <v>0.91854223545621083</v>
          </cell>
          <cell r="BP8">
            <v>0.91401506986975678</v>
          </cell>
          <cell r="BQ8">
            <v>0.91079558693222462</v>
          </cell>
          <cell r="BR8">
            <v>0.91401506986975678</v>
          </cell>
          <cell r="BS8">
            <v>0.90928629710296749</v>
          </cell>
          <cell r="BT8">
            <v>0.96963069353824805</v>
          </cell>
          <cell r="BU8">
            <v>1.1391898550799742</v>
          </cell>
          <cell r="BV8">
            <v>1.1357985072441481</v>
          </cell>
          <cell r="BY8" t="str">
            <v>0/0.8/750</v>
          </cell>
          <cell r="BZ8">
            <v>2.6782735978835071E-2</v>
          </cell>
          <cell r="CA8">
            <v>2.6813042977005486E-2</v>
          </cell>
          <cell r="CF8">
            <v>750</v>
          </cell>
          <cell r="CG8">
            <v>750</v>
          </cell>
        </row>
        <row r="9">
          <cell r="BN9" t="str">
            <v>0/1/1000</v>
          </cell>
          <cell r="BO9">
            <v>0.90192133114326967</v>
          </cell>
          <cell r="BP9">
            <v>0.89478435709592485</v>
          </cell>
          <cell r="BQ9">
            <v>0.8928713693565643</v>
          </cell>
          <cell r="BR9">
            <v>0.89478435709592485</v>
          </cell>
          <cell r="BS9">
            <v>0.89079597012970635</v>
          </cell>
          <cell r="BT9">
            <v>0.96634173863131356</v>
          </cell>
          <cell r="BU9">
            <v>1.1351468619680816</v>
          </cell>
          <cell r="BV9">
            <v>1.1321806899362254</v>
          </cell>
          <cell r="BY9" t="str">
            <v>0/0.8/1000</v>
          </cell>
          <cell r="BZ9">
            <v>2.6539248669954274E-2</v>
          </cell>
          <cell r="CA9">
            <v>2.6549490920378283E-2</v>
          </cell>
          <cell r="CF9">
            <v>1000</v>
          </cell>
          <cell r="CG9">
            <v>1000</v>
          </cell>
        </row>
        <row r="10">
          <cell r="BN10" t="str">
            <v>0/1/1250</v>
          </cell>
          <cell r="BO10">
            <v>0.89777633476729968</v>
          </cell>
          <cell r="BP10">
            <v>0.88873595715200682</v>
          </cell>
          <cell r="BQ10">
            <v>0.88788539807671008</v>
          </cell>
          <cell r="BR10">
            <v>0.88873595715200671</v>
          </cell>
          <cell r="BS10">
            <v>0.88516841727344664</v>
          </cell>
          <cell r="BT10">
            <v>0.96499049825758243</v>
          </cell>
          <cell r="BU10">
            <v>1.1326128896057885</v>
          </cell>
          <cell r="BV10">
            <v>1.1301467549934165</v>
          </cell>
          <cell r="BY10" t="str">
            <v>0/0.8/1250</v>
          </cell>
          <cell r="BZ10">
            <v>2.6337388824771102E-2</v>
          </cell>
          <cell r="CA10">
            <v>2.632445578601561E-2</v>
          </cell>
          <cell r="CF10">
            <v>1250</v>
          </cell>
          <cell r="CG10">
            <v>1250</v>
          </cell>
        </row>
        <row r="11">
          <cell r="BN11" t="str">
            <v>0/1/1500</v>
          </cell>
          <cell r="BO11">
            <v>0.89412532654151677</v>
          </cell>
          <cell r="BP11">
            <v>0.88358392200383784</v>
          </cell>
          <cell r="BQ11">
            <v>0.88363704365472573</v>
          </cell>
          <cell r="BR11">
            <v>0.88358392200383784</v>
          </cell>
          <cell r="BS11">
            <v>0.88042742760078718</v>
          </cell>
          <cell r="BT11">
            <v>0.96363925788385085</v>
          </cell>
          <cell r="BU11">
            <v>1.130937193092282</v>
          </cell>
          <cell r="BV11">
            <v>1.1293088028348246</v>
          </cell>
          <cell r="BY11" t="str">
            <v>0/0.8/1500</v>
          </cell>
          <cell r="BZ11">
            <v>2.616197213253213E-2</v>
          </cell>
          <cell r="CA11">
            <v>2.612814219879378E-2</v>
          </cell>
          <cell r="CF11">
            <v>1500</v>
          </cell>
          <cell r="CG11">
            <v>1500</v>
          </cell>
        </row>
        <row r="12">
          <cell r="BN12" t="str">
            <v>0/1/1750</v>
          </cell>
          <cell r="BO12">
            <v>0.89182894774703159</v>
          </cell>
          <cell r="BP12">
            <v>0.88027463427373409</v>
          </cell>
          <cell r="BQ12">
            <v>0.88103714875495154</v>
          </cell>
          <cell r="BR12">
            <v>0.88027463427373409</v>
          </cell>
          <cell r="BS12">
            <v>0.87736844030523953</v>
          </cell>
          <cell r="BT12">
            <v>0.96319800875093087</v>
          </cell>
          <cell r="BU12">
            <v>1.1300884832482141</v>
          </cell>
          <cell r="BV12">
            <v>1.1291037611666419</v>
          </cell>
          <cell r="BY12" t="str">
            <v>0/0.8/1750</v>
          </cell>
          <cell r="BZ12">
            <v>2.6015293834405817E-2</v>
          </cell>
          <cell r="CA12">
            <v>2.5966329120618581E-2</v>
          </cell>
          <cell r="CF12">
            <v>1750</v>
          </cell>
          <cell r="CG12">
            <v>1750</v>
          </cell>
        </row>
        <row r="13">
          <cell r="BN13" t="str">
            <v>0/1/2000</v>
          </cell>
          <cell r="BO13">
            <v>0.88953256895254629</v>
          </cell>
          <cell r="BP13">
            <v>0.87696534654363034</v>
          </cell>
          <cell r="BQ13">
            <v>0.87843725385517724</v>
          </cell>
          <cell r="BR13">
            <v>0.87696534654363034</v>
          </cell>
          <cell r="BS13">
            <v>0.87430945300969198</v>
          </cell>
          <cell r="BT13">
            <v>0.96275675961801088</v>
          </cell>
          <cell r="BU13">
            <v>1.1292397734041462</v>
          </cell>
          <cell r="BV13">
            <v>1.128898719498459</v>
          </cell>
          <cell r="BY13" t="str">
            <v>0/0.8/2000</v>
          </cell>
          <cell r="BZ13">
            <v>2.5868615536279504E-2</v>
          </cell>
          <cell r="CA13">
            <v>2.5804516042443382E-2</v>
          </cell>
          <cell r="CF13">
            <v>2000</v>
          </cell>
          <cell r="CG13">
            <v>2000</v>
          </cell>
        </row>
        <row r="14">
          <cell r="BN14" t="str">
            <v>0/1/2250</v>
          </cell>
          <cell r="BO14">
            <v>0.88813054879377573</v>
          </cell>
          <cell r="BP14">
            <v>0.87483047788702206</v>
          </cell>
          <cell r="BQ14">
            <v>0.87681082600241433</v>
          </cell>
          <cell r="BR14">
            <v>0.87483047788702206</v>
          </cell>
          <cell r="BS14">
            <v>0.87244309689386135</v>
          </cell>
          <cell r="BT14">
            <v>0.96267826969782677</v>
          </cell>
          <cell r="BU14">
            <v>1.1290960748747709</v>
          </cell>
          <cell r="BV14">
            <v>1.1288407808368048</v>
          </cell>
          <cell r="BY14" t="str">
            <v>0/0.8/2250</v>
          </cell>
          <cell r="BZ14">
            <v>2.5742512382890714E-2</v>
          </cell>
          <cell r="CA14">
            <v>2.56700872688711E-2</v>
          </cell>
          <cell r="CF14">
            <v>2250</v>
          </cell>
          <cell r="CG14">
            <v>2250</v>
          </cell>
        </row>
        <row r="15">
          <cell r="BN15" t="str">
            <v>0/1/2500</v>
          </cell>
          <cell r="BO15">
            <v>0.88673038320133069</v>
          </cell>
          <cell r="BP15">
            <v>0.87294979536562323</v>
          </cell>
          <cell r="BQ15">
            <v>0.87520960179579865</v>
          </cell>
          <cell r="BR15">
            <v>0.87294979536562323</v>
          </cell>
          <cell r="BS15">
            <v>0.87075102326081244</v>
          </cell>
          <cell r="BT15">
            <v>0.96259977977764277</v>
          </cell>
          <cell r="BU15">
            <v>1.1289809120617218</v>
          </cell>
          <cell r="BV15">
            <v>1.1288139942876634</v>
          </cell>
          <cell r="BY15" t="str">
            <v>0/0.8/2500</v>
          </cell>
          <cell r="BZ15">
            <v>2.5620008681322304E-2</v>
          </cell>
          <cell r="CA15">
            <v>2.5545708893312646E-2</v>
          </cell>
          <cell r="CF15">
            <v>2500</v>
          </cell>
          <cell r="CG15">
            <v>2500</v>
          </cell>
        </row>
        <row r="16">
          <cell r="BN16" t="str">
            <v>0/1/2750</v>
          </cell>
          <cell r="BO16">
            <v>0.88586690881217389</v>
          </cell>
          <cell r="BP16">
            <v>0.87153955349844314</v>
          </cell>
          <cell r="BQ16">
            <v>0.87423999383676843</v>
          </cell>
          <cell r="BR16">
            <v>0.87153955349844314</v>
          </cell>
          <cell r="BS16">
            <v>0.86955361552177424</v>
          </cell>
          <cell r="BT16">
            <v>0.96257371316871232</v>
          </cell>
          <cell r="BU16">
            <v>1.1289021957712535</v>
          </cell>
          <cell r="BV16">
            <v>1.1288035244555699</v>
          </cell>
          <cell r="BY16" t="str">
            <v>0/0.8/2750</v>
          </cell>
          <cell r="BZ16">
            <v>2.5498704596228716E-2</v>
          </cell>
          <cell r="CA16">
            <v>2.5447492953431183E-2</v>
          </cell>
          <cell r="CF16">
            <v>2750</v>
          </cell>
          <cell r="CG16">
            <v>2750</v>
          </cell>
        </row>
        <row r="17">
          <cell r="BN17" t="str">
            <v>0/1/3000</v>
          </cell>
          <cell r="BO17">
            <v>0.88505385214173538</v>
          </cell>
          <cell r="BP17">
            <v>0.87034054968075225</v>
          </cell>
          <cell r="BQ17">
            <v>0.87327163374573369</v>
          </cell>
          <cell r="BR17">
            <v>0.87034054968075225</v>
          </cell>
          <cell r="BS17">
            <v>0.86847971390634993</v>
          </cell>
          <cell r="BT17">
            <v>0.96254764655978164</v>
          </cell>
          <cell r="BU17">
            <v>1.1288442864675867</v>
          </cell>
          <cell r="BV17">
            <v>1.1287929541748229</v>
          </cell>
          <cell r="BY17" t="str">
            <v>0/0.8/3000</v>
          </cell>
          <cell r="BZ17">
            <v>2.5416889226723915E-2</v>
          </cell>
          <cell r="CA17">
            <v>2.5356265240962683E-2</v>
          </cell>
          <cell r="CF17">
            <v>3000</v>
          </cell>
          <cell r="CG17">
            <v>3000</v>
          </cell>
        </row>
        <row r="18">
          <cell r="BN18" t="str">
            <v>0/1/3250</v>
          </cell>
          <cell r="BO18">
            <v>0.88463869189512478</v>
          </cell>
          <cell r="BP18">
            <v>0.86945703855119238</v>
          </cell>
          <cell r="BQ18">
            <v>0.87265506628633704</v>
          </cell>
          <cell r="BR18">
            <v>0.86945703855119238</v>
          </cell>
          <cell r="BS18">
            <v>0.86778491967845484</v>
          </cell>
          <cell r="BT18">
            <v>0.96254222909062004</v>
          </cell>
          <cell r="BU18">
            <v>1.1288293413431076</v>
          </cell>
          <cell r="BV18">
            <v>1.1287852458226135</v>
          </cell>
          <cell r="BY18" t="str">
            <v>0/0.8/3250</v>
          </cell>
          <cell r="BZ18">
            <v>2.533588063534753E-2</v>
          </cell>
          <cell r="CA18">
            <v>2.5275975838433884E-2</v>
          </cell>
          <cell r="CF18">
            <v>3250</v>
          </cell>
          <cell r="CG18">
            <v>3250</v>
          </cell>
        </row>
        <row r="19">
          <cell r="BN19" t="str">
            <v>0/1/3500</v>
          </cell>
          <cell r="BO19">
            <v>0.88422353164851408</v>
          </cell>
          <cell r="BP19">
            <v>0.86857352742163241</v>
          </cell>
          <cell r="BQ19">
            <v>0.87203849882694051</v>
          </cell>
          <cell r="BR19">
            <v>0.86857352742163241</v>
          </cell>
          <cell r="BS19">
            <v>0.86709012545055986</v>
          </cell>
          <cell r="BT19">
            <v>0.96253681162145843</v>
          </cell>
          <cell r="BU19">
            <v>1.1288143962186288</v>
          </cell>
          <cell r="BV19">
            <v>1.1287775374704043</v>
          </cell>
          <cell r="BY19" t="str">
            <v>0/0.8/3500</v>
          </cell>
          <cell r="BZ19">
            <v>2.5254872043971144E-2</v>
          </cell>
          <cell r="CA19">
            <v>2.5195686435905085E-2</v>
          </cell>
          <cell r="CF19">
            <v>3500</v>
          </cell>
          <cell r="CG19">
            <v>3500</v>
          </cell>
        </row>
        <row r="20">
          <cell r="BN20" t="str">
            <v>0/1/3750</v>
          </cell>
          <cell r="BO20">
            <v>0.88383026183796387</v>
          </cell>
          <cell r="BP20">
            <v>0.86791166022048682</v>
          </cell>
          <cell r="BQ20">
            <v>0.87150909211588101</v>
          </cell>
          <cell r="BR20">
            <v>0.86791166022048682</v>
          </cell>
          <cell r="BS20">
            <v>0.8665063743664243</v>
          </cell>
          <cell r="BT20">
            <v>0.96253139415229683</v>
          </cell>
          <cell r="BU20">
            <v>1.1288070992211581</v>
          </cell>
          <cell r="BV20">
            <v>1.1287775374704043</v>
          </cell>
          <cell r="BY20" t="str">
            <v>0/0.8/3750</v>
          </cell>
          <cell r="BZ20">
            <v>2.5178578703831889E-2</v>
          </cell>
          <cell r="CA20">
            <v>2.5124571281573527E-2</v>
          </cell>
          <cell r="CF20">
            <v>3750</v>
          </cell>
          <cell r="CG20">
            <v>3750</v>
          </cell>
        </row>
        <row r="21">
          <cell r="BN21" t="str">
            <v>0/1/4000</v>
          </cell>
          <cell r="BO21">
            <v>0.88343699202741377</v>
          </cell>
          <cell r="BP21">
            <v>0.86724979301934124</v>
          </cell>
          <cell r="BQ21">
            <v>0.87097968540482162</v>
          </cell>
          <cell r="BR21">
            <v>0.86724979301934124</v>
          </cell>
          <cell r="BS21">
            <v>0.86592262328228864</v>
          </cell>
          <cell r="BT21">
            <v>0.96252597668313533</v>
          </cell>
          <cell r="BU21">
            <v>1.1287998022236876</v>
          </cell>
          <cell r="BV21">
            <v>1.1287775374704043</v>
          </cell>
          <cell r="BY21" t="str">
            <v>0/0.8/4000</v>
          </cell>
          <cell r="BZ21">
            <v>2.5102285363692634E-2</v>
          </cell>
          <cell r="CA21">
            <v>2.5053456127241969E-2</v>
          </cell>
          <cell r="CF21">
            <v>4000</v>
          </cell>
          <cell r="CG21">
            <v>4000</v>
          </cell>
        </row>
        <row r="22">
          <cell r="BN22" t="str">
            <v>0/1/4250</v>
          </cell>
          <cell r="BO22">
            <v>0.88343247055340846</v>
          </cell>
          <cell r="BP22">
            <v>0.86698242133372694</v>
          </cell>
          <cell r="BQ22">
            <v>0.87093253705019857</v>
          </cell>
          <cell r="BR22">
            <v>0.86698242133372694</v>
          </cell>
          <cell r="BS22">
            <v>0.86578865847216813</v>
          </cell>
          <cell r="BT22">
            <v>0.96252597668313533</v>
          </cell>
          <cell r="BU22">
            <v>1.128792513394703</v>
          </cell>
          <cell r="BV22">
            <v>1.1287775374704043</v>
          </cell>
          <cell r="BY22" t="str">
            <v>0/0.8/4250</v>
          </cell>
          <cell r="BZ22">
            <v>2.5044645667233634E-2</v>
          </cell>
          <cell r="CA22">
            <v>2.4992112738054906E-2</v>
          </cell>
          <cell r="CF22">
            <v>4250</v>
          </cell>
          <cell r="CG22">
            <v>4250</v>
          </cell>
        </row>
        <row r="23">
          <cell r="BN23" t="str">
            <v>0/1/4500</v>
          </cell>
          <cell r="BO23">
            <v>0.88342794907940325</v>
          </cell>
          <cell r="BP23">
            <v>0.86671504964811263</v>
          </cell>
          <cell r="BQ23">
            <v>0.87088538869557552</v>
          </cell>
          <cell r="BR23">
            <v>0.86671504964811263</v>
          </cell>
          <cell r="BS23">
            <v>0.86565469366204773</v>
          </cell>
          <cell r="BT23">
            <v>0.96252597668313533</v>
          </cell>
          <cell r="BU23">
            <v>1.1287852245657184</v>
          </cell>
          <cell r="BV23">
            <v>1.1287775374704043</v>
          </cell>
          <cell r="BY23" t="str">
            <v>0/0.8/4500</v>
          </cell>
          <cell r="BZ23">
            <v>2.4987005970774634E-2</v>
          </cell>
          <cell r="CA23">
            <v>2.4930769348867843E-2</v>
          </cell>
          <cell r="CF23">
            <v>4500</v>
          </cell>
          <cell r="CG23">
            <v>4500</v>
          </cell>
        </row>
        <row r="24">
          <cell r="BN24" t="str">
            <v>0/1/4750</v>
          </cell>
          <cell r="BO24">
            <v>0.88342794907940325</v>
          </cell>
          <cell r="BP24">
            <v>0.86652978412308346</v>
          </cell>
          <cell r="BQ24">
            <v>0.87087581661958779</v>
          </cell>
          <cell r="BR24">
            <v>0.86652978412308335</v>
          </cell>
          <cell r="BS24">
            <v>0.86555418771225567</v>
          </cell>
          <cell r="BT24">
            <v>0.96252597668313533</v>
          </cell>
          <cell r="BU24">
            <v>1.1287813810180614</v>
          </cell>
          <cell r="BV24">
            <v>1.1287775374704043</v>
          </cell>
          <cell r="BY24" t="str">
            <v>0/0.8/4750</v>
          </cell>
          <cell r="BZ24">
            <v>2.4929437729637849E-2</v>
          </cell>
          <cell r="CA24">
            <v>2.4876641081330031E-2</v>
          </cell>
          <cell r="CF24">
            <v>4750</v>
          </cell>
          <cell r="CG24">
            <v>4750</v>
          </cell>
        </row>
        <row r="25">
          <cell r="BN25" t="str">
            <v>0/1/5000</v>
          </cell>
          <cell r="BO25">
            <v>0.88342794907940325</v>
          </cell>
          <cell r="BP25">
            <v>0.86634451859805428</v>
          </cell>
          <cell r="BQ25">
            <v>0.87086624454360007</v>
          </cell>
          <cell r="BR25">
            <v>0.86634451859805406</v>
          </cell>
          <cell r="BS25">
            <v>0.86545368176246351</v>
          </cell>
          <cell r="BT25">
            <v>0.96252597668313533</v>
          </cell>
          <cell r="BU25">
            <v>1.1287775374704043</v>
          </cell>
          <cell r="BV25">
            <v>1.1287775374704043</v>
          </cell>
          <cell r="BY25" t="str">
            <v>0/0.8/5000</v>
          </cell>
          <cell r="BZ25">
            <v>2.4871869488501064E-2</v>
          </cell>
          <cell r="CA25">
            <v>2.4822512813792219E-2</v>
          </cell>
          <cell r="CF25">
            <v>5000</v>
          </cell>
          <cell r="CG25">
            <v>5000</v>
          </cell>
          <cell r="CU25">
            <v>-25</v>
          </cell>
          <cell r="CV25">
            <v>1.0253794191470571</v>
          </cell>
          <cell r="DA25">
            <v>-125</v>
          </cell>
          <cell r="DB25">
            <v>1.0025050100200401</v>
          </cell>
          <cell r="DD25">
            <v>-250</v>
          </cell>
          <cell r="DE25">
            <v>1.0012512512512513</v>
          </cell>
          <cell r="DG25">
            <v>-150</v>
          </cell>
          <cell r="DH25">
            <v>1.0060210561262524</v>
          </cell>
          <cell r="DJ25">
            <v>-200</v>
          </cell>
          <cell r="DK25">
            <v>1.0212542851229434</v>
          </cell>
          <cell r="DM25">
            <v>-250</v>
          </cell>
          <cell r="DN25">
            <v>1.0075361490690729</v>
          </cell>
        </row>
        <row r="26">
          <cell r="BN26" t="str">
            <v>0/1/5250</v>
          </cell>
          <cell r="BO26">
            <v>0.88342794907940325</v>
          </cell>
          <cell r="BP26">
            <v>0.86618510515956615</v>
          </cell>
          <cell r="BQ26">
            <v>0.87086232927328822</v>
          </cell>
          <cell r="BR26">
            <v>0.86618510515956615</v>
          </cell>
          <cell r="BS26">
            <v>0.86537875274111653</v>
          </cell>
          <cell r="BT26">
            <v>0.96252597668313533</v>
          </cell>
          <cell r="BU26">
            <v>1.1287775374704043</v>
          </cell>
          <cell r="BV26">
            <v>1.1287775374704043</v>
          </cell>
          <cell r="BY26" t="str">
            <v>0/0.8/5250</v>
          </cell>
          <cell r="BZ26">
            <v>2.4827169750648803E-2</v>
          </cell>
          <cell r="CA26">
            <v>2.4777353462118734E-2</v>
          </cell>
          <cell r="CF26">
            <v>5250</v>
          </cell>
          <cell r="CG26">
            <v>5250</v>
          </cell>
          <cell r="CU26">
            <v>-20</v>
          </cell>
          <cell r="CV26">
            <v>1.0202525220513219</v>
          </cell>
          <cell r="DA26">
            <v>-100</v>
          </cell>
          <cell r="DB26">
            <v>1.002004008016032</v>
          </cell>
          <cell r="DD26">
            <v>-200</v>
          </cell>
          <cell r="DE26">
            <v>1.0010010010010011</v>
          </cell>
          <cell r="DG26">
            <v>-125</v>
          </cell>
          <cell r="DH26">
            <v>1.0050150350701261</v>
          </cell>
          <cell r="DJ26">
            <v>-175</v>
          </cell>
          <cell r="DK26">
            <v>1.0181905222675744</v>
          </cell>
          <cell r="DM26">
            <v>-200</v>
          </cell>
          <cell r="DN26">
            <v>1.0060271084064631</v>
          </cell>
        </row>
        <row r="27">
          <cell r="BN27" t="str">
            <v>0/1/5500</v>
          </cell>
          <cell r="BO27">
            <v>0.88342794907940325</v>
          </cell>
          <cell r="BP27">
            <v>0.86602569172107813</v>
          </cell>
          <cell r="BQ27">
            <v>0.87085841400297626</v>
          </cell>
          <cell r="BR27">
            <v>0.86602569172107813</v>
          </cell>
          <cell r="BS27">
            <v>0.86530382371976966</v>
          </cell>
          <cell r="BT27">
            <v>0.96252597668313533</v>
          </cell>
          <cell r="BU27">
            <v>1.1287775374704043</v>
          </cell>
          <cell r="BV27">
            <v>1.1287775374704043</v>
          </cell>
          <cell r="BY27" t="str">
            <v>0/0.8/5500</v>
          </cell>
          <cell r="BZ27">
            <v>2.4782470012796542E-2</v>
          </cell>
          <cell r="CA27">
            <v>2.4732194110445249E-2</v>
          </cell>
          <cell r="CF27">
            <v>5500</v>
          </cell>
          <cell r="CG27">
            <v>5500</v>
          </cell>
          <cell r="CU27">
            <v>-15</v>
          </cell>
          <cell r="CV27">
            <v>1.0151512594410652</v>
          </cell>
          <cell r="DA27">
            <v>-75</v>
          </cell>
          <cell r="DB27">
            <v>1.0015030060120238</v>
          </cell>
          <cell r="DD27">
            <v>-150</v>
          </cell>
          <cell r="DE27">
            <v>1.0007507507507509</v>
          </cell>
          <cell r="DG27">
            <v>-100</v>
          </cell>
          <cell r="DH27">
            <v>1.0040100200350561</v>
          </cell>
          <cell r="DJ27">
            <v>-150</v>
          </cell>
          <cell r="DK27">
            <v>1.0151359507007718</v>
          </cell>
          <cell r="DM27">
            <v>-150</v>
          </cell>
          <cell r="DN27">
            <v>1.0045180677438534</v>
          </cell>
        </row>
        <row r="28">
          <cell r="BN28" t="str">
            <v>0/1/5750</v>
          </cell>
          <cell r="BO28">
            <v>0.88342794907940325</v>
          </cell>
          <cell r="BP28">
            <v>0.8658952259643562</v>
          </cell>
          <cell r="BQ28">
            <v>0.87085841400297626</v>
          </cell>
          <cell r="BR28">
            <v>0.8658952259643562</v>
          </cell>
          <cell r="BS28">
            <v>0.86525975470923511</v>
          </cell>
          <cell r="BT28">
            <v>0.96252597668313533</v>
          </cell>
          <cell r="BU28">
            <v>1.1287775374704043</v>
          </cell>
          <cell r="BV28">
            <v>1.1287775374704043</v>
          </cell>
          <cell r="BY28" t="str">
            <v>0/0.8/5750</v>
          </cell>
          <cell r="BZ28">
            <v>2.4738914210622465E-2</v>
          </cell>
          <cell r="CA28">
            <v>2.468650642671455E-2</v>
          </cell>
          <cell r="CF28">
            <v>5750</v>
          </cell>
          <cell r="CG28">
            <v>5750</v>
          </cell>
          <cell r="CU28">
            <v>-10</v>
          </cell>
          <cell r="CV28">
            <v>1.01007550314386</v>
          </cell>
          <cell r="DA28">
            <v>-50</v>
          </cell>
          <cell r="DB28">
            <v>1.0010020040080159</v>
          </cell>
          <cell r="DD28">
            <v>-100</v>
          </cell>
          <cell r="DE28">
            <v>1.0005005005005005</v>
          </cell>
          <cell r="DG28">
            <v>-75</v>
          </cell>
          <cell r="DH28">
            <v>1.0030060100150211</v>
          </cell>
          <cell r="DJ28">
            <v>-125</v>
          </cell>
          <cell r="DK28">
            <v>1.0120905428486695</v>
          </cell>
          <cell r="DM28">
            <v>-100</v>
          </cell>
          <cell r="DN28">
            <v>1.0030090270812437</v>
          </cell>
        </row>
        <row r="29">
          <cell r="BN29" t="str">
            <v>0/1/6000</v>
          </cell>
          <cell r="BO29">
            <v>0.88342794907940325</v>
          </cell>
          <cell r="BP29">
            <v>0.86576476020763438</v>
          </cell>
          <cell r="BQ29">
            <v>0.87085841400297626</v>
          </cell>
          <cell r="BR29">
            <v>0.86576476020763438</v>
          </cell>
          <cell r="BS29">
            <v>0.86521568569870044</v>
          </cell>
          <cell r="BT29">
            <v>0.96252597668313533</v>
          </cell>
          <cell r="BU29">
            <v>1.1287775374704043</v>
          </cell>
          <cell r="BV29">
            <v>1.1287775374704043</v>
          </cell>
          <cell r="BY29" t="str">
            <v>0/0.8/6000</v>
          </cell>
          <cell r="BZ29">
            <v>2.4695358408448387E-2</v>
          </cell>
          <cell r="CA29">
            <v>2.464081874298385E-2</v>
          </cell>
          <cell r="CF29">
            <v>6000</v>
          </cell>
          <cell r="CG29">
            <v>6000</v>
          </cell>
          <cell r="CU29">
            <v>-5</v>
          </cell>
          <cell r="CV29">
            <v>1.0050251256281406</v>
          </cell>
          <cell r="DA29">
            <v>-25</v>
          </cell>
          <cell r="DB29">
            <v>1.0005010020040079</v>
          </cell>
          <cell r="DD29">
            <v>-50</v>
          </cell>
          <cell r="DE29">
            <v>1.0002502502502502</v>
          </cell>
          <cell r="DG29">
            <v>-50</v>
          </cell>
          <cell r="DH29">
            <v>1.0020030040050061</v>
          </cell>
          <cell r="DJ29">
            <v>-100</v>
          </cell>
          <cell r="DK29">
            <v>1.0090542712201236</v>
          </cell>
          <cell r="DM29">
            <v>-50</v>
          </cell>
          <cell r="DN29">
            <v>1.0015045135406218</v>
          </cell>
        </row>
        <row r="30">
          <cell r="BN30" t="str">
            <v>0/1/6250</v>
          </cell>
          <cell r="BO30">
            <v>0.88342794907940325</v>
          </cell>
          <cell r="BP30">
            <v>0.86569101178825558</v>
          </cell>
          <cell r="BQ30">
            <v>0.87085841400297626</v>
          </cell>
          <cell r="BR30">
            <v>0.86569101178825558</v>
          </cell>
          <cell r="BS30">
            <v>0.86517641029340431</v>
          </cell>
          <cell r="BT30">
            <v>0.96252597668313533</v>
          </cell>
          <cell r="BU30">
            <v>1.1287775374704043</v>
          </cell>
          <cell r="BV30">
            <v>1.1287775374704043</v>
          </cell>
          <cell r="BY30" t="str">
            <v>0/0.8/6250</v>
          </cell>
          <cell r="BZ30">
            <v>2.4653448776660092E-2</v>
          </cell>
          <cell r="CA30">
            <v>2.460402890084179E-2</v>
          </cell>
          <cell r="CF30">
            <v>6250</v>
          </cell>
          <cell r="CG30">
            <v>6250</v>
          </cell>
          <cell r="CU30">
            <v>0</v>
          </cell>
          <cell r="CV30">
            <v>1</v>
          </cell>
          <cell r="DA30">
            <v>0</v>
          </cell>
          <cell r="DB30">
            <v>1</v>
          </cell>
          <cell r="DD30">
            <v>0</v>
          </cell>
          <cell r="DE30">
            <v>1</v>
          </cell>
          <cell r="DG30">
            <v>-25</v>
          </cell>
          <cell r="DH30">
            <v>1.0010010010010011</v>
          </cell>
          <cell r="DJ30">
            <v>-75</v>
          </cell>
          <cell r="DK30">
            <v>1.0060271084064631</v>
          </cell>
          <cell r="DM30">
            <v>0</v>
          </cell>
          <cell r="DN30">
            <v>1</v>
          </cell>
        </row>
        <row r="31">
          <cell r="BN31" t="str">
            <v>0/1/6350</v>
          </cell>
          <cell r="BO31">
            <v>0.88342794907940325</v>
          </cell>
          <cell r="BP31">
            <v>0.86566152096050752</v>
          </cell>
          <cell r="BQ31">
            <v>0.87085841400297626</v>
          </cell>
          <cell r="BR31">
            <v>0.86566152096050752</v>
          </cell>
          <cell r="BS31">
            <v>0.86516072396181587</v>
          </cell>
          <cell r="BT31">
            <v>0.96252597668313533</v>
          </cell>
          <cell r="BU31">
            <v>1.1287775374704043</v>
          </cell>
          <cell r="BV31">
            <v>1.1287775374704043</v>
          </cell>
          <cell r="BY31" t="str">
            <v>0/0.8/6350</v>
          </cell>
          <cell r="BZ31">
            <v>2.463954521019418E-2</v>
          </cell>
          <cell r="CA31">
            <v>2.4589700058038177E-2</v>
          </cell>
          <cell r="CF31">
            <v>6350</v>
          </cell>
          <cell r="CG31">
            <v>6350</v>
          </cell>
          <cell r="CU31">
            <v>5</v>
          </cell>
          <cell r="CV31">
            <v>0.995</v>
          </cell>
          <cell r="DA31">
            <v>25</v>
          </cell>
          <cell r="DB31">
            <v>0.99950000000000006</v>
          </cell>
          <cell r="DD31">
            <v>50</v>
          </cell>
          <cell r="DE31">
            <v>0.99975000000000003</v>
          </cell>
          <cell r="DG31">
            <v>0</v>
          </cell>
          <cell r="DH31">
            <v>1</v>
          </cell>
          <cell r="DJ31">
            <v>-50</v>
          </cell>
          <cell r="DK31">
            <v>1.0030090270812437</v>
          </cell>
          <cell r="DM31">
            <v>50</v>
          </cell>
          <cell r="DN31">
            <v>0.99849999999999994</v>
          </cell>
        </row>
        <row r="32">
          <cell r="BN32" t="str">
            <v>0/1/6600</v>
          </cell>
          <cell r="BO32">
            <v>0.88342794907940325</v>
          </cell>
          <cell r="BP32">
            <v>0.86558781524114292</v>
          </cell>
          <cell r="BQ32">
            <v>0.87085841400297626</v>
          </cell>
          <cell r="BR32">
            <v>0.86558781524114292</v>
          </cell>
          <cell r="BS32">
            <v>0.86512156770916293</v>
          </cell>
          <cell r="BT32">
            <v>0.96252597668313533</v>
          </cell>
          <cell r="BU32">
            <v>1.1287775374704043</v>
          </cell>
          <cell r="BV32">
            <v>1.1287775374704043</v>
          </cell>
          <cell r="BY32" t="str">
            <v>0/0.8/6600</v>
          </cell>
          <cell r="BZ32">
            <v>2.4604777336820094E-2</v>
          </cell>
          <cell r="CA32">
            <v>2.4553667352090747E-2</v>
          </cell>
          <cell r="CF32">
            <v>6600</v>
          </cell>
          <cell r="CG32">
            <v>6600</v>
          </cell>
          <cell r="CU32">
            <v>10</v>
          </cell>
          <cell r="CV32">
            <v>0.99002500000000004</v>
          </cell>
          <cell r="DA32">
            <v>50</v>
          </cell>
          <cell r="DB32">
            <v>0.999</v>
          </cell>
          <cell r="DD32">
            <v>100</v>
          </cell>
          <cell r="DE32">
            <v>0.99950000000000006</v>
          </cell>
          <cell r="DG32">
            <v>25</v>
          </cell>
          <cell r="DH32">
            <v>0.999</v>
          </cell>
          <cell r="DJ32">
            <v>-25</v>
          </cell>
          <cell r="DK32">
            <v>1.0015045135406218</v>
          </cell>
          <cell r="DM32">
            <v>100</v>
          </cell>
          <cell r="DN32">
            <v>0.997</v>
          </cell>
        </row>
        <row r="33">
          <cell r="BN33" t="str">
            <v>0/1/6850</v>
          </cell>
          <cell r="BO33">
            <v>0.88342794907940325</v>
          </cell>
          <cell r="BP33">
            <v>0.86551414002178928</v>
          </cell>
          <cell r="BQ33">
            <v>0.87085841400297626</v>
          </cell>
          <cell r="BR33">
            <v>0.86551414002178928</v>
          </cell>
          <cell r="BS33">
            <v>0.86508733847590802</v>
          </cell>
          <cell r="BT33">
            <v>0.96252597668313533</v>
          </cell>
          <cell r="BU33">
            <v>1.1287775374704043</v>
          </cell>
          <cell r="BV33">
            <v>1.1287775374704043</v>
          </cell>
          <cell r="BY33" t="str">
            <v>0/0.8/6850</v>
          </cell>
          <cell r="BZ33">
            <v>2.4569996667432648E-2</v>
          </cell>
          <cell r="CA33">
            <v>2.4517333790518014E-2</v>
          </cell>
          <cell r="CF33">
            <v>6850</v>
          </cell>
          <cell r="CG33">
            <v>6850</v>
          </cell>
          <cell r="CU33">
            <v>15</v>
          </cell>
          <cell r="CV33">
            <v>0.98507487500000002</v>
          </cell>
          <cell r="DA33">
            <v>75</v>
          </cell>
          <cell r="DB33">
            <v>0.99849999999999994</v>
          </cell>
          <cell r="DD33">
            <v>150</v>
          </cell>
          <cell r="DE33">
            <v>0.99924999999999997</v>
          </cell>
          <cell r="DG33">
            <v>50</v>
          </cell>
          <cell r="DH33">
            <v>0.99800100000000003</v>
          </cell>
          <cell r="DJ33">
            <v>0</v>
          </cell>
          <cell r="DK33">
            <v>1</v>
          </cell>
          <cell r="DM33">
            <v>150</v>
          </cell>
          <cell r="DN33">
            <v>0.99550450000000001</v>
          </cell>
        </row>
        <row r="34">
          <cell r="BN34" t="str">
            <v>0/1/7500</v>
          </cell>
          <cell r="BO34">
            <v>0.88342794907940325</v>
          </cell>
          <cell r="BP34">
            <v>0.86539922967318395</v>
          </cell>
          <cell r="BQ34">
            <v>0.87085841400297626</v>
          </cell>
          <cell r="BR34">
            <v>0.86539922967318395</v>
          </cell>
          <cell r="BS34">
            <v>0.86500694688233304</v>
          </cell>
          <cell r="BT34">
            <v>0.96252597668313533</v>
          </cell>
          <cell r="BU34">
            <v>1.1287775374704043</v>
          </cell>
          <cell r="BV34">
            <v>1.1287775374704043</v>
          </cell>
          <cell r="BY34" t="str">
            <v>0/0.8/7500</v>
          </cell>
          <cell r="BZ34">
            <v>2.4479507041684778E-2</v>
          </cell>
          <cell r="CA34">
            <v>2.4433090883394515E-2</v>
          </cell>
          <cell r="CD34" t="e">
            <v>#N/A</v>
          </cell>
          <cell r="CE34" t="e">
            <v>#N/A</v>
          </cell>
          <cell r="CG34">
            <v>7500</v>
          </cell>
          <cell r="CU34">
            <v>20</v>
          </cell>
          <cell r="CV34">
            <v>0.98014950062500006</v>
          </cell>
          <cell r="DA34">
            <v>100</v>
          </cell>
          <cell r="DB34">
            <v>0.998</v>
          </cell>
          <cell r="DD34">
            <v>200</v>
          </cell>
          <cell r="DE34">
            <v>0.999</v>
          </cell>
          <cell r="DG34">
            <v>75</v>
          </cell>
          <cell r="DH34">
            <v>0.997002999</v>
          </cell>
          <cell r="DJ34">
            <v>25</v>
          </cell>
          <cell r="DK34">
            <v>0.99849999999999994</v>
          </cell>
          <cell r="DM34">
            <v>200</v>
          </cell>
          <cell r="DN34">
            <v>0.99400900000000003</v>
          </cell>
        </row>
        <row r="35">
          <cell r="BN35" t="str">
            <v>0/1/10000</v>
          </cell>
          <cell r="BO35">
            <v>0.88342794907940325</v>
          </cell>
          <cell r="BP35">
            <v>0.86508558480783793</v>
          </cell>
          <cell r="BQ35">
            <v>0.87085841400297626</v>
          </cell>
          <cell r="BR35">
            <v>0.86508558480783793</v>
          </cell>
          <cell r="BS35">
            <v>0.86486692810326604</v>
          </cell>
          <cell r="BT35">
            <v>0.96252597668313533</v>
          </cell>
          <cell r="BU35">
            <v>1.1287775374704043</v>
          </cell>
          <cell r="BV35">
            <v>1.1287775374704043</v>
          </cell>
          <cell r="BY35" t="str">
            <v>0/0.8/8000</v>
          </cell>
          <cell r="BZ35">
            <v>2.4415526354802264E-2</v>
          </cell>
          <cell r="CA35">
            <v>2.4374865703933546E-2</v>
          </cell>
          <cell r="CD35" t="e">
            <v>#N/A</v>
          </cell>
          <cell r="CE35" t="e">
            <v>#N/A</v>
          </cell>
          <cell r="CG35">
            <v>8000</v>
          </cell>
          <cell r="CU35">
            <v>25</v>
          </cell>
          <cell r="CV35">
            <v>0.97524875312187509</v>
          </cell>
          <cell r="DA35">
            <v>125</v>
          </cell>
          <cell r="DB35">
            <v>0.99750000000000005</v>
          </cell>
          <cell r="DD35">
            <v>250</v>
          </cell>
          <cell r="DE35">
            <v>0.99875000000000003</v>
          </cell>
          <cell r="DG35">
            <v>100</v>
          </cell>
          <cell r="DH35">
            <v>0.99600599600100004</v>
          </cell>
          <cell r="DJ35">
            <v>50</v>
          </cell>
          <cell r="DK35">
            <v>0.997</v>
          </cell>
          <cell r="DM35">
            <v>250</v>
          </cell>
          <cell r="DN35">
            <v>0.99251350000000005</v>
          </cell>
        </row>
        <row r="36">
          <cell r="BN36" t="str">
            <v>0/1/99999</v>
          </cell>
          <cell r="BO36">
            <v>0.88342794907940325</v>
          </cell>
          <cell r="BP36">
            <v>0.86459518128873114</v>
          </cell>
          <cell r="BQ36">
            <v>0.87085841400297626</v>
          </cell>
          <cell r="BR36">
            <v>0.86459518128873114</v>
          </cell>
          <cell r="BS36">
            <v>0.86459518128873114</v>
          </cell>
          <cell r="BT36">
            <v>0.96252597668313533</v>
          </cell>
          <cell r="BU36">
            <v>1.1287775374704043</v>
          </cell>
          <cell r="BV36">
            <v>1.1287775374704043</v>
          </cell>
          <cell r="BY36" t="str">
            <v>0/0.8/9000</v>
          </cell>
          <cell r="BZ36">
            <v>2.4317937098002895E-2</v>
          </cell>
          <cell r="CA36">
            <v>2.4282994660105528E-2</v>
          </cell>
          <cell r="CD36" t="e">
            <v>#N/A</v>
          </cell>
          <cell r="CE36" t="e">
            <v>#N/A</v>
          </cell>
          <cell r="CG36">
            <v>9000</v>
          </cell>
          <cell r="DG36">
            <v>125</v>
          </cell>
          <cell r="DH36">
            <v>0.99500999000499901</v>
          </cell>
          <cell r="DJ36">
            <v>75</v>
          </cell>
          <cell r="DK36">
            <v>0.99400900000000003</v>
          </cell>
        </row>
        <row r="37">
          <cell r="BY37" t="str">
            <v>0/0.8/10000</v>
          </cell>
          <cell r="BZ37">
            <v>2.4220550268734042E-2</v>
          </cell>
          <cell r="CA37">
            <v>2.4206153047779955E-2</v>
          </cell>
          <cell r="CD37" t="e">
            <v>#N/A</v>
          </cell>
          <cell r="CE37" t="e">
            <v>#N/A</v>
          </cell>
          <cell r="CG37">
            <v>10000</v>
          </cell>
          <cell r="DG37">
            <v>150</v>
          </cell>
          <cell r="DH37">
            <v>0.99401498001499411</v>
          </cell>
          <cell r="DJ37">
            <v>100</v>
          </cell>
          <cell r="DK37">
            <v>0.99102697299999998</v>
          </cell>
        </row>
        <row r="38">
          <cell r="BN38" t="str">
            <v>250/1/250</v>
          </cell>
          <cell r="BT38">
            <v>0.96172581073751939</v>
          </cell>
          <cell r="BU38">
            <v>1.1784602417373216</v>
          </cell>
          <cell r="BV38">
            <v>1.1747587882262356</v>
          </cell>
          <cell r="BY38" t="str">
            <v>0/0.8/99999</v>
          </cell>
          <cell r="BZ38">
            <v>2.2964747135022279E-2</v>
          </cell>
          <cell r="CA38">
            <v>2.3206308889521132E-2</v>
          </cell>
          <cell r="CD38" t="e">
            <v>#N/A</v>
          </cell>
          <cell r="CE38" t="e">
            <v>#N/A</v>
          </cell>
          <cell r="CG38">
            <v>99999</v>
          </cell>
          <cell r="DJ38">
            <v>125</v>
          </cell>
          <cell r="DK38">
            <v>0.98805389208100003</v>
          </cell>
        </row>
        <row r="39">
          <cell r="BN39" t="str">
            <v>250/1/500</v>
          </cell>
          <cell r="BO39">
            <v>0.93617728301209269</v>
          </cell>
          <cell r="BP39">
            <v>0.93730784007508583</v>
          </cell>
          <cell r="BQ39">
            <v>0.93848620786091352</v>
          </cell>
          <cell r="BR39">
            <v>0.93657898356943725</v>
          </cell>
          <cell r="BS39">
            <v>0.93235492652643737</v>
          </cell>
          <cell r="BT39">
            <v>0.91584157535950239</v>
          </cell>
          <cell r="BU39">
            <v>1.1262900958611437</v>
          </cell>
          <cell r="BV39">
            <v>1.1192950641434443</v>
          </cell>
          <cell r="BY39" t="str">
            <v>250/0.8/250</v>
          </cell>
          <cell r="BZ39">
            <v>2.7145315259327063E-2</v>
          </cell>
          <cell r="CA39">
            <v>2.7349303420450832E-2</v>
          </cell>
          <cell r="CD39" t="e">
            <v>#N/A</v>
          </cell>
          <cell r="CE39" t="e">
            <v>#N/A</v>
          </cell>
          <cell r="DJ39">
            <v>150</v>
          </cell>
          <cell r="DK39">
            <v>0.985089730404757</v>
          </cell>
        </row>
        <row r="40">
          <cell r="BN40" t="str">
            <v>250/1/750</v>
          </cell>
          <cell r="BO40">
            <v>0.90470865159466662</v>
          </cell>
          <cell r="BP40">
            <v>0.90491830494048198</v>
          </cell>
          <cell r="BQ40">
            <v>0.90416086449178268</v>
          </cell>
          <cell r="BR40">
            <v>0.90434537716259733</v>
          </cell>
          <cell r="BS40">
            <v>0.90057852626985513</v>
          </cell>
          <cell r="BT40">
            <v>0.89750193444145898</v>
          </cell>
          <cell r="BU40">
            <v>1.1016226795971324</v>
          </cell>
          <cell r="BV40">
            <v>1.0936533764101133</v>
          </cell>
          <cell r="BY40" t="str">
            <v>250/0.8/500</v>
          </cell>
          <cell r="BZ40">
            <v>2.6556679710178166E-2</v>
          </cell>
          <cell r="CA40">
            <v>2.6671049788510537E-2</v>
          </cell>
          <cell r="CD40" t="e">
            <v>#N/A</v>
          </cell>
          <cell r="CE40" t="e">
            <v>#N/A</v>
          </cell>
          <cell r="DJ40">
            <v>175</v>
          </cell>
          <cell r="DK40">
            <v>0.98213446121354275</v>
          </cell>
        </row>
        <row r="41">
          <cell r="BN41" t="str">
            <v>250/1/1000</v>
          </cell>
          <cell r="BO41">
            <v>0.88531660615959218</v>
          </cell>
          <cell r="BP41">
            <v>0.88137163285791897</v>
          </cell>
          <cell r="BQ41">
            <v>0.87979721617460971</v>
          </cell>
          <cell r="BR41">
            <v>0.88088019000099849</v>
          </cell>
          <cell r="BS41">
            <v>0.87864489140227053</v>
          </cell>
          <cell r="BT41">
            <v>0.89434783576203503</v>
          </cell>
          <cell r="BU41">
            <v>1.0874071750833332</v>
          </cell>
          <cell r="BV41">
            <v>1.0794187423837847</v>
          </cell>
          <cell r="BY41" t="str">
            <v>250/0.8/750</v>
          </cell>
          <cell r="BZ41">
            <v>2.6171039376695848E-2</v>
          </cell>
          <cell r="CA41">
            <v>2.6254642214201596E-2</v>
          </cell>
          <cell r="CD41" t="e">
            <v>#N/A</v>
          </cell>
          <cell r="CE41" t="e">
            <v>#N/A</v>
          </cell>
          <cell r="DJ41">
            <v>200</v>
          </cell>
          <cell r="DK41">
            <v>0.97918805782990215</v>
          </cell>
        </row>
        <row r="42">
          <cell r="BN42" t="str">
            <v>250/1/1250</v>
          </cell>
          <cell r="BO42">
            <v>0.86906230752763836</v>
          </cell>
          <cell r="BP42">
            <v>0.8624667460789982</v>
          </cell>
          <cell r="BQ42">
            <v>0.86222174291805254</v>
          </cell>
          <cell r="BR42">
            <v>0.86197901159867263</v>
          </cell>
          <cell r="BS42">
            <v>0.86049852361336809</v>
          </cell>
          <cell r="BT42">
            <v>0.89119373708261029</v>
          </cell>
          <cell r="BU42">
            <v>1.0786533023615532</v>
          </cell>
          <cell r="BV42">
            <v>1.0711955305059602</v>
          </cell>
          <cell r="BY42" t="str">
            <v>250/0.8/1000</v>
          </cell>
          <cell r="BZ42">
            <v>2.5884565966278972E-2</v>
          </cell>
          <cell r="CA42">
            <v>2.5942403170428729E-2</v>
          </cell>
          <cell r="CD42" t="e">
            <v>#N/A</v>
          </cell>
          <cell r="CE42" t="e">
            <v>#N/A</v>
          </cell>
        </row>
        <row r="43">
          <cell r="BN43" t="str">
            <v>250/1/1500</v>
          </cell>
          <cell r="BO43">
            <v>0.86501973984954095</v>
          </cell>
          <cell r="BP43">
            <v>0.85655838900217407</v>
          </cell>
          <cell r="BQ43">
            <v>0.85733776232285419</v>
          </cell>
          <cell r="BR43">
            <v>0.85605364518222871</v>
          </cell>
          <cell r="BS43">
            <v>0.85496844294060736</v>
          </cell>
          <cell r="BT43">
            <v>0.88989790129313673</v>
          </cell>
          <cell r="BU43">
            <v>1.073197041216293</v>
          </cell>
          <cell r="BV43">
            <v>1.0668783194571678</v>
          </cell>
          <cell r="BY43" t="str">
            <v>250/0.8/1250</v>
          </cell>
          <cell r="BZ43">
            <v>2.5650804164472518E-2</v>
          </cell>
          <cell r="CA43">
            <v>2.5687297223084826E-2</v>
          </cell>
          <cell r="CD43" t="e">
            <v>#N/A</v>
          </cell>
          <cell r="CE43" t="e">
            <v>#N/A</v>
          </cell>
        </row>
        <row r="44">
          <cell r="BN44" t="str">
            <v>250/1/1750</v>
          </cell>
          <cell r="BO44">
            <v>0.86207507365822811</v>
          </cell>
          <cell r="BP44">
            <v>0.85232973047439731</v>
          </cell>
          <cell r="BQ44">
            <v>0.85395844937967702</v>
          </cell>
          <cell r="BR44">
            <v>0.85180661519988132</v>
          </cell>
          <cell r="BS44">
            <v>0.85107562934779246</v>
          </cell>
          <cell r="BT44">
            <v>0.88903840504800835</v>
          </cell>
          <cell r="BU44">
            <v>1.0707830825454003</v>
          </cell>
          <cell r="BV44">
            <v>1.0651227581642755</v>
          </cell>
          <cell r="BY44" t="str">
            <v>250/0.8/1500</v>
          </cell>
          <cell r="BZ44">
            <v>2.54550152300832E-2</v>
          </cell>
          <cell r="CA44">
            <v>2.546646657118945E-2</v>
          </cell>
          <cell r="CD44" t="e">
            <v>#N/A</v>
          </cell>
          <cell r="CE44" t="e">
            <v>#N/A</v>
          </cell>
        </row>
        <row r="45">
          <cell r="BN45" t="str">
            <v>250/1/2000</v>
          </cell>
          <cell r="BO45">
            <v>0.85913040746691538</v>
          </cell>
          <cell r="BP45">
            <v>0.84810107194662065</v>
          </cell>
          <cell r="BQ45">
            <v>0.85057913643649974</v>
          </cell>
          <cell r="BR45">
            <v>0.84755958521753394</v>
          </cell>
          <cell r="BS45">
            <v>0.84718281575497756</v>
          </cell>
          <cell r="BT45">
            <v>0.88817890880287997</v>
          </cell>
          <cell r="BU45">
            <v>1.0683691238745079</v>
          </cell>
          <cell r="BV45">
            <v>1.0633671968713829</v>
          </cell>
          <cell r="BY45" t="str">
            <v>250/0.8/1750</v>
          </cell>
          <cell r="BZ45">
            <v>2.5293709621165061E-2</v>
          </cell>
          <cell r="CA45">
            <v>2.5280721953818142E-2</v>
          </cell>
          <cell r="CD45" t="e">
            <v>#N/A</v>
          </cell>
          <cell r="CE45" t="e">
            <v>#N/A</v>
          </cell>
        </row>
        <row r="46">
          <cell r="BN46" t="str">
            <v>250/1/2250</v>
          </cell>
          <cell r="BO46">
            <v>0.85695562149517468</v>
          </cell>
          <cell r="BP46">
            <v>0.84500292147128409</v>
          </cell>
          <cell r="BQ46">
            <v>0.84812671862604294</v>
          </cell>
          <cell r="BR46">
            <v>0.84446200980218555</v>
          </cell>
          <cell r="BS46">
            <v>0.84429333747042179</v>
          </cell>
          <cell r="BT46">
            <v>0.88775575210209801</v>
          </cell>
          <cell r="BU46">
            <v>1.0673518600765564</v>
          </cell>
          <cell r="BV46">
            <v>1.0621807290673699</v>
          </cell>
          <cell r="BY46" t="str">
            <v>250/0.8/2000</v>
          </cell>
          <cell r="BZ46">
            <v>2.5132404012246923E-2</v>
          </cell>
          <cell r="CA46">
            <v>2.5094977336446833E-2</v>
          </cell>
          <cell r="CD46" t="e">
            <v>#N/A</v>
          </cell>
          <cell r="CE46" t="e">
            <v>#N/A</v>
          </cell>
        </row>
        <row r="47">
          <cell r="BN47" t="str">
            <v>250/1/2500</v>
          </cell>
          <cell r="BO47">
            <v>0.85557465593540627</v>
          </cell>
          <cell r="BP47">
            <v>0.84295158141267357</v>
          </cell>
          <cell r="BQ47">
            <v>0.84651989963136676</v>
          </cell>
          <cell r="BR47">
            <v>0.8423776983937501</v>
          </cell>
          <cell r="BS47">
            <v>0.84246516013174122</v>
          </cell>
          <cell r="BT47">
            <v>0.88768048048524539</v>
          </cell>
          <cell r="BU47">
            <v>1.0664860567347285</v>
          </cell>
          <cell r="BV47">
            <v>1.0610826563153928</v>
          </cell>
          <cell r="BY47" t="str">
            <v>250/0.8/2250</v>
          </cell>
          <cell r="BZ47">
            <v>2.4996134079857013E-2</v>
          </cell>
          <cell r="CA47">
            <v>2.4960306553663436E-2</v>
          </cell>
          <cell r="CD47" t="e">
            <v>#N/A</v>
          </cell>
          <cell r="CE47" t="e">
            <v>#N/A</v>
          </cell>
        </row>
        <row r="48">
          <cell r="BN48" t="str">
            <v>250/1/2750</v>
          </cell>
          <cell r="BO48">
            <v>0.85421274234012667</v>
          </cell>
          <cell r="BP48">
            <v>0.84109157850866845</v>
          </cell>
          <cell r="BQ48">
            <v>0.84497703713236283</v>
          </cell>
          <cell r="BR48">
            <v>0.8405180694547989</v>
          </cell>
          <cell r="BS48">
            <v>0.84079297267272013</v>
          </cell>
          <cell r="BT48">
            <v>0.88760520886839245</v>
          </cell>
          <cell r="BU48">
            <v>1.0656490443726332</v>
          </cell>
          <cell r="BV48">
            <v>1.0599815249176952</v>
          </cell>
          <cell r="BY48" t="str">
            <v>250/0.8/2500</v>
          </cell>
          <cell r="BZ48">
            <v>2.4871947541780903E-2</v>
          </cell>
          <cell r="CA48">
            <v>2.4825558464811381E-2</v>
          </cell>
          <cell r="CD48" t="e">
            <v>#N/A</v>
          </cell>
          <cell r="CE48" t="e">
            <v>#N/A</v>
          </cell>
        </row>
        <row r="49">
          <cell r="BN49" t="str">
            <v>250/1/3000</v>
          </cell>
          <cell r="BO49">
            <v>0.85336478119593273</v>
          </cell>
          <cell r="BP49">
            <v>0.83973317280065207</v>
          </cell>
          <cell r="BQ49">
            <v>0.84401937636374624</v>
          </cell>
          <cell r="BR49">
            <v>0.83913601783575609</v>
          </cell>
          <cell r="BS49">
            <v>0.83961101566177099</v>
          </cell>
          <cell r="BT49">
            <v>0.88758021106236251</v>
          </cell>
          <cell r="BU49">
            <v>1.0648034269950355</v>
          </cell>
          <cell r="BV49">
            <v>1.0588906019835089</v>
          </cell>
          <cell r="BY49" t="str">
            <v>250/0.8/2750</v>
          </cell>
          <cell r="BZ49">
            <v>2.4749253597364573E-2</v>
          </cell>
          <cell r="CA49">
            <v>2.4707625788966903E-2</v>
          </cell>
          <cell r="CD49" t="e">
            <v>#N/A</v>
          </cell>
          <cell r="CE49" t="e">
            <v>#N/A</v>
          </cell>
        </row>
        <row r="50">
          <cell r="BN50" t="str">
            <v>250/1/3250</v>
          </cell>
          <cell r="BO50">
            <v>0.85276842500073347</v>
          </cell>
          <cell r="BP50">
            <v>0.83870154324539858</v>
          </cell>
          <cell r="BQ50">
            <v>0.84321911838114716</v>
          </cell>
          <cell r="BR50">
            <v>0.83810456701159697</v>
          </cell>
          <cell r="BS50">
            <v>0.83872544102741131</v>
          </cell>
          <cell r="BT50">
            <v>0.88756511449035969</v>
          </cell>
          <cell r="BU50">
            <v>1.0639757111298804</v>
          </cell>
          <cell r="BV50">
            <v>1.0580171873333239</v>
          </cell>
          <cell r="BY50" t="str">
            <v>250/0.8/3000</v>
          </cell>
          <cell r="BZ50">
            <v>2.4635646379606468E-2</v>
          </cell>
          <cell r="CA50">
            <v>2.4611450096512E-2</v>
          </cell>
          <cell r="CD50" t="e">
            <v>#N/A</v>
          </cell>
          <cell r="CE50" t="e">
            <v>#N/A</v>
          </cell>
        </row>
        <row r="51">
          <cell r="BN51" t="str">
            <v>250/1/3500</v>
          </cell>
          <cell r="BO51">
            <v>0.85217206880553431</v>
          </cell>
          <cell r="BP51">
            <v>0.8376699136901451</v>
          </cell>
          <cell r="BQ51">
            <v>0.84241886039854807</v>
          </cell>
          <cell r="BR51">
            <v>0.83707311618743785</v>
          </cell>
          <cell r="BS51">
            <v>0.83783986639305164</v>
          </cell>
          <cell r="BT51">
            <v>0.88755001791835686</v>
          </cell>
          <cell r="BU51">
            <v>1.0631479952647251</v>
          </cell>
          <cell r="BV51">
            <v>1.0571437726831392</v>
          </cell>
          <cell r="BY51" t="str">
            <v>250/0.8/3250</v>
          </cell>
          <cell r="BZ51">
            <v>2.4554498965126514E-2</v>
          </cell>
          <cell r="CA51">
            <v>2.4525137435793987E-2</v>
          </cell>
          <cell r="CD51" t="e">
            <v>#N/A</v>
          </cell>
          <cell r="CE51" t="e">
            <v>#N/A</v>
          </cell>
        </row>
        <row r="52">
          <cell r="BN52" t="str">
            <v>250/1/3750</v>
          </cell>
          <cell r="BO52">
            <v>0.85178353604410506</v>
          </cell>
          <cell r="BP52">
            <v>0.83692301733925345</v>
          </cell>
          <cell r="BQ52">
            <v>0.84187668045770325</v>
          </cell>
          <cell r="BR52">
            <v>0.83631111972090166</v>
          </cell>
          <cell r="BS52">
            <v>0.83722338707420463</v>
          </cell>
          <cell r="BT52">
            <v>0.88754482258038125</v>
          </cell>
          <cell r="BU52">
            <v>1.0623252585935565</v>
          </cell>
          <cell r="BV52">
            <v>1.0567880834178385</v>
          </cell>
          <cell r="BY52" t="str">
            <v>250/0.8/3500</v>
          </cell>
          <cell r="BZ52">
            <v>2.447335155064656E-2</v>
          </cell>
          <cell r="CA52">
            <v>2.4438824775075974E-2</v>
          </cell>
          <cell r="CD52" t="e">
            <v>#N/A</v>
          </cell>
          <cell r="CE52" t="e">
            <v>#N/A</v>
          </cell>
        </row>
        <row r="53">
          <cell r="BN53" t="str">
            <v>250/1/4000</v>
          </cell>
          <cell r="BO53">
            <v>0.85139500328267581</v>
          </cell>
          <cell r="BP53">
            <v>0.83617612098836169</v>
          </cell>
          <cell r="BQ53">
            <v>0.84133450051685843</v>
          </cell>
          <cell r="BR53">
            <v>0.83554912325436559</v>
          </cell>
          <cell r="BS53">
            <v>0.83660690775535762</v>
          </cell>
          <cell r="BT53">
            <v>0.88753962724240565</v>
          </cell>
          <cell r="BU53">
            <v>1.0615025219223879</v>
          </cell>
          <cell r="BV53">
            <v>1.0564323941525378</v>
          </cell>
          <cell r="BY53" t="str">
            <v>250/0.8/3750</v>
          </cell>
          <cell r="BZ53">
            <v>2.4392149793604267E-2</v>
          </cell>
          <cell r="CA53">
            <v>2.4361932505814532E-2</v>
          </cell>
          <cell r="CD53" t="e">
            <v>#N/A</v>
          </cell>
          <cell r="CE53" t="e">
            <v>#N/A</v>
          </cell>
        </row>
        <row r="54">
          <cell r="BN54" t="str">
            <v>250/1/4250</v>
          </cell>
          <cell r="BO54">
            <v>0.85119965669418773</v>
          </cell>
          <cell r="BP54">
            <v>0.83571970489233038</v>
          </cell>
          <cell r="BQ54">
            <v>0.84106643419036464</v>
          </cell>
          <cell r="BR54">
            <v>0.83509277677085114</v>
          </cell>
          <cell r="BS54">
            <v>0.8362521181289333</v>
          </cell>
          <cell r="BT54">
            <v>0.88753702957341751</v>
          </cell>
          <cell r="BU54">
            <v>1.0606820909833528</v>
          </cell>
          <cell r="BV54">
            <v>1.0561458341825909</v>
          </cell>
          <cell r="BY54" t="str">
            <v>250/0.8/4000</v>
          </cell>
          <cell r="BZ54">
            <v>2.4310948036561975E-2</v>
          </cell>
          <cell r="CA54">
            <v>2.428504023655309E-2</v>
          </cell>
        </row>
        <row r="55">
          <cell r="BN55" t="str">
            <v>250/1/4500</v>
          </cell>
          <cell r="BO55">
            <v>0.85100431010569966</v>
          </cell>
          <cell r="BP55">
            <v>0.83526328879629896</v>
          </cell>
          <cell r="BQ55">
            <v>0.84079836786387097</v>
          </cell>
          <cell r="BR55">
            <v>0.83463643028733681</v>
          </cell>
          <cell r="BS55">
            <v>0.83589732850250908</v>
          </cell>
          <cell r="BT55">
            <v>0.88753443190442949</v>
          </cell>
          <cell r="BU55">
            <v>1.0598616600443178</v>
          </cell>
          <cell r="BV55">
            <v>1.0558592742126438</v>
          </cell>
          <cell r="BY55" t="str">
            <v>250/0.8/4250</v>
          </cell>
          <cell r="BZ55">
            <v>2.4248729308790962E-2</v>
          </cell>
          <cell r="CA55">
            <v>2.4223586523066998E-2</v>
          </cell>
        </row>
        <row r="56">
          <cell r="BN56" t="str">
            <v>250/1/4750</v>
          </cell>
          <cell r="BO56">
            <v>0.85100284571145024</v>
          </cell>
          <cell r="BP56">
            <v>0.83503853202170286</v>
          </cell>
          <cell r="BQ56">
            <v>0.84077813387400013</v>
          </cell>
          <cell r="BR56">
            <v>0.83440220273553856</v>
          </cell>
          <cell r="BS56">
            <v>0.83578185841028496</v>
          </cell>
          <cell r="BT56">
            <v>0.88753443190442949</v>
          </cell>
          <cell r="BU56">
            <v>1.0595898877949419</v>
          </cell>
          <cell r="BV56">
            <v>1.0558592742126438</v>
          </cell>
          <cell r="BY56" t="str">
            <v>250/0.8/4500</v>
          </cell>
          <cell r="BZ56">
            <v>2.4186510581019949E-2</v>
          </cell>
          <cell r="CA56">
            <v>2.4162132809580905E-2</v>
          </cell>
        </row>
        <row r="57">
          <cell r="BN57" t="str">
            <v>250/1/5000</v>
          </cell>
          <cell r="BO57">
            <v>0.85100138131720071</v>
          </cell>
          <cell r="BP57">
            <v>0.83481377524710665</v>
          </cell>
          <cell r="BQ57">
            <v>0.84075789988412941</v>
          </cell>
          <cell r="BR57">
            <v>0.83416797518374031</v>
          </cell>
          <cell r="BS57">
            <v>0.83566638831806084</v>
          </cell>
          <cell r="BT57">
            <v>0.88753443190442949</v>
          </cell>
          <cell r="BU57">
            <v>1.0593181155455658</v>
          </cell>
          <cell r="BV57">
            <v>1.0558592742126438</v>
          </cell>
          <cell r="BY57" t="str">
            <v>250/0.8/4750</v>
          </cell>
          <cell r="BZ57">
            <v>2.4128832907338027E-2</v>
          </cell>
          <cell r="CA57">
            <v>2.4102324591095736E-2</v>
          </cell>
        </row>
        <row r="58">
          <cell r="BN58" t="str">
            <v>250/1/5250</v>
          </cell>
          <cell r="BO58">
            <v>0.85100138131720071</v>
          </cell>
          <cell r="BP58">
            <v>0.83465435947996913</v>
          </cell>
          <cell r="BQ58">
            <v>0.84075327326560845</v>
          </cell>
          <cell r="BR58">
            <v>0.83400855940202723</v>
          </cell>
          <cell r="BS58">
            <v>0.83558530949550258</v>
          </cell>
          <cell r="BT58">
            <v>0.88753443190442949</v>
          </cell>
          <cell r="BU58">
            <v>1.0593181155455658</v>
          </cell>
          <cell r="BV58">
            <v>1.0558592742126438</v>
          </cell>
          <cell r="BY58" t="str">
            <v>250/0.8/5000</v>
          </cell>
          <cell r="BZ58">
            <v>2.4071155233656105E-2</v>
          </cell>
          <cell r="CA58">
            <v>2.4042516372610567E-2</v>
          </cell>
        </row>
        <row r="59">
          <cell r="BN59" t="str">
            <v>250/1/5500</v>
          </cell>
          <cell r="BO59">
            <v>0.85100138131720071</v>
          </cell>
          <cell r="BP59">
            <v>0.83449494371283173</v>
          </cell>
          <cell r="BQ59">
            <v>0.84074864664708748</v>
          </cell>
          <cell r="BR59">
            <v>0.83384914362031415</v>
          </cell>
          <cell r="BS59">
            <v>0.83550423067294444</v>
          </cell>
          <cell r="BT59">
            <v>0.88753443190442949</v>
          </cell>
          <cell r="BU59">
            <v>1.0593181155455658</v>
          </cell>
          <cell r="BV59">
            <v>1.0558592742126438</v>
          </cell>
          <cell r="BY59" t="str">
            <v>250/0.8/5250</v>
          </cell>
          <cell r="BZ59">
            <v>2.4020821187206942E-2</v>
          </cell>
          <cell r="CA59">
            <v>2.3996502453313084E-2</v>
          </cell>
        </row>
        <row r="60">
          <cell r="BN60" t="str">
            <v>250/1/5750</v>
          </cell>
          <cell r="BO60">
            <v>0.85100138131720071</v>
          </cell>
          <cell r="BP60">
            <v>0.83433612709192551</v>
          </cell>
          <cell r="BQ60">
            <v>0.84074792020050337</v>
          </cell>
          <cell r="BR60">
            <v>0.83368974510651239</v>
          </cell>
          <cell r="BS60">
            <v>0.83544203594380395</v>
          </cell>
          <cell r="BT60">
            <v>0.88753443190442949</v>
          </cell>
          <cell r="BU60">
            <v>1.0593181155455658</v>
          </cell>
          <cell r="BV60">
            <v>1.0558592742126438</v>
          </cell>
          <cell r="BY60" t="str">
            <v>250/0.8/5500</v>
          </cell>
          <cell r="BZ60">
            <v>2.3970487140757779E-2</v>
          </cell>
          <cell r="CA60">
            <v>2.3950488534015602E-2</v>
          </cell>
        </row>
        <row r="61">
          <cell r="BN61" t="str">
            <v>250/1/6000</v>
          </cell>
          <cell r="BO61">
            <v>0.85100138131720071</v>
          </cell>
          <cell r="BP61">
            <v>0.83417731047101928</v>
          </cell>
          <cell r="BQ61">
            <v>0.84074719375391926</v>
          </cell>
          <cell r="BR61">
            <v>0.83353034659271052</v>
          </cell>
          <cell r="BS61">
            <v>0.83537984121466358</v>
          </cell>
          <cell r="BT61">
            <v>0.88753443190442949</v>
          </cell>
          <cell r="BU61">
            <v>1.0593181155455658</v>
          </cell>
          <cell r="BV61">
            <v>1.0558592742126438</v>
          </cell>
          <cell r="BY61" t="str">
            <v>250/0.8/5750</v>
          </cell>
          <cell r="BZ61">
            <v>2.3926943630539932E-2</v>
          </cell>
          <cell r="CA61">
            <v>2.3904864519794233E-2</v>
          </cell>
        </row>
        <row r="62">
          <cell r="BN62" t="str">
            <v>250/1/6250</v>
          </cell>
          <cell r="BO62">
            <v>0.85100138131720071</v>
          </cell>
          <cell r="BP62">
            <v>0.83410352031599588</v>
          </cell>
          <cell r="BQ62">
            <v>0.84074719375391926</v>
          </cell>
          <cell r="BR62">
            <v>0.83343625819502032</v>
          </cell>
          <cell r="BS62">
            <v>0.83534046283594232</v>
          </cell>
          <cell r="BT62">
            <v>0.88753443190442949</v>
          </cell>
          <cell r="BU62">
            <v>1.0593181155455658</v>
          </cell>
          <cell r="BV62">
            <v>1.0558592742126438</v>
          </cell>
          <cell r="BY62" t="str">
            <v>250/0.8/6000</v>
          </cell>
          <cell r="BZ62">
            <v>2.3883400120322085E-2</v>
          </cell>
          <cell r="CA62">
            <v>2.3859240505572865E-2</v>
          </cell>
        </row>
        <row r="63">
          <cell r="BN63" t="str">
            <v>250/1/6350</v>
          </cell>
          <cell r="BO63">
            <v>0.85100138131720071</v>
          </cell>
          <cell r="BP63">
            <v>0.8340740126395928</v>
          </cell>
          <cell r="BQ63">
            <v>0.84074719375391926</v>
          </cell>
          <cell r="BR63">
            <v>0.83340675039802581</v>
          </cell>
          <cell r="BS63">
            <v>0.83532473504485227</v>
          </cell>
          <cell r="BT63">
            <v>0.88753443190442949</v>
          </cell>
          <cell r="BU63">
            <v>1.0593181155455658</v>
          </cell>
          <cell r="BV63">
            <v>1.0558592742126438</v>
          </cell>
          <cell r="BY63" t="str">
            <v>250/0.8/6250</v>
          </cell>
          <cell r="BZ63">
            <v>2.3839832491121982E-2</v>
          </cell>
          <cell r="CA63">
            <v>2.3814561462296435E-2</v>
          </cell>
        </row>
        <row r="64">
          <cell r="BN64" t="str">
            <v>250/1/6600</v>
          </cell>
          <cell r="BO64">
            <v>0.85100138131720071</v>
          </cell>
          <cell r="BP64">
            <v>0.83400026441259312</v>
          </cell>
          <cell r="BQ64">
            <v>0.84074719375391926</v>
          </cell>
          <cell r="BR64">
            <v>0.83333300186082981</v>
          </cell>
          <cell r="BS64">
            <v>0.83528547446811718</v>
          </cell>
          <cell r="BT64">
            <v>0.88753443190442949</v>
          </cell>
          <cell r="BU64">
            <v>1.0593181155455658</v>
          </cell>
          <cell r="BV64">
            <v>1.0558592742126438</v>
          </cell>
          <cell r="BY64" t="str">
            <v>250/0.8/6350</v>
          </cell>
          <cell r="BZ64">
            <v>2.3822400937232091E-2</v>
          </cell>
          <cell r="CA64">
            <v>2.3800330824283789E-2</v>
          </cell>
        </row>
        <row r="65">
          <cell r="BN65" t="str">
            <v>250/1/6850</v>
          </cell>
          <cell r="BO65">
            <v>0.85100138131720071</v>
          </cell>
          <cell r="BP65">
            <v>0.83392654613418404</v>
          </cell>
          <cell r="BQ65">
            <v>0.84074719375391926</v>
          </cell>
          <cell r="BR65">
            <v>0.83325928325976606</v>
          </cell>
          <cell r="BS65">
            <v>0.83524629803565753</v>
          </cell>
          <cell r="BT65">
            <v>0.88753443190442949</v>
          </cell>
          <cell r="BU65">
            <v>1.0593181155455658</v>
          </cell>
          <cell r="BV65">
            <v>1.0558592742126438</v>
          </cell>
          <cell r="BY65" t="str">
            <v>250/0.8/6600</v>
          </cell>
          <cell r="BZ65">
            <v>2.3785643654677502E-2</v>
          </cell>
          <cell r="CA65">
            <v>2.3764543630313995E-2</v>
          </cell>
        </row>
        <row r="66">
          <cell r="BN66" t="str">
            <v>250/1/7500</v>
          </cell>
          <cell r="BO66">
            <v>0.85100138131720071</v>
          </cell>
          <cell r="BP66">
            <v>0.83379160637706407</v>
          </cell>
          <cell r="BQ66">
            <v>0.84074719375391926</v>
          </cell>
          <cell r="BR66">
            <v>0.83311178497944016</v>
          </cell>
          <cell r="BS66">
            <v>0.83516196036420054</v>
          </cell>
          <cell r="BT66">
            <v>0.88753443190442949</v>
          </cell>
          <cell r="BU66">
            <v>1.0593181155455658</v>
          </cell>
          <cell r="BV66">
            <v>1.0558592742126438</v>
          </cell>
          <cell r="BY66" t="str">
            <v>250/0.8/6850</v>
          </cell>
          <cell r="BZ66">
            <v>2.375087268764009E-2</v>
          </cell>
          <cell r="CA66">
            <v>2.3728455580718677E-2</v>
          </cell>
        </row>
        <row r="67">
          <cell r="BN67" t="str">
            <v>250/1/10000</v>
          </cell>
          <cell r="BO67">
            <v>0.85100138131720071</v>
          </cell>
          <cell r="BP67">
            <v>0.83346977298256697</v>
          </cell>
          <cell r="BQ67">
            <v>0.84074719375391926</v>
          </cell>
          <cell r="BR67">
            <v>0.83278159051519962</v>
          </cell>
          <cell r="BS67">
            <v>0.83500145151500416</v>
          </cell>
          <cell r="BT67">
            <v>0.88753443190442949</v>
          </cell>
          <cell r="BU67">
            <v>1.0593181155455658</v>
          </cell>
          <cell r="BV67">
            <v>1.0558592742126438</v>
          </cell>
          <cell r="BY67" t="str">
            <v>250/0.8/7500</v>
          </cell>
          <cell r="BZ67">
            <v>2.3660408169108749E-2</v>
          </cell>
          <cell r="CA67">
            <v>2.3639502229654497E-2</v>
          </cell>
        </row>
        <row r="68">
          <cell r="BN68" t="str">
            <v>250/1/99999</v>
          </cell>
          <cell r="BO68">
            <v>0.85100138131720071</v>
          </cell>
          <cell r="BP68">
            <v>0.83297743982331895</v>
          </cell>
          <cell r="BQ68">
            <v>0.84074719375391926</v>
          </cell>
          <cell r="BR68">
            <v>0.83226313302239818</v>
          </cell>
          <cell r="BS68">
            <v>0.83471529831492308</v>
          </cell>
          <cell r="BT68">
            <v>0.88753443190442949</v>
          </cell>
          <cell r="BU68">
            <v>1.0593181155455658</v>
          </cell>
          <cell r="BV68">
            <v>1.0558592742126438</v>
          </cell>
          <cell r="BY68" t="str">
            <v>250/0.8/8000</v>
          </cell>
          <cell r="BZ68">
            <v>2.3590761099409274E-2</v>
          </cell>
          <cell r="CA68">
            <v>2.3580162924446979E-2</v>
          </cell>
        </row>
        <row r="69">
          <cell r="BY69" t="str">
            <v>250/0.8/9000</v>
          </cell>
          <cell r="BZ69">
            <v>2.349031120483458E-2</v>
          </cell>
          <cell r="CA69">
            <v>2.3481773407090012E-2</v>
          </cell>
        </row>
        <row r="70">
          <cell r="BN70" t="str">
            <v>300/1/500</v>
          </cell>
          <cell r="BT70">
            <v>0.90968086990270169</v>
          </cell>
          <cell r="BU70">
            <v>1.1201340240483357</v>
          </cell>
          <cell r="BV70">
            <v>1.1127169884754506</v>
          </cell>
          <cell r="BY70" t="str">
            <v>250/0.8/10000</v>
          </cell>
          <cell r="BZ70">
            <v>2.3392815288551194E-2</v>
          </cell>
          <cell r="CA70">
            <v>2.340311181641197E-2</v>
          </cell>
        </row>
        <row r="71">
          <cell r="BN71" t="str">
            <v>300/1/750</v>
          </cell>
          <cell r="BO71">
            <v>0.90468346447214476</v>
          </cell>
          <cell r="BP71">
            <v>0.9054637658392547</v>
          </cell>
          <cell r="BQ71">
            <v>0.90551232814053373</v>
          </cell>
          <cell r="BR71">
            <v>0.904647630475784</v>
          </cell>
          <cell r="BS71">
            <v>0.9005680324715547</v>
          </cell>
          <cell r="BT71">
            <v>0.88669781061135111</v>
          </cell>
          <cell r="BU71">
            <v>1.0923550704181115</v>
          </cell>
          <cell r="BV71">
            <v>1.0838307594798784</v>
          </cell>
          <cell r="BY71" t="str">
            <v>250/0.8/99999</v>
          </cell>
          <cell r="BZ71">
            <v>2.2116861738193494E-2</v>
          </cell>
          <cell r="CA71">
            <v>2.2389704246896791E-2</v>
          </cell>
        </row>
        <row r="72">
          <cell r="BN72" t="str">
            <v>300/1/1000</v>
          </cell>
          <cell r="BO72">
            <v>0.88335242324998087</v>
          </cell>
          <cell r="BP72">
            <v>0.88019222573295719</v>
          </cell>
          <cell r="BQ72">
            <v>0.87891053763623805</v>
          </cell>
          <cell r="BR72">
            <v>0.87951177065818531</v>
          </cell>
          <cell r="BS72">
            <v>0.87729359124883544</v>
          </cell>
          <cell r="BT72">
            <v>0.88229220178541301</v>
          </cell>
          <cell r="BU72">
            <v>1.0767451376327852</v>
          </cell>
          <cell r="BV72">
            <v>1.0680910048660217</v>
          </cell>
          <cell r="BY72" t="str">
            <v>300/0.8/500</v>
          </cell>
          <cell r="BZ72">
            <v>2.6491159431194289E-2</v>
          </cell>
          <cell r="CA72">
            <v>2.6609832521987453E-2</v>
          </cell>
        </row>
        <row r="73">
          <cell r="BN73" t="str">
            <v>300/1/1250</v>
          </cell>
          <cell r="BO73">
            <v>0.86683785132146662</v>
          </cell>
          <cell r="BP73">
            <v>0.86096231698156078</v>
          </cell>
          <cell r="BQ73">
            <v>0.8607808201293714</v>
          </cell>
          <cell r="BR73">
            <v>0.86028834796318543</v>
          </cell>
          <cell r="BS73">
            <v>0.85878462423353397</v>
          </cell>
          <cell r="BT73">
            <v>0.87916082055615952</v>
          </cell>
          <cell r="BU73">
            <v>1.0671841242970084</v>
          </cell>
          <cell r="BV73">
            <v>1.0590346972767946</v>
          </cell>
          <cell r="BY73" t="str">
            <v>300/0.8/750</v>
          </cell>
          <cell r="BZ73">
            <v>2.6080784627752429E-2</v>
          </cell>
          <cell r="CA73">
            <v>2.6165551128537912E-2</v>
          </cell>
        </row>
        <row r="74">
          <cell r="BN74" t="str">
            <v>300/1/1500</v>
          </cell>
          <cell r="BO74">
            <v>0.86038870656411204</v>
          </cell>
          <cell r="BP74">
            <v>0.85249681446121606</v>
          </cell>
          <cell r="BQ74">
            <v>0.85347316487299663</v>
          </cell>
          <cell r="BR74">
            <v>0.85180535682458947</v>
          </cell>
          <cell r="BS74">
            <v>0.85086286868490224</v>
          </cell>
          <cell r="BT74">
            <v>0.8775053423024386</v>
          </cell>
          <cell r="BU74">
            <v>1.0612046689127221</v>
          </cell>
          <cell r="BV74">
            <v>1.0541659398684327</v>
          </cell>
          <cell r="BY74" t="str">
            <v>300/0.8/1000</v>
          </cell>
          <cell r="BZ74">
            <v>2.5783709129643784E-2</v>
          </cell>
          <cell r="CA74">
            <v>2.584142080940377E-2</v>
          </cell>
        </row>
        <row r="75">
          <cell r="BN75" t="str">
            <v>300/1/1750</v>
          </cell>
          <cell r="BO75">
            <v>0.85732170155907961</v>
          </cell>
          <cell r="BP75">
            <v>0.84805465521986123</v>
          </cell>
          <cell r="BQ75">
            <v>0.84990080015941194</v>
          </cell>
          <cell r="BR75">
            <v>0.84734240471232658</v>
          </cell>
          <cell r="BS75">
            <v>0.8467367026287238</v>
          </cell>
          <cell r="BT75">
            <v>0.87656539723359939</v>
          </cell>
          <cell r="BU75">
            <v>1.0584816971960516</v>
          </cell>
          <cell r="BV75">
            <v>1.0522390011041463</v>
          </cell>
          <cell r="BY75" t="str">
            <v>300/0.8/1250</v>
          </cell>
          <cell r="BZ75">
            <v>2.5542087225812082E-2</v>
          </cell>
          <cell r="CA75">
            <v>2.557789851500214E-2</v>
          </cell>
        </row>
        <row r="76">
          <cell r="BN76" t="str">
            <v>300/1/2000</v>
          </cell>
          <cell r="BO76">
            <v>0.85425469655404718</v>
          </cell>
          <cell r="BP76">
            <v>0.8436124959785064</v>
          </cell>
          <cell r="BQ76">
            <v>0.84632843544582737</v>
          </cell>
          <cell r="BR76">
            <v>0.84287945260006369</v>
          </cell>
          <cell r="BS76">
            <v>0.84261053657254525</v>
          </cell>
          <cell r="BT76">
            <v>0.87562545216476007</v>
          </cell>
          <cell r="BU76">
            <v>1.0557587254793812</v>
          </cell>
          <cell r="BV76">
            <v>1.0503120623398599</v>
          </cell>
          <cell r="BY76" t="str">
            <v>300/0.8/1500</v>
          </cell>
          <cell r="BZ76">
            <v>2.534138703759492E-2</v>
          </cell>
          <cell r="CA76">
            <v>2.5353002384890244E-2</v>
          </cell>
        </row>
        <row r="77">
          <cell r="BN77" t="str">
            <v>300/1/2250</v>
          </cell>
          <cell r="BO77">
            <v>0.8520412328024688</v>
          </cell>
          <cell r="BP77">
            <v>0.84051950909289552</v>
          </cell>
          <cell r="BQ77">
            <v>0.84383200138457448</v>
          </cell>
          <cell r="BR77">
            <v>0.83978724364292534</v>
          </cell>
          <cell r="BS77">
            <v>0.83973226812037793</v>
          </cell>
          <cell r="BT77">
            <v>0.87520534325741772</v>
          </cell>
          <cell r="BU77">
            <v>1.0546760226618113</v>
          </cell>
          <cell r="BV77">
            <v>1.0491071231718341</v>
          </cell>
          <cell r="BY77" t="str">
            <v>300/0.8/1750</v>
          </cell>
          <cell r="BZ77">
            <v>2.5177159597033705E-2</v>
          </cell>
          <cell r="CA77">
            <v>2.5162959896071424E-2</v>
          </cell>
        </row>
        <row r="78">
          <cell r="BN78" t="str">
            <v>300/1/2500</v>
          </cell>
          <cell r="BO78">
            <v>0.85052313199969187</v>
          </cell>
          <cell r="BP78">
            <v>0.83822822262445651</v>
          </cell>
          <cell r="BQ78">
            <v>0.84208833881750922</v>
          </cell>
          <cell r="BR78">
            <v>0.8374580051087257</v>
          </cell>
          <cell r="BS78">
            <v>0.83766057273901773</v>
          </cell>
          <cell r="BT78">
            <v>0.87506153789856278</v>
          </cell>
          <cell r="BU78">
            <v>1.0537880989285771</v>
          </cell>
          <cell r="BV78">
            <v>1.0480095380465684</v>
          </cell>
          <cell r="BY78" t="str">
            <v>300/0.8/2000</v>
          </cell>
          <cell r="BZ78">
            <v>2.5012932156472489E-2</v>
          </cell>
          <cell r="CA78">
            <v>2.4972917407252604E-2</v>
          </cell>
        </row>
        <row r="79">
          <cell r="BN79" t="str">
            <v>300/1/2750</v>
          </cell>
          <cell r="BO79">
            <v>0.84914670884297583</v>
          </cell>
          <cell r="BP79">
            <v>0.83637151060868242</v>
          </cell>
          <cell r="BQ79">
            <v>0.84050478067529533</v>
          </cell>
          <cell r="BR79">
            <v>0.83560179470406648</v>
          </cell>
          <cell r="BS79">
            <v>0.83599239044220353</v>
          </cell>
          <cell r="BT79">
            <v>0.8749868084268293</v>
          </cell>
          <cell r="BU79">
            <v>1.0529537499879329</v>
          </cell>
          <cell r="BV79">
            <v>1.0469067011945719</v>
          </cell>
          <cell r="BY79" t="str">
            <v>300/0.8/2250</v>
          </cell>
          <cell r="BZ79">
            <v>2.4874342505063929E-2</v>
          </cell>
          <cell r="CA79">
            <v>2.4834550395288479E-2</v>
          </cell>
        </row>
        <row r="80">
          <cell r="BN80" t="str">
            <v>300/1/3000</v>
          </cell>
          <cell r="BO80">
            <v>0.84821390646722383</v>
          </cell>
          <cell r="BP80">
            <v>0.83488360178042376</v>
          </cell>
          <cell r="BQ80">
            <v>0.83946558519699754</v>
          </cell>
          <cell r="BR80">
            <v>0.83408655624009942</v>
          </cell>
          <cell r="BS80">
            <v>0.83471069128004693</v>
          </cell>
          <cell r="BT80">
            <v>0.87495200832536202</v>
          </cell>
          <cell r="BU80">
            <v>1.0521108098417171</v>
          </cell>
          <cell r="BV80">
            <v>1.0458189132380107</v>
          </cell>
          <cell r="BY80" t="str">
            <v>300/0.8/2500</v>
          </cell>
          <cell r="BZ80">
            <v>2.4748568212348721E-2</v>
          </cell>
          <cell r="CA80">
            <v>2.4700080666006263E-2</v>
          </cell>
        </row>
        <row r="81">
          <cell r="BN81" t="str">
            <v>300/1/3250</v>
          </cell>
          <cell r="BO81">
            <v>0.84757716598848087</v>
          </cell>
          <cell r="BP81">
            <v>0.83382240552222009</v>
          </cell>
          <cell r="BQ81">
            <v>0.83863557243545928</v>
          </cell>
          <cell r="BR81">
            <v>0.83302561349386672</v>
          </cell>
          <cell r="BS81">
            <v>0.83377516198929413</v>
          </cell>
          <cell r="BT81">
            <v>0.87493505450263576</v>
          </cell>
          <cell r="BU81">
            <v>1.051282041672065</v>
          </cell>
          <cell r="BV81">
            <v>1.0448847582560474</v>
          </cell>
          <cell r="BY81" t="str">
            <v>300/0.8/2750</v>
          </cell>
          <cell r="BZ81">
            <v>2.4626018900913316E-2</v>
          </cell>
          <cell r="CA81">
            <v>2.4576615636801691E-2</v>
          </cell>
        </row>
        <row r="82">
          <cell r="BN82" t="str">
            <v>300/1/3500</v>
          </cell>
          <cell r="BO82">
            <v>0.84694042550973792</v>
          </cell>
          <cell r="BP82">
            <v>0.83276120926401653</v>
          </cell>
          <cell r="BQ82">
            <v>0.83780555967392112</v>
          </cell>
          <cell r="BR82">
            <v>0.83196467074763392</v>
          </cell>
          <cell r="BS82">
            <v>0.83283963269854122</v>
          </cell>
          <cell r="BT82">
            <v>0.8749181006799096</v>
          </cell>
          <cell r="BU82">
            <v>1.0504532735024126</v>
          </cell>
          <cell r="BV82">
            <v>1.043950603274084</v>
          </cell>
          <cell r="BY82" t="str">
            <v>300/0.8/3000</v>
          </cell>
          <cell r="BZ82">
            <v>2.4505947076751466E-2</v>
          </cell>
          <cell r="CA82">
            <v>2.4478679657226721E-2</v>
          </cell>
        </row>
        <row r="83">
          <cell r="BN83" t="str">
            <v>300/1/3750</v>
          </cell>
          <cell r="BO83">
            <v>0.84655021725758062</v>
          </cell>
          <cell r="BP83">
            <v>0.83199386087806104</v>
          </cell>
          <cell r="BQ83">
            <v>0.83725448441466166</v>
          </cell>
          <cell r="BR83">
            <v>0.83117980819203896</v>
          </cell>
          <cell r="BS83">
            <v>0.83221531726557263</v>
          </cell>
          <cell r="BT83">
            <v>0.87491294276144549</v>
          </cell>
          <cell r="BU83">
            <v>1.0496321646731832</v>
          </cell>
          <cell r="BV83">
            <v>1.0435961406253664</v>
          </cell>
          <cell r="BY83" t="str">
            <v>300/0.8/3250</v>
          </cell>
          <cell r="BZ83">
            <v>2.442463130887651E-2</v>
          </cell>
          <cell r="CA83">
            <v>2.439117810899083E-2</v>
          </cell>
        </row>
        <row r="84">
          <cell r="BN84" t="str">
            <v>300/1/4000</v>
          </cell>
          <cell r="BO84">
            <v>0.84616000900542332</v>
          </cell>
          <cell r="BP84">
            <v>0.83122651249210566</v>
          </cell>
          <cell r="BQ84">
            <v>0.83670340915540231</v>
          </cell>
          <cell r="BR84">
            <v>0.83039494563644412</v>
          </cell>
          <cell r="BS84">
            <v>0.83159100183260393</v>
          </cell>
          <cell r="BT84">
            <v>0.87490778484298137</v>
          </cell>
          <cell r="BU84">
            <v>1.0488110558439538</v>
          </cell>
          <cell r="BV84">
            <v>1.0432416779766487</v>
          </cell>
          <cell r="BY84" t="str">
            <v>300/0.8/3500</v>
          </cell>
          <cell r="BZ84">
            <v>2.4343315541001553E-2</v>
          </cell>
          <cell r="CA84">
            <v>2.4303676560754939E-2</v>
          </cell>
        </row>
        <row r="85">
          <cell r="BN85" t="str">
            <v>300/1/4250</v>
          </cell>
          <cell r="BO85">
            <v>0.8459272260159576</v>
          </cell>
          <cell r="BP85">
            <v>0.83073295983552287</v>
          </cell>
          <cell r="BQ85">
            <v>0.83638727398766366</v>
          </cell>
          <cell r="BR85">
            <v>0.82990150376474237</v>
          </cell>
          <cell r="BS85">
            <v>0.83119454923362968</v>
          </cell>
          <cell r="BT85">
            <v>0.87490469009190286</v>
          </cell>
          <cell r="BU85">
            <v>1.0479914949874582</v>
          </cell>
          <cell r="BV85">
            <v>1.042925637398787</v>
          </cell>
          <cell r="BY85" t="str">
            <v>300/0.8/3750</v>
          </cell>
          <cell r="BZ85">
            <v>2.4262138753978091E-2</v>
          </cell>
          <cell r="CA85">
            <v>2.4226900536236107E-2</v>
          </cell>
        </row>
        <row r="86">
          <cell r="BN86" t="str">
            <v>300/1/4500</v>
          </cell>
          <cell r="BO86">
            <v>0.84569444302649188</v>
          </cell>
          <cell r="BP86">
            <v>0.83023940717894018</v>
          </cell>
          <cell r="BQ86">
            <v>0.8360711388199249</v>
          </cell>
          <cell r="BR86">
            <v>0.82940806189304062</v>
          </cell>
          <cell r="BS86">
            <v>0.83079809663465543</v>
          </cell>
          <cell r="BT86">
            <v>0.87490159534082423</v>
          </cell>
          <cell r="BU86">
            <v>1.0471719341309624</v>
          </cell>
          <cell r="BV86">
            <v>1.0426095968209255</v>
          </cell>
          <cell r="BY86" t="str">
            <v>300/0.8/4000</v>
          </cell>
          <cell r="BZ86">
            <v>2.4180961966954628E-2</v>
          </cell>
          <cell r="CA86">
            <v>2.4150124511717275E-2</v>
          </cell>
        </row>
        <row r="87">
          <cell r="BN87" t="str">
            <v>300/1/4750</v>
          </cell>
          <cell r="BO87">
            <v>0.84569257119236085</v>
          </cell>
          <cell r="BP87">
            <v>0.83000480321188086</v>
          </cell>
          <cell r="BQ87">
            <v>0.83604813052301963</v>
          </cell>
          <cell r="BR87">
            <v>0.82916244601061428</v>
          </cell>
          <cell r="BS87">
            <v>0.8306796135266955</v>
          </cell>
          <cell r="BT87">
            <v>0.87490159534082423</v>
          </cell>
          <cell r="BU87">
            <v>1.0468065458550573</v>
          </cell>
          <cell r="BV87">
            <v>1.0426095968209255</v>
          </cell>
          <cell r="BY87" t="str">
            <v>300/0.8/4250</v>
          </cell>
          <cell r="BZ87">
            <v>2.4116815394407021E-2</v>
          </cell>
          <cell r="CA87">
            <v>2.4087391638202948E-2</v>
          </cell>
        </row>
        <row r="88">
          <cell r="BN88" t="str">
            <v>300/1/5000</v>
          </cell>
          <cell r="BO88">
            <v>0.84569069935822982</v>
          </cell>
          <cell r="BP88">
            <v>0.82977019924482154</v>
          </cell>
          <cell r="BQ88">
            <v>0.83602512222611425</v>
          </cell>
          <cell r="BR88">
            <v>0.82891683012818795</v>
          </cell>
          <cell r="BS88">
            <v>0.83056113041873558</v>
          </cell>
          <cell r="BT88">
            <v>0.87490159534082423</v>
          </cell>
          <cell r="BU88">
            <v>1.0464411575791523</v>
          </cell>
          <cell r="BV88">
            <v>1.0426095968209255</v>
          </cell>
          <cell r="BY88" t="str">
            <v>300/0.8/4500</v>
          </cell>
          <cell r="BZ88">
            <v>2.4052668821859413E-2</v>
          </cell>
          <cell r="CA88">
            <v>2.4024658764688622E-2</v>
          </cell>
        </row>
        <row r="89">
          <cell r="BN89" t="str">
            <v>300/1/5250</v>
          </cell>
          <cell r="BO89">
            <v>0.84569069935822982</v>
          </cell>
          <cell r="BP89">
            <v>0.82961078304500613</v>
          </cell>
          <cell r="BQ89">
            <v>0.83602049559434777</v>
          </cell>
          <cell r="BR89">
            <v>0.82875741390952173</v>
          </cell>
          <cell r="BS89">
            <v>0.8304757658571742</v>
          </cell>
          <cell r="BT89">
            <v>0.87490159534082423</v>
          </cell>
          <cell r="BU89">
            <v>1.0464411575791523</v>
          </cell>
          <cell r="BV89">
            <v>1.0426095968209255</v>
          </cell>
          <cell r="BY89" t="str">
            <v>300/0.8/4750</v>
          </cell>
          <cell r="BZ89">
            <v>2.399497059793787E-2</v>
          </cell>
          <cell r="CA89">
            <v>2.3963862402785252E-2</v>
          </cell>
        </row>
        <row r="90">
          <cell r="BN90" t="str">
            <v>300/1/5500</v>
          </cell>
          <cell r="BO90">
            <v>0.84569069935822982</v>
          </cell>
          <cell r="BP90">
            <v>0.82945136684519061</v>
          </cell>
          <cell r="BQ90">
            <v>0.83601586896258118</v>
          </cell>
          <cell r="BR90">
            <v>0.8285979976908554</v>
          </cell>
          <cell r="BS90">
            <v>0.83039040129561292</v>
          </cell>
          <cell r="BT90">
            <v>0.87490159534082423</v>
          </cell>
          <cell r="BU90">
            <v>1.0464411575791523</v>
          </cell>
          <cell r="BV90">
            <v>1.0426095968209255</v>
          </cell>
          <cell r="BY90" t="str">
            <v>300/0.8/5000</v>
          </cell>
          <cell r="BZ90">
            <v>2.3937272374016327E-2</v>
          </cell>
          <cell r="CA90">
            <v>2.3903066040881882E-2</v>
          </cell>
        </row>
        <row r="91">
          <cell r="BN91" t="str">
            <v>300/1/5750</v>
          </cell>
          <cell r="BO91">
            <v>0.84569069935822982</v>
          </cell>
          <cell r="BP91">
            <v>0.82929195413904067</v>
          </cell>
          <cell r="BQ91">
            <v>0.83601474252554042</v>
          </cell>
          <cell r="BR91">
            <v>0.82843858496394929</v>
          </cell>
          <cell r="BS91">
            <v>0.8303244809518926</v>
          </cell>
          <cell r="BT91">
            <v>0.87490159534082423</v>
          </cell>
          <cell r="BU91">
            <v>1.0464411575791523</v>
          </cell>
          <cell r="BV91">
            <v>1.0426095968209255</v>
          </cell>
          <cell r="BY91" t="str">
            <v>300/0.8/5250</v>
          </cell>
          <cell r="BZ91">
            <v>2.3885804606073702E-2</v>
          </cell>
          <cell r="CA91">
            <v>2.3856756039366322E-2</v>
          </cell>
        </row>
        <row r="92">
          <cell r="BN92" t="str">
            <v>300/1/6000</v>
          </cell>
          <cell r="BO92">
            <v>0.84569069935822982</v>
          </cell>
          <cell r="BP92">
            <v>0.82913254143289083</v>
          </cell>
          <cell r="BQ92">
            <v>0.83601361608849978</v>
          </cell>
          <cell r="BR92">
            <v>0.82827917223704317</v>
          </cell>
          <cell r="BS92">
            <v>0.83025856060817216</v>
          </cell>
          <cell r="BT92">
            <v>0.87490159534082423</v>
          </cell>
          <cell r="BU92">
            <v>1.0464411575791523</v>
          </cell>
          <cell r="BV92">
            <v>1.0426095968209255</v>
          </cell>
          <cell r="BY92" t="str">
            <v>300/0.8/5500</v>
          </cell>
          <cell r="BZ92">
            <v>2.3834336838131076E-2</v>
          </cell>
          <cell r="CA92">
            <v>2.3810446037850763E-2</v>
          </cell>
        </row>
        <row r="93">
          <cell r="BN93" t="str">
            <v>300/1/6250</v>
          </cell>
          <cell r="BO93">
            <v>0.84569069935822982</v>
          </cell>
          <cell r="BP93">
            <v>0.82904471658862033</v>
          </cell>
          <cell r="BQ93">
            <v>0.83601361608849978</v>
          </cell>
          <cell r="BR93">
            <v>0.82816636891781059</v>
          </cell>
          <cell r="BS93">
            <v>0.83021856802723915</v>
          </cell>
          <cell r="BT93">
            <v>0.87490159534082423</v>
          </cell>
          <cell r="BU93">
            <v>1.0464411575791523</v>
          </cell>
          <cell r="BV93">
            <v>1.0426095968209255</v>
          </cell>
          <cell r="BY93" t="str">
            <v>300/0.8/5750</v>
          </cell>
          <cell r="BZ93">
            <v>2.3790795809616405E-2</v>
          </cell>
          <cell r="CA93">
            <v>2.3764886077786485E-2</v>
          </cell>
        </row>
        <row r="94">
          <cell r="BN94" t="str">
            <v>300/1/6350</v>
          </cell>
          <cell r="BO94">
            <v>0.84569069935822982</v>
          </cell>
          <cell r="BP94">
            <v>0.82901520580519039</v>
          </cell>
          <cell r="BQ94">
            <v>0.83601361608849978</v>
          </cell>
          <cell r="BR94">
            <v>0.82813685797814307</v>
          </cell>
          <cell r="BS94">
            <v>0.83020283173002019</v>
          </cell>
          <cell r="BT94">
            <v>0.87490159534082423</v>
          </cell>
          <cell r="BU94">
            <v>1.0464411575791523</v>
          </cell>
          <cell r="BV94">
            <v>1.0426095968209255</v>
          </cell>
          <cell r="BY94" t="str">
            <v>300/0.8/6000</v>
          </cell>
          <cell r="BZ94">
            <v>2.3747254781101734E-2</v>
          </cell>
          <cell r="CA94">
            <v>2.3719326117722206E-2</v>
          </cell>
        </row>
        <row r="95">
          <cell r="BN95" t="str">
            <v>300/1/6600</v>
          </cell>
          <cell r="BO95">
            <v>0.84569069935822982</v>
          </cell>
          <cell r="BP95">
            <v>0.82894144974872386</v>
          </cell>
          <cell r="BQ95">
            <v>0.83601361608849978</v>
          </cell>
          <cell r="BR95">
            <v>0.82806310151968932</v>
          </cell>
          <cell r="BS95">
            <v>0.8301635497305242</v>
          </cell>
          <cell r="BT95">
            <v>0.87490159534082423</v>
          </cell>
          <cell r="BU95">
            <v>1.0464411575791523</v>
          </cell>
          <cell r="BV95">
            <v>1.0426095968209255</v>
          </cell>
          <cell r="BY95" t="str">
            <v>300/0.8/6250</v>
          </cell>
          <cell r="BZ95">
            <v>2.3703689625125035E-2</v>
          </cell>
          <cell r="CA95">
            <v>2.3673829432375726E-2</v>
          </cell>
        </row>
        <row r="96">
          <cell r="BN96" t="str">
            <v>300/1/6850</v>
          </cell>
          <cell r="BO96">
            <v>0.84569069935822982</v>
          </cell>
          <cell r="BP96">
            <v>0.82886772355241378</v>
          </cell>
          <cell r="BQ96">
            <v>0.83601361608849978</v>
          </cell>
          <cell r="BR96">
            <v>0.82798937490511404</v>
          </cell>
          <cell r="BS96">
            <v>0.83012435165039034</v>
          </cell>
          <cell r="BT96">
            <v>0.87490159534082423</v>
          </cell>
          <cell r="BU96">
            <v>1.0464411575791523</v>
          </cell>
          <cell r="BV96">
            <v>1.0426095968209255</v>
          </cell>
          <cell r="BY96" t="str">
            <v>300/0.8/6350</v>
          </cell>
          <cell r="BZ96">
            <v>2.3686259058941284E-2</v>
          </cell>
          <cell r="CA96">
            <v>2.3658783963683483E-2</v>
          </cell>
        </row>
        <row r="97">
          <cell r="BN97" t="str">
            <v>300/1/7500</v>
          </cell>
          <cell r="BO97">
            <v>0.84569069935822982</v>
          </cell>
          <cell r="BP97">
            <v>0.82872691887417704</v>
          </cell>
          <cell r="BQ97">
            <v>0.83601361608849978</v>
          </cell>
          <cell r="BR97">
            <v>0.82783394290204049</v>
          </cell>
          <cell r="BS97">
            <v>0.83003804378072821</v>
          </cell>
          <cell r="BT97">
            <v>0.87490159534082423</v>
          </cell>
          <cell r="BU97">
            <v>1.0464411575791523</v>
          </cell>
          <cell r="BV97">
            <v>1.0426095968209255</v>
          </cell>
          <cell r="BY97" t="str">
            <v>300/0.8/6600</v>
          </cell>
          <cell r="BZ97">
            <v>2.364805233355094E-2</v>
          </cell>
          <cell r="CA97">
            <v>2.3623045872109394E-2</v>
          </cell>
        </row>
        <row r="98">
          <cell r="BN98" t="str">
            <v>300/1/10000</v>
          </cell>
          <cell r="BO98">
            <v>0.84569069935822982</v>
          </cell>
          <cell r="BP98">
            <v>0.8284022885524831</v>
          </cell>
          <cell r="BQ98">
            <v>0.83601361608849978</v>
          </cell>
          <cell r="BR98">
            <v>0.82749957079791403</v>
          </cell>
          <cell r="BS98">
            <v>0.82987259441529493</v>
          </cell>
          <cell r="BT98">
            <v>0.87490159534082423</v>
          </cell>
          <cell r="BU98">
            <v>1.0464411575791523</v>
          </cell>
          <cell r="BV98">
            <v>1.0426095968209255</v>
          </cell>
          <cell r="BY98" t="str">
            <v>300/0.8/6850</v>
          </cell>
          <cell r="BZ98">
            <v>2.3613283327806878E-2</v>
          </cell>
          <cell r="CA98">
            <v>2.3587006924909337E-2</v>
          </cell>
        </row>
        <row r="99">
          <cell r="BN99" t="str">
            <v>300/1/99999</v>
          </cell>
          <cell r="BO99">
            <v>0.84569069935822982</v>
          </cell>
          <cell r="BP99">
            <v>0.82790679315411309</v>
          </cell>
          <cell r="BQ99">
            <v>0.83601361608849978</v>
          </cell>
          <cell r="BR99">
            <v>0.82697361807785175</v>
          </cell>
          <cell r="BS99">
            <v>0.82958267358113558</v>
          </cell>
          <cell r="BT99">
            <v>0.87490159534082423</v>
          </cell>
          <cell r="BU99">
            <v>1.0464411575791523</v>
          </cell>
          <cell r="BV99">
            <v>1.0426095968209255</v>
          </cell>
          <cell r="BY99" t="str">
            <v>300/0.8/7500</v>
          </cell>
          <cell r="BZ99">
            <v>2.3522823887541122E-2</v>
          </cell>
          <cell r="CA99">
            <v>2.3497505047960443E-2</v>
          </cell>
        </row>
        <row r="100">
          <cell r="BY100" t="str">
            <v>300/0.8/8000</v>
          </cell>
          <cell r="BZ100">
            <v>2.3453180703463472E-2</v>
          </cell>
          <cell r="CA100">
            <v>2.343758195292267E-2</v>
          </cell>
        </row>
        <row r="101">
          <cell r="BN101" t="str">
            <v>500/1/500</v>
          </cell>
          <cell r="BT101">
            <v>0.90138512997269127</v>
          </cell>
          <cell r="BU101">
            <v>1.1130669169084946</v>
          </cell>
          <cell r="BV101">
            <v>1.1051740119865046</v>
          </cell>
          <cell r="BY101" t="str">
            <v>300/0.8/9000</v>
          </cell>
          <cell r="BZ101">
            <v>2.3351004909593742E-2</v>
          </cell>
          <cell r="CA101">
            <v>2.3337912804727745E-2</v>
          </cell>
        </row>
        <row r="102">
          <cell r="BN102" t="str">
            <v>500/1/750</v>
          </cell>
          <cell r="BO102">
            <v>0.9105288954978884</v>
          </cell>
          <cell r="BP102">
            <v>0.9127099442586798</v>
          </cell>
          <cell r="BQ102">
            <v>0.91521445829115922</v>
          </cell>
          <cell r="BR102">
            <v>0.91095312418943675</v>
          </cell>
          <cell r="BS102">
            <v>0.90657936543560502</v>
          </cell>
          <cell r="BT102">
            <v>0.85701537806845185</v>
          </cell>
          <cell r="BU102">
            <v>1.0637740306564336</v>
          </cell>
          <cell r="BV102">
            <v>1.0525995863494768</v>
          </cell>
          <cell r="BY102" t="str">
            <v>300/0.8/10000</v>
          </cell>
          <cell r="BZ102">
            <v>2.3253487502024495E-2</v>
          </cell>
          <cell r="CA102">
            <v>2.3258895379895561E-2</v>
          </cell>
        </row>
        <row r="103">
          <cell r="BN103" t="str">
            <v>500/1/1000</v>
          </cell>
          <cell r="BO103">
            <v>0.87909491966560704</v>
          </cell>
          <cell r="BP103">
            <v>0.8807937888559455</v>
          </cell>
          <cell r="BQ103">
            <v>0.88173004556725287</v>
          </cell>
          <cell r="BR103">
            <v>0.87891243970609056</v>
          </cell>
          <cell r="BS103">
            <v>0.87526564419938069</v>
          </cell>
          <cell r="BT103">
            <v>0.83928106669020708</v>
          </cell>
          <cell r="BU103">
            <v>1.0401590551726894</v>
          </cell>
          <cell r="BV103">
            <v>1.0281521621966012</v>
          </cell>
          <cell r="BY103" t="str">
            <v>300/0.8/99999</v>
          </cell>
          <cell r="BZ103">
            <v>2.1973397860070243E-2</v>
          </cell>
          <cell r="CA103">
            <v>2.2242919313818499E-2</v>
          </cell>
        </row>
        <row r="104">
          <cell r="BN104" t="str">
            <v>500/1/1250</v>
          </cell>
          <cell r="BO104">
            <v>0.85992944805291072</v>
          </cell>
          <cell r="BP104">
            <v>0.8574065175964346</v>
          </cell>
          <cell r="BQ104">
            <v>0.8574899784304939</v>
          </cell>
          <cell r="BR104">
            <v>0.85570432937271212</v>
          </cell>
          <cell r="BS104">
            <v>0.85362989278268653</v>
          </cell>
          <cell r="BT104">
            <v>0.83623107414408338</v>
          </cell>
          <cell r="BU104">
            <v>1.0265462277679509</v>
          </cell>
          <cell r="BV104">
            <v>1.0147837876205215</v>
          </cell>
          <cell r="BY104" t="str">
            <v>500/0.8/500</v>
          </cell>
          <cell r="BZ104">
            <v>2.6324214113519595E-2</v>
          </cell>
          <cell r="CA104">
            <v>2.6494714523038976E-2</v>
          </cell>
        </row>
        <row r="105">
          <cell r="BN105" t="str">
            <v>500/1/1500</v>
          </cell>
          <cell r="BO105">
            <v>0.84390589256531445</v>
          </cell>
          <cell r="BP105">
            <v>0.83870342275068877</v>
          </cell>
          <cell r="BQ105">
            <v>0.84011432268757713</v>
          </cell>
          <cell r="BR105">
            <v>0.83702125634833391</v>
          </cell>
          <cell r="BS105">
            <v>0.83572317818563013</v>
          </cell>
          <cell r="BT105">
            <v>0.83318108159795934</v>
          </cell>
          <cell r="BU105">
            <v>1.018251425008341</v>
          </cell>
          <cell r="BV105">
            <v>1.0072062318900001</v>
          </cell>
          <cell r="BY105" t="str">
            <v>500/0.8/750</v>
          </cell>
          <cell r="BZ105">
            <v>2.5816455598046906E-2</v>
          </cell>
          <cell r="CA105">
            <v>2.5885362619327612E-2</v>
          </cell>
        </row>
        <row r="106">
          <cell r="BN106" t="str">
            <v>500/1/1750</v>
          </cell>
          <cell r="BO106">
            <v>0.84015067306073998</v>
          </cell>
          <cell r="BP106">
            <v>0.83327943912968894</v>
          </cell>
          <cell r="BQ106">
            <v>0.83563842244984965</v>
          </cell>
          <cell r="BR106">
            <v>0.83157072163325241</v>
          </cell>
          <cell r="BS106">
            <v>0.8306845916296306</v>
          </cell>
          <cell r="BT106">
            <v>0.83192801696663421</v>
          </cell>
          <cell r="BU106">
            <v>1.014219499358298</v>
          </cell>
          <cell r="BV106">
            <v>1.004271799022928</v>
          </cell>
          <cell r="BY106" t="str">
            <v>500/0.8/1000</v>
          </cell>
          <cell r="BZ106">
            <v>2.5457958071396281E-2</v>
          </cell>
          <cell r="CA106">
            <v>2.54912281332762E-2</v>
          </cell>
        </row>
        <row r="107">
          <cell r="BN107" t="str">
            <v>500/1/2000</v>
          </cell>
          <cell r="BO107">
            <v>0.8363954535561654</v>
          </cell>
          <cell r="BP107">
            <v>0.82785545550868911</v>
          </cell>
          <cell r="BQ107">
            <v>0.83116252221212217</v>
          </cell>
          <cell r="BR107">
            <v>0.82612018691817102</v>
          </cell>
          <cell r="BS107">
            <v>0.82564600507363117</v>
          </cell>
          <cell r="BT107">
            <v>0.83067495233530908</v>
          </cell>
          <cell r="BU107">
            <v>1.0101875737082548</v>
          </cell>
          <cell r="BV107">
            <v>1.0013373661558558</v>
          </cell>
          <cell r="BY107" t="str">
            <v>500/0.8/1250</v>
          </cell>
          <cell r="BZ107">
            <v>2.5183466826617318E-2</v>
          </cell>
          <cell r="CA107">
            <v>2.5190160602042155E-2</v>
          </cell>
        </row>
        <row r="108">
          <cell r="BN108" t="str">
            <v>500/1/2250</v>
          </cell>
          <cell r="BO108">
            <v>0.83410310391262854</v>
          </cell>
          <cell r="BP108">
            <v>0.82447616475879815</v>
          </cell>
          <cell r="BQ108">
            <v>0.82860474165706788</v>
          </cell>
          <cell r="BR108">
            <v>0.82271151273846344</v>
          </cell>
          <cell r="BS108">
            <v>0.82253268086709241</v>
          </cell>
          <cell r="BT108">
            <v>0.83026576260651341</v>
          </cell>
          <cell r="BU108">
            <v>1.0086188283312389</v>
          </cell>
          <cell r="BV108">
            <v>1.0000289832742064</v>
          </cell>
          <cell r="BY108" t="str">
            <v>500/0.8/1500</v>
          </cell>
          <cell r="BZ108">
            <v>2.4958626810234419E-2</v>
          </cell>
          <cell r="CA108">
            <v>2.4942066147203068E-2</v>
          </cell>
        </row>
        <row r="109">
          <cell r="BN109" t="str">
            <v>500/1/2500</v>
          </cell>
          <cell r="BO109">
            <v>0.8319633998820839</v>
          </cell>
          <cell r="BP109">
            <v>0.82140296041630023</v>
          </cell>
          <cell r="BQ109">
            <v>0.82618486461561669</v>
          </cell>
          <cell r="BR109">
            <v>0.81964018069184086</v>
          </cell>
          <cell r="BS109">
            <v>0.81967063709104682</v>
          </cell>
          <cell r="BT109">
            <v>0.82985657287771775</v>
          </cell>
          <cell r="BU109">
            <v>1.0076372451220335</v>
          </cell>
          <cell r="BV109">
            <v>0.9988836535556066</v>
          </cell>
          <cell r="BY109" t="str">
            <v>500/0.8/1750</v>
          </cell>
          <cell r="BZ109">
            <v>2.4779876955183577E-2</v>
          </cell>
          <cell r="CA109">
            <v>2.4740099422486672E-2</v>
          </cell>
        </row>
        <row r="110">
          <cell r="BN110" t="str">
            <v>500/1/2750</v>
          </cell>
          <cell r="BO110">
            <v>0.83059858255379937</v>
          </cell>
          <cell r="BP110">
            <v>0.81938194364700345</v>
          </cell>
          <cell r="BQ110">
            <v>0.82459223098346379</v>
          </cell>
          <cell r="BR110">
            <v>0.81756171110100762</v>
          </cell>
          <cell r="BS110">
            <v>0.81784858695720353</v>
          </cell>
          <cell r="BT110">
            <v>0.82978378572244194</v>
          </cell>
          <cell r="BU110">
            <v>1.0067884504358966</v>
          </cell>
          <cell r="BV110">
            <v>0.99778479865878167</v>
          </cell>
          <cell r="BY110" t="str">
            <v>500/0.8/2000</v>
          </cell>
          <cell r="BZ110">
            <v>2.4601127100132736E-2</v>
          </cell>
          <cell r="CA110">
            <v>2.4538132697770276E-2</v>
          </cell>
        </row>
        <row r="111">
          <cell r="BN111" t="str">
            <v>500/1/3000</v>
          </cell>
          <cell r="BO111">
            <v>0.82925841729094729</v>
          </cell>
          <cell r="BP111">
            <v>0.81753721686523484</v>
          </cell>
          <cell r="BQ111">
            <v>0.82307481040231867</v>
          </cell>
          <cell r="BR111">
            <v>0.81571816946401543</v>
          </cell>
          <cell r="BS111">
            <v>0.81619258582574239</v>
          </cell>
          <cell r="BT111">
            <v>0.82971099856716568</v>
          </cell>
          <cell r="BU111">
            <v>1.0059543512157767</v>
          </cell>
          <cell r="BV111">
            <v>0.99670032557841104</v>
          </cell>
          <cell r="BY111" t="str">
            <v>500/0.8/2250</v>
          </cell>
          <cell r="BZ111">
            <v>2.4452926697128508E-2</v>
          </cell>
          <cell r="CA111">
            <v>2.4367126152176732E-2</v>
          </cell>
        </row>
        <row r="112">
          <cell r="BN112" t="str">
            <v>500/1/3250</v>
          </cell>
          <cell r="BO112">
            <v>0.82846044378820638</v>
          </cell>
          <cell r="BP112">
            <v>0.81627886861641363</v>
          </cell>
          <cell r="BQ112">
            <v>0.82212662851615304</v>
          </cell>
          <cell r="BR112">
            <v>0.8144392882011835</v>
          </cell>
          <cell r="BS112">
            <v>0.81508389211507914</v>
          </cell>
          <cell r="BT112">
            <v>0.82968682585419429</v>
          </cell>
          <cell r="BU112">
            <v>1.0051236477129435</v>
          </cell>
          <cell r="BV112">
            <v>0.99560132473741225</v>
          </cell>
          <cell r="BY112" t="str">
            <v>500/0.8/2500</v>
          </cell>
          <cell r="BZ112">
            <v>2.4319546860159136E-2</v>
          </cell>
          <cell r="CA112">
            <v>2.4233029198386324E-2</v>
          </cell>
        </row>
        <row r="113">
          <cell r="BN113" t="str">
            <v>500/1/3500</v>
          </cell>
          <cell r="BO113">
            <v>0.82766247028546547</v>
          </cell>
          <cell r="BP113">
            <v>0.81502052036759243</v>
          </cell>
          <cell r="BQ113">
            <v>0.82117844662998729</v>
          </cell>
          <cell r="BR113">
            <v>0.81316040693835157</v>
          </cell>
          <cell r="BS113">
            <v>0.81397519840441579</v>
          </cell>
          <cell r="BT113">
            <v>0.82966265314122301</v>
          </cell>
          <cell r="BU113">
            <v>1.0042929442101105</v>
          </cell>
          <cell r="BV113">
            <v>0.99450232389641346</v>
          </cell>
          <cell r="BY113" t="str">
            <v>500/0.8/2750</v>
          </cell>
          <cell r="BZ113">
            <v>2.4196204471563787E-2</v>
          </cell>
          <cell r="CA113">
            <v>2.4099365062206113E-2</v>
          </cell>
        </row>
        <row r="114">
          <cell r="BN114" t="str">
            <v>500/1/3750</v>
          </cell>
          <cell r="BO114">
            <v>0.82726490808485198</v>
          </cell>
          <cell r="BP114">
            <v>0.8141693754673669</v>
          </cell>
          <cell r="BQ114">
            <v>0.82059008451367221</v>
          </cell>
          <cell r="BR114">
            <v>0.81228958422410891</v>
          </cell>
          <cell r="BS114">
            <v>0.81329193153839663</v>
          </cell>
          <cell r="BT114">
            <v>0.82965762928378828</v>
          </cell>
          <cell r="BU114">
            <v>1.0034772667924146</v>
          </cell>
          <cell r="BV114">
            <v>0.9941074597570545</v>
          </cell>
          <cell r="BY114" t="str">
            <v>500/0.8/3000</v>
          </cell>
          <cell r="BZ114">
            <v>2.407332319811073E-2</v>
          </cell>
          <cell r="CA114">
            <v>2.3986567710979623E-2</v>
          </cell>
        </row>
        <row r="115">
          <cell r="BN115" t="str">
            <v>500/1/4000</v>
          </cell>
          <cell r="BO115">
            <v>0.8268673458842386</v>
          </cell>
          <cell r="BP115">
            <v>0.81331823056714136</v>
          </cell>
          <cell r="BQ115">
            <v>0.82000172239735702</v>
          </cell>
          <cell r="BR115">
            <v>0.81141876150986636</v>
          </cell>
          <cell r="BS115">
            <v>0.81260866467237736</v>
          </cell>
          <cell r="BT115">
            <v>0.82965260542635344</v>
          </cell>
          <cell r="BU115">
            <v>1.0026615893747184</v>
          </cell>
          <cell r="BV115">
            <v>0.99371259561769543</v>
          </cell>
          <cell r="BY115" t="str">
            <v>500/0.8/3250</v>
          </cell>
          <cell r="BZ115">
            <v>2.3979867686073186E-2</v>
          </cell>
          <cell r="CA115">
            <v>2.3893759798807812E-2</v>
          </cell>
        </row>
        <row r="116">
          <cell r="BN116" t="str">
            <v>500/1/4250</v>
          </cell>
          <cell r="BO116">
            <v>0.82648680916026307</v>
          </cell>
          <cell r="BP116">
            <v>0.81267794266620963</v>
          </cell>
          <cell r="BQ116">
            <v>0.81949889545747645</v>
          </cell>
          <cell r="BR116">
            <v>0.81077167989669707</v>
          </cell>
          <cell r="BS116">
            <v>0.81204046943189812</v>
          </cell>
          <cell r="BT116">
            <v>0.82964758156891882</v>
          </cell>
          <cell r="BU116">
            <v>1.0018454675024637</v>
          </cell>
          <cell r="BV116">
            <v>0.99335312137241538</v>
          </cell>
          <cell r="BY116" t="str">
            <v>500/0.8/3500</v>
          </cell>
          <cell r="BZ116">
            <v>2.3886412174035643E-2</v>
          </cell>
          <cell r="CA116">
            <v>2.3800951886636001E-2</v>
          </cell>
        </row>
        <row r="117">
          <cell r="BN117" t="str">
            <v>500/1/4500</v>
          </cell>
          <cell r="BO117">
            <v>0.82610627243628754</v>
          </cell>
          <cell r="BP117">
            <v>0.81203765476527778</v>
          </cell>
          <cell r="BQ117">
            <v>0.81899606851759577</v>
          </cell>
          <cell r="BR117">
            <v>0.81012459828352779</v>
          </cell>
          <cell r="BS117">
            <v>0.81147227419141899</v>
          </cell>
          <cell r="BT117">
            <v>0.82964255771148421</v>
          </cell>
          <cell r="BU117">
            <v>1.0010293456302093</v>
          </cell>
          <cell r="BV117">
            <v>0.99299364712713523</v>
          </cell>
          <cell r="BY117" t="str">
            <v>500/0.8/3750</v>
          </cell>
          <cell r="BZ117">
            <v>2.3805335724298771E-2</v>
          </cell>
          <cell r="CA117">
            <v>2.3723633434046043E-2</v>
          </cell>
        </row>
        <row r="118">
          <cell r="BN118" t="str">
            <v>500/1/4750</v>
          </cell>
          <cell r="BO118">
            <v>0.82610271498635279</v>
          </cell>
          <cell r="BP118">
            <v>0.81177027701888238</v>
          </cell>
          <cell r="BQ118">
            <v>0.81895719444526383</v>
          </cell>
          <cell r="BR118">
            <v>0.80985722024832585</v>
          </cell>
          <cell r="BS118">
            <v>0.81133838713091699</v>
          </cell>
          <cell r="BT118">
            <v>0.82964255771148421</v>
          </cell>
          <cell r="BU118">
            <v>1.0004261186686894</v>
          </cell>
          <cell r="BV118">
            <v>0.99294211456154946</v>
          </cell>
          <cell r="BY118" t="str">
            <v>500/0.8/4000</v>
          </cell>
          <cell r="BZ118">
            <v>2.3724259274561899E-2</v>
          </cell>
          <cell r="CA118">
            <v>2.3646314981456085E-2</v>
          </cell>
        </row>
        <row r="119">
          <cell r="BN119" t="str">
            <v>500/1/5000</v>
          </cell>
          <cell r="BO119">
            <v>0.82609915753641805</v>
          </cell>
          <cell r="BP119">
            <v>0.81150289927248698</v>
          </cell>
          <cell r="BQ119">
            <v>0.818918320372932</v>
          </cell>
          <cell r="BR119">
            <v>0.8095898422131238</v>
          </cell>
          <cell r="BS119">
            <v>0.81120450007041511</v>
          </cell>
          <cell r="BT119">
            <v>0.82964255771148421</v>
          </cell>
          <cell r="BU119">
            <v>0.99982289170716954</v>
          </cell>
          <cell r="BV119">
            <v>0.99289058199596369</v>
          </cell>
          <cell r="BY119" t="str">
            <v>500/0.8/4250</v>
          </cell>
          <cell r="BZ119">
            <v>2.3652389266515916E-2</v>
          </cell>
          <cell r="CA119">
            <v>2.3578413736602744E-2</v>
          </cell>
        </row>
        <row r="120">
          <cell r="BN120" t="str">
            <v>500/1/5250</v>
          </cell>
          <cell r="BO120">
            <v>0.82609915753641805</v>
          </cell>
          <cell r="BP120">
            <v>0.8113359150767856</v>
          </cell>
          <cell r="BQ120">
            <v>0.81891339150901743</v>
          </cell>
          <cell r="BR120">
            <v>0.80940579784953659</v>
          </cell>
          <cell r="BS120">
            <v>0.81110210319917631</v>
          </cell>
          <cell r="BT120">
            <v>0.82964255771148421</v>
          </cell>
          <cell r="BU120">
            <v>0.99982289170716954</v>
          </cell>
          <cell r="BV120">
            <v>0.99289058199596369</v>
          </cell>
          <cell r="BY120" t="str">
            <v>500/0.8/4500</v>
          </cell>
          <cell r="BZ120">
            <v>2.3580519258469934E-2</v>
          </cell>
          <cell r="CA120">
            <v>2.3510512491749402E-2</v>
          </cell>
        </row>
        <row r="121">
          <cell r="BN121" t="str">
            <v>500/1/5500</v>
          </cell>
          <cell r="BO121">
            <v>0.82609915753641805</v>
          </cell>
          <cell r="BP121">
            <v>0.81116893088108422</v>
          </cell>
          <cell r="BQ121">
            <v>0.81890846264510275</v>
          </cell>
          <cell r="BR121">
            <v>0.80922175348594938</v>
          </cell>
          <cell r="BS121">
            <v>0.81099970632793739</v>
          </cell>
          <cell r="BT121">
            <v>0.82964255771148421</v>
          </cell>
          <cell r="BU121">
            <v>0.99982289170716954</v>
          </cell>
          <cell r="BV121">
            <v>0.99289058199596369</v>
          </cell>
          <cell r="BY121" t="str">
            <v>500/0.8/4750</v>
          </cell>
          <cell r="BZ121">
            <v>2.3522852379155745E-2</v>
          </cell>
          <cell r="CA121">
            <v>2.3448941232992904E-2</v>
          </cell>
        </row>
        <row r="122">
          <cell r="BN122" t="str">
            <v>500/1/5750</v>
          </cell>
          <cell r="BO122">
            <v>0.82609915753641805</v>
          </cell>
          <cell r="BP122">
            <v>0.81100951646396258</v>
          </cell>
          <cell r="BQ122">
            <v>0.81890568890216198</v>
          </cell>
          <cell r="BR122">
            <v>0.80906233902445934</v>
          </cell>
          <cell r="BS122">
            <v>0.81092498323669548</v>
          </cell>
          <cell r="BT122">
            <v>0.82964255771148421</v>
          </cell>
          <cell r="BU122">
            <v>0.99982289170716954</v>
          </cell>
          <cell r="BV122">
            <v>0.99289058199596369</v>
          </cell>
          <cell r="BY122" t="str">
            <v>500/0.8/5000</v>
          </cell>
          <cell r="BZ122">
            <v>2.3465185499841557E-2</v>
          </cell>
          <cell r="CA122">
            <v>2.3387369974236405E-2</v>
          </cell>
        </row>
        <row r="123">
          <cell r="BN123" t="str">
            <v>500/1/6000</v>
          </cell>
          <cell r="BO123">
            <v>0.82609915753641805</v>
          </cell>
          <cell r="BP123">
            <v>0.81085010204684094</v>
          </cell>
          <cell r="BQ123">
            <v>0.8189029151592212</v>
          </cell>
          <cell r="BR123">
            <v>0.80890292456296942</v>
          </cell>
          <cell r="BS123">
            <v>0.81085026014545358</v>
          </cell>
          <cell r="BT123">
            <v>0.82964255771148421</v>
          </cell>
          <cell r="BU123">
            <v>0.99982289170716954</v>
          </cell>
          <cell r="BV123">
            <v>0.99289058199596369</v>
          </cell>
          <cell r="BY123" t="str">
            <v>500/0.8/5250</v>
          </cell>
          <cell r="BZ123">
            <v>2.3409058799106375E-2</v>
          </cell>
          <cell r="CA123">
            <v>2.3336764017669376E-2</v>
          </cell>
        </row>
        <row r="124">
          <cell r="BN124" t="str">
            <v>500/1/6250</v>
          </cell>
          <cell r="BO124">
            <v>0.82609915753641805</v>
          </cell>
          <cell r="BP124">
            <v>0.81069956886747807</v>
          </cell>
          <cell r="BQ124">
            <v>0.8189029151592212</v>
          </cell>
          <cell r="BR124">
            <v>0.80874351269040623</v>
          </cell>
          <cell r="BS124">
            <v>0.81079601315985439</v>
          </cell>
          <cell r="BT124">
            <v>0.82964255771148421</v>
          </cell>
          <cell r="BU124">
            <v>0.99982289170716954</v>
          </cell>
          <cell r="BV124">
            <v>0.99289058199596369</v>
          </cell>
          <cell r="BY124" t="str">
            <v>500/0.8/5500</v>
          </cell>
          <cell r="BZ124">
            <v>2.3352932098371193E-2</v>
          </cell>
          <cell r="CA124">
            <v>2.3286158061102347E-2</v>
          </cell>
        </row>
        <row r="125">
          <cell r="BN125" t="str">
            <v>500/1/6350</v>
          </cell>
          <cell r="BO125">
            <v>0.82609915753641805</v>
          </cell>
          <cell r="BP125">
            <v>0.81066997569586996</v>
          </cell>
          <cell r="BQ125">
            <v>0.8189029151592212</v>
          </cell>
          <cell r="BR125">
            <v>0.80868406565517514</v>
          </cell>
          <cell r="BS125">
            <v>0.81077960650811609</v>
          </cell>
          <cell r="BT125">
            <v>0.82964255771148421</v>
          </cell>
          <cell r="BU125">
            <v>0.99982289170716954</v>
          </cell>
          <cell r="BV125">
            <v>0.99289058199596369</v>
          </cell>
          <cell r="BY125" t="str">
            <v>500/0.8/5750</v>
          </cell>
          <cell r="BZ125">
            <v>2.3309401057495904E-2</v>
          </cell>
          <cell r="CA125">
            <v>2.3240854317666093E-2</v>
          </cell>
        </row>
        <row r="126">
          <cell r="BN126" t="str">
            <v>500/1/6600</v>
          </cell>
          <cell r="BO126">
            <v>0.82609915753641805</v>
          </cell>
          <cell r="BP126">
            <v>0.81059618946187573</v>
          </cell>
          <cell r="BQ126">
            <v>0.8189029151592212</v>
          </cell>
          <cell r="BR126">
            <v>0.80861027855801049</v>
          </cell>
          <cell r="BS126">
            <v>0.81074023788495331</v>
          </cell>
          <cell r="BT126">
            <v>0.82964255771148421</v>
          </cell>
          <cell r="BU126">
            <v>0.99982289170716954</v>
          </cell>
          <cell r="BV126">
            <v>0.99289058199596369</v>
          </cell>
          <cell r="BY126" t="str">
            <v>500/0.8/6000</v>
          </cell>
          <cell r="BZ126">
            <v>2.3265870016620616E-2</v>
          </cell>
          <cell r="CA126">
            <v>2.319555057422984E-2</v>
          </cell>
        </row>
        <row r="127">
          <cell r="BN127" t="str">
            <v>500/1/6850</v>
          </cell>
          <cell r="BO127">
            <v>0.82609915753641805</v>
          </cell>
          <cell r="BP127">
            <v>0.81052243276721314</v>
          </cell>
          <cell r="BQ127">
            <v>0.8189029151592212</v>
          </cell>
          <cell r="BR127">
            <v>0.80853652096406459</v>
          </cell>
          <cell r="BS127">
            <v>0.8107009522048334</v>
          </cell>
          <cell r="BT127">
            <v>0.82964255771148421</v>
          </cell>
          <cell r="BU127">
            <v>0.99982289170716954</v>
          </cell>
          <cell r="BV127">
            <v>0.99289058199596369</v>
          </cell>
          <cell r="BY127" t="str">
            <v>500/0.8/6250</v>
          </cell>
          <cell r="BZ127">
            <v>2.3222314817092693E-2</v>
          </cell>
          <cell r="CA127">
            <v>2.3149658130793949E-2</v>
          </cell>
        </row>
        <row r="128">
          <cell r="BN128" t="str">
            <v>500/1/7500</v>
          </cell>
          <cell r="BO128">
            <v>0.82609915753641805</v>
          </cell>
          <cell r="BP128">
            <v>0.81035725073864173</v>
          </cell>
          <cell r="BQ128">
            <v>0.8189029151592212</v>
          </cell>
          <cell r="BR128">
            <v>0.80834867387463605</v>
          </cell>
          <cell r="BS128">
            <v>0.8106067472343137</v>
          </cell>
          <cell r="BT128">
            <v>0.82964255771148421</v>
          </cell>
          <cell r="BU128">
            <v>0.99982289170716954</v>
          </cell>
          <cell r="BV128">
            <v>0.99289058199596369</v>
          </cell>
          <cell r="BY128" t="str">
            <v>500/0.8/6350</v>
          </cell>
          <cell r="BZ128">
            <v>2.3204888227666309E-2</v>
          </cell>
          <cell r="CA128">
            <v>2.3131191262752759E-2</v>
          </cell>
        </row>
        <row r="129">
          <cell r="BN129" t="str">
            <v>500/1/10000</v>
          </cell>
          <cell r="BO129">
            <v>0.82609915753641805</v>
          </cell>
          <cell r="BP129">
            <v>0.81002086458697109</v>
          </cell>
          <cell r="BQ129">
            <v>0.8189029151592212</v>
          </cell>
          <cell r="BR129">
            <v>0.80799718849741031</v>
          </cell>
          <cell r="BS129">
            <v>0.81042098523340012</v>
          </cell>
          <cell r="BT129">
            <v>0.82964255771148421</v>
          </cell>
          <cell r="BU129">
            <v>0.99982289170716954</v>
          </cell>
          <cell r="BV129">
            <v>0.99289058199596369</v>
          </cell>
          <cell r="BY129" t="str">
            <v>500/0.8/6600</v>
          </cell>
          <cell r="BZ129">
            <v>2.3161310480062536E-2</v>
          </cell>
          <cell r="CA129">
            <v>2.3093016865718852E-2</v>
          </cell>
        </row>
        <row r="130">
          <cell r="BN130" t="str">
            <v>500/1/99999</v>
          </cell>
          <cell r="BO130">
            <v>0.82609915753641805</v>
          </cell>
          <cell r="BP130">
            <v>0.8095113582822796</v>
          </cell>
          <cell r="BQ130">
            <v>0.8189029151592212</v>
          </cell>
          <cell r="BR130">
            <v>0.8074405262807407</v>
          </cell>
          <cell r="BS130">
            <v>0.81011549871577837</v>
          </cell>
          <cell r="BT130">
            <v>0.82964255771148421</v>
          </cell>
          <cell r="BU130">
            <v>0.99982289170716954</v>
          </cell>
          <cell r="BV130">
            <v>0.99289058199596369</v>
          </cell>
          <cell r="BY130" t="str">
            <v>500/0.8/6850</v>
          </cell>
          <cell r="BZ130">
            <v>2.3126101204715699E-2</v>
          </cell>
          <cell r="CA130">
            <v>2.3057174328100949E-2</v>
          </cell>
        </row>
        <row r="131">
          <cell r="BY131" t="str">
            <v>500/0.8/7500</v>
          </cell>
          <cell r="BZ131">
            <v>2.3035662225121545E-2</v>
          </cell>
          <cell r="CA131">
            <v>2.2965550451552241E-2</v>
          </cell>
        </row>
        <row r="132">
          <cell r="BN132" t="str">
            <v>750/1/750</v>
          </cell>
          <cell r="BT132">
            <v>0.85146121692221588</v>
          </cell>
          <cell r="BU132">
            <v>1.0546574148560781</v>
          </cell>
          <cell r="BV132">
            <v>1.0424289743283488</v>
          </cell>
          <cell r="BY132" t="str">
            <v>500/0.8/8000</v>
          </cell>
          <cell r="BZ132">
            <v>2.296603470375147E-2</v>
          </cell>
          <cell r="CA132">
            <v>2.2903319859756355E-2</v>
          </cell>
        </row>
        <row r="133">
          <cell r="BN133" t="str">
            <v>750/1/1000</v>
          </cell>
          <cell r="BO133">
            <v>0.88741528696926653</v>
          </cell>
          <cell r="BP133">
            <v>0.89124873250281045</v>
          </cell>
          <cell r="BQ133">
            <v>0.89463421326326054</v>
          </cell>
          <cell r="BR133">
            <v>0.88786227412332075</v>
          </cell>
          <cell r="BS133">
            <v>0.88275497012687809</v>
          </cell>
          <cell r="BT133">
            <v>0.80834449929440344</v>
          </cell>
          <cell r="BU133">
            <v>1.0076587652216074</v>
          </cell>
          <cell r="BV133">
            <v>0.9923798973833664</v>
          </cell>
          <cell r="BY133" t="str">
            <v>500/0.8/9000</v>
          </cell>
          <cell r="BZ133">
            <v>2.2856926438562963E-2</v>
          </cell>
          <cell r="CA133">
            <v>2.2798597869207571E-2</v>
          </cell>
        </row>
        <row r="134">
          <cell r="BN134" t="str">
            <v>750/1/1250</v>
          </cell>
          <cell r="BO134">
            <v>0.85662533602288349</v>
          </cell>
          <cell r="BP134">
            <v>0.8604159960835378</v>
          </cell>
          <cell r="BQ134">
            <v>0.86246588589443829</v>
          </cell>
          <cell r="BR134">
            <v>0.85663612819989776</v>
          </cell>
          <cell r="BS134">
            <v>0.85200419776717085</v>
          </cell>
          <cell r="BT134">
            <v>0.79111101785259197</v>
          </cell>
          <cell r="BU134">
            <v>0.98502305258380696</v>
          </cell>
          <cell r="BV134">
            <v>0.96900513663451837</v>
          </cell>
          <cell r="BY134" t="str">
            <v>500/0.8/10000</v>
          </cell>
          <cell r="BZ134">
            <v>2.2759324436852468E-2</v>
          </cell>
          <cell r="CA134">
            <v>2.2718177573663789E-2</v>
          </cell>
        </row>
        <row r="135">
          <cell r="BN135" t="str">
            <v>750/1/1500</v>
          </cell>
          <cell r="BO135">
            <v>0.83762584602159418</v>
          </cell>
          <cell r="BP135">
            <v>0.83712618601898203</v>
          </cell>
          <cell r="BQ135">
            <v>0.83828388858928871</v>
          </cell>
          <cell r="BR135">
            <v>0.83363946224618546</v>
          </cell>
          <cell r="BS135">
            <v>0.8306331316299379</v>
          </cell>
          <cell r="BT135">
            <v>0.78814715932883972</v>
          </cell>
          <cell r="BU135">
            <v>0.97193306377026578</v>
          </cell>
          <cell r="BV135">
            <v>0.95639901483309486</v>
          </cell>
          <cell r="BY135" t="str">
            <v>500/0.8/99999</v>
          </cell>
          <cell r="BZ135">
            <v>2.146255953722509E-2</v>
          </cell>
          <cell r="CA135">
            <v>2.1692304964414655E-2</v>
          </cell>
        </row>
        <row r="136">
          <cell r="BN136" t="str">
            <v>750/1/1750</v>
          </cell>
          <cell r="BO136">
            <v>0.82773760318775258</v>
          </cell>
          <cell r="BP136">
            <v>0.82494810009676511</v>
          </cell>
          <cell r="BQ136">
            <v>0.82728404448580095</v>
          </cell>
          <cell r="BR136">
            <v>0.82147090860797078</v>
          </cell>
          <cell r="BS136">
            <v>0.81906849267338222</v>
          </cell>
          <cell r="BT136">
            <v>0.78605639148257356</v>
          </cell>
          <cell r="BU136">
            <v>0.96556211040083129</v>
          </cell>
          <cell r="BV136">
            <v>0.95112675413382375</v>
          </cell>
          <cell r="BY136" t="str">
            <v>750/0.8/750</v>
          </cell>
          <cell r="BZ136">
            <v>2.5656457829228652E-2</v>
          </cell>
          <cell r="CA136">
            <v>2.5745897161148834E-2</v>
          </cell>
        </row>
        <row r="137">
          <cell r="BN137" t="str">
            <v>750/1/2000</v>
          </cell>
          <cell r="BO137">
            <v>0.81784936035391098</v>
          </cell>
          <cell r="BP137">
            <v>0.81277001417454819</v>
          </cell>
          <cell r="BQ137">
            <v>0.81628420038231309</v>
          </cell>
          <cell r="BR137">
            <v>0.80930235496975622</v>
          </cell>
          <cell r="BS137">
            <v>0.80750385371682654</v>
          </cell>
          <cell r="BT137">
            <v>0.78396562363630728</v>
          </cell>
          <cell r="BU137">
            <v>0.95919115703139679</v>
          </cell>
          <cell r="BV137">
            <v>0.94585449343455263</v>
          </cell>
          <cell r="BY137" t="str">
            <v>750/0.8/1000</v>
          </cell>
          <cell r="BZ137">
            <v>2.5207800137129199E-2</v>
          </cell>
          <cell r="CA137">
            <v>2.5188578856033095E-2</v>
          </cell>
        </row>
        <row r="138">
          <cell r="BN138" t="str">
            <v>750/1/2250</v>
          </cell>
          <cell r="BO138">
            <v>0.81436842359982331</v>
          </cell>
          <cell r="BP138">
            <v>0.80781413733136986</v>
          </cell>
          <cell r="BQ138">
            <v>0.81219979817399812</v>
          </cell>
          <cell r="BR138">
            <v>0.80430767235933343</v>
          </cell>
          <cell r="BS138">
            <v>0.80294333315857824</v>
          </cell>
          <cell r="BT138">
            <v>0.78274794646752666</v>
          </cell>
          <cell r="BU138">
            <v>0.95648904827986891</v>
          </cell>
          <cell r="BV138">
            <v>0.94403720929199098</v>
          </cell>
          <cell r="BY138" t="str">
            <v>750/0.8/1250</v>
          </cell>
          <cell r="BZ138">
            <v>2.4872264979379333E-2</v>
          </cell>
          <cell r="CA138">
            <v>2.4814037453300131E-2</v>
          </cell>
        </row>
        <row r="139">
          <cell r="BN139" t="str">
            <v>750/1/2500</v>
          </cell>
          <cell r="BO139">
            <v>0.8120992698323829</v>
          </cell>
          <cell r="BP139">
            <v>0.80446000293286879</v>
          </cell>
          <cell r="BQ139">
            <v>0.80967176969281851</v>
          </cell>
          <cell r="BR139">
            <v>0.80091440202623132</v>
          </cell>
          <cell r="BS139">
            <v>0.79985015005770987</v>
          </cell>
          <cell r="BT139">
            <v>0.78235031255623577</v>
          </cell>
          <cell r="BU139">
            <v>0.95504653878668244</v>
          </cell>
          <cell r="BV139">
            <v>0.94275420543646926</v>
          </cell>
          <cell r="BY139" t="str">
            <v>750/0.8/1500</v>
          </cell>
          <cell r="BZ139">
            <v>2.460825442076997E-2</v>
          </cell>
          <cell r="CA139">
            <v>2.4523177849921751E-2</v>
          </cell>
        </row>
        <row r="140">
          <cell r="BN140" t="str">
            <v>750/1/2750</v>
          </cell>
          <cell r="BO140">
            <v>0.80998763005792829</v>
          </cell>
          <cell r="BP140">
            <v>0.80140792046032427</v>
          </cell>
          <cell r="BQ140">
            <v>0.80727810364310781</v>
          </cell>
          <cell r="BR140">
            <v>0.79786608014148197</v>
          </cell>
          <cell r="BS140">
            <v>0.79701319211248933</v>
          </cell>
          <cell r="BT140">
            <v>0.78195267864494511</v>
          </cell>
          <cell r="BU140">
            <v>0.95408720533357083</v>
          </cell>
          <cell r="BV140">
            <v>0.94164470785578969</v>
          </cell>
          <cell r="BY140" t="str">
            <v>750/0.8/1750</v>
          </cell>
          <cell r="BZ140">
            <v>2.4406993210530192E-2</v>
          </cell>
          <cell r="CA140">
            <v>2.4296809400680464E-2</v>
          </cell>
        </row>
        <row r="141">
          <cell r="BN141" t="str">
            <v>750/1/3000</v>
          </cell>
          <cell r="BO141">
            <v>0.80863700967804142</v>
          </cell>
          <cell r="BP141">
            <v>0.79940719415826123</v>
          </cell>
          <cell r="BQ141">
            <v>0.80569768836264755</v>
          </cell>
          <cell r="BR141">
            <v>0.79578604721772161</v>
          </cell>
          <cell r="BS141">
            <v>0.79519198033529037</v>
          </cell>
          <cell r="BT141">
            <v>0.78188194705222058</v>
          </cell>
          <cell r="BU141">
            <v>0.95325647193002183</v>
          </cell>
          <cell r="BV141">
            <v>0.94055103207029078</v>
          </cell>
          <cell r="BY141" t="str">
            <v>750/0.8/2000</v>
          </cell>
          <cell r="BZ141">
            <v>2.4205732000290414E-2</v>
          </cell>
          <cell r="CA141">
            <v>2.4070440951439176E-2</v>
          </cell>
        </row>
        <row r="142">
          <cell r="BN142" t="str">
            <v>750/1/3250</v>
          </cell>
          <cell r="BO142">
            <v>0.80756104521679761</v>
          </cell>
          <cell r="BP142">
            <v>0.79782824832499233</v>
          </cell>
          <cell r="BQ142">
            <v>0.80447813742175489</v>
          </cell>
          <cell r="BR142">
            <v>0.79417917628571111</v>
          </cell>
          <cell r="BS142">
            <v>0.79378621866775245</v>
          </cell>
          <cell r="BT142">
            <v>0.78183483622692829</v>
          </cell>
          <cell r="BU142">
            <v>0.95242374086235992</v>
          </cell>
          <cell r="BV142">
            <v>0.93946986306776192</v>
          </cell>
          <cell r="BY142" t="str">
            <v>750/0.8/2250</v>
          </cell>
          <cell r="BZ142">
            <v>2.4043635543073982E-2</v>
          </cell>
          <cell r="CA142">
            <v>2.3886070044467411E-2</v>
          </cell>
        </row>
        <row r="143">
          <cell r="BN143" t="str">
            <v>750/1/3500</v>
          </cell>
          <cell r="BO143">
            <v>0.80648508075555392</v>
          </cell>
          <cell r="BP143">
            <v>0.79624930249172332</v>
          </cell>
          <cell r="BQ143">
            <v>0.80325858648086224</v>
          </cell>
          <cell r="BR143">
            <v>0.79257230535370071</v>
          </cell>
          <cell r="BS143">
            <v>0.79238045700021442</v>
          </cell>
          <cell r="BT143">
            <v>0.78178772540163588</v>
          </cell>
          <cell r="BU143">
            <v>0.95159100979469813</v>
          </cell>
          <cell r="BV143">
            <v>0.93838869406523306</v>
          </cell>
          <cell r="BY143" t="str">
            <v>750/0.8/2500</v>
          </cell>
          <cell r="BZ143">
            <v>2.3897895360055932E-2</v>
          </cell>
          <cell r="CA143">
            <v>2.3724525587056178E-2</v>
          </cell>
        </row>
        <row r="144">
          <cell r="BN144" t="str">
            <v>750/1/3750</v>
          </cell>
          <cell r="BO144">
            <v>0.80590903973460248</v>
          </cell>
          <cell r="BP144">
            <v>0.79523096347996836</v>
          </cell>
          <cell r="BQ144">
            <v>0.80247128724939076</v>
          </cell>
          <cell r="BR144">
            <v>0.79155507097695621</v>
          </cell>
          <cell r="BS144">
            <v>0.79150260296216557</v>
          </cell>
          <cell r="BT144">
            <v>0.78177353938269423</v>
          </cell>
          <cell r="BU144">
            <v>0.95078222140271207</v>
          </cell>
          <cell r="BV144">
            <v>0.93772552782126062</v>
          </cell>
          <cell r="BY144" t="str">
            <v>750/0.8/2750</v>
          </cell>
          <cell r="BZ144">
            <v>2.3766965810417817E-2</v>
          </cell>
          <cell r="CA144">
            <v>2.3590438482547604E-2</v>
          </cell>
        </row>
        <row r="145">
          <cell r="BN145" t="str">
            <v>750/1/4000</v>
          </cell>
          <cell r="BO145">
            <v>0.80533299871365094</v>
          </cell>
          <cell r="BP145">
            <v>0.7942126244682135</v>
          </cell>
          <cell r="BQ145">
            <v>0.80168398801791929</v>
          </cell>
          <cell r="BR145">
            <v>0.79053783660021171</v>
          </cell>
          <cell r="BS145">
            <v>0.79062474892411672</v>
          </cell>
          <cell r="BT145">
            <v>0.78175935336375257</v>
          </cell>
          <cell r="BU145">
            <v>0.94997343301072601</v>
          </cell>
          <cell r="BV145">
            <v>0.93706236157728817</v>
          </cell>
          <cell r="BY145" t="str">
            <v>750/0.8/3000</v>
          </cell>
          <cell r="BZ145">
            <v>2.3644455097075134E-2</v>
          </cell>
          <cell r="CA145">
            <v>2.3457910937498161E-2</v>
          </cell>
        </row>
        <row r="146">
          <cell r="BN146" t="str">
            <v>750/1/4250</v>
          </cell>
          <cell r="BO146">
            <v>0.80495660850577777</v>
          </cell>
          <cell r="BP146">
            <v>0.79348459633489798</v>
          </cell>
          <cell r="BQ146">
            <v>0.80115700440419801</v>
          </cell>
          <cell r="BR146">
            <v>0.78977212094499039</v>
          </cell>
          <cell r="BS146">
            <v>0.79001516499576763</v>
          </cell>
          <cell r="BT146">
            <v>0.78175447138372967</v>
          </cell>
          <cell r="BU146">
            <v>0.94916150743428274</v>
          </cell>
          <cell r="BV146">
            <v>0.93671086024685812</v>
          </cell>
          <cell r="BY146" t="str">
            <v>750/0.8/3250</v>
          </cell>
          <cell r="BZ146">
            <v>2.3533861621854224E-2</v>
          </cell>
          <cell r="CA146">
            <v>2.3358133712307105E-2</v>
          </cell>
        </row>
        <row r="147">
          <cell r="BN147" t="str">
            <v>750/1/4500</v>
          </cell>
          <cell r="BO147">
            <v>0.8045802182979046</v>
          </cell>
          <cell r="BP147">
            <v>0.79275656820158247</v>
          </cell>
          <cell r="BQ147">
            <v>0.80063002079047685</v>
          </cell>
          <cell r="BR147">
            <v>0.78900640528976917</v>
          </cell>
          <cell r="BS147">
            <v>0.78940558106741854</v>
          </cell>
          <cell r="BT147">
            <v>0.78174958940370687</v>
          </cell>
          <cell r="BU147">
            <v>0.94834958185783957</v>
          </cell>
          <cell r="BV147">
            <v>0.93635935891642796</v>
          </cell>
          <cell r="BY147" t="str">
            <v>750/0.8/3500</v>
          </cell>
          <cell r="BZ147">
            <v>2.3423268146633314E-2</v>
          </cell>
          <cell r="CA147">
            <v>2.325835648711605E-2</v>
          </cell>
        </row>
        <row r="148">
          <cell r="BN148" t="str">
            <v>750/1/4750</v>
          </cell>
          <cell r="BO148">
            <v>0.80439006930633927</v>
          </cell>
          <cell r="BP148">
            <v>0.79230497276786216</v>
          </cell>
          <cell r="BQ148">
            <v>0.80037479149120649</v>
          </cell>
          <cell r="BR148">
            <v>0.78855522621844387</v>
          </cell>
          <cell r="BS148">
            <v>0.78905277681561237</v>
          </cell>
          <cell r="BT148">
            <v>0.78174714841369553</v>
          </cell>
          <cell r="BU148">
            <v>0.94754093992309651</v>
          </cell>
          <cell r="BV148">
            <v>0.93616011659670795</v>
          </cell>
          <cell r="BY148" t="str">
            <v>750/0.8/3750</v>
          </cell>
          <cell r="BZ148">
            <v>2.3342317961731918E-2</v>
          </cell>
          <cell r="CA148">
            <v>2.3175094204552438E-2</v>
          </cell>
        </row>
        <row r="149">
          <cell r="BN149" t="str">
            <v>750/1/5000</v>
          </cell>
          <cell r="BO149">
            <v>0.80419992031477383</v>
          </cell>
          <cell r="BP149">
            <v>0.79185337733414185</v>
          </cell>
          <cell r="BQ149">
            <v>0.80011956219193614</v>
          </cell>
          <cell r="BR149">
            <v>0.78810404714711868</v>
          </cell>
          <cell r="BS149">
            <v>0.78869997256380631</v>
          </cell>
          <cell r="BT149">
            <v>0.78174470742368407</v>
          </cell>
          <cell r="BU149">
            <v>0.94673229798835346</v>
          </cell>
          <cell r="BV149">
            <v>0.93596087427698793</v>
          </cell>
          <cell r="BY149" t="str">
            <v>750/0.8/4000</v>
          </cell>
          <cell r="BZ149">
            <v>2.3261367776830522E-2</v>
          </cell>
          <cell r="CA149">
            <v>2.3091831921988826E-2</v>
          </cell>
        </row>
        <row r="150">
          <cell r="BN150" t="str">
            <v>750/1/5250</v>
          </cell>
          <cell r="BO150">
            <v>0.80419880288027135</v>
          </cell>
          <cell r="BP150">
            <v>0.79163445803296451</v>
          </cell>
          <cell r="BQ150">
            <v>0.80010187599856941</v>
          </cell>
          <cell r="BR150">
            <v>0.78786098280721939</v>
          </cell>
          <cell r="BS150">
            <v>0.78858241429271381</v>
          </cell>
          <cell r="BT150">
            <v>0.78174470742368407</v>
          </cell>
          <cell r="BU150">
            <v>0.94662530128716238</v>
          </cell>
          <cell r="BV150">
            <v>0.93596087427698793</v>
          </cell>
          <cell r="BY150" t="str">
            <v>750/0.8/4250</v>
          </cell>
          <cell r="BZ150">
            <v>2.3180216726405689E-2</v>
          </cell>
          <cell r="CA150">
            <v>2.3017662107673642E-2</v>
          </cell>
        </row>
        <row r="151">
          <cell r="BN151" t="str">
            <v>750/1/5500</v>
          </cell>
          <cell r="BO151">
            <v>0.80419768544576886</v>
          </cell>
          <cell r="BP151">
            <v>0.79141553873178716</v>
          </cell>
          <cell r="BQ151">
            <v>0.80008418980520268</v>
          </cell>
          <cell r="BR151">
            <v>0.78761791846731999</v>
          </cell>
          <cell r="BS151">
            <v>0.7884648560216212</v>
          </cell>
          <cell r="BT151">
            <v>0.78174470742368407</v>
          </cell>
          <cell r="BU151">
            <v>0.9465183045859713</v>
          </cell>
          <cell r="BV151">
            <v>0.93596087427698793</v>
          </cell>
          <cell r="BY151" t="str">
            <v>750/0.8/4500</v>
          </cell>
          <cell r="BZ151">
            <v>2.3099065675980857E-2</v>
          </cell>
          <cell r="CA151">
            <v>2.2943492293358458E-2</v>
          </cell>
        </row>
        <row r="152">
          <cell r="BN152" t="str">
            <v>750/1/5750</v>
          </cell>
          <cell r="BO152">
            <v>0.80419768544576886</v>
          </cell>
          <cell r="BP152">
            <v>0.79125612228127484</v>
          </cell>
          <cell r="BQ152">
            <v>0.80007956316681395</v>
          </cell>
          <cell r="BR152">
            <v>0.78745850193574674</v>
          </cell>
          <cell r="BS152">
            <v>0.78837923219385297</v>
          </cell>
          <cell r="BT152">
            <v>0.78174470742368407</v>
          </cell>
          <cell r="BU152">
            <v>0.9465183045859713</v>
          </cell>
          <cell r="BV152">
            <v>0.93596087427698793</v>
          </cell>
          <cell r="BY152" t="str">
            <v>750/0.8/4750</v>
          </cell>
          <cell r="BZ152">
            <v>2.3041061400811857E-2</v>
          </cell>
          <cell r="CA152">
            <v>2.2882426464860051E-2</v>
          </cell>
        </row>
        <row r="153">
          <cell r="BN153" t="str">
            <v>750/1/6000</v>
          </cell>
          <cell r="BO153">
            <v>0.80419768544576886</v>
          </cell>
          <cell r="BP153">
            <v>0.79109670583076253</v>
          </cell>
          <cell r="BQ153">
            <v>0.80007493652842521</v>
          </cell>
          <cell r="BR153">
            <v>0.78729908540417337</v>
          </cell>
          <cell r="BS153">
            <v>0.78829360836608464</v>
          </cell>
          <cell r="BT153">
            <v>0.78174470742368407</v>
          </cell>
          <cell r="BU153">
            <v>0.9465183045859713</v>
          </cell>
          <cell r="BV153">
            <v>0.93596087427698793</v>
          </cell>
          <cell r="BY153" t="str">
            <v>750/0.8/5000</v>
          </cell>
          <cell r="BZ153">
            <v>2.2983057125642858E-2</v>
          </cell>
          <cell r="CA153">
            <v>2.2821360636361643E-2</v>
          </cell>
        </row>
        <row r="154">
          <cell r="BN154" t="str">
            <v>750/1/6250</v>
          </cell>
          <cell r="BO154">
            <v>0.80419768544576886</v>
          </cell>
          <cell r="BP154">
            <v>0.79093729194188811</v>
          </cell>
          <cell r="BQ154">
            <v>0.800074382161305</v>
          </cell>
          <cell r="BR154">
            <v>0.78713967142815866</v>
          </cell>
          <cell r="BS154">
            <v>0.78821878833139847</v>
          </cell>
          <cell r="BT154">
            <v>0.78174470742368407</v>
          </cell>
          <cell r="BU154">
            <v>0.9465183045859713</v>
          </cell>
          <cell r="BV154">
            <v>0.93596087427698793</v>
          </cell>
          <cell r="BY154" t="str">
            <v>750/0.8/5250</v>
          </cell>
          <cell r="BZ154">
            <v>2.2925439872861442E-2</v>
          </cell>
          <cell r="CA154">
            <v>2.2764241522670092E-2</v>
          </cell>
        </row>
        <row r="155">
          <cell r="BN155" t="str">
            <v>750/1/6350</v>
          </cell>
          <cell r="BO155">
            <v>0.80419768544576886</v>
          </cell>
          <cell r="BP155">
            <v>0.79087352686451085</v>
          </cell>
          <cell r="BQ155">
            <v>0.800074382161305</v>
          </cell>
          <cell r="BR155">
            <v>0.78707590631479041</v>
          </cell>
          <cell r="BS155">
            <v>0.78818877439299739</v>
          </cell>
          <cell r="BT155">
            <v>0.78174470742368407</v>
          </cell>
          <cell r="BU155">
            <v>0.9465183045859713</v>
          </cell>
          <cell r="BV155">
            <v>0.93596087427698793</v>
          </cell>
          <cell r="BY155" t="str">
            <v>750/0.8/5500</v>
          </cell>
          <cell r="BZ155">
            <v>2.2867822620080025E-2</v>
          </cell>
          <cell r="CA155">
            <v>2.2707122408978542E-2</v>
          </cell>
        </row>
        <row r="156">
          <cell r="BN156" t="str">
            <v>750/1/6600</v>
          </cell>
          <cell r="BO156">
            <v>0.80419768544576886</v>
          </cell>
          <cell r="BP156">
            <v>0.790761286729595</v>
          </cell>
          <cell r="BQ156">
            <v>0.800074382161305</v>
          </cell>
          <cell r="BR156">
            <v>0.78691649472396252</v>
          </cell>
          <cell r="BS156">
            <v>0.78814237093269812</v>
          </cell>
          <cell r="BT156">
            <v>0.78174470742368407</v>
          </cell>
          <cell r="BU156">
            <v>0.9465183045859713</v>
          </cell>
          <cell r="BV156">
            <v>0.93596087427698793</v>
          </cell>
          <cell r="BY156" t="str">
            <v>750/0.8/5750</v>
          </cell>
          <cell r="BZ156">
            <v>2.2819946733133256E-2</v>
          </cell>
          <cell r="CA156">
            <v>2.2661937581078262E-2</v>
          </cell>
        </row>
        <row r="157">
          <cell r="BN157" t="str">
            <v>750/1/6850</v>
          </cell>
          <cell r="BO157">
            <v>0.80419768544576886</v>
          </cell>
          <cell r="BP157">
            <v>0.79068748422714386</v>
          </cell>
          <cell r="BQ157">
            <v>0.800074382161305</v>
          </cell>
          <cell r="BR157">
            <v>0.78683500958322372</v>
          </cell>
          <cell r="BS157">
            <v>0.7881027612584478</v>
          </cell>
          <cell r="BT157">
            <v>0.78174470742368407</v>
          </cell>
          <cell r="BU157">
            <v>0.9465183045859713</v>
          </cell>
          <cell r="BV157">
            <v>0.93596087427698793</v>
          </cell>
          <cell r="BY157" t="str">
            <v>750/0.8/6000</v>
          </cell>
          <cell r="BZ157">
            <v>2.2772070846186487E-2</v>
          </cell>
          <cell r="CA157">
            <v>2.2616752753177982E-2</v>
          </cell>
        </row>
        <row r="158">
          <cell r="BN158" t="str">
            <v>750/1/7500</v>
          </cell>
          <cell r="BO158">
            <v>0.80419768544576886</v>
          </cell>
          <cell r="BP158">
            <v>0.79049575954883544</v>
          </cell>
          <cell r="BQ158">
            <v>0.800074382161305</v>
          </cell>
          <cell r="BR158">
            <v>0.78664328027547226</v>
          </cell>
          <cell r="BS158">
            <v>0.78800071662894455</v>
          </cell>
          <cell r="BT158">
            <v>0.78174470742368407</v>
          </cell>
          <cell r="BU158">
            <v>0.9465183045859713</v>
          </cell>
          <cell r="BV158">
            <v>0.93596087427698793</v>
          </cell>
          <cell r="BY158" t="str">
            <v>750/0.8/6250</v>
          </cell>
          <cell r="BZ158">
            <v>2.2728528208069587E-2</v>
          </cell>
          <cell r="CA158">
            <v>2.2571180580527095E-2</v>
          </cell>
        </row>
        <row r="159">
          <cell r="BN159" t="str">
            <v>750/1/10000</v>
          </cell>
          <cell r="BO159">
            <v>0.80419768544576886</v>
          </cell>
          <cell r="BP159">
            <v>0.79013835679189059</v>
          </cell>
          <cell r="BQ159">
            <v>0.800074382161305</v>
          </cell>
          <cell r="BR159">
            <v>0.78623244990545615</v>
          </cell>
          <cell r="BS159">
            <v>0.78778698614827303</v>
          </cell>
          <cell r="BT159">
            <v>0.78174470742368407</v>
          </cell>
          <cell r="BU159">
            <v>0.9465183045859713</v>
          </cell>
          <cell r="BV159">
            <v>0.93596087427698793</v>
          </cell>
          <cell r="BY159" t="str">
            <v>750/0.8/6350</v>
          </cell>
          <cell r="BZ159">
            <v>2.2711106636829292E-2</v>
          </cell>
          <cell r="CA159">
            <v>2.2552841820800085E-2</v>
          </cell>
        </row>
        <row r="160">
          <cell r="BN160" t="str">
            <v>750/1/99999</v>
          </cell>
          <cell r="BO160">
            <v>0.80419768544576886</v>
          </cell>
          <cell r="BP160">
            <v>0.78960913226098595</v>
          </cell>
          <cell r="BQ160">
            <v>0.800074382161305</v>
          </cell>
          <cell r="BR160">
            <v>0.78563658500584554</v>
          </cell>
          <cell r="BS160">
            <v>0.78746157352509361</v>
          </cell>
          <cell r="BT160">
            <v>0.78174470742368407</v>
          </cell>
          <cell r="BU160">
            <v>0.9465183045859713</v>
          </cell>
          <cell r="BV160">
            <v>0.93596087427698793</v>
          </cell>
          <cell r="BY160" t="str">
            <v>750/0.8/6600</v>
          </cell>
          <cell r="BZ160">
            <v>2.2667541418744719E-2</v>
          </cell>
          <cell r="CA160">
            <v>2.2507365916674349E-2</v>
          </cell>
        </row>
        <row r="161">
          <cell r="BY161" t="str">
            <v>750/0.8/6850</v>
          </cell>
          <cell r="BZ161">
            <v>2.2625018193472402E-2</v>
          </cell>
          <cell r="CA161">
            <v>2.2470955963368899E-2</v>
          </cell>
        </row>
        <row r="162">
          <cell r="BN162" t="str">
            <v>1000/1/1000</v>
          </cell>
          <cell r="BT162">
            <v>0.80783538489823326</v>
          </cell>
          <cell r="BU162">
            <v>1.0010422997978707</v>
          </cell>
          <cell r="BV162">
            <v>0.9841854801076948</v>
          </cell>
          <cell r="BY162" t="str">
            <v>750/0.8/7500</v>
          </cell>
          <cell r="BZ162">
            <v>2.2534605057869861E-2</v>
          </cell>
          <cell r="CA162">
            <v>2.2376995692376722E-2</v>
          </cell>
        </row>
        <row r="163">
          <cell r="BN163" t="str">
            <v>1000/1/1250</v>
          </cell>
          <cell r="BO163">
            <v>0.86609123072991712</v>
          </cell>
          <cell r="BP163">
            <v>0.87192535863415099</v>
          </cell>
          <cell r="BQ163">
            <v>0.87561440566059179</v>
          </cell>
          <cell r="BR163">
            <v>0.8666103794997988</v>
          </cell>
          <cell r="BS163">
            <v>0.86000433928131736</v>
          </cell>
          <cell r="BT163">
            <v>0.76581362677025822</v>
          </cell>
          <cell r="BU163">
            <v>0.95702059139426432</v>
          </cell>
          <cell r="BV163">
            <v>0.93800757748608388</v>
          </cell>
          <cell r="BY163" t="str">
            <v>750/0.8/8000</v>
          </cell>
          <cell r="BZ163">
            <v>2.2464997332937164E-2</v>
          </cell>
          <cell r="CA163">
            <v>2.2311774433831921E-2</v>
          </cell>
        </row>
        <row r="164">
          <cell r="BN164" t="str">
            <v>1000/1/1500</v>
          </cell>
          <cell r="BO164">
            <v>0.83606029503708101</v>
          </cell>
          <cell r="BP164">
            <v>0.84243116021582798</v>
          </cell>
          <cell r="BQ164">
            <v>0.84490362863683199</v>
          </cell>
          <cell r="BR164">
            <v>0.83623585893501373</v>
          </cell>
          <cell r="BS164">
            <v>0.82974315502126028</v>
          </cell>
          <cell r="BT164">
            <v>0.74901779376873145</v>
          </cell>
          <cell r="BU164">
            <v>0.93515359451797264</v>
          </cell>
          <cell r="BV164">
            <v>0.91841595208351712</v>
          </cell>
          <cell r="BY164" t="str">
            <v>750/0.8/9000</v>
          </cell>
          <cell r="BZ164">
            <v>2.2347171452466119E-2</v>
          </cell>
          <cell r="CA164">
            <v>2.2200851212000883E-2</v>
          </cell>
        </row>
        <row r="165">
          <cell r="BN165" t="str">
            <v>1000/1/1750</v>
          </cell>
          <cell r="BO165">
            <v>0.81879795459743643</v>
          </cell>
          <cell r="BP165">
            <v>0.82161467150788869</v>
          </cell>
          <cell r="BQ165">
            <v>0.82427375296059791</v>
          </cell>
          <cell r="BR165">
            <v>0.81566914117432177</v>
          </cell>
          <cell r="BS165">
            <v>0.81043282098632585</v>
          </cell>
          <cell r="BT165">
            <v>0.7461292031509168</v>
          </cell>
          <cell r="BU165">
            <v>0.92603292417430128</v>
          </cell>
          <cell r="BV165">
            <v>0.91089398615817307</v>
          </cell>
          <cell r="BY165" t="str">
            <v>750/0.8/10000</v>
          </cell>
          <cell r="BZ165">
            <v>2.2249519603354528E-2</v>
          </cell>
          <cell r="CA165">
            <v>2.2118712244637573E-2</v>
          </cell>
        </row>
        <row r="166">
          <cell r="BN166" t="str">
            <v>1000/1/2000</v>
          </cell>
          <cell r="BO166">
            <v>0.80153561415779173</v>
          </cell>
          <cell r="BP166">
            <v>0.8007981827999493</v>
          </cell>
          <cell r="BQ166">
            <v>0.80364387728436382</v>
          </cell>
          <cell r="BR166">
            <v>0.79510242341362969</v>
          </cell>
          <cell r="BS166">
            <v>0.79112248695139153</v>
          </cell>
          <cell r="BT166">
            <v>0.74324061253310214</v>
          </cell>
          <cell r="BU166">
            <v>0.91691225383063002</v>
          </cell>
          <cell r="BV166">
            <v>0.90337202023282892</v>
          </cell>
          <cell r="BY166" t="str">
            <v>750/0.8/99999</v>
          </cell>
          <cell r="BZ166">
            <v>2.0931595581537232E-2</v>
          </cell>
          <cell r="CA166">
            <v>2.108111934727197E-2</v>
          </cell>
        </row>
        <row r="167">
          <cell r="BN167" t="str">
            <v>1000/1/2250</v>
          </cell>
          <cell r="BO167">
            <v>0.79762739968932939</v>
          </cell>
          <cell r="BP167">
            <v>0.79500811404682947</v>
          </cell>
          <cell r="BQ167">
            <v>0.7988877401507497</v>
          </cell>
          <cell r="BR167">
            <v>0.78929017469638885</v>
          </cell>
          <cell r="BS167">
            <v>0.78572406015224383</v>
          </cell>
          <cell r="BT167">
            <v>0.74205385857130635</v>
          </cell>
          <cell r="BU167">
            <v>0.91326316609577773</v>
          </cell>
          <cell r="BV167">
            <v>0.90062097953929376</v>
          </cell>
          <cell r="BY167" t="str">
            <v>1000/0.8/1000</v>
          </cell>
          <cell r="BZ167">
            <v>2.5085541914571019E-2</v>
          </cell>
          <cell r="CA167">
            <v>2.5060374216841597E-2</v>
          </cell>
        </row>
        <row r="168">
          <cell r="BN168" t="str">
            <v>1000/1/2500</v>
          </cell>
          <cell r="BO168">
            <v>0.79418257933901393</v>
          </cell>
          <cell r="BP168">
            <v>0.79008280141234599</v>
          </cell>
          <cell r="BQ168">
            <v>0.79483216879437102</v>
          </cell>
          <cell r="BR168">
            <v>0.78431997273705645</v>
          </cell>
          <cell r="BS168">
            <v>0.78119591312264525</v>
          </cell>
          <cell r="BT168">
            <v>0.74086710460951011</v>
          </cell>
          <cell r="BU168">
            <v>0.91121731630862524</v>
          </cell>
          <cell r="BV168">
            <v>0.89917508242094235</v>
          </cell>
          <cell r="BY168" t="str">
            <v>1000/0.8/1250</v>
          </cell>
          <cell r="BZ168">
            <v>2.4683716230476493E-2</v>
          </cell>
          <cell r="CA168">
            <v>2.4545880817760102E-2</v>
          </cell>
        </row>
        <row r="169">
          <cell r="BN169" t="str">
            <v>1000/1/2750</v>
          </cell>
          <cell r="BO169">
            <v>0.79193467963631203</v>
          </cell>
          <cell r="BP169">
            <v>0.78674899083852567</v>
          </cell>
          <cell r="BQ169">
            <v>0.79232751102206611</v>
          </cell>
          <cell r="BR169">
            <v>0.780938788022706</v>
          </cell>
          <cell r="BS169">
            <v>0.77811942322059413</v>
          </cell>
          <cell r="BT169">
            <v>0.74047956870782161</v>
          </cell>
          <cell r="BU169">
            <v>0.9101459227986638</v>
          </cell>
          <cell r="BV169">
            <v>0.89817563461572447</v>
          </cell>
          <cell r="BY169" t="str">
            <v>1000/0.8/1500</v>
          </cell>
          <cell r="BZ169">
            <v>2.4366766631296333E-2</v>
          </cell>
          <cell r="CA169">
            <v>2.4188781007651761E-2</v>
          </cell>
        </row>
        <row r="170">
          <cell r="BN170" t="str">
            <v>1000/1/3000</v>
          </cell>
          <cell r="BO170">
            <v>0.78984744891047021</v>
          </cell>
          <cell r="BP170">
            <v>0.78371558738622926</v>
          </cell>
          <cell r="BQ170">
            <v>0.78995557441758435</v>
          </cell>
          <cell r="BR170">
            <v>0.77791154597405809</v>
          </cell>
          <cell r="BS170">
            <v>0.77530640434212128</v>
          </cell>
          <cell r="BT170">
            <v>0.74009203280613323</v>
          </cell>
          <cell r="BU170">
            <v>0.90939399364700624</v>
          </cell>
          <cell r="BV170">
            <v>0.89729701712550858</v>
          </cell>
          <cell r="BY170" t="str">
            <v>1000/0.8/1750</v>
          </cell>
          <cell r="BZ170">
            <v>2.4135352711243452E-2</v>
          </cell>
          <cell r="CA170">
            <v>2.3931219831878958E-2</v>
          </cell>
        </row>
        <row r="171">
          <cell r="BN171" t="str">
            <v>1000/1/3250</v>
          </cell>
          <cell r="BO171">
            <v>0.78852474457717903</v>
          </cell>
          <cell r="BP171">
            <v>0.7818125964364866</v>
          </cell>
          <cell r="BQ171">
            <v>0.78842991758672776</v>
          </cell>
          <cell r="BR171">
            <v>0.77596077951919795</v>
          </cell>
          <cell r="BS171">
            <v>0.77358106317663178</v>
          </cell>
          <cell r="BT171">
            <v>0.74002309745935824</v>
          </cell>
          <cell r="BU171">
            <v>0.90874002863812509</v>
          </cell>
          <cell r="BV171">
            <v>0.89645003357696362</v>
          </cell>
          <cell r="BY171" t="str">
            <v>1000/0.8/2000</v>
          </cell>
          <cell r="BZ171">
            <v>2.3903938791190571E-2</v>
          </cell>
          <cell r="CA171">
            <v>2.3673658656106156E-2</v>
          </cell>
        </row>
        <row r="172">
          <cell r="BN172" t="str">
            <v>1000/1/3500</v>
          </cell>
          <cell r="BO172">
            <v>0.78720204024388774</v>
          </cell>
          <cell r="BP172">
            <v>0.77990960548674393</v>
          </cell>
          <cell r="BQ172">
            <v>0.78690426075587117</v>
          </cell>
          <cell r="BR172">
            <v>0.77401001306433781</v>
          </cell>
          <cell r="BS172">
            <v>0.77185572201114216</v>
          </cell>
          <cell r="BT172">
            <v>0.73995416211258336</v>
          </cell>
          <cell r="BU172">
            <v>0.90808606362924404</v>
          </cell>
          <cell r="BV172">
            <v>0.89560305002841856</v>
          </cell>
          <cell r="BY172" t="str">
            <v>1000/0.8/2250</v>
          </cell>
          <cell r="BZ172">
            <v>2.3722185803855433E-2</v>
          </cell>
          <cell r="CA172">
            <v>2.3468112046586498E-2</v>
          </cell>
        </row>
        <row r="173">
          <cell r="BN173" t="str">
            <v>1000/1/3750</v>
          </cell>
          <cell r="BO173">
            <v>0.7864244292740632</v>
          </cell>
          <cell r="BP173">
            <v>0.77867006011815731</v>
          </cell>
          <cell r="BQ173">
            <v>0.78597053513435799</v>
          </cell>
          <cell r="BR173">
            <v>0.77273481747854589</v>
          </cell>
          <cell r="BS173">
            <v>0.77075689242472345</v>
          </cell>
          <cell r="BT173">
            <v>0.73993126859043845</v>
          </cell>
          <cell r="BU173">
            <v>0.90744322861374616</v>
          </cell>
          <cell r="BV173">
            <v>0.89477380506349768</v>
          </cell>
          <cell r="BY173" t="str">
            <v>1000/0.8/2500</v>
          </cell>
          <cell r="BZ173">
            <v>2.3563634410255441E-2</v>
          </cell>
          <cell r="CA173">
            <v>2.3284219126557204E-2</v>
          </cell>
        </row>
        <row r="174">
          <cell r="BN174" t="str">
            <v>1000/1/4000</v>
          </cell>
          <cell r="BO174">
            <v>0.78564681830423855</v>
          </cell>
          <cell r="BP174">
            <v>0.77743051474957059</v>
          </cell>
          <cell r="BQ174">
            <v>0.78503680951284471</v>
          </cell>
          <cell r="BR174">
            <v>0.77145962189275397</v>
          </cell>
          <cell r="BS174">
            <v>0.76965806283830462</v>
          </cell>
          <cell r="BT174">
            <v>0.73990837506829354</v>
          </cell>
          <cell r="BU174">
            <v>0.90680039359824816</v>
          </cell>
          <cell r="BV174">
            <v>0.8939445600985767</v>
          </cell>
          <cell r="BY174" t="str">
            <v>1000/0.8/2750</v>
          </cell>
          <cell r="BZ174">
            <v>2.3421162214871893E-2</v>
          </cell>
          <cell r="CA174">
            <v>2.313231203382049E-2</v>
          </cell>
        </row>
        <row r="175">
          <cell r="BN175" t="str">
            <v>1000/1/4250</v>
          </cell>
          <cell r="BO175">
            <v>0.78525964470831555</v>
          </cell>
          <cell r="BP175">
            <v>0.7765927516203126</v>
          </cell>
          <cell r="BQ175">
            <v>0.78446056773043571</v>
          </cell>
          <cell r="BR175">
            <v>0.77059805268601145</v>
          </cell>
          <cell r="BS175">
            <v>0.76897897001162585</v>
          </cell>
          <cell r="BT175">
            <v>0.73990361706733732</v>
          </cell>
          <cell r="BU175">
            <v>0.90616048795163273</v>
          </cell>
          <cell r="BV175">
            <v>0.89365527783115417</v>
          </cell>
          <cell r="BY175" t="str">
            <v>1000/0.8/3000</v>
          </cell>
          <cell r="BZ175">
            <v>2.3292531363206415E-2</v>
          </cell>
          <cell r="CA175">
            <v>2.2998237462214188E-2</v>
          </cell>
        </row>
        <row r="176">
          <cell r="BN176" t="str">
            <v>1000/1/4500</v>
          </cell>
          <cell r="BO176">
            <v>0.78487247111239256</v>
          </cell>
          <cell r="BP176">
            <v>0.77575498849105462</v>
          </cell>
          <cell r="BQ176">
            <v>0.78388432594802682</v>
          </cell>
          <cell r="BR176">
            <v>0.76973648347926893</v>
          </cell>
          <cell r="BS176">
            <v>0.76829987718494708</v>
          </cell>
          <cell r="BT176">
            <v>0.73989885906638109</v>
          </cell>
          <cell r="BU176">
            <v>0.90552058230501731</v>
          </cell>
          <cell r="BV176">
            <v>0.89336599556373164</v>
          </cell>
          <cell r="BY176" t="str">
            <v>1000/0.8/3250</v>
          </cell>
          <cell r="BZ176">
            <v>2.3169738172564958E-2</v>
          </cell>
          <cell r="CA176">
            <v>2.2882011836518834E-2</v>
          </cell>
        </row>
        <row r="177">
          <cell r="BN177" t="str">
            <v>1000/1/4750</v>
          </cell>
          <cell r="BO177">
            <v>0.78450125721985664</v>
          </cell>
          <cell r="BP177">
            <v>0.77512303966751295</v>
          </cell>
          <cell r="BQ177">
            <v>0.78339327344387311</v>
          </cell>
          <cell r="BR177">
            <v>0.76908180491620282</v>
          </cell>
          <cell r="BS177">
            <v>0.76773641920528202</v>
          </cell>
          <cell r="BT177">
            <v>0.73989410106542475</v>
          </cell>
          <cell r="BU177">
            <v>0.90488317233597204</v>
          </cell>
          <cell r="BV177">
            <v>0.89306592572844989</v>
          </cell>
          <cell r="BY177" t="str">
            <v>1000/0.8/3500</v>
          </cell>
          <cell r="BZ177">
            <v>2.3046944981923501E-2</v>
          </cell>
          <cell r="CA177">
            <v>2.276578621082348E-2</v>
          </cell>
        </row>
        <row r="178">
          <cell r="BN178" t="str">
            <v>1000/1/5000</v>
          </cell>
          <cell r="BO178">
            <v>0.78413004332732072</v>
          </cell>
          <cell r="BP178">
            <v>0.77449109084397127</v>
          </cell>
          <cell r="BQ178">
            <v>0.7829022209397194</v>
          </cell>
          <cell r="BR178">
            <v>0.7684271263531367</v>
          </cell>
          <cell r="BS178">
            <v>0.76717296122561685</v>
          </cell>
          <cell r="BT178">
            <v>0.73988934306446841</v>
          </cell>
          <cell r="BU178">
            <v>0.90424576236692689</v>
          </cell>
          <cell r="BV178">
            <v>0.89276585589316815</v>
          </cell>
          <cell r="BY178" t="str">
            <v>1000/0.8/3750</v>
          </cell>
          <cell r="BZ178">
            <v>2.2961401705916429E-2</v>
          </cell>
          <cell r="CA178">
            <v>2.2676664196542129E-2</v>
          </cell>
        </row>
        <row r="179">
          <cell r="BN179" t="str">
            <v>1000/1/5250</v>
          </cell>
          <cell r="BO179">
            <v>0.78412669787992573</v>
          </cell>
          <cell r="BP179">
            <v>0.77422370942426233</v>
          </cell>
          <cell r="BQ179">
            <v>0.78286633141330098</v>
          </cell>
          <cell r="BR179">
            <v>0.76815974404186427</v>
          </cell>
          <cell r="BS179">
            <v>0.76703212181208114</v>
          </cell>
          <cell r="BT179">
            <v>0.73988934306446841</v>
          </cell>
          <cell r="BU179">
            <v>0.90387493020885212</v>
          </cell>
          <cell r="BV179">
            <v>0.89273298227355591</v>
          </cell>
          <cell r="BY179" t="str">
            <v>1000/0.8/4000</v>
          </cell>
          <cell r="BZ179">
            <v>2.2875858429909357E-2</v>
          </cell>
          <cell r="CA179">
            <v>2.2587542182260778E-2</v>
          </cell>
        </row>
        <row r="180">
          <cell r="BN180" t="str">
            <v>1000/1/5500</v>
          </cell>
          <cell r="BO180">
            <v>0.78412335243253073</v>
          </cell>
          <cell r="BP180">
            <v>0.77395632800455327</v>
          </cell>
          <cell r="BQ180">
            <v>0.78283044188688256</v>
          </cell>
          <cell r="BR180">
            <v>0.76789236173059183</v>
          </cell>
          <cell r="BS180">
            <v>0.76689128239854543</v>
          </cell>
          <cell r="BT180">
            <v>0.73988934306446841</v>
          </cell>
          <cell r="BU180">
            <v>0.90350409805077736</v>
          </cell>
          <cell r="BV180">
            <v>0.89270010865394367</v>
          </cell>
          <cell r="BY180" t="str">
            <v>1000/0.8/4250</v>
          </cell>
          <cell r="BZ180">
            <v>2.2794716055477116E-2</v>
          </cell>
          <cell r="CA180">
            <v>2.251105676204268E-2</v>
          </cell>
        </row>
        <row r="181">
          <cell r="BN181" t="str">
            <v>1000/1/5750</v>
          </cell>
          <cell r="BO181">
            <v>0.78412335243253073</v>
          </cell>
          <cell r="BP181">
            <v>0.77379260274015538</v>
          </cell>
          <cell r="BQ181">
            <v>0.7828258151880001</v>
          </cell>
          <cell r="BR181">
            <v>0.76769769412040501</v>
          </cell>
          <cell r="BS181">
            <v>0.76678420572612682</v>
          </cell>
          <cell r="BT181">
            <v>0.73988934306446841</v>
          </cell>
          <cell r="BU181">
            <v>0.90350409805077736</v>
          </cell>
          <cell r="BV181">
            <v>0.89270010865394367</v>
          </cell>
          <cell r="BY181" t="str">
            <v>1000/0.8/4500</v>
          </cell>
          <cell r="BZ181">
            <v>2.2713573681044874E-2</v>
          </cell>
          <cell r="CA181">
            <v>2.2434571341824583E-2</v>
          </cell>
        </row>
        <row r="182">
          <cell r="BN182" t="str">
            <v>1000/1/6000</v>
          </cell>
          <cell r="BO182">
            <v>0.78412335243253073</v>
          </cell>
          <cell r="BP182">
            <v>0.77362887747575748</v>
          </cell>
          <cell r="BQ182">
            <v>0.78282118848911753</v>
          </cell>
          <cell r="BR182">
            <v>0.76750302651021818</v>
          </cell>
          <cell r="BS182">
            <v>0.76667712905370822</v>
          </cell>
          <cell r="BT182">
            <v>0.73988934306446841</v>
          </cell>
          <cell r="BU182">
            <v>0.90350409805077736</v>
          </cell>
          <cell r="BV182">
            <v>0.89270010865394367</v>
          </cell>
          <cell r="BY182" t="str">
            <v>1000/0.8/4750</v>
          </cell>
          <cell r="BZ182">
            <v>2.2645961030984929E-2</v>
          </cell>
          <cell r="CA182">
            <v>2.2370121978538604E-2</v>
          </cell>
        </row>
        <row r="183">
          <cell r="BN183" t="str">
            <v>1000/1/6250</v>
          </cell>
          <cell r="BO183">
            <v>0.78412335243253073</v>
          </cell>
          <cell r="BP183">
            <v>0.7734694616113631</v>
          </cell>
          <cell r="BQ183">
            <v>0.7828165618689944</v>
          </cell>
          <cell r="BR183">
            <v>0.7673436105130107</v>
          </cell>
          <cell r="BS183">
            <v>0.76660265572043151</v>
          </cell>
          <cell r="BT183">
            <v>0.73988934306446841</v>
          </cell>
          <cell r="BU183">
            <v>0.90350409805077736</v>
          </cell>
          <cell r="BV183">
            <v>0.89270010865394367</v>
          </cell>
          <cell r="BY183" t="str">
            <v>1000/0.8/5000</v>
          </cell>
          <cell r="BZ183">
            <v>2.2578348380924984E-2</v>
          </cell>
          <cell r="CA183">
            <v>2.2305672615252625E-2</v>
          </cell>
        </row>
        <row r="184">
          <cell r="BN184" t="str">
            <v>1000/1/6350</v>
          </cell>
          <cell r="BO184">
            <v>0.78412335243253073</v>
          </cell>
          <cell r="BP184">
            <v>0.77340569573874363</v>
          </cell>
          <cell r="BQ184">
            <v>0.78281622889040126</v>
          </cell>
          <cell r="BR184">
            <v>0.76727984458545284</v>
          </cell>
          <cell r="BS184">
            <v>0.76657278125498429</v>
          </cell>
          <cell r="BT184">
            <v>0.73988934306446841</v>
          </cell>
          <cell r="BU184">
            <v>0.90350409805077736</v>
          </cell>
          <cell r="BV184">
            <v>0.89270010865394367</v>
          </cell>
          <cell r="BY184" t="str">
            <v>1000/0.8/5250</v>
          </cell>
          <cell r="BZ184">
            <v>2.2520655298411518E-2</v>
          </cell>
          <cell r="CA184">
            <v>2.2243990603986963E-2</v>
          </cell>
        </row>
        <row r="185">
          <cell r="BN185" t="str">
            <v>1000/1/6600</v>
          </cell>
          <cell r="BO185">
            <v>0.78412335243253073</v>
          </cell>
          <cell r="BP185">
            <v>0.77324628224004233</v>
          </cell>
          <cell r="BQ185">
            <v>0.78281622889040126</v>
          </cell>
          <cell r="BR185">
            <v>0.76712043094486837</v>
          </cell>
          <cell r="BS185">
            <v>0.76649788226102578</v>
          </cell>
          <cell r="BT185">
            <v>0.73988934306446841</v>
          </cell>
          <cell r="BU185">
            <v>0.90350409805077736</v>
          </cell>
          <cell r="BV185">
            <v>0.89270010865394367</v>
          </cell>
          <cell r="BY185" t="str">
            <v>1000/0.8/5500</v>
          </cell>
          <cell r="BZ185">
            <v>2.2462962215898052E-2</v>
          </cell>
          <cell r="CA185">
            <v>2.21823085927213E-2</v>
          </cell>
        </row>
        <row r="186">
          <cell r="BN186" t="str">
            <v>1000/1/6850</v>
          </cell>
          <cell r="BO186">
            <v>0.78412335243253073</v>
          </cell>
          <cell r="BP186">
            <v>0.77313657585734297</v>
          </cell>
          <cell r="BQ186">
            <v>0.78281622889040126</v>
          </cell>
          <cell r="BR186">
            <v>0.7669610189875864</v>
          </cell>
          <cell r="BS186">
            <v>0.76644577235259037</v>
          </cell>
          <cell r="BT186">
            <v>0.73988934306446841</v>
          </cell>
          <cell r="BU186">
            <v>0.90350409805077736</v>
          </cell>
          <cell r="BV186">
            <v>0.89270010865394367</v>
          </cell>
          <cell r="BY186" t="str">
            <v>1000/0.8/5750</v>
          </cell>
          <cell r="BZ186">
            <v>2.2409333602486647E-2</v>
          </cell>
          <cell r="CA186">
            <v>2.2135417220188969E-2</v>
          </cell>
        </row>
        <row r="187">
          <cell r="BN187" t="str">
            <v>1000/1/7500</v>
          </cell>
          <cell r="BO187">
            <v>0.78412335243253073</v>
          </cell>
          <cell r="BP187">
            <v>0.77294468742935551</v>
          </cell>
          <cell r="BQ187">
            <v>0.78281622889040126</v>
          </cell>
          <cell r="BR187">
            <v>0.76674849121653266</v>
          </cell>
          <cell r="BS187">
            <v>0.76634263192196983</v>
          </cell>
          <cell r="BT187">
            <v>0.73988934306446841</v>
          </cell>
          <cell r="BU187">
            <v>0.90350409805077736</v>
          </cell>
          <cell r="BV187">
            <v>0.89270010865394367</v>
          </cell>
          <cell r="BY187" t="str">
            <v>1000/0.8/6000</v>
          </cell>
          <cell r="BZ187">
            <v>2.2355704989075242E-2</v>
          </cell>
          <cell r="CA187">
            <v>2.2088525847656637E-2</v>
          </cell>
        </row>
        <row r="188">
          <cell r="BN188" t="str">
            <v>1000/1/10000</v>
          </cell>
          <cell r="BO188">
            <v>0.78412335243253073</v>
          </cell>
          <cell r="BP188">
            <v>0.77253851035914778</v>
          </cell>
          <cell r="BQ188">
            <v>0.78281622889040126</v>
          </cell>
          <cell r="BR188">
            <v>0.76627385325374964</v>
          </cell>
          <cell r="BS188">
            <v>0.76609297253399289</v>
          </cell>
          <cell r="BT188">
            <v>0.73988934306446841</v>
          </cell>
          <cell r="BU188">
            <v>0.90350409805077736</v>
          </cell>
          <cell r="BV188">
            <v>0.89270010865394367</v>
          </cell>
          <cell r="BY188" t="str">
            <v>1000/0.8/6250</v>
          </cell>
          <cell r="BZ188">
            <v>2.2312175005192225E-2</v>
          </cell>
          <cell r="CA188">
            <v>2.2043273945791197E-2</v>
          </cell>
        </row>
        <row r="189">
          <cell r="BN189" t="str">
            <v>1000/1/99999</v>
          </cell>
          <cell r="BO189">
            <v>0.78412335243253073</v>
          </cell>
          <cell r="BP189">
            <v>0.77198837587078373</v>
          </cell>
          <cell r="BQ189">
            <v>0.78281622889040126</v>
          </cell>
          <cell r="BR189">
            <v>0.76563840777230951</v>
          </cell>
          <cell r="BS189">
            <v>0.76574721410174507</v>
          </cell>
          <cell r="BT189">
            <v>0.73988934306446841</v>
          </cell>
          <cell r="BU189">
            <v>0.90350409805077736</v>
          </cell>
          <cell r="BV189">
            <v>0.89270010865394367</v>
          </cell>
          <cell r="BY189" t="str">
            <v>1000/0.8/6350</v>
          </cell>
          <cell r="BZ189">
            <v>2.2294758489912692E-2</v>
          </cell>
          <cell r="CA189">
            <v>2.2025063294378144E-2</v>
          </cell>
        </row>
        <row r="190">
          <cell r="BY190" t="str">
            <v>1000/0.8/6600</v>
          </cell>
          <cell r="BZ190">
            <v>2.2251205897398041E-2</v>
          </cell>
          <cell r="CA190">
            <v>2.1979261939179429E-2</v>
          </cell>
        </row>
        <row r="191">
          <cell r="BN191" t="str">
            <v>1250/1/1250</v>
          </cell>
          <cell r="BT191">
            <v>0.75642992843893175</v>
          </cell>
          <cell r="BU191">
            <v>0.95232773910024404</v>
          </cell>
          <cell r="BV191">
            <v>0.93404563771385851</v>
          </cell>
          <cell r="BY191" t="str">
            <v>1000/0.8/6850</v>
          </cell>
          <cell r="BZ191">
            <v>2.2207637155860382E-2</v>
          </cell>
          <cell r="CA191">
            <v>2.1935447164277422E-2</v>
          </cell>
        </row>
        <row r="192">
          <cell r="BN192" t="str">
            <v>1250/1/1500</v>
          </cell>
          <cell r="BO192">
            <v>0.83463972841220779</v>
          </cell>
          <cell r="BP192">
            <v>0.8428582372350284</v>
          </cell>
          <cell r="BQ192">
            <v>0.84616290625215096</v>
          </cell>
          <cell r="BR192">
            <v>0.83525358136639416</v>
          </cell>
          <cell r="BS192">
            <v>0.82688909016103684</v>
          </cell>
          <cell r="BT192">
            <v>0.72720630495920757</v>
          </cell>
          <cell r="BU192">
            <v>0.91690134429152415</v>
          </cell>
          <cell r="BV192">
            <v>0.8994477607170307</v>
          </cell>
          <cell r="BY192" t="str">
            <v>1000/0.8/7500</v>
          </cell>
          <cell r="BZ192">
            <v>2.2110975068570404E-2</v>
          </cell>
          <cell r="CA192">
            <v>2.1842125224426745E-2</v>
          </cell>
        </row>
        <row r="193">
          <cell r="BN193" t="str">
            <v>1250/1/1750</v>
          </cell>
          <cell r="BO193">
            <v>0.81513978585134506</v>
          </cell>
          <cell r="BP193">
            <v>0.82169373917497068</v>
          </cell>
          <cell r="BQ193">
            <v>0.8239511119576014</v>
          </cell>
          <cell r="BR193">
            <v>0.81369267606368056</v>
          </cell>
          <cell r="BS193">
            <v>0.80607617076232374</v>
          </cell>
          <cell r="BT193">
            <v>0.72016434539589746</v>
          </cell>
          <cell r="BU193">
            <v>0.90368975403401097</v>
          </cell>
          <cell r="BV193">
            <v>0.88620430137428441</v>
          </cell>
          <cell r="BY193" t="str">
            <v>1000/0.8/8000</v>
          </cell>
          <cell r="BZ193">
            <v>2.2041387312005334E-2</v>
          </cell>
          <cell r="CA193">
            <v>2.1773399365901946E-2</v>
          </cell>
        </row>
        <row r="194">
          <cell r="BN194" t="str">
            <v>1250/1/2000</v>
          </cell>
          <cell r="BO194">
            <v>0.79563984329048232</v>
          </cell>
          <cell r="BP194">
            <v>0.80052924111491297</v>
          </cell>
          <cell r="BQ194">
            <v>0.80173931766305184</v>
          </cell>
          <cell r="BR194">
            <v>0.79213177076096697</v>
          </cell>
          <cell r="BS194">
            <v>0.78526325136361064</v>
          </cell>
          <cell r="BT194">
            <v>0.71312238583258725</v>
          </cell>
          <cell r="BU194">
            <v>0.89047816377649791</v>
          </cell>
          <cell r="BV194">
            <v>0.87296084203153801</v>
          </cell>
          <cell r="BY194" t="str">
            <v>1000/0.8/9000</v>
          </cell>
          <cell r="BZ194">
            <v>2.191483656462534E-2</v>
          </cell>
          <cell r="CA194">
            <v>2.165470395651159E-2</v>
          </cell>
        </row>
        <row r="195">
          <cell r="BN195" t="str">
            <v>1250/1/2250</v>
          </cell>
          <cell r="BO195">
            <v>0.7828512708603389</v>
          </cell>
          <cell r="BP195">
            <v>0.78498031497521514</v>
          </cell>
          <cell r="BQ195">
            <v>0.78753464348223368</v>
          </cell>
          <cell r="BR195">
            <v>0.77667504975852708</v>
          </cell>
          <cell r="BS195">
            <v>0.7706510850104672</v>
          </cell>
          <cell r="BT195">
            <v>0.71116463368778982</v>
          </cell>
          <cell r="BU195">
            <v>0.88467631785926415</v>
          </cell>
          <cell r="BV195">
            <v>0.86787006864444416</v>
          </cell>
          <cell r="BY195" t="str">
            <v>1000/0.8/10000</v>
          </cell>
          <cell r="BZ195">
            <v>2.1817212336803227E-2</v>
          </cell>
          <cell r="CA195">
            <v>2.1570886056093252E-2</v>
          </cell>
        </row>
        <row r="196">
          <cell r="BN196" t="str">
            <v>1250/1/2500</v>
          </cell>
          <cell r="BO196">
            <v>0.77896785134618074</v>
          </cell>
          <cell r="BP196">
            <v>0.77920420227795717</v>
          </cell>
          <cell r="BQ196">
            <v>0.78279962292176208</v>
          </cell>
          <cell r="BR196">
            <v>0.77088066523270971</v>
          </cell>
          <cell r="BS196">
            <v>0.76527785895529898</v>
          </cell>
          <cell r="BT196">
            <v>0.71036201903283147</v>
          </cell>
          <cell r="BU196">
            <v>0.88118390298992366</v>
          </cell>
          <cell r="BV196">
            <v>0.86530952383343473</v>
          </cell>
          <cell r="BY196" t="str">
            <v>1000/0.8/99999</v>
          </cell>
          <cell r="BZ196">
            <v>2.0478045396656208E-2</v>
          </cell>
          <cell r="CA196">
            <v>2.0521508997382032E-2</v>
          </cell>
        </row>
        <row r="197">
          <cell r="BN197" t="str">
            <v>1250/1/2750</v>
          </cell>
          <cell r="BO197">
            <v>0.77554708220257318</v>
          </cell>
          <cell r="BP197">
            <v>0.77429666162226674</v>
          </cell>
          <cell r="BQ197">
            <v>0.77876432557035113</v>
          </cell>
          <cell r="BR197">
            <v>0.76592346760338681</v>
          </cell>
          <cell r="BS197">
            <v>0.76076935093523523</v>
          </cell>
          <cell r="BT197">
            <v>0.70955940437787324</v>
          </cell>
          <cell r="BU197">
            <v>0.87922687862669524</v>
          </cell>
          <cell r="BV197">
            <v>0.86391446225826274</v>
          </cell>
          <cell r="BY197" t="str">
            <v>1250/0.8/1250</v>
          </cell>
          <cell r="BZ197">
            <v>2.4586841779250967E-2</v>
          </cell>
          <cell r="CA197">
            <v>2.444118258482586E-2</v>
          </cell>
        </row>
        <row r="198">
          <cell r="BN198" t="str">
            <v>1250/1/3000</v>
          </cell>
          <cell r="BO198">
            <v>0.77335330084259268</v>
          </cell>
          <cell r="BP198">
            <v>0.77101470612457068</v>
          </cell>
          <cell r="BQ198">
            <v>0.77631216882772625</v>
          </cell>
          <cell r="BR198">
            <v>0.76258656407567804</v>
          </cell>
          <cell r="BS198">
            <v>0.75774098374944687</v>
          </cell>
          <cell r="BT198">
            <v>0.70933781451336775</v>
          </cell>
          <cell r="BU198">
            <v>0.87820617972670179</v>
          </cell>
          <cell r="BV198">
            <v>0.86294637000418573</v>
          </cell>
          <cell r="BY198" t="str">
            <v>1250/0.8/1500</v>
          </cell>
          <cell r="BZ198">
            <v>2.4222803122714964E-2</v>
          </cell>
          <cell r="CA198">
            <v>2.3961220412897388E-2</v>
          </cell>
        </row>
        <row r="199">
          <cell r="BN199" t="str">
            <v>1250/1/3250</v>
          </cell>
          <cell r="BO199">
            <v>0.77167487624577913</v>
          </cell>
          <cell r="BP199">
            <v>0.768536869298869</v>
          </cell>
          <cell r="BQ199">
            <v>0.77437355211551995</v>
          </cell>
          <cell r="BR199">
            <v>0.76005380586526117</v>
          </cell>
          <cell r="BS199">
            <v>0.75544862524984957</v>
          </cell>
          <cell r="BT199">
            <v>0.70920257058364788</v>
          </cell>
          <cell r="BU199">
            <v>0.87750936446000272</v>
          </cell>
          <cell r="BV199">
            <v>0.86208755813803728</v>
          </cell>
          <cell r="BY199" t="str">
            <v>1250/0.8/1750</v>
          </cell>
          <cell r="BZ199">
            <v>2.3950278427288585E-2</v>
          </cell>
          <cell r="CA199">
            <v>2.3654963676773888E-2</v>
          </cell>
        </row>
        <row r="200">
          <cell r="BN200" t="str">
            <v>1250/1/3500</v>
          </cell>
          <cell r="BO200">
            <v>0.76999645164896557</v>
          </cell>
          <cell r="BP200">
            <v>0.76605903247316731</v>
          </cell>
          <cell r="BQ200">
            <v>0.77243493540331365</v>
          </cell>
          <cell r="BR200">
            <v>0.75752104765484429</v>
          </cell>
          <cell r="BS200">
            <v>0.75315626675025216</v>
          </cell>
          <cell r="BT200">
            <v>0.70906732665392802</v>
          </cell>
          <cell r="BU200">
            <v>0.87681254919330376</v>
          </cell>
          <cell r="BV200">
            <v>0.86122874627188883</v>
          </cell>
          <cell r="BY200" t="str">
            <v>1250/0.8/2000</v>
          </cell>
          <cell r="BZ200">
            <v>2.3677753731862206E-2</v>
          </cell>
          <cell r="CA200">
            <v>2.3348706940650388E-2</v>
          </cell>
        </row>
        <row r="201">
          <cell r="BN201" t="str">
            <v>1250/1/3750</v>
          </cell>
          <cell r="BO201">
            <v>0.76894237503784457</v>
          </cell>
          <cell r="BP201">
            <v>0.76449986895680189</v>
          </cell>
          <cell r="BQ201">
            <v>0.77123628497990371</v>
          </cell>
          <cell r="BR201">
            <v>0.75592047203120927</v>
          </cell>
          <cell r="BS201">
            <v>0.75176818257992972</v>
          </cell>
          <cell r="BT201">
            <v>0.70903475811124783</v>
          </cell>
          <cell r="BU201">
            <v>0.87616515647906079</v>
          </cell>
          <cell r="BV201">
            <v>0.86037567761471156</v>
          </cell>
          <cell r="BY201" t="str">
            <v>1250/0.8/2250</v>
          </cell>
          <cell r="BZ201">
            <v>2.3474861098532029E-2</v>
          </cell>
          <cell r="CA201">
            <v>2.3119322246819118E-2</v>
          </cell>
        </row>
        <row r="202">
          <cell r="BN202" t="str">
            <v>1250/1/4000</v>
          </cell>
          <cell r="BO202">
            <v>0.76788829842672346</v>
          </cell>
          <cell r="BP202">
            <v>0.76294070544043635</v>
          </cell>
          <cell r="BQ202">
            <v>0.77003763455649388</v>
          </cell>
          <cell r="BR202">
            <v>0.75431989640757424</v>
          </cell>
          <cell r="BS202">
            <v>0.75038009840960729</v>
          </cell>
          <cell r="BT202">
            <v>0.70900218956856764</v>
          </cell>
          <cell r="BU202">
            <v>0.87551776376481782</v>
          </cell>
          <cell r="BV202">
            <v>0.85952260895753418</v>
          </cell>
          <cell r="BY202" t="str">
            <v>1250/0.8/2500</v>
          </cell>
          <cell r="BZ202">
            <v>2.3298530044448373E-2</v>
          </cell>
          <cell r="CA202">
            <v>2.2920048653489511E-2</v>
          </cell>
        </row>
        <row r="203">
          <cell r="BN203" t="str">
            <v>1250/1/4250</v>
          </cell>
          <cell r="BO203">
            <v>0.76732655866834598</v>
          </cell>
          <cell r="BP203">
            <v>0.76193258534051356</v>
          </cell>
          <cell r="BQ203">
            <v>0.76926185678579273</v>
          </cell>
          <cell r="BR203">
            <v>0.75331436753792458</v>
          </cell>
          <cell r="BS203">
            <v>0.74950549711984427</v>
          </cell>
          <cell r="BT203">
            <v>0.70899238252399788</v>
          </cell>
          <cell r="BU203">
            <v>0.87488117099374085</v>
          </cell>
          <cell r="BV203">
            <v>0.85902290668471171</v>
          </cell>
          <cell r="BY203" t="str">
            <v>1250/0.8/2750</v>
          </cell>
          <cell r="BZ203">
            <v>2.3143567636549456E-2</v>
          </cell>
          <cell r="CA203">
            <v>2.2735961513730363E-2</v>
          </cell>
        </row>
        <row r="204">
          <cell r="BN204" t="str">
            <v>1250/1/4500</v>
          </cell>
          <cell r="BO204">
            <v>0.76676481890996862</v>
          </cell>
          <cell r="BP204">
            <v>0.76092446524059076</v>
          </cell>
          <cell r="BQ204">
            <v>0.76848607901509147</v>
          </cell>
          <cell r="BR204">
            <v>0.75230883866827492</v>
          </cell>
          <cell r="BS204">
            <v>0.74863089583008113</v>
          </cell>
          <cell r="BT204">
            <v>0.70898257547942811</v>
          </cell>
          <cell r="BU204">
            <v>0.87424457822266388</v>
          </cell>
          <cell r="BV204">
            <v>0.85852320441188934</v>
          </cell>
          <cell r="BY204" t="str">
            <v>1250/0.8/3000</v>
          </cell>
          <cell r="BZ204">
            <v>2.300389214701859E-2</v>
          </cell>
          <cell r="CA204">
            <v>2.2593894801954839E-2</v>
          </cell>
        </row>
        <row r="205">
          <cell r="BN205" t="str">
            <v>1250/1/4750</v>
          </cell>
          <cell r="BO205">
            <v>0.7663976708160507</v>
          </cell>
          <cell r="BP205">
            <v>0.76020694257059329</v>
          </cell>
          <cell r="BQ205">
            <v>0.76796781086933819</v>
          </cell>
          <cell r="BR205">
            <v>0.75153356522465131</v>
          </cell>
          <cell r="BS205">
            <v>0.74802322506823882</v>
          </cell>
          <cell r="BT205">
            <v>0.70897920048071494</v>
          </cell>
          <cell r="BU205">
            <v>0.87360828088940234</v>
          </cell>
          <cell r="BV205">
            <v>0.85822859676016949</v>
          </cell>
          <cell r="BY205" t="str">
            <v>1250/0.8/3250</v>
          </cell>
          <cell r="BZ205">
            <v>2.2879288729452663E-2</v>
          </cell>
          <cell r="CA205">
            <v>2.2464187843398542E-2</v>
          </cell>
        </row>
        <row r="206">
          <cell r="BN206" t="str">
            <v>1250/1/5000</v>
          </cell>
          <cell r="BO206">
            <v>0.7660305227221329</v>
          </cell>
          <cell r="BP206">
            <v>0.75948941990059582</v>
          </cell>
          <cell r="BQ206">
            <v>0.7674495427235849</v>
          </cell>
          <cell r="BR206">
            <v>0.75075829178102771</v>
          </cell>
          <cell r="BS206">
            <v>0.74741555430639639</v>
          </cell>
          <cell r="BT206">
            <v>0.70897582548200166</v>
          </cell>
          <cell r="BU206">
            <v>0.87297198355614092</v>
          </cell>
          <cell r="BV206">
            <v>0.85793398910844965</v>
          </cell>
          <cell r="BY206" t="str">
            <v>1250/0.8/3500</v>
          </cell>
          <cell r="BZ206">
            <v>2.2754685311886735E-2</v>
          </cell>
          <cell r="CA206">
            <v>2.2334480884842245E-2</v>
          </cell>
        </row>
        <row r="207">
          <cell r="BN207" t="str">
            <v>1250/1/5250</v>
          </cell>
          <cell r="BO207">
            <v>0.7658446536995458</v>
          </cell>
          <cell r="BP207">
            <v>0.75904151795696639</v>
          </cell>
          <cell r="BQ207">
            <v>0.76720131510737077</v>
          </cell>
          <cell r="BR207">
            <v>0.75031135921219727</v>
          </cell>
          <cell r="BS207">
            <v>0.74706357582793381</v>
          </cell>
          <cell r="BT207">
            <v>0.70897413798264508</v>
          </cell>
          <cell r="BU207">
            <v>0.8723359633092771</v>
          </cell>
          <cell r="BV207">
            <v>0.85777152057853012</v>
          </cell>
          <cell r="BY207" t="str">
            <v>1250/0.8/3750</v>
          </cell>
          <cell r="BZ207">
            <v>2.2651887462414422E-2</v>
          </cell>
          <cell r="CA207">
            <v>2.2239670460631134E-2</v>
          </cell>
        </row>
        <row r="208">
          <cell r="BN208" t="str">
            <v>1250/1/5500</v>
          </cell>
          <cell r="BO208">
            <v>0.76565878467695858</v>
          </cell>
          <cell r="BP208">
            <v>0.75859361601333697</v>
          </cell>
          <cell r="BQ208">
            <v>0.76695308749115665</v>
          </cell>
          <cell r="BR208">
            <v>0.74986442664336683</v>
          </cell>
          <cell r="BS208">
            <v>0.74671159734947123</v>
          </cell>
          <cell r="BT208">
            <v>0.70897245048328861</v>
          </cell>
          <cell r="BU208">
            <v>0.87169994306241338</v>
          </cell>
          <cell r="BV208">
            <v>0.85760905204861071</v>
          </cell>
          <cell r="BY208" t="str">
            <v>1250/0.8/4000</v>
          </cell>
          <cell r="BZ208">
            <v>2.2549089612942108E-2</v>
          </cell>
          <cell r="CA208">
            <v>2.2144860036420022E-2</v>
          </cell>
        </row>
        <row r="209">
          <cell r="BN209" t="str">
            <v>1250/1/5750</v>
          </cell>
          <cell r="BO209">
            <v>0.76565780643997616</v>
          </cell>
          <cell r="BP209">
            <v>0.75837676219592298</v>
          </cell>
          <cell r="BQ209">
            <v>0.76693643818841939</v>
          </cell>
          <cell r="BR209">
            <v>0.74960994985514962</v>
          </cell>
          <cell r="BS209">
            <v>0.74659052971832418</v>
          </cell>
          <cell r="BT209">
            <v>0.70897245048328861</v>
          </cell>
          <cell r="BU209">
            <v>0.87167414161546608</v>
          </cell>
          <cell r="BV209">
            <v>0.85760905204861071</v>
          </cell>
          <cell r="BY209" t="str">
            <v>1250/0.8/4250</v>
          </cell>
          <cell r="BZ209">
            <v>2.246807442462595E-2</v>
          </cell>
          <cell r="CA209">
            <v>2.2064788500462784E-2</v>
          </cell>
        </row>
        <row r="210">
          <cell r="BN210" t="str">
            <v>1250/1/6000</v>
          </cell>
          <cell r="BO210">
            <v>0.76565682820299374</v>
          </cell>
          <cell r="BP210">
            <v>0.75815990837850911</v>
          </cell>
          <cell r="BQ210">
            <v>0.76691978888568202</v>
          </cell>
          <cell r="BR210">
            <v>0.74935547306693229</v>
          </cell>
          <cell r="BS210">
            <v>0.74646946208717702</v>
          </cell>
          <cell r="BT210">
            <v>0.70897245048328861</v>
          </cell>
          <cell r="BU210">
            <v>0.87164834016851889</v>
          </cell>
          <cell r="BV210">
            <v>0.85760905204861071</v>
          </cell>
          <cell r="BY210" t="str">
            <v>1250/0.8/4500</v>
          </cell>
          <cell r="BZ210">
            <v>2.2387059236309792E-2</v>
          </cell>
          <cell r="CA210">
            <v>2.1984716964505546E-2</v>
          </cell>
        </row>
        <row r="211">
          <cell r="BN211" t="str">
            <v>1250/1/6250</v>
          </cell>
          <cell r="BO211">
            <v>0.76565682820299374</v>
          </cell>
          <cell r="BP211">
            <v>0.75800049061427943</v>
          </cell>
          <cell r="BQ211">
            <v>0.76691516220617217</v>
          </cell>
          <cell r="BR211">
            <v>0.74919605512212462</v>
          </cell>
          <cell r="BS211">
            <v>0.74636283679430238</v>
          </cell>
          <cell r="BT211">
            <v>0.70897245048328861</v>
          </cell>
          <cell r="BU211">
            <v>0.87164834016851889</v>
          </cell>
          <cell r="BV211">
            <v>0.85760905204861071</v>
          </cell>
          <cell r="BY211" t="str">
            <v>1250/0.8/4750</v>
          </cell>
          <cell r="BZ211">
            <v>2.2309775199647608E-2</v>
          </cell>
          <cell r="CA211">
            <v>2.19140261016737E-2</v>
          </cell>
        </row>
        <row r="212">
          <cell r="BN212" t="str">
            <v>1250/1/6350</v>
          </cell>
          <cell r="BO212">
            <v>0.76565682820299374</v>
          </cell>
          <cell r="BP212">
            <v>0.75793672397726353</v>
          </cell>
          <cell r="BQ212">
            <v>0.76691331154892894</v>
          </cell>
          <cell r="BR212">
            <v>0.74913228841028445</v>
          </cell>
          <cell r="BS212">
            <v>0.74633309633126044</v>
          </cell>
          <cell r="BT212">
            <v>0.70897245048328861</v>
          </cell>
          <cell r="BU212">
            <v>0.87164834016851889</v>
          </cell>
          <cell r="BV212">
            <v>0.85760905204861071</v>
          </cell>
          <cell r="BY212" t="str">
            <v>1250/0.8/5000</v>
          </cell>
          <cell r="BZ212">
            <v>2.2232491162985424E-2</v>
          </cell>
          <cell r="CA212">
            <v>2.1843335238841854E-2</v>
          </cell>
        </row>
        <row r="213">
          <cell r="BN213" t="str">
            <v>1250/1/6600</v>
          </cell>
          <cell r="BO213">
            <v>0.76565682820299374</v>
          </cell>
          <cell r="BP213">
            <v>0.75777730855641123</v>
          </cell>
          <cell r="BQ213">
            <v>0.76691034970767102</v>
          </cell>
          <cell r="BR213">
            <v>0.74897287279588731</v>
          </cell>
          <cell r="BS213">
            <v>0.74625853404649656</v>
          </cell>
          <cell r="BT213">
            <v>0.70897245048328861</v>
          </cell>
          <cell r="BU213">
            <v>0.87164834016851889</v>
          </cell>
          <cell r="BV213">
            <v>0.85760905204861071</v>
          </cell>
          <cell r="BY213" t="str">
            <v>1250/0.8/5250</v>
          </cell>
          <cell r="BZ213">
            <v>2.2174847070400294E-2</v>
          </cell>
          <cell r="CA213">
            <v>2.1782041540774122E-2</v>
          </cell>
        </row>
        <row r="214">
          <cell r="BN214" t="str">
            <v>1250/1/6850</v>
          </cell>
          <cell r="BO214">
            <v>0.76565682820299374</v>
          </cell>
          <cell r="BP214">
            <v>0.75761789480939845</v>
          </cell>
          <cell r="BQ214">
            <v>0.76691034970767102</v>
          </cell>
          <cell r="BR214">
            <v>0.74881345884607309</v>
          </cell>
          <cell r="BS214">
            <v>0.74618367015150189</v>
          </cell>
          <cell r="BT214">
            <v>0.70897245048328861</v>
          </cell>
          <cell r="BU214">
            <v>0.87164834016851889</v>
          </cell>
          <cell r="BV214">
            <v>0.85760905204861071</v>
          </cell>
          <cell r="BY214" t="str">
            <v>1250/0.8/5500</v>
          </cell>
          <cell r="BZ214">
            <v>2.2117202977815165E-2</v>
          </cell>
          <cell r="CA214">
            <v>2.1720747842706389E-2</v>
          </cell>
        </row>
        <row r="215">
          <cell r="BN215" t="str">
            <v>1250/1/7500</v>
          </cell>
          <cell r="BO215">
            <v>0.76565682820299374</v>
          </cell>
          <cell r="BP215">
            <v>0.75739178690817388</v>
          </cell>
          <cell r="BQ215">
            <v>0.76691034970767102</v>
          </cell>
          <cell r="BR215">
            <v>0.74850181992542786</v>
          </cell>
          <cell r="BS215">
            <v>0.74606120563042677</v>
          </cell>
          <cell r="BT215">
            <v>0.70897245048328861</v>
          </cell>
          <cell r="BU215">
            <v>0.87164834016851889</v>
          </cell>
          <cell r="BV215">
            <v>0.85760905204861071</v>
          </cell>
          <cell r="BY215" t="str">
            <v>1250/0.8/5750</v>
          </cell>
          <cell r="BZ215">
            <v>2.2059647758710721E-2</v>
          </cell>
          <cell r="CA215">
            <v>2.1667292053491161E-2</v>
          </cell>
        </row>
        <row r="216">
          <cell r="BN216" t="str">
            <v>1250/1/10000</v>
          </cell>
          <cell r="BO216">
            <v>0.76565682820299374</v>
          </cell>
          <cell r="BP216">
            <v>0.75693622663201365</v>
          </cell>
          <cell r="BQ216">
            <v>0.76691034970767102</v>
          </cell>
          <cell r="BR216">
            <v>0.74798357496033874</v>
          </cell>
          <cell r="BS216">
            <v>0.74577535969039876</v>
          </cell>
          <cell r="BT216">
            <v>0.70897245048328861</v>
          </cell>
          <cell r="BU216">
            <v>0.87164834016851889</v>
          </cell>
          <cell r="BV216">
            <v>0.85760905204861071</v>
          </cell>
          <cell r="BY216" t="str">
            <v>1250/0.8/6000</v>
          </cell>
          <cell r="BZ216">
            <v>2.2002092539606277E-2</v>
          </cell>
          <cell r="CA216">
            <v>2.1613836264275932E-2</v>
          </cell>
        </row>
        <row r="217">
          <cell r="BN217" t="str">
            <v>1250/1/99999</v>
          </cell>
          <cell r="BO217">
            <v>0.76565682820299374</v>
          </cell>
          <cell r="BP217">
            <v>0.75636461946733979</v>
          </cell>
          <cell r="BQ217">
            <v>0.76691034970767102</v>
          </cell>
          <cell r="BR217">
            <v>0.74728810310824711</v>
          </cell>
          <cell r="BS217">
            <v>0.7454089442093581</v>
          </cell>
          <cell r="BT217">
            <v>0.70897245048328861</v>
          </cell>
          <cell r="BU217">
            <v>0.87164834016851889</v>
          </cell>
          <cell r="BV217">
            <v>0.85760905204861071</v>
          </cell>
          <cell r="BY217" t="str">
            <v>1250/0.8/6250</v>
          </cell>
          <cell r="BZ217">
            <v>2.1954739009453883E-2</v>
          </cell>
          <cell r="CA217">
            <v>2.1568904633195496E-2</v>
          </cell>
        </row>
        <row r="218">
          <cell r="BY218" t="str">
            <v>1250/0.8/6350</v>
          </cell>
          <cell r="BZ218">
            <v>2.1937327581537769E-2</v>
          </cell>
          <cell r="CA218">
            <v>2.1550822090096622E-2</v>
          </cell>
        </row>
        <row r="219">
          <cell r="BN219" t="str">
            <v>1500/1/1500</v>
          </cell>
          <cell r="BT219">
            <v>0.7226144825556009</v>
          </cell>
          <cell r="BU219">
            <v>0.91664937847707084</v>
          </cell>
          <cell r="BV219">
            <v>0.89823246135090296</v>
          </cell>
          <cell r="BY219" t="str">
            <v>1250/0.8/6600</v>
          </cell>
          <cell r="BZ219">
            <v>2.1893787694401201E-2</v>
          </cell>
          <cell r="CA219">
            <v>2.1505341005683132E-2</v>
          </cell>
        </row>
        <row r="220">
          <cell r="BN220" t="str">
            <v>1500/1/1750</v>
          </cell>
          <cell r="BT220">
            <v>0.70659516193978611</v>
          </cell>
          <cell r="BU220">
            <v>0.89306084925634788</v>
          </cell>
          <cell r="BV220">
            <v>0.87356384269781762</v>
          </cell>
          <cell r="BY220" t="str">
            <v>1250/0.8/6850</v>
          </cell>
          <cell r="BZ220">
            <v>2.1850231639627182E-2</v>
          </cell>
          <cell r="CA220">
            <v>2.1459467454602921E-2</v>
          </cell>
        </row>
        <row r="221">
          <cell r="BN221" t="str">
            <v>1500/1/2000</v>
          </cell>
          <cell r="BO221">
            <v>0.79402398023159249</v>
          </cell>
          <cell r="BP221">
            <v>0.80655511481160858</v>
          </cell>
          <cell r="BQ221">
            <v>0.80806330522389791</v>
          </cell>
          <cell r="BR221">
            <v>0.79452477081622741</v>
          </cell>
          <cell r="BS221">
            <v>0.78401217722994065</v>
          </cell>
          <cell r="BT221">
            <v>0.69057584132397143</v>
          </cell>
          <cell r="BU221">
            <v>0.86947232003562502</v>
          </cell>
          <cell r="BV221">
            <v>0.84889522404473217</v>
          </cell>
          <cell r="BY221" t="str">
            <v>1250/0.8/7500</v>
          </cell>
          <cell r="BZ221">
            <v>2.1746293669844041E-2</v>
          </cell>
          <cell r="CA221">
            <v>2.1360882372658763E-2</v>
          </cell>
        </row>
        <row r="222">
          <cell r="BN222" t="str">
            <v>1500/1/2250</v>
          </cell>
          <cell r="BO222">
            <v>0.77805295819289921</v>
          </cell>
          <cell r="BP222">
            <v>0.78608986647480872</v>
          </cell>
          <cell r="BQ222">
            <v>0.78653415343869792</v>
          </cell>
          <cell r="BR222">
            <v>0.77475953531164687</v>
          </cell>
          <cell r="BS222">
            <v>0.76602821493292461</v>
          </cell>
          <cell r="BT222">
            <v>0.6886599687074767</v>
          </cell>
          <cell r="BU222">
            <v>0.86019964473555688</v>
          </cell>
          <cell r="BV222">
            <v>0.84017537869104197</v>
          </cell>
          <cell r="BY222" t="str">
            <v>1250/0.8/8000</v>
          </cell>
          <cell r="BZ222">
            <v>2.1676726024044912E-2</v>
          </cell>
          <cell r="CA222">
            <v>2.1289437672464384E-2</v>
          </cell>
        </row>
        <row r="223">
          <cell r="BN223" t="str">
            <v>1500/1/2500</v>
          </cell>
          <cell r="BO223">
            <v>0.76537731703720691</v>
          </cell>
          <cell r="BP223">
            <v>0.77062955479756101</v>
          </cell>
          <cell r="BQ223">
            <v>0.7724264358752877</v>
          </cell>
          <cell r="BR223">
            <v>0.75942245616345971</v>
          </cell>
          <cell r="BS223">
            <v>0.75155701731418467</v>
          </cell>
          <cell r="BT223">
            <v>0.68674409609098264</v>
          </cell>
          <cell r="BU223">
            <v>0.85456014823521265</v>
          </cell>
          <cell r="BV223">
            <v>0.83541382210218806</v>
          </cell>
          <cell r="BY223" t="str">
            <v>1250/0.8/9000</v>
          </cell>
          <cell r="BZ223">
            <v>2.1541496203631105E-2</v>
          </cell>
          <cell r="CA223">
            <v>2.1167911762945968E-2</v>
          </cell>
        </row>
        <row r="224">
          <cell r="BN224" t="str">
            <v>1500/1/2750</v>
          </cell>
          <cell r="BO224">
            <v>0.76152367327950543</v>
          </cell>
          <cell r="BP224">
            <v>0.76487216417008386</v>
          </cell>
          <cell r="BQ224">
            <v>0.76771625761874651</v>
          </cell>
          <cell r="BR224">
            <v>0.75365097957479099</v>
          </cell>
          <cell r="BS224">
            <v>0.74621435929288649</v>
          </cell>
          <cell r="BT224">
            <v>0.68595865067945916</v>
          </cell>
          <cell r="BU224">
            <v>0.85120872071308995</v>
          </cell>
          <cell r="BV224">
            <v>0.83308735185116367</v>
          </cell>
          <cell r="BY224" t="str">
            <v>1250/0.8/10000</v>
          </cell>
          <cell r="BZ224">
            <v>2.1443899825396517E-2</v>
          </cell>
          <cell r="CA224">
            <v>2.1078121750241374E-2</v>
          </cell>
        </row>
        <row r="225">
          <cell r="BN225" t="str">
            <v>1500/1/3000</v>
          </cell>
          <cell r="BO225">
            <v>0.75813256652237493</v>
          </cell>
          <cell r="BP225">
            <v>0.75998768096642477</v>
          </cell>
          <cell r="BQ225">
            <v>0.76370712647959871</v>
          </cell>
          <cell r="BR225">
            <v>0.74871222865574116</v>
          </cell>
          <cell r="BS225">
            <v>0.74173094610679413</v>
          </cell>
          <cell r="BT225">
            <v>0.68517320526793546</v>
          </cell>
          <cell r="BU225">
            <v>0.84933372711237454</v>
          </cell>
          <cell r="BV225">
            <v>0.83175848812154474</v>
          </cell>
          <cell r="BY225" t="str">
            <v>1250/0.8/99999</v>
          </cell>
          <cell r="BZ225">
            <v>2.008375759420189E-2</v>
          </cell>
          <cell r="CA225">
            <v>2.00159947474019E-2</v>
          </cell>
        </row>
        <row r="226">
          <cell r="BN226" t="str">
            <v>1500/1/3250</v>
          </cell>
          <cell r="BO226">
            <v>0.75603848080882285</v>
          </cell>
          <cell r="BP226">
            <v>0.75687037663637424</v>
          </cell>
          <cell r="BQ226">
            <v>0.76133788972380512</v>
          </cell>
          <cell r="BR226">
            <v>0.74556963293777168</v>
          </cell>
          <cell r="BS226">
            <v>0.73885442330587003</v>
          </cell>
          <cell r="BT226">
            <v>0.68495635557394985</v>
          </cell>
          <cell r="BU226">
            <v>0.84847930172448516</v>
          </cell>
          <cell r="BV226">
            <v>0.83085906770993656</v>
          </cell>
          <cell r="BY226" t="str">
            <v>1500/0.8/1500</v>
          </cell>
          <cell r="BZ226">
            <v>2.4138976713293792E-2</v>
          </cell>
          <cell r="CA226">
            <v>2.3880778692960014E-2</v>
          </cell>
        </row>
        <row r="227">
          <cell r="BN227" t="str">
            <v>1500/1/3500</v>
          </cell>
          <cell r="BO227">
            <v>0.75394439509527078</v>
          </cell>
          <cell r="BP227">
            <v>0.7537530723063236</v>
          </cell>
          <cell r="BQ227">
            <v>0.75896865296801153</v>
          </cell>
          <cell r="BR227">
            <v>0.74242703721980219</v>
          </cell>
          <cell r="BS227">
            <v>0.73597790050494605</v>
          </cell>
          <cell r="BT227">
            <v>0.68473950587996424</v>
          </cell>
          <cell r="BU227">
            <v>0.84762487633659589</v>
          </cell>
          <cell r="BV227">
            <v>0.8299596472983285</v>
          </cell>
          <cell r="BY227" t="str">
            <v>1500/0.8/1750</v>
          </cell>
          <cell r="BZ227">
            <v>2.3829084999373862E-2</v>
          </cell>
          <cell r="CA227">
            <v>2.3491084500846693E-2</v>
          </cell>
        </row>
        <row r="228">
          <cell r="BN228" t="str">
            <v>1500/1/3750</v>
          </cell>
          <cell r="BO228">
            <v>0.75264577177492353</v>
          </cell>
          <cell r="BP228">
            <v>0.75187119381592882</v>
          </cell>
          <cell r="BQ228">
            <v>0.7574650596651058</v>
          </cell>
          <cell r="BR228">
            <v>0.74047980971003302</v>
          </cell>
          <cell r="BS228">
            <v>0.73426022386214052</v>
          </cell>
          <cell r="BT228">
            <v>0.68469165389331499</v>
          </cell>
          <cell r="BU228">
            <v>0.84697399753523905</v>
          </cell>
          <cell r="BV228">
            <v>0.8291177394839222</v>
          </cell>
          <cell r="BY228" t="str">
            <v>1500/0.8/2000</v>
          </cell>
          <cell r="BZ228">
            <v>2.3519193285453932E-2</v>
          </cell>
          <cell r="CA228">
            <v>2.3101390308733372E-2</v>
          </cell>
        </row>
        <row r="229">
          <cell r="BN229" t="str">
            <v>1500/1/4000</v>
          </cell>
          <cell r="BO229">
            <v>0.75134714845457629</v>
          </cell>
          <cell r="BP229">
            <v>0.74998931532553392</v>
          </cell>
          <cell r="BQ229">
            <v>0.75596146636220007</v>
          </cell>
          <cell r="BR229">
            <v>0.73853258220026385</v>
          </cell>
          <cell r="BS229">
            <v>0.73254254721933498</v>
          </cell>
          <cell r="BT229">
            <v>0.68464380190666585</v>
          </cell>
          <cell r="BU229">
            <v>0.84632311873388211</v>
          </cell>
          <cell r="BV229">
            <v>0.82827583166951591</v>
          </cell>
          <cell r="BY229" t="str">
            <v>1500/0.8/2250</v>
          </cell>
          <cell r="BZ229">
            <v>2.3284428682776248E-2</v>
          </cell>
          <cell r="CA229">
            <v>2.2838187813174482E-2</v>
          </cell>
        </row>
        <row r="230">
          <cell r="BN230" t="str">
            <v>1500/1/4250</v>
          </cell>
          <cell r="BO230">
            <v>0.75058526316388019</v>
          </cell>
          <cell r="BP230">
            <v>0.74876321325679274</v>
          </cell>
          <cell r="BQ230">
            <v>0.75504011826837025</v>
          </cell>
          <cell r="BR230">
            <v>0.73725695389484025</v>
          </cell>
          <cell r="BS230">
            <v>0.73144931945665781</v>
          </cell>
          <cell r="BT230">
            <v>0.68462791019700919</v>
          </cell>
          <cell r="BU230">
            <v>0.84568984679384296</v>
          </cell>
          <cell r="BV230">
            <v>0.82755423043740106</v>
          </cell>
          <cell r="BY230" t="str">
            <v>1500/0.8/2500</v>
          </cell>
          <cell r="BZ230">
            <v>2.3087623359476117E-2</v>
          </cell>
          <cell r="CA230">
            <v>2.2613884692468611E-2</v>
          </cell>
        </row>
        <row r="231">
          <cell r="BN231" t="str">
            <v>1500/1/4500</v>
          </cell>
          <cell r="BO231">
            <v>0.74982337787318409</v>
          </cell>
          <cell r="BP231">
            <v>0.74753711118805155</v>
          </cell>
          <cell r="BQ231">
            <v>0.75411877017454043</v>
          </cell>
          <cell r="BR231">
            <v>0.73598132558941665</v>
          </cell>
          <cell r="BS231">
            <v>0.73035609169398075</v>
          </cell>
          <cell r="BT231">
            <v>0.68461201848735243</v>
          </cell>
          <cell r="BU231">
            <v>0.84505657485380392</v>
          </cell>
          <cell r="BV231">
            <v>0.82683262920528611</v>
          </cell>
          <cell r="BY231" t="str">
            <v>1500/0.8/2750</v>
          </cell>
          <cell r="BZ231">
            <v>2.2915642432859595E-2</v>
          </cell>
          <cell r="CA231">
            <v>2.2420234074800094E-2</v>
          </cell>
        </row>
        <row r="232">
          <cell r="BN232" t="str">
            <v>1500/1/4750</v>
          </cell>
          <cell r="BO232">
            <v>0.74944456494926903</v>
          </cell>
          <cell r="BP232">
            <v>0.74670819713196712</v>
          </cell>
          <cell r="BQ232">
            <v>0.75355087891868955</v>
          </cell>
          <cell r="BR232">
            <v>0.73512762910450813</v>
          </cell>
          <cell r="BS232">
            <v>0.72967964925407169</v>
          </cell>
          <cell r="BT232">
            <v>0.68460871568539527</v>
          </cell>
          <cell r="BU232">
            <v>0.84442149231958297</v>
          </cell>
          <cell r="BV232">
            <v>0.82654277663543541</v>
          </cell>
          <cell r="BY232" t="str">
            <v>1500/0.8/3000</v>
          </cell>
          <cell r="BZ232">
            <v>2.2763483318796407E-2</v>
          </cell>
          <cell r="CA232">
            <v>2.2238404192948202E-2</v>
          </cell>
        </row>
        <row r="233">
          <cell r="BN233" t="str">
            <v>1500/1/5000</v>
          </cell>
          <cell r="BO233">
            <v>0.74906575202535397</v>
          </cell>
          <cell r="BP233">
            <v>0.74587928307588269</v>
          </cell>
          <cell r="BQ233">
            <v>0.75298298766283855</v>
          </cell>
          <cell r="BR233">
            <v>0.73427393261959972</v>
          </cell>
          <cell r="BS233">
            <v>0.72900320681416264</v>
          </cell>
          <cell r="BT233">
            <v>0.68460541288343824</v>
          </cell>
          <cell r="BU233">
            <v>0.84378640978536212</v>
          </cell>
          <cell r="BV233">
            <v>0.82625292406558482</v>
          </cell>
          <cell r="BY233" t="str">
            <v>1500/0.8/3250</v>
          </cell>
          <cell r="BZ233">
            <v>2.2632617824813406E-2</v>
          </cell>
          <cell r="CA233">
            <v>2.2103643703557108E-2</v>
          </cell>
        </row>
        <row r="234">
          <cell r="BN234" t="str">
            <v>1500/1/5250</v>
          </cell>
          <cell r="BO234">
            <v>0.74870248720139676</v>
          </cell>
          <cell r="BP234">
            <v>0.7452539666888871</v>
          </cell>
          <cell r="BQ234">
            <v>0.75250019056394002</v>
          </cell>
          <cell r="BR234">
            <v>0.73360817793445054</v>
          </cell>
          <cell r="BS234">
            <v>0.72844145748208711</v>
          </cell>
          <cell r="BT234">
            <v>0.6846021100814812</v>
          </cell>
          <cell r="BU234">
            <v>0.84315311910757762</v>
          </cell>
          <cell r="BV234">
            <v>0.82597908201399606</v>
          </cell>
          <cell r="BY234" t="str">
            <v>1500/0.8/3500</v>
          </cell>
          <cell r="BZ234">
            <v>2.2501752330830405E-2</v>
          </cell>
          <cell r="CA234">
            <v>2.1968883214166013E-2</v>
          </cell>
        </row>
        <row r="235">
          <cell r="BN235" t="str">
            <v>1500/1/5500</v>
          </cell>
          <cell r="BO235">
            <v>0.74833922237743944</v>
          </cell>
          <cell r="BP235">
            <v>0.7446286503018914</v>
          </cell>
          <cell r="BQ235">
            <v>0.75201739346504148</v>
          </cell>
          <cell r="BR235">
            <v>0.73294242324930137</v>
          </cell>
          <cell r="BS235">
            <v>0.72787970815001157</v>
          </cell>
          <cell r="BT235">
            <v>0.68459880727952416</v>
          </cell>
          <cell r="BU235">
            <v>0.84251982842979301</v>
          </cell>
          <cell r="BV235">
            <v>0.82570523996240719</v>
          </cell>
          <cell r="BY235" t="str">
            <v>1500/0.8/3750</v>
          </cell>
          <cell r="BZ235">
            <v>2.2382261921289226E-2</v>
          </cell>
          <cell r="CA235">
            <v>2.186155045332705E-2</v>
          </cell>
        </row>
        <row r="236">
          <cell r="BN236" t="str">
            <v>1500/1/5750</v>
          </cell>
          <cell r="BO236">
            <v>0.74833595899888794</v>
          </cell>
          <cell r="BP236">
            <v>0.74436126624398713</v>
          </cell>
          <cell r="BQ236">
            <v>0.7519827592606374</v>
          </cell>
          <cell r="BR236">
            <v>0.73267503748105756</v>
          </cell>
          <cell r="BS236">
            <v>0.72773076987706209</v>
          </cell>
          <cell r="BT236">
            <v>0.68459880727952416</v>
          </cell>
          <cell r="BU236">
            <v>0.84219876988886777</v>
          </cell>
          <cell r="BV236">
            <v>0.82570523996240719</v>
          </cell>
          <cell r="BY236" t="str">
            <v>1500/0.8/4000</v>
          </cell>
          <cell r="BZ236">
            <v>2.2262771511748047E-2</v>
          </cell>
          <cell r="CA236">
            <v>2.1754217692488087E-2</v>
          </cell>
        </row>
        <row r="237">
          <cell r="BN237" t="str">
            <v>1500/1/6000</v>
          </cell>
          <cell r="BO237">
            <v>0.74833269562033644</v>
          </cell>
          <cell r="BP237">
            <v>0.74409388218608297</v>
          </cell>
          <cell r="BQ237">
            <v>0.75194812505623332</v>
          </cell>
          <cell r="BR237">
            <v>0.73240765171281386</v>
          </cell>
          <cell r="BS237">
            <v>0.72758183160411249</v>
          </cell>
          <cell r="BT237">
            <v>0.68459880727952416</v>
          </cell>
          <cell r="BU237">
            <v>0.84187771134794243</v>
          </cell>
          <cell r="BV237">
            <v>0.82570523996240719</v>
          </cell>
          <cell r="BY237" t="str">
            <v>1500/0.8/4250</v>
          </cell>
          <cell r="BZ237">
            <v>2.2181641532717511E-2</v>
          </cell>
          <cell r="CA237">
            <v>2.1668283662085508E-2</v>
          </cell>
        </row>
        <row r="238">
          <cell r="BN238" t="str">
            <v>1500/1/6250</v>
          </cell>
          <cell r="BO238">
            <v>0.74833269562033644</v>
          </cell>
          <cell r="BP238">
            <v>0.74392885659189945</v>
          </cell>
          <cell r="BQ238">
            <v>0.75194349831888585</v>
          </cell>
          <cell r="BR238">
            <v>0.73215369520016116</v>
          </cell>
          <cell r="BS238">
            <v>0.72746965181933088</v>
          </cell>
          <cell r="BT238">
            <v>0.68459880727952416</v>
          </cell>
          <cell r="BU238">
            <v>0.84187771134794243</v>
          </cell>
          <cell r="BV238">
            <v>0.82570523996240719</v>
          </cell>
          <cell r="BY238" t="str">
            <v>1500/0.8/4500</v>
          </cell>
          <cell r="BZ238">
            <v>2.2100511553686975E-2</v>
          </cell>
          <cell r="CA238">
            <v>2.1582349631682929E-2</v>
          </cell>
        </row>
        <row r="239">
          <cell r="BN239" t="str">
            <v>1500/1/6350</v>
          </cell>
          <cell r="BO239">
            <v>0.74833269562033644</v>
          </cell>
          <cell r="BP239">
            <v>0.74386508921417938</v>
          </cell>
          <cell r="BQ239">
            <v>0.75194164763837523</v>
          </cell>
          <cell r="BR239">
            <v>0.73208992772766435</v>
          </cell>
          <cell r="BS239">
            <v>0.72742444674652851</v>
          </cell>
          <cell r="BT239">
            <v>0.68459880727952416</v>
          </cell>
          <cell r="BU239">
            <v>0.84187771134794243</v>
          </cell>
          <cell r="BV239">
            <v>0.82570523996240719</v>
          </cell>
          <cell r="BY239" t="str">
            <v>1500/0.8/4750</v>
          </cell>
          <cell r="BZ239">
            <v>2.2019313567107179E-2</v>
          </cell>
          <cell r="CA239">
            <v>2.1505894058753916E-2</v>
          </cell>
        </row>
        <row r="240">
          <cell r="BN240" t="str">
            <v>1500/1/6600</v>
          </cell>
          <cell r="BO240">
            <v>0.74833269562033644</v>
          </cell>
          <cell r="BP240">
            <v>0.74370567193140757</v>
          </cell>
          <cell r="BQ240">
            <v>0.75193702097316872</v>
          </cell>
          <cell r="BR240">
            <v>0.73193051019930933</v>
          </cell>
          <cell r="BS240">
            <v>0.72732829041835667</v>
          </cell>
          <cell r="BT240">
            <v>0.68459880727952416</v>
          </cell>
          <cell r="BU240">
            <v>0.84187771134794243</v>
          </cell>
          <cell r="BV240">
            <v>0.82570523996240719</v>
          </cell>
          <cell r="BY240" t="str">
            <v>1500/0.8/5000</v>
          </cell>
          <cell r="BZ240">
            <v>2.1938115580527384E-2</v>
          </cell>
          <cell r="CA240">
            <v>2.1429438485824903E-2</v>
          </cell>
        </row>
        <row r="241">
          <cell r="BN241" t="str">
            <v>1500/1/6850</v>
          </cell>
          <cell r="BO241">
            <v>0.74833269562033644</v>
          </cell>
          <cell r="BP241">
            <v>0.74354625630795901</v>
          </cell>
          <cell r="BQ241">
            <v>0.75193414029628225</v>
          </cell>
          <cell r="BR241">
            <v>0.7317710943179383</v>
          </cell>
          <cell r="BS241">
            <v>0.72725375790132274</v>
          </cell>
          <cell r="BT241">
            <v>0.68459880727952416</v>
          </cell>
          <cell r="BU241">
            <v>0.84187771134794243</v>
          </cell>
          <cell r="BV241">
            <v>0.82570523996240719</v>
          </cell>
          <cell r="BY241" t="str">
            <v>1500/0.8/5250</v>
          </cell>
          <cell r="BZ241">
            <v>2.187485631303776E-2</v>
          </cell>
          <cell r="CA241">
            <v>2.1368204617489672E-2</v>
          </cell>
        </row>
        <row r="242">
          <cell r="BN242" t="str">
            <v>1500/1/7500</v>
          </cell>
          <cell r="BO242">
            <v>0.74833269562033644</v>
          </cell>
          <cell r="BP242">
            <v>0.74323586243471407</v>
          </cell>
          <cell r="BQ242">
            <v>0.75193414029628225</v>
          </cell>
          <cell r="BR242">
            <v>0.73135971711854109</v>
          </cell>
          <cell r="BS242">
            <v>0.72708954446986518</v>
          </cell>
          <cell r="BT242">
            <v>0.68459880727952416</v>
          </cell>
          <cell r="BU242">
            <v>0.84187771134794243</v>
          </cell>
          <cell r="BV242">
            <v>0.82570523996240719</v>
          </cell>
          <cell r="BY242" t="str">
            <v>1500/0.8/5500</v>
          </cell>
          <cell r="BZ242">
            <v>2.1811597045548137E-2</v>
          </cell>
          <cell r="CA242">
            <v>2.1306970749154441E-2</v>
          </cell>
        </row>
        <row r="243">
          <cell r="BN243" t="str">
            <v>1500/1/10000</v>
          </cell>
          <cell r="BO243">
            <v>0.74833269562033644</v>
          </cell>
          <cell r="BP243">
            <v>0.74273408006098129</v>
          </cell>
          <cell r="BQ243">
            <v>0.75193414029628225</v>
          </cell>
          <cell r="BR243">
            <v>0.73079907535886646</v>
          </cell>
          <cell r="BS243">
            <v>0.72677371104318944</v>
          </cell>
          <cell r="BT243">
            <v>0.68459880727952416</v>
          </cell>
          <cell r="BU243">
            <v>0.84187771134794243</v>
          </cell>
          <cell r="BV243">
            <v>0.82570523996240719</v>
          </cell>
          <cell r="BY243" t="str">
            <v>1500/0.8/5750</v>
          </cell>
          <cell r="BZ243">
            <v>2.1753928619536955E-2</v>
          </cell>
          <cell r="CA243">
            <v>2.1247884582923593E-2</v>
          </cell>
        </row>
        <row r="244">
          <cell r="BN244" t="str">
            <v>1500/1/99999</v>
          </cell>
          <cell r="BO244">
            <v>0.74833269562033644</v>
          </cell>
          <cell r="BP244">
            <v>0.74213719114142263</v>
          </cell>
          <cell r="BQ244">
            <v>0.75193414029628225</v>
          </cell>
          <cell r="BR244">
            <v>0.73004146511426915</v>
          </cell>
          <cell r="BS244">
            <v>0.726379761917061</v>
          </cell>
          <cell r="BT244">
            <v>0.68459880727952416</v>
          </cell>
          <cell r="BU244">
            <v>0.84187771134794243</v>
          </cell>
          <cell r="BV244">
            <v>0.82570523996240719</v>
          </cell>
          <cell r="BY244" t="str">
            <v>1500/0.8/6000</v>
          </cell>
          <cell r="BZ244">
            <v>2.1696260193525774E-2</v>
          </cell>
          <cell r="CA244">
            <v>2.1188798416692745E-2</v>
          </cell>
        </row>
        <row r="245">
          <cell r="BY245" t="str">
            <v>1500/0.8/6250</v>
          </cell>
          <cell r="BZ245">
            <v>2.1638862475979126E-2</v>
          </cell>
          <cell r="CA245">
            <v>2.1142230514211491E-2</v>
          </cell>
        </row>
        <row r="246">
          <cell r="BN246" t="str">
            <v>1750/1/1750</v>
          </cell>
          <cell r="BT246">
            <v>0.69706089851594211</v>
          </cell>
          <cell r="BU246">
            <v>0.88242152418935638</v>
          </cell>
          <cell r="BV246">
            <v>0.86088392709712513</v>
          </cell>
          <cell r="BY246" t="str">
            <v>1500/0.8/6350</v>
          </cell>
          <cell r="BZ246">
            <v>2.1620171940525346E-2</v>
          </cell>
          <cell r="CA246">
            <v>2.1124276079426796E-2</v>
          </cell>
        </row>
        <row r="247">
          <cell r="BN247" t="str">
            <v>1750/1/2000</v>
          </cell>
          <cell r="BO247">
            <v>0.79870692734463078</v>
          </cell>
          <cell r="BP247">
            <v>0.81273767658155704</v>
          </cell>
          <cell r="BQ247">
            <v>0.81394140052447361</v>
          </cell>
          <cell r="BR247">
            <v>0.7994941107345821</v>
          </cell>
          <cell r="BS247">
            <v>0.78741055005281335</v>
          </cell>
          <cell r="BT247">
            <v>0.67906422736341987</v>
          </cell>
          <cell r="BU247">
            <v>0.85726176156551281</v>
          </cell>
          <cell r="BV247">
            <v>0.8340026516850908</v>
          </cell>
          <cell r="BY247" t="str">
            <v>1500/0.8/6600</v>
          </cell>
          <cell r="BZ247">
            <v>2.1576644820999524E-2</v>
          </cell>
          <cell r="CA247">
            <v>2.1079115265798531E-2</v>
          </cell>
        </row>
        <row r="248">
          <cell r="BN248" t="str">
            <v>1750/1/2250</v>
          </cell>
          <cell r="BO248">
            <v>0.7773362679268252</v>
          </cell>
          <cell r="BP248">
            <v>0.79337627863570592</v>
          </cell>
          <cell r="BQ248">
            <v>0.79356570501779666</v>
          </cell>
          <cell r="BR248">
            <v>0.77799632376477268</v>
          </cell>
          <cell r="BS248">
            <v>0.76527810790632711</v>
          </cell>
          <cell r="BT248">
            <v>0.66801610217264273</v>
          </cell>
          <cell r="BU248">
            <v>0.84129930374342865</v>
          </cell>
          <cell r="BV248">
            <v>0.81790568751996573</v>
          </cell>
          <cell r="BY248" t="str">
            <v>1500/0.8/6850</v>
          </cell>
          <cell r="BZ248">
            <v>2.1533101516477471E-2</v>
          </cell>
          <cell r="CA248">
            <v>2.1033561985503324E-2</v>
          </cell>
        </row>
        <row r="249">
          <cell r="BN249" t="str">
            <v>1750/1/2500</v>
          </cell>
          <cell r="BO249">
            <v>0.7614051848079878</v>
          </cell>
          <cell r="BP249">
            <v>0.77289133274115795</v>
          </cell>
          <cell r="BQ249">
            <v>0.77207209855859293</v>
          </cell>
          <cell r="BR249">
            <v>0.75835385846862036</v>
          </cell>
          <cell r="BS249">
            <v>0.74747375261488136</v>
          </cell>
          <cell r="BT249">
            <v>0.66613878570194007</v>
          </cell>
          <cell r="BU249">
            <v>0.83224150154027854</v>
          </cell>
          <cell r="BV249">
            <v>0.80943135638885932</v>
          </cell>
          <cell r="BY249" t="str">
            <v>1500/0.8/7500</v>
          </cell>
          <cell r="BZ249">
            <v>2.142196164025556E-2</v>
          </cell>
          <cell r="CA249">
            <v>2.092739353471762E-2</v>
          </cell>
        </row>
        <row r="250">
          <cell r="BN250" t="str">
            <v>1750/1/2750</v>
          </cell>
          <cell r="BO250">
            <v>0.74883397234587434</v>
          </cell>
          <cell r="BP250">
            <v>0.75751038889268563</v>
          </cell>
          <cell r="BQ250">
            <v>0.75805483110987715</v>
          </cell>
          <cell r="BR250">
            <v>0.74313059936275638</v>
          </cell>
          <cell r="BS250">
            <v>0.73313626253981257</v>
          </cell>
          <cell r="BT250">
            <v>0.66426146923123752</v>
          </cell>
          <cell r="BU250">
            <v>0.82665354402187519</v>
          </cell>
          <cell r="BV250">
            <v>0.80477475203005167</v>
          </cell>
          <cell r="BY250" t="str">
            <v>1500/0.8/8000</v>
          </cell>
          <cell r="BZ250">
            <v>2.135241421468792E-2</v>
          </cell>
          <cell r="CA250">
            <v>2.0855205539172861E-2</v>
          </cell>
        </row>
        <row r="251">
          <cell r="BN251" t="str">
            <v>1750/1/3000</v>
          </cell>
          <cell r="BO251">
            <v>0.74500750257610082</v>
          </cell>
          <cell r="BP251">
            <v>0.75176799162705621</v>
          </cell>
          <cell r="BQ251">
            <v>0.75336631123232722</v>
          </cell>
          <cell r="BR251">
            <v>0.73738024086555243</v>
          </cell>
          <cell r="BS251">
            <v>0.72782178425152932</v>
          </cell>
          <cell r="BT251">
            <v>0.66349183058449457</v>
          </cell>
          <cell r="BU251">
            <v>0.8233347685686776</v>
          </cell>
          <cell r="BV251">
            <v>0.80249360877848996</v>
          </cell>
          <cell r="BY251" t="str">
            <v>1500/0.8/9000</v>
          </cell>
          <cell r="BZ251">
            <v>2.1213164495375247E-2</v>
          </cell>
          <cell r="CA251">
            <v>2.072907455962758E-2</v>
          </cell>
        </row>
        <row r="252">
          <cell r="BN252" t="str">
            <v>1750/1/3250</v>
          </cell>
          <cell r="BO252">
            <v>0.74224628935541448</v>
          </cell>
          <cell r="BP252">
            <v>0.74770889104777727</v>
          </cell>
          <cell r="BQ252">
            <v>0.75016266398630116</v>
          </cell>
          <cell r="BR252">
            <v>0.73325758913622985</v>
          </cell>
          <cell r="BS252">
            <v>0.72472388485241823</v>
          </cell>
          <cell r="BT252">
            <v>0.66300076841943278</v>
          </cell>
          <cell r="BU252">
            <v>0.82189696936914614</v>
          </cell>
          <cell r="BV252">
            <v>0.80136793746201773</v>
          </cell>
          <cell r="BY252" t="str">
            <v>1500/0.8/10000</v>
          </cell>
          <cell r="BZ252">
            <v>2.1111045391625005E-2</v>
          </cell>
          <cell r="CA252">
            <v>2.0633291002316145E-2</v>
          </cell>
        </row>
        <row r="253">
          <cell r="BN253" t="str">
            <v>1750/1/3500</v>
          </cell>
          <cell r="BO253">
            <v>0.73948507613472825</v>
          </cell>
          <cell r="BP253">
            <v>0.74364979046849833</v>
          </cell>
          <cell r="BQ253">
            <v>0.74695901674027509</v>
          </cell>
          <cell r="BR253">
            <v>0.72913493740690727</v>
          </cell>
          <cell r="BS253">
            <v>0.72162598545330714</v>
          </cell>
          <cell r="BT253">
            <v>0.66250970625437111</v>
          </cell>
          <cell r="BU253">
            <v>0.82045917016961467</v>
          </cell>
          <cell r="BV253">
            <v>0.80024226614554561</v>
          </cell>
          <cell r="BY253" t="str">
            <v>1500/0.8/99999</v>
          </cell>
          <cell r="BZ253">
            <v>1.9730555989195819E-2</v>
          </cell>
          <cell r="CA253">
            <v>1.9558450370722458E-2</v>
          </cell>
        </row>
        <row r="254">
          <cell r="BN254" t="str">
            <v>1750/1/3750</v>
          </cell>
          <cell r="BO254">
            <v>0.7378355789589548</v>
          </cell>
          <cell r="BP254">
            <v>0.74119581761204945</v>
          </cell>
          <cell r="BQ254">
            <v>0.74504558444210045</v>
          </cell>
          <cell r="BR254">
            <v>0.7267351094901443</v>
          </cell>
          <cell r="BS254">
            <v>0.71997140787004699</v>
          </cell>
          <cell r="BT254">
            <v>0.66238001892009857</v>
          </cell>
          <cell r="BU254">
            <v>0.81976130103153089</v>
          </cell>
          <cell r="BV254">
            <v>0.79939199406377504</v>
          </cell>
          <cell r="BY254" t="str">
            <v>1750/0.8/2000</v>
          </cell>
          <cell r="BZ254">
            <v>2.3423847155657818E-2</v>
          </cell>
          <cell r="CA254">
            <v>2.2927042983967416E-2</v>
          </cell>
        </row>
        <row r="255">
          <cell r="BN255" t="str">
            <v>1750/1/4000</v>
          </cell>
          <cell r="BO255">
            <v>0.73618608178318135</v>
          </cell>
          <cell r="BP255">
            <v>0.73874184475560067</v>
          </cell>
          <cell r="BQ255">
            <v>0.74313215214392569</v>
          </cell>
          <cell r="BR255">
            <v>0.72433528157338134</v>
          </cell>
          <cell r="BS255">
            <v>0.71831683028678683</v>
          </cell>
          <cell r="BT255">
            <v>0.66225033158582591</v>
          </cell>
          <cell r="BU255">
            <v>0.8190634318934471</v>
          </cell>
          <cell r="BV255">
            <v>0.79854172198200435</v>
          </cell>
          <cell r="BY255" t="str">
            <v>1750/0.8/2250</v>
          </cell>
          <cell r="BZ255">
            <v>2.3148991674404096E-2</v>
          </cell>
          <cell r="CA255">
            <v>2.2611485464476999E-2</v>
          </cell>
        </row>
        <row r="256">
          <cell r="BN256" t="str">
            <v>1750/1/4250</v>
          </cell>
          <cell r="BO256">
            <v>0.73515004912546367</v>
          </cell>
          <cell r="BP256">
            <v>0.73719805233500935</v>
          </cell>
          <cell r="BQ256">
            <v>0.74194972191911046</v>
          </cell>
          <cell r="BR256">
            <v>0.72318105255187726</v>
          </cell>
          <cell r="BS256">
            <v>0.71731990257877043</v>
          </cell>
          <cell r="BT256">
            <v>0.66221910114546456</v>
          </cell>
          <cell r="BU256">
            <v>0.8184273734060703</v>
          </cell>
          <cell r="BV256">
            <v>0.79768377388764966</v>
          </cell>
          <cell r="BY256" t="str">
            <v>1750/0.8/2500</v>
          </cell>
          <cell r="BZ256">
            <v>2.2923219652081439E-2</v>
          </cell>
          <cell r="CA256">
            <v>2.2356519315070544E-2</v>
          </cell>
        </row>
        <row r="257">
          <cell r="BN257" t="str">
            <v>1750/1/4500</v>
          </cell>
          <cell r="BO257">
            <v>0.73411401646774599</v>
          </cell>
          <cell r="BP257">
            <v>0.73565425991441802</v>
          </cell>
          <cell r="BQ257">
            <v>0.74076729169429534</v>
          </cell>
          <cell r="BR257">
            <v>0.72202682353037317</v>
          </cell>
          <cell r="BS257">
            <v>0.71632297487075414</v>
          </cell>
          <cell r="BT257">
            <v>0.66218787070510321</v>
          </cell>
          <cell r="BU257">
            <v>0.81779131491869361</v>
          </cell>
          <cell r="BV257">
            <v>0.79682582579329497</v>
          </cell>
          <cell r="BY257" t="str">
            <v>1750/0.8/2750</v>
          </cell>
          <cell r="BZ257">
            <v>2.2731433841401749E-2</v>
          </cell>
          <cell r="CA257">
            <v>2.213718071572468E-2</v>
          </cell>
        </row>
        <row r="258">
          <cell r="BN258" t="str">
            <v>1750/1/4750</v>
          </cell>
          <cell r="BO258">
            <v>0.73356355196659762</v>
          </cell>
          <cell r="BP258">
            <v>0.73465454138856634</v>
          </cell>
          <cell r="BQ258">
            <v>0.74000131367275057</v>
          </cell>
          <cell r="BR258">
            <v>0.72129809929660349</v>
          </cell>
          <cell r="BS258">
            <v>0.71569195219835402</v>
          </cell>
          <cell r="BT258">
            <v>0.66217846659010893</v>
          </cell>
          <cell r="BU258">
            <v>0.81715753842215744</v>
          </cell>
          <cell r="BV258">
            <v>0.79637617428612462</v>
          </cell>
          <cell r="BY258" t="str">
            <v>1750/0.8/3000</v>
          </cell>
          <cell r="BZ258">
            <v>2.2563872524624218E-2</v>
          </cell>
          <cell r="CA258">
            <v>2.1947742532416381E-2</v>
          </cell>
        </row>
        <row r="259">
          <cell r="BN259" t="str">
            <v>1750/1/5000</v>
          </cell>
          <cell r="BO259">
            <v>0.73301308746544924</v>
          </cell>
          <cell r="BP259">
            <v>0.73365482286271455</v>
          </cell>
          <cell r="BQ259">
            <v>0.73923533565120592</v>
          </cell>
          <cell r="BR259">
            <v>0.72056937506283381</v>
          </cell>
          <cell r="BS259">
            <v>0.71506092952595379</v>
          </cell>
          <cell r="BT259">
            <v>0.66216906247511476</v>
          </cell>
          <cell r="BU259">
            <v>0.81652376192562137</v>
          </cell>
          <cell r="BV259">
            <v>0.79592652277895437</v>
          </cell>
          <cell r="BY259" t="str">
            <v>1750/0.8/3250</v>
          </cell>
          <cell r="BZ259">
            <v>2.2422472163762031E-2</v>
          </cell>
          <cell r="CA259">
            <v>2.1794111147774964E-2</v>
          </cell>
        </row>
        <row r="260">
          <cell r="BN260" t="str">
            <v>1750/1/5250</v>
          </cell>
          <cell r="BO260">
            <v>0.73265346386080388</v>
          </cell>
          <cell r="BP260">
            <v>0.73294497872207665</v>
          </cell>
          <cell r="BQ260">
            <v>0.73872355975850956</v>
          </cell>
          <cell r="BR260">
            <v>0.71999752787548421</v>
          </cell>
          <cell r="BS260">
            <v>0.71461553858033477</v>
          </cell>
          <cell r="BT260">
            <v>0.66216582614068431</v>
          </cell>
          <cell r="BU260">
            <v>0.81589313436811994</v>
          </cell>
          <cell r="BV260">
            <v>0.79563129111189956</v>
          </cell>
          <cell r="BY260" t="str">
            <v>1750/0.8/3500</v>
          </cell>
          <cell r="BZ260">
            <v>2.2281071802899843E-2</v>
          </cell>
          <cell r="CA260">
            <v>2.1640479763133547E-2</v>
          </cell>
        </row>
        <row r="261">
          <cell r="BN261" t="str">
            <v>1750/1/5500</v>
          </cell>
          <cell r="BO261">
            <v>0.73229384025615851</v>
          </cell>
          <cell r="BP261">
            <v>0.73223513458143874</v>
          </cell>
          <cell r="BQ261">
            <v>0.73821178386581332</v>
          </cell>
          <cell r="BR261">
            <v>0.71942568068813451</v>
          </cell>
          <cell r="BS261">
            <v>0.71417014763471576</v>
          </cell>
          <cell r="BT261">
            <v>0.66216258980625387</v>
          </cell>
          <cell r="BU261">
            <v>0.8152625068106184</v>
          </cell>
          <cell r="BV261">
            <v>0.79533605944484476</v>
          </cell>
          <cell r="BY261" t="str">
            <v>1750/0.8/3750</v>
          </cell>
          <cell r="BZ261">
            <v>2.2157823365555829E-2</v>
          </cell>
          <cell r="CA261">
            <v>2.1517249792204596E-2</v>
          </cell>
        </row>
        <row r="262">
          <cell r="BN262" t="str">
            <v>1750/1/5750</v>
          </cell>
          <cell r="BO262">
            <v>0.73211171683986875</v>
          </cell>
          <cell r="BP262">
            <v>0.73179025854889312</v>
          </cell>
          <cell r="BQ262">
            <v>0.73796780820457486</v>
          </cell>
          <cell r="BR262">
            <v>0.71910388545909742</v>
          </cell>
          <cell r="BS262">
            <v>0.71391469194530432</v>
          </cell>
          <cell r="BT262">
            <v>0.66216097163903842</v>
          </cell>
          <cell r="BU262">
            <v>0.81463141927703275</v>
          </cell>
          <cell r="BV262">
            <v>0.79519123799860858</v>
          </cell>
          <cell r="BY262" t="str">
            <v>1750/0.8/4000</v>
          </cell>
          <cell r="BZ262">
            <v>2.2034574928211814E-2</v>
          </cell>
          <cell r="CA262">
            <v>2.1394019821275645E-2</v>
          </cell>
        </row>
        <row r="263">
          <cell r="BN263" t="str">
            <v>1750/1/6000</v>
          </cell>
          <cell r="BO263">
            <v>0.73192959342357911</v>
          </cell>
          <cell r="BP263">
            <v>0.73134538251634762</v>
          </cell>
          <cell r="BQ263">
            <v>0.73772383254333629</v>
          </cell>
          <cell r="BR263">
            <v>0.71878209023006046</v>
          </cell>
          <cell r="BS263">
            <v>0.713659236255893</v>
          </cell>
          <cell r="BT263">
            <v>0.66215935347182309</v>
          </cell>
          <cell r="BU263">
            <v>0.81400033174344699</v>
          </cell>
          <cell r="BV263">
            <v>0.79504641655237229</v>
          </cell>
          <cell r="BY263" t="str">
            <v>1750/0.8/4250</v>
          </cell>
          <cell r="BZ263">
            <v>2.1939883582786424E-2</v>
          </cell>
          <cell r="CA263">
            <v>2.1301195888773106E-2</v>
          </cell>
        </row>
        <row r="264">
          <cell r="BN264" t="str">
            <v>1750/1/6250</v>
          </cell>
          <cell r="BO264">
            <v>0.73192771386619049</v>
          </cell>
          <cell r="BP264">
            <v>0.7310779981647858</v>
          </cell>
          <cell r="BQ264">
            <v>0.73769582788002186</v>
          </cell>
          <cell r="BR264">
            <v>0.71858795767399586</v>
          </cell>
          <cell r="BS264">
            <v>0.71355841720796398</v>
          </cell>
          <cell r="BT264">
            <v>0.66215935347182309</v>
          </cell>
          <cell r="BU264">
            <v>0.81384324978381473</v>
          </cell>
          <cell r="BV264">
            <v>0.79504641655237229</v>
          </cell>
          <cell r="BY264" t="str">
            <v>1750/0.8/4500</v>
          </cell>
          <cell r="BZ264">
            <v>2.1845192237361033E-2</v>
          </cell>
          <cell r="CA264">
            <v>2.1208371956270566E-2</v>
          </cell>
        </row>
        <row r="265">
          <cell r="BN265" t="str">
            <v>1750/1/6350</v>
          </cell>
          <cell r="BO265">
            <v>0.73192771386619049</v>
          </cell>
          <cell r="BP265">
            <v>0.73100961276911658</v>
          </cell>
          <cell r="BQ265">
            <v>0.73769397717678808</v>
          </cell>
          <cell r="BR265">
            <v>0.71851031002919019</v>
          </cell>
          <cell r="BS265">
            <v>0.71352620344560092</v>
          </cell>
          <cell r="BT265">
            <v>0.66215935347182309</v>
          </cell>
          <cell r="BU265">
            <v>0.81384324978381473</v>
          </cell>
          <cell r="BV265">
            <v>0.79504641655237229</v>
          </cell>
          <cell r="BY265" t="str">
            <v>1750/0.8/4750</v>
          </cell>
          <cell r="BZ265">
            <v>2.1764112680886738E-2</v>
          </cell>
          <cell r="CA265">
            <v>2.1131507548259765E-2</v>
          </cell>
        </row>
        <row r="266">
          <cell r="BN266" t="str">
            <v>1750/1/6600</v>
          </cell>
          <cell r="BO266">
            <v>0.73192771386619049</v>
          </cell>
          <cell r="BP266">
            <v>0.73085019367689263</v>
          </cell>
          <cell r="BQ266">
            <v>0.7376893504544606</v>
          </cell>
          <cell r="BR266">
            <v>0.71834802921436569</v>
          </cell>
          <cell r="BS266">
            <v>0.71344450751617794</v>
          </cell>
          <cell r="BT266">
            <v>0.66215935347182309</v>
          </cell>
          <cell r="BU266">
            <v>0.81384324978381473</v>
          </cell>
          <cell r="BV266">
            <v>0.79504641655237229</v>
          </cell>
          <cell r="BY266" t="str">
            <v>1750/0.8/5000</v>
          </cell>
          <cell r="BZ266">
            <v>2.1683033124412443E-2</v>
          </cell>
          <cell r="CA266">
            <v>2.1054643140248963E-2</v>
          </cell>
        </row>
        <row r="267">
          <cell r="BN267" t="str">
            <v>1750/1/6850</v>
          </cell>
          <cell r="BO267">
            <v>0.73192771386619049</v>
          </cell>
          <cell r="BP267">
            <v>0.73069077623071743</v>
          </cell>
          <cell r="BQ267">
            <v>0.73768472378321304</v>
          </cell>
          <cell r="BR267">
            <v>0.71823228571979814</v>
          </cell>
          <cell r="BS267">
            <v>0.71337102840956212</v>
          </cell>
          <cell r="BT267">
            <v>0.66215935347182309</v>
          </cell>
          <cell r="BU267">
            <v>0.81384324978381473</v>
          </cell>
          <cell r="BV267">
            <v>0.79504641655237229</v>
          </cell>
          <cell r="BY267" t="str">
            <v>1750/0.8/5250</v>
          </cell>
          <cell r="BZ267">
            <v>2.1610211569921822E-2</v>
          </cell>
          <cell r="CA267">
            <v>2.0987434855987197E-2</v>
          </cell>
        </row>
        <row r="268">
          <cell r="BN268" t="str">
            <v>1750/1/7500</v>
          </cell>
          <cell r="BO268">
            <v>0.73192771386619049</v>
          </cell>
          <cell r="BP268">
            <v>0.73029617116132262</v>
          </cell>
          <cell r="BQ268">
            <v>0.73768188291756598</v>
          </cell>
          <cell r="BR268">
            <v>0.71793135817364906</v>
          </cell>
          <cell r="BS268">
            <v>0.71322992900930748</v>
          </cell>
          <cell r="BT268">
            <v>0.66215935347182309</v>
          </cell>
          <cell r="BU268">
            <v>0.81384324978381473</v>
          </cell>
          <cell r="BV268">
            <v>0.79504641655237229</v>
          </cell>
          <cell r="BY268" t="str">
            <v>1750/0.8/5500</v>
          </cell>
          <cell r="BZ268">
            <v>2.1537390015431201E-2</v>
          </cell>
          <cell r="CA268">
            <v>2.0920226571725431E-2</v>
          </cell>
        </row>
        <row r="269">
          <cell r="BN269" t="str">
            <v>1750/1/10000</v>
          </cell>
          <cell r="BO269">
            <v>0.73192771386619049</v>
          </cell>
          <cell r="BP269">
            <v>0.72976044800162698</v>
          </cell>
          <cell r="BQ269">
            <v>0.73768188291756598</v>
          </cell>
          <cell r="BR269">
            <v>0.71742305161021624</v>
          </cell>
          <cell r="BS269">
            <v>0.71297240149412899</v>
          </cell>
          <cell r="BT269">
            <v>0.66215935347182309</v>
          </cell>
          <cell r="BU269">
            <v>0.81384324978381473</v>
          </cell>
          <cell r="BV269">
            <v>0.79504641655237229</v>
          </cell>
          <cell r="BY269" t="str">
            <v>1750/0.8/5750</v>
          </cell>
          <cell r="BZ269">
            <v>2.1479720468503105E-2</v>
          </cell>
          <cell r="CA269">
            <v>2.0858705004088374E-2</v>
          </cell>
        </row>
        <row r="270">
          <cell r="BN270" t="str">
            <v>1750/1/99999</v>
          </cell>
          <cell r="BO270">
            <v>0.73192771386619049</v>
          </cell>
          <cell r="BP270">
            <v>0.729125174615044</v>
          </cell>
          <cell r="BQ270">
            <v>0.73768188291756598</v>
          </cell>
          <cell r="BR270">
            <v>0.71682773588949422</v>
          </cell>
          <cell r="BS270">
            <v>0.71266418825599698</v>
          </cell>
          <cell r="BT270">
            <v>0.66215935347182309</v>
          </cell>
          <cell r="BU270">
            <v>0.81384324978381473</v>
          </cell>
          <cell r="BV270">
            <v>0.79504641655237229</v>
          </cell>
          <cell r="BY270" t="str">
            <v>1750/0.8/6000</v>
          </cell>
          <cell r="BZ270">
            <v>2.1422050921575009E-2</v>
          </cell>
          <cell r="CA270">
            <v>2.0797183436451316E-2</v>
          </cell>
        </row>
        <row r="271">
          <cell r="BY271" t="str">
            <v>1750/0.8/6250</v>
          </cell>
          <cell r="BZ271">
            <v>2.1364471272756314E-2</v>
          </cell>
          <cell r="CA271">
            <v>2.0743696965923819E-2</v>
          </cell>
        </row>
        <row r="272">
          <cell r="BN272" t="str">
            <v>2000/1/2000</v>
          </cell>
          <cell r="BT272">
            <v>0.67798015911959819</v>
          </cell>
          <cell r="BU272">
            <v>0.85636613095380121</v>
          </cell>
          <cell r="BV272">
            <v>0.83257439565934188</v>
          </cell>
          <cell r="BY272" t="str">
            <v>1750/0.8/6350</v>
          </cell>
          <cell r="BZ272">
            <v>2.1341512978885646E-2</v>
          </cell>
          <cell r="CA272">
            <v>2.0724906478950533E-2</v>
          </cell>
        </row>
        <row r="273">
          <cell r="BN273" t="str">
            <v>2000/1/2250</v>
          </cell>
          <cell r="BO273">
            <v>0.78198670440518703</v>
          </cell>
          <cell r="BP273">
            <v>0.79948613914151634</v>
          </cell>
          <cell r="BQ273">
            <v>0.79898757677156818</v>
          </cell>
          <cell r="BR273">
            <v>0.78284948527753484</v>
          </cell>
          <cell r="BS273">
            <v>0.76854073754241525</v>
          </cell>
          <cell r="BT273">
            <v>0.65802030868612194</v>
          </cell>
          <cell r="BU273">
            <v>0.8295831681518463</v>
          </cell>
          <cell r="BV273">
            <v>0.80346933850545432</v>
          </cell>
          <cell r="BY273" t="str">
            <v>1750/0.8/6600</v>
          </cell>
          <cell r="BZ273">
            <v>2.1291008064813877E-2</v>
          </cell>
          <cell r="CA273">
            <v>2.0680065936107273E-2</v>
          </cell>
        </row>
        <row r="274">
          <cell r="BN274" t="str">
            <v>2000/1/2500</v>
          </cell>
          <cell r="BO274">
            <v>0.76152097463027935</v>
          </cell>
          <cell r="BP274">
            <v>0.78115155906712463</v>
          </cell>
          <cell r="BQ274">
            <v>0.77960417599853082</v>
          </cell>
          <cell r="BR274">
            <v>0.7623063509986796</v>
          </cell>
          <cell r="BS274">
            <v>0.74711357138799828</v>
          </cell>
          <cell r="BT274">
            <v>0.64718173507948507</v>
          </cell>
          <cell r="BU274">
            <v>0.8140534641095355</v>
          </cell>
          <cell r="BV274">
            <v>0.78790147377737885</v>
          </cell>
          <cell r="BY274" t="str">
            <v>1750/0.8/6850</v>
          </cell>
          <cell r="BZ274">
            <v>2.1247477564865225E-2</v>
          </cell>
          <cell r="CA274">
            <v>2.0634832926597513E-2</v>
          </cell>
        </row>
        <row r="275">
          <cell r="BN275" t="str">
            <v>2000/1/2750</v>
          </cell>
          <cell r="BO275">
            <v>0.74561741713803653</v>
          </cell>
          <cell r="BP275">
            <v>0.76072972619827472</v>
          </cell>
          <cell r="BQ275">
            <v>0.7582724532349937</v>
          </cell>
          <cell r="BR275">
            <v>0.74278264102571812</v>
          </cell>
          <cell r="BS275">
            <v>0.7294924314378991</v>
          </cell>
          <cell r="BT275">
            <v>0.6453400259750619</v>
          </cell>
          <cell r="BU275">
            <v>0.80531189588719887</v>
          </cell>
          <cell r="BV275">
            <v>0.77980114034697523</v>
          </cell>
          <cell r="BY275" t="str">
            <v>1750/0.8/7500</v>
          </cell>
          <cell r="BZ275">
            <v>2.1134222442587669E-2</v>
          </cell>
          <cell r="CA275">
            <v>2.0521138413619022E-2</v>
          </cell>
        </row>
        <row r="276">
          <cell r="BN276" t="str">
            <v>2000/1/3000</v>
          </cell>
          <cell r="BO276">
            <v>0.73314426918122622</v>
          </cell>
          <cell r="BP276">
            <v>0.7454204555001076</v>
          </cell>
          <cell r="BQ276">
            <v>0.74434209598466949</v>
          </cell>
          <cell r="BR276">
            <v>0.72766922721239891</v>
          </cell>
          <cell r="BS276">
            <v>0.7179410521078855</v>
          </cell>
          <cell r="BT276">
            <v>0.64349831687063874</v>
          </cell>
          <cell r="BU276">
            <v>0.7998916684595081</v>
          </cell>
          <cell r="BV276">
            <v>0.77537138709074893</v>
          </cell>
          <cell r="BY276" t="str">
            <v>1750/0.8/8000</v>
          </cell>
          <cell r="BZ276">
            <v>2.1059669661541713E-2</v>
          </cell>
          <cell r="CA276">
            <v>2.0449441442029315E-2</v>
          </cell>
        </row>
        <row r="277">
          <cell r="BN277" t="str">
            <v>2000/1/3250</v>
          </cell>
          <cell r="BO277">
            <v>0.72957482361598247</v>
          </cell>
          <cell r="BP277">
            <v>0.74013205586888442</v>
          </cell>
          <cell r="BQ277">
            <v>0.74002692865768938</v>
          </cell>
          <cell r="BR277">
            <v>0.72344231825778538</v>
          </cell>
          <cell r="BS277">
            <v>0.71440965281421809</v>
          </cell>
          <cell r="BT277">
            <v>0.64274327608505821</v>
          </cell>
          <cell r="BU277">
            <v>0.79738595464847117</v>
          </cell>
          <cell r="BV277">
            <v>0.77366047739490917</v>
          </cell>
          <cell r="BY277" t="str">
            <v>1750/0.8/9000</v>
          </cell>
          <cell r="BZ277">
            <v>2.0920460412163333E-2</v>
          </cell>
          <cell r="CA277">
            <v>2.0317667519003546E-2</v>
          </cell>
        </row>
        <row r="278">
          <cell r="BN278" t="str">
            <v>2000/1/3500</v>
          </cell>
          <cell r="BO278">
            <v>0.72600537805073861</v>
          </cell>
          <cell r="BP278">
            <v>0.73484365623766135</v>
          </cell>
          <cell r="BQ278">
            <v>0.73571176133070926</v>
          </cell>
          <cell r="BR278">
            <v>0.71921540930317174</v>
          </cell>
          <cell r="BS278">
            <v>0.71087825352055078</v>
          </cell>
          <cell r="BT278">
            <v>0.64198823529947768</v>
          </cell>
          <cell r="BU278">
            <v>0.79488024083743436</v>
          </cell>
          <cell r="BV278">
            <v>0.77194956769906942</v>
          </cell>
          <cell r="BY278" t="str">
            <v>1750/0.8/10000</v>
          </cell>
          <cell r="BZ278">
            <v>2.0809845709735431E-2</v>
          </cell>
          <cell r="CA278">
            <v>2.0215871655087536E-2</v>
          </cell>
        </row>
        <row r="279">
          <cell r="BN279" t="str">
            <v>2000/1/3750</v>
          </cell>
          <cell r="BO279">
            <v>0.72437122342883797</v>
          </cell>
          <cell r="BP279">
            <v>0.7317516997618676</v>
          </cell>
          <cell r="BQ279">
            <v>0.73337159236327609</v>
          </cell>
          <cell r="BR279">
            <v>0.71694992143853531</v>
          </cell>
          <cell r="BS279">
            <v>0.70881046230044409</v>
          </cell>
          <cell r="BT279">
            <v>0.64177977986655055</v>
          </cell>
          <cell r="BU279">
            <v>0.79403201455990469</v>
          </cell>
          <cell r="BV279">
            <v>0.77105953943161554</v>
          </cell>
          <cell r="BY279" t="str">
            <v>1750/0.8/99999</v>
          </cell>
          <cell r="BZ279">
            <v>1.9409484860159809E-2</v>
          </cell>
          <cell r="CA279">
            <v>1.9128328694432373E-2</v>
          </cell>
        </row>
        <row r="280">
          <cell r="BN280" t="str">
            <v>2000/1/4000</v>
          </cell>
          <cell r="BO280">
            <v>0.72273706880693744</v>
          </cell>
          <cell r="BP280">
            <v>0.72865974328607397</v>
          </cell>
          <cell r="BQ280">
            <v>0.73103142339584293</v>
          </cell>
          <cell r="BR280">
            <v>0.71468443357389877</v>
          </cell>
          <cell r="BS280">
            <v>0.70674267108033739</v>
          </cell>
          <cell r="BT280">
            <v>0.6415713244336233</v>
          </cell>
          <cell r="BU280">
            <v>0.79318378828237512</v>
          </cell>
          <cell r="BV280">
            <v>0.77016951116416177</v>
          </cell>
          <cell r="BY280" t="str">
            <v>2000/0.8/2000</v>
          </cell>
          <cell r="BZ280">
            <v>2.3356591836130924E-2</v>
          </cell>
          <cell r="CA280">
            <v>2.2856575643096066E-2</v>
          </cell>
        </row>
        <row r="281">
          <cell r="BN281" t="str">
            <v>2000/1/4250</v>
          </cell>
          <cell r="BO281">
            <v>0.7218092457881079</v>
          </cell>
          <cell r="BP281">
            <v>0.72680395007447784</v>
          </cell>
          <cell r="BQ281">
            <v>0.72954631506820999</v>
          </cell>
          <cell r="BR281">
            <v>0.71327054723849437</v>
          </cell>
          <cell r="BS281">
            <v>0.70549861697356286</v>
          </cell>
          <cell r="BT281">
            <v>0.64152532479945257</v>
          </cell>
          <cell r="BU281">
            <v>0.79254281332939258</v>
          </cell>
          <cell r="BV281">
            <v>0.76932483160509046</v>
          </cell>
          <cell r="BY281" t="str">
            <v>2000/0.8/2250</v>
          </cell>
          <cell r="BZ281">
            <v>2.3069473301126076E-2</v>
          </cell>
          <cell r="CA281">
            <v>2.2451741218999732E-2</v>
          </cell>
        </row>
        <row r="282">
          <cell r="BN282" t="str">
            <v>2000/1/4500</v>
          </cell>
          <cell r="BO282">
            <v>0.72088142276927836</v>
          </cell>
          <cell r="BP282">
            <v>0.72494815686288172</v>
          </cell>
          <cell r="BQ282">
            <v>0.72806120674057706</v>
          </cell>
          <cell r="BR282">
            <v>0.71185666090308986</v>
          </cell>
          <cell r="BS282">
            <v>0.70425456286678834</v>
          </cell>
          <cell r="BT282">
            <v>0.64147932516528172</v>
          </cell>
          <cell r="BU282">
            <v>0.79190183837641015</v>
          </cell>
          <cell r="BV282">
            <v>0.76848015204601916</v>
          </cell>
          <cell r="BY282" t="str">
            <v>2000/0.8/2500</v>
          </cell>
          <cell r="BZ282">
            <v>2.280561362263045E-2</v>
          </cell>
          <cell r="CA282">
            <v>2.2147570318591159E-2</v>
          </cell>
        </row>
        <row r="283">
          <cell r="BN283" t="str">
            <v>2000/1/4750</v>
          </cell>
          <cell r="BO283">
            <v>0.72033773301264459</v>
          </cell>
          <cell r="BP283">
            <v>0.72406570698073036</v>
          </cell>
          <cell r="BQ283">
            <v>0.72715102612766325</v>
          </cell>
          <cell r="BR283">
            <v>0.71092849357099752</v>
          </cell>
          <cell r="BS283">
            <v>0.7034630563860047</v>
          </cell>
          <cell r="BT283">
            <v>0.64146404862439499</v>
          </cell>
          <cell r="BU283">
            <v>0.79127140259280071</v>
          </cell>
          <cell r="BV283">
            <v>0.76777787453914326</v>
          </cell>
          <cell r="BY283" t="str">
            <v>2000/0.8/2750</v>
          </cell>
          <cell r="BZ283">
            <v>2.2587841889851301E-2</v>
          </cell>
          <cell r="CA283">
            <v>2.1900269777924031E-2</v>
          </cell>
        </row>
        <row r="284">
          <cell r="BN284" t="str">
            <v>2000/1/5000</v>
          </cell>
          <cell r="BO284">
            <v>0.71979404325601071</v>
          </cell>
          <cell r="BP284">
            <v>0.72318325709857911</v>
          </cell>
          <cell r="BQ284">
            <v>0.72624084551474932</v>
          </cell>
          <cell r="BR284">
            <v>0.71000032623890519</v>
          </cell>
          <cell r="BS284">
            <v>0.70267154990522107</v>
          </cell>
          <cell r="BT284">
            <v>0.64144877208350826</v>
          </cell>
          <cell r="BU284">
            <v>0.79064096680919116</v>
          </cell>
          <cell r="BV284">
            <v>0.76707559703226746</v>
          </cell>
          <cell r="BY284" t="str">
            <v>2000/0.8/3000</v>
          </cell>
          <cell r="BZ284">
            <v>2.2401451064664846E-2</v>
          </cell>
          <cell r="CA284">
            <v>2.1685040370331254E-2</v>
          </cell>
        </row>
        <row r="285">
          <cell r="BN285" t="str">
            <v>2000/1/5250</v>
          </cell>
          <cell r="BO285">
            <v>0.71952421057284954</v>
          </cell>
          <cell r="BP285">
            <v>0.72258634754171525</v>
          </cell>
          <cell r="BQ285">
            <v>0.7256795596269674</v>
          </cell>
          <cell r="BR285">
            <v>0.70938560699197306</v>
          </cell>
          <cell r="BS285">
            <v>0.70218179530519476</v>
          </cell>
          <cell r="BT285">
            <v>0.64144559713315807</v>
          </cell>
          <cell r="BU285">
            <v>0.79001125308769815</v>
          </cell>
          <cell r="BV285">
            <v>0.76678581961209158</v>
          </cell>
          <cell r="BY285" t="str">
            <v>2000/0.8/3250</v>
          </cell>
          <cell r="BZ285">
            <v>2.224693652967813E-2</v>
          </cell>
          <cell r="CA285">
            <v>2.1510495272795249E-2</v>
          </cell>
        </row>
        <row r="286">
          <cell r="BN286" t="str">
            <v>2000/1/5500</v>
          </cell>
          <cell r="BO286">
            <v>0.71925437788968838</v>
          </cell>
          <cell r="BP286">
            <v>0.72198943798485138</v>
          </cell>
          <cell r="BQ286">
            <v>0.72511827373918547</v>
          </cell>
          <cell r="BR286">
            <v>0.70877088774504082</v>
          </cell>
          <cell r="BS286">
            <v>0.70169204070516855</v>
          </cell>
          <cell r="BT286">
            <v>0.641442422182808</v>
          </cell>
          <cell r="BU286">
            <v>0.78938153936620514</v>
          </cell>
          <cell r="BV286">
            <v>0.76649604219191558</v>
          </cell>
          <cell r="BY286" t="str">
            <v>2000/0.8/3500</v>
          </cell>
          <cell r="BZ286">
            <v>2.2092421994691414E-2</v>
          </cell>
          <cell r="CA286">
            <v>2.1335950175259244E-2</v>
          </cell>
        </row>
        <row r="287">
          <cell r="BN287" t="str">
            <v>2000/1/5750</v>
          </cell>
          <cell r="BO287">
            <v>0.71899578789183949</v>
          </cell>
          <cell r="BP287">
            <v>0.72153946760863485</v>
          </cell>
          <cell r="BQ287">
            <v>0.7247562280534765</v>
          </cell>
          <cell r="BR287">
            <v>0.70827806980445129</v>
          </cell>
          <cell r="BS287">
            <v>0.70128406013823441</v>
          </cell>
          <cell r="BT287">
            <v>0.64143924723245793</v>
          </cell>
          <cell r="BU287">
            <v>0.788751567102012</v>
          </cell>
          <cell r="BV287">
            <v>0.76621977536014285</v>
          </cell>
          <cell r="BY287" t="str">
            <v>2000/0.8/3750</v>
          </cell>
          <cell r="BZ287">
            <v>2.1965321980934815E-2</v>
          </cell>
          <cell r="CA287">
            <v>2.1202406614193925E-2</v>
          </cell>
        </row>
        <row r="288">
          <cell r="BN288" t="str">
            <v>2000/1/6000</v>
          </cell>
          <cell r="BO288">
            <v>0.7187371978939906</v>
          </cell>
          <cell r="BP288">
            <v>0.72108949723241833</v>
          </cell>
          <cell r="BQ288">
            <v>0.72439418236776765</v>
          </cell>
          <cell r="BR288">
            <v>0.70778525186386188</v>
          </cell>
          <cell r="BS288">
            <v>0.70087607957130038</v>
          </cell>
          <cell r="BT288">
            <v>0.64143607228210797</v>
          </cell>
          <cell r="BU288">
            <v>0.78812159483781896</v>
          </cell>
          <cell r="BV288">
            <v>0.76594350852837012</v>
          </cell>
          <cell r="BY288" t="str">
            <v>2000/0.8/4000</v>
          </cell>
          <cell r="BZ288">
            <v>2.1838221967178217E-2</v>
          </cell>
          <cell r="CA288">
            <v>2.1068863053128606E-2</v>
          </cell>
        </row>
        <row r="289">
          <cell r="BN289" t="str">
            <v>2000/1/6250</v>
          </cell>
          <cell r="BO289">
            <v>0.71873383870805652</v>
          </cell>
          <cell r="BP289">
            <v>0.72089536467635407</v>
          </cell>
          <cell r="BQ289">
            <v>0.72436467114523628</v>
          </cell>
          <cell r="BR289">
            <v>0.70759111930779628</v>
          </cell>
          <cell r="BS289">
            <v>0.70075112276919882</v>
          </cell>
          <cell r="BT289">
            <v>0.64143607228210797</v>
          </cell>
          <cell r="BU289">
            <v>0.78749653590894308</v>
          </cell>
          <cell r="BV289">
            <v>0.76594350852837012</v>
          </cell>
          <cell r="BY289" t="str">
            <v>2000/0.8/4250</v>
          </cell>
          <cell r="BZ289">
            <v>2.1726562998711119E-2</v>
          </cell>
          <cell r="CA289">
            <v>2.0969280637442744E-2</v>
          </cell>
        </row>
        <row r="290">
          <cell r="BN290" t="str">
            <v>2000/1/6350</v>
          </cell>
          <cell r="BO290">
            <v>0.71873249504544734</v>
          </cell>
          <cell r="BP290">
            <v>0.72081771165392761</v>
          </cell>
          <cell r="BQ290">
            <v>0.72435423621942108</v>
          </cell>
          <cell r="BR290">
            <v>0.70751346628537115</v>
          </cell>
          <cell r="BS290">
            <v>0.70070965324919354</v>
          </cell>
          <cell r="BT290">
            <v>0.64143607228210797</v>
          </cell>
          <cell r="BU290">
            <v>0.78737334984780927</v>
          </cell>
          <cell r="BV290">
            <v>0.76594350852837012</v>
          </cell>
          <cell r="BY290" t="str">
            <v>2000/0.8/4500</v>
          </cell>
          <cell r="BZ290">
            <v>2.161490403024402E-2</v>
          </cell>
          <cell r="CA290">
            <v>2.0869698221756883E-2</v>
          </cell>
        </row>
        <row r="291">
          <cell r="BN291" t="str">
            <v>2000/1/6600</v>
          </cell>
          <cell r="BO291">
            <v>0.71873247840080379</v>
          </cell>
          <cell r="BP291">
            <v>0.72065217438647344</v>
          </cell>
          <cell r="BQ291">
            <v>0.72434315331194121</v>
          </cell>
          <cell r="BR291">
            <v>0.70731933694358207</v>
          </cell>
          <cell r="BS291">
            <v>0.70061473170772803</v>
          </cell>
          <cell r="BT291">
            <v>0.64143607228210797</v>
          </cell>
          <cell r="BU291">
            <v>0.78737334984780927</v>
          </cell>
          <cell r="BV291">
            <v>0.76594350852837012</v>
          </cell>
          <cell r="BY291" t="str">
            <v>2000/0.8/4750</v>
          </cell>
          <cell r="BZ291">
            <v>2.1533952687778357E-2</v>
          </cell>
          <cell r="CA291">
            <v>2.078692558000883E-2</v>
          </cell>
        </row>
        <row r="292">
          <cell r="BN292" t="str">
            <v>2000/1/6850</v>
          </cell>
          <cell r="BO292">
            <v>0.71873247840080379</v>
          </cell>
          <cell r="BP292">
            <v>0.72053642982877497</v>
          </cell>
          <cell r="BQ292">
            <v>0.72433979412775906</v>
          </cell>
          <cell r="BR292">
            <v>0.70714776017702363</v>
          </cell>
          <cell r="BS292">
            <v>0.70053312181649707</v>
          </cell>
          <cell r="BT292">
            <v>0.64143607228210797</v>
          </cell>
          <cell r="BU292">
            <v>0.78737334984780927</v>
          </cell>
          <cell r="BV292">
            <v>0.76594350852837012</v>
          </cell>
          <cell r="BY292" t="str">
            <v>2000/0.8/5000</v>
          </cell>
          <cell r="BZ292">
            <v>2.1453001345312694E-2</v>
          </cell>
          <cell r="CA292">
            <v>2.0704152938260778E-2</v>
          </cell>
        </row>
        <row r="293">
          <cell r="BN293" t="str">
            <v>2000/1/7500</v>
          </cell>
          <cell r="BO293">
            <v>0.71873247840080379</v>
          </cell>
          <cell r="BP293">
            <v>0.72023549953022348</v>
          </cell>
          <cell r="BQ293">
            <v>0.72433440150159878</v>
          </cell>
          <cell r="BR293">
            <v>0.70684682912667152</v>
          </cell>
          <cell r="BS293">
            <v>0.70036940703609973</v>
          </cell>
          <cell r="BT293">
            <v>0.64143607228210797</v>
          </cell>
          <cell r="BU293">
            <v>0.78737334984780927</v>
          </cell>
          <cell r="BV293">
            <v>0.76594350852837012</v>
          </cell>
          <cell r="BY293" t="str">
            <v>2000/0.8/5250</v>
          </cell>
          <cell r="BZ293">
            <v>2.1371853603034618E-2</v>
          </cell>
          <cell r="CA293">
            <v>2.0630702140531976E-2</v>
          </cell>
        </row>
        <row r="294">
          <cell r="BN294" t="str">
            <v>2000/1/10000</v>
          </cell>
          <cell r="BO294">
            <v>0.71873247840080379</v>
          </cell>
          <cell r="BP294">
            <v>0.7197750365920208</v>
          </cell>
          <cell r="BQ294">
            <v>0.72433440150159878</v>
          </cell>
          <cell r="BR294">
            <v>0.70623498893733105</v>
          </cell>
          <cell r="BS294">
            <v>0.70006565499819129</v>
          </cell>
          <cell r="BT294">
            <v>0.64143607228210797</v>
          </cell>
          <cell r="BU294">
            <v>0.78737334984780927</v>
          </cell>
          <cell r="BV294">
            <v>0.76594350852837012</v>
          </cell>
          <cell r="BY294" t="str">
            <v>2000/0.8/5500</v>
          </cell>
          <cell r="BZ294">
            <v>2.1290705860756542E-2</v>
          </cell>
          <cell r="CA294">
            <v>2.0557251342803173E-2</v>
          </cell>
        </row>
        <row r="295">
          <cell r="BN295" t="str">
            <v>2000/1/99999</v>
          </cell>
          <cell r="BO295">
            <v>0.71873247840080379</v>
          </cell>
          <cell r="BP295">
            <v>0.71928580687713661</v>
          </cell>
          <cell r="BQ295">
            <v>0.72433440150159878</v>
          </cell>
          <cell r="BR295">
            <v>0.70559444516930969</v>
          </cell>
          <cell r="BS295">
            <v>0.69973112712209617</v>
          </cell>
          <cell r="BT295">
            <v>0.64143607228210797</v>
          </cell>
          <cell r="BU295">
            <v>0.78737334984780927</v>
          </cell>
          <cell r="BV295">
            <v>0.76594350852837012</v>
          </cell>
          <cell r="BY295" t="str">
            <v>2000/0.8/5750</v>
          </cell>
          <cell r="BZ295">
            <v>2.1231885484212842E-2</v>
          </cell>
          <cell r="CA295">
            <v>2.0496235205424207E-2</v>
          </cell>
        </row>
        <row r="296">
          <cell r="BY296" t="str">
            <v>2000/0.8/6000</v>
          </cell>
          <cell r="BZ296">
            <v>2.1173065107669142E-2</v>
          </cell>
          <cell r="CA296">
            <v>2.0435219068045241E-2</v>
          </cell>
        </row>
        <row r="297">
          <cell r="BN297" t="str">
            <v>2250/1/2250</v>
          </cell>
          <cell r="BT297">
            <v>0.65627973644994886</v>
          </cell>
          <cell r="BU297">
            <v>0.83410485349828933</v>
          </cell>
          <cell r="BV297">
            <v>0.8051313703422972</v>
          </cell>
          <cell r="BY297" t="str">
            <v>2000/0.8/6250</v>
          </cell>
          <cell r="BZ297">
            <v>2.1115351868330468E-2</v>
          </cell>
          <cell r="CA297">
            <v>2.0373325589037261E-2</v>
          </cell>
        </row>
        <row r="298">
          <cell r="BN298" t="str">
            <v>2250/1/2500</v>
          </cell>
          <cell r="BT298">
            <v>0.63961435887178841</v>
          </cell>
          <cell r="BU298">
            <v>0.80850258746170045</v>
          </cell>
          <cell r="BV298">
            <v>0.77785438400105</v>
          </cell>
          <cell r="BY298" t="str">
            <v>2000/0.8/6350</v>
          </cell>
          <cell r="BZ298">
            <v>2.1092276542066912E-2</v>
          </cell>
          <cell r="CA298">
            <v>2.0352136268281029E-2</v>
          </cell>
        </row>
        <row r="299">
          <cell r="BN299" t="str">
            <v>2250/1/2750</v>
          </cell>
          <cell r="BO299">
            <v>0.74463947725466584</v>
          </cell>
          <cell r="BP299">
            <v>0.7643842158164369</v>
          </cell>
          <cell r="BQ299">
            <v>0.76101911861428362</v>
          </cell>
          <cell r="BR299">
            <v>0.74375419521953268</v>
          </cell>
          <cell r="BS299">
            <v>0.72743897230508503</v>
          </cell>
          <cell r="BT299">
            <v>0.63195797884137761</v>
          </cell>
          <cell r="BU299">
            <v>0.79204225098534464</v>
          </cell>
          <cell r="BV299">
            <v>0.76121312533018348</v>
          </cell>
          <cell r="BY299" t="str">
            <v>2000/0.8/6600</v>
          </cell>
          <cell r="BZ299">
            <v>2.1034882821259648E-2</v>
          </cell>
          <cell r="CA299">
            <v>2.0304908878137296E-2</v>
          </cell>
        </row>
        <row r="300">
          <cell r="BN300" t="str">
            <v>2250/1/3000</v>
          </cell>
          <cell r="BO300">
            <v>0.73024390741074408</v>
          </cell>
          <cell r="BP300">
            <v>0.74980083260783859</v>
          </cell>
          <cell r="BQ300">
            <v>0.74642243005382714</v>
          </cell>
          <cell r="BR300">
            <v>0.72803083826565074</v>
          </cell>
          <cell r="BS300">
            <v>0.715237778348498</v>
          </cell>
          <cell r="BT300">
            <v>0.6264296797614346</v>
          </cell>
          <cell r="BU300">
            <v>0.78205230237907897</v>
          </cell>
          <cell r="BV300">
            <v>0.75192837926457412</v>
          </cell>
          <cell r="BY300" t="str">
            <v>2000/0.8/6850</v>
          </cell>
          <cell r="BZ300">
            <v>2.0987026178761914E-2</v>
          </cell>
          <cell r="CA300">
            <v>2.0259996139412761E-2</v>
          </cell>
        </row>
        <row r="301">
          <cell r="BN301" t="str">
            <v>2250/1/3250</v>
          </cell>
          <cell r="BO301">
            <v>0.7240645170502823</v>
          </cell>
          <cell r="BP301">
            <v>0.73968335696825493</v>
          </cell>
          <cell r="BQ301">
            <v>0.73724544034532369</v>
          </cell>
          <cell r="BR301">
            <v>0.72035317289859313</v>
          </cell>
          <cell r="BS301">
            <v>0.70866900158023971</v>
          </cell>
          <cell r="BT301">
            <v>0.62516880304607825</v>
          </cell>
          <cell r="BU301">
            <v>0.77747163112770845</v>
          </cell>
          <cell r="BV301">
            <v>0.74819034889397429</v>
          </cell>
          <cell r="BY301" t="str">
            <v>2000/0.8/7500</v>
          </cell>
          <cell r="BZ301">
            <v>2.0873804397998796E-2</v>
          </cell>
          <cell r="CA301">
            <v>2.01413862747295E-2</v>
          </cell>
        </row>
        <row r="302">
          <cell r="BN302" t="str">
            <v>2250/1/3500</v>
          </cell>
          <cell r="BO302">
            <v>0.71788512668982052</v>
          </cell>
          <cell r="BP302">
            <v>0.72956588132867128</v>
          </cell>
          <cell r="BQ302">
            <v>0.72806845063682024</v>
          </cell>
          <cell r="BR302">
            <v>0.71267550753153552</v>
          </cell>
          <cell r="BS302">
            <v>0.70210022481198142</v>
          </cell>
          <cell r="BT302">
            <v>0.6239079263307219</v>
          </cell>
          <cell r="BU302">
            <v>0.77289095987633805</v>
          </cell>
          <cell r="BV302">
            <v>0.74445231852337446</v>
          </cell>
          <cell r="BY302" t="str">
            <v>2000/0.8/8000</v>
          </cell>
          <cell r="BZ302">
            <v>2.0792116234489955E-2</v>
          </cell>
          <cell r="CA302">
            <v>2.0067611391449081E-2</v>
          </cell>
        </row>
        <row r="303">
          <cell r="BN303" t="str">
            <v>2250/1/3750</v>
          </cell>
          <cell r="BO303">
            <v>0.71577768572442246</v>
          </cell>
          <cell r="BP303">
            <v>0.72609714899912092</v>
          </cell>
          <cell r="BQ303">
            <v>0.72533369041093976</v>
          </cell>
          <cell r="BR303">
            <v>0.70961333402208415</v>
          </cell>
          <cell r="BS303">
            <v>0.69930505696928746</v>
          </cell>
          <cell r="BT303">
            <v>0.6234445492057078</v>
          </cell>
          <cell r="BU303">
            <v>0.77130138047960373</v>
          </cell>
          <cell r="BV303">
            <v>0.74321354947776241</v>
          </cell>
          <cell r="BY303" t="str">
            <v>2000/0.8/9000</v>
          </cell>
          <cell r="BZ303">
            <v>2.0652947622835871E-2</v>
          </cell>
          <cell r="CA303">
            <v>1.9930387434869523E-2</v>
          </cell>
        </row>
        <row r="304">
          <cell r="BN304" t="str">
            <v>2250/1/4000</v>
          </cell>
          <cell r="BO304">
            <v>0.71367024475902452</v>
          </cell>
          <cell r="BP304">
            <v>0.72262841666957067</v>
          </cell>
          <cell r="BQ304">
            <v>0.72259893018505916</v>
          </cell>
          <cell r="BR304">
            <v>0.70655116051263278</v>
          </cell>
          <cell r="BS304">
            <v>0.69650988912659351</v>
          </cell>
          <cell r="BT304">
            <v>0.6229811720806937</v>
          </cell>
          <cell r="BU304">
            <v>0.76971180108286941</v>
          </cell>
          <cell r="BV304">
            <v>0.74197478043215037</v>
          </cell>
          <cell r="BY304" t="str">
            <v>2000/0.8/10000</v>
          </cell>
          <cell r="BZ304">
            <v>2.0533863969183885E-2</v>
          </cell>
          <cell r="CA304">
            <v>1.9822537752666403E-2</v>
          </cell>
        </row>
        <row r="305">
          <cell r="BN305" t="str">
            <v>2250/1/4250</v>
          </cell>
          <cell r="BO305">
            <v>0.71246479132618845</v>
          </cell>
          <cell r="BP305">
            <v>0.72058154467470392</v>
          </cell>
          <cell r="BQ305">
            <v>0.72101205838914373</v>
          </cell>
          <cell r="BR305">
            <v>0.70471449790613283</v>
          </cell>
          <cell r="BS305">
            <v>0.69485913881359895</v>
          </cell>
          <cell r="BT305">
            <v>0.62286784335751988</v>
          </cell>
          <cell r="BU305">
            <v>0.7689830736499299</v>
          </cell>
          <cell r="BV305">
            <v>0.74112661002813895</v>
          </cell>
          <cell r="BY305" t="str">
            <v>2000/0.8/99999</v>
          </cell>
          <cell r="BZ305">
            <v>1.9113781615671011E-2</v>
          </cell>
          <cell r="CA305">
            <v>1.8722199848575816E-2</v>
          </cell>
        </row>
        <row r="306">
          <cell r="BN306" t="str">
            <v>2250/1/4500</v>
          </cell>
          <cell r="BO306">
            <v>0.71125933789335238</v>
          </cell>
          <cell r="BP306">
            <v>0.71853467267983717</v>
          </cell>
          <cell r="BQ306">
            <v>0.71942518659322841</v>
          </cell>
          <cell r="BR306">
            <v>0.70287783529963299</v>
          </cell>
          <cell r="BS306">
            <v>0.69320838850060418</v>
          </cell>
          <cell r="BT306">
            <v>0.62275451463434595</v>
          </cell>
          <cell r="BU306">
            <v>0.76825434621699051</v>
          </cell>
          <cell r="BV306">
            <v>0.74027843962412754</v>
          </cell>
          <cell r="BY306" t="str">
            <v>2250/0.8/2500</v>
          </cell>
          <cell r="BZ306">
            <v>2.2742423589753979E-2</v>
          </cell>
          <cell r="CA306">
            <v>2.2039487971622918E-2</v>
          </cell>
        </row>
        <row r="307">
          <cell r="BN307" t="str">
            <v>2250/1/4750</v>
          </cell>
          <cell r="BO307">
            <v>0.710530302792166</v>
          </cell>
          <cell r="BP307">
            <v>0.7174211572560697</v>
          </cell>
          <cell r="BQ307">
            <v>0.71843681356520683</v>
          </cell>
          <cell r="BR307">
            <v>0.70170627276277941</v>
          </cell>
          <cell r="BS307">
            <v>0.69219153614186824</v>
          </cell>
          <cell r="BT307">
            <v>0.6227246820048089</v>
          </cell>
          <cell r="BU307">
            <v>0.76762371469369728</v>
          </cell>
          <cell r="BV307">
            <v>0.7395194632364317</v>
          </cell>
          <cell r="BY307" t="str">
            <v>2250/0.8/2750</v>
          </cell>
          <cell r="BZ307">
            <v>2.2508077473968657E-2</v>
          </cell>
          <cell r="CA307">
            <v>2.1732958652890377E-2</v>
          </cell>
        </row>
        <row r="308">
          <cell r="BN308" t="str">
            <v>2250/1/5000</v>
          </cell>
          <cell r="BO308">
            <v>0.70980126769097951</v>
          </cell>
          <cell r="BP308">
            <v>0.71630764183230222</v>
          </cell>
          <cell r="BQ308">
            <v>0.71744844053718515</v>
          </cell>
          <cell r="BR308">
            <v>0.70053471022592584</v>
          </cell>
          <cell r="BS308">
            <v>0.69117468378313229</v>
          </cell>
          <cell r="BT308">
            <v>0.62269484937527175</v>
          </cell>
          <cell r="BU308">
            <v>0.76699308317040393</v>
          </cell>
          <cell r="BV308">
            <v>0.73876048684873585</v>
          </cell>
          <cell r="BY308" t="str">
            <v>2250/0.8/3000</v>
          </cell>
          <cell r="BZ308">
            <v>2.229285937523684E-2</v>
          </cell>
          <cell r="CA308">
            <v>2.1483694441754575E-2</v>
          </cell>
        </row>
        <row r="309">
          <cell r="BN309" t="str">
            <v>2250/1/5250</v>
          </cell>
          <cell r="BO309">
            <v>0.70939868440639109</v>
          </cell>
          <cell r="BP309">
            <v>0.71557118736597825</v>
          </cell>
          <cell r="BQ309">
            <v>0.71684110222165243</v>
          </cell>
          <cell r="BR309">
            <v>0.69976199611542989</v>
          </cell>
          <cell r="BS309">
            <v>0.6905347466300964</v>
          </cell>
          <cell r="BT309">
            <v>0.6226858911233446</v>
          </cell>
          <cell r="BU309">
            <v>0.766364513126367</v>
          </cell>
          <cell r="BV309">
            <v>0.73826546055374231</v>
          </cell>
          <cell r="BY309" t="str">
            <v>2250/0.8/3250</v>
          </cell>
          <cell r="BZ309">
            <v>2.2120676099316838E-2</v>
          </cell>
          <cell r="CA309">
            <v>2.1287218494777826E-2</v>
          </cell>
        </row>
        <row r="310">
          <cell r="BN310" t="str">
            <v>2250/1/5500</v>
          </cell>
          <cell r="BO310">
            <v>0.70899610112180267</v>
          </cell>
          <cell r="BP310">
            <v>0.71483473289965438</v>
          </cell>
          <cell r="BQ310">
            <v>0.71623376390611981</v>
          </cell>
          <cell r="BR310">
            <v>0.69898928200493393</v>
          </cell>
          <cell r="BS310">
            <v>0.68989480947706072</v>
          </cell>
          <cell r="BT310">
            <v>0.62267693287141745</v>
          </cell>
          <cell r="BU310">
            <v>0.76573594308233028</v>
          </cell>
          <cell r="BV310">
            <v>0.73777043425874866</v>
          </cell>
          <cell r="BY310" t="str">
            <v>2250/0.8/3500</v>
          </cell>
          <cell r="BZ310">
            <v>2.1948492823396837E-2</v>
          </cell>
          <cell r="CA310">
            <v>2.1090742547801078E-2</v>
          </cell>
        </row>
        <row r="311">
          <cell r="BN311" t="str">
            <v>2250/1/5750</v>
          </cell>
          <cell r="BO311">
            <v>0.70873421209135312</v>
          </cell>
          <cell r="BP311">
            <v>0.7143133074303647</v>
          </cell>
          <cell r="BQ311">
            <v>0.71585097926981978</v>
          </cell>
          <cell r="BR311">
            <v>0.69843777014251318</v>
          </cell>
          <cell r="BS311">
            <v>0.6894464550481556</v>
          </cell>
          <cell r="BT311">
            <v>0.6226738135147516</v>
          </cell>
          <cell r="BU311">
            <v>0.76510869020739614</v>
          </cell>
          <cell r="BV311">
            <v>0.73748843775582884</v>
          </cell>
          <cell r="BY311" t="str">
            <v>2250/0.8/3750</v>
          </cell>
          <cell r="BZ311">
            <v>2.181114059913869E-2</v>
          </cell>
          <cell r="CA311">
            <v>2.0941731075456993E-2</v>
          </cell>
        </row>
        <row r="312">
          <cell r="BN312" t="str">
            <v>2250/1/6000</v>
          </cell>
          <cell r="BO312">
            <v>0.70847232306090357</v>
          </cell>
          <cell r="BP312">
            <v>0.71379188196107513</v>
          </cell>
          <cell r="BQ312">
            <v>0.71546819463351996</v>
          </cell>
          <cell r="BR312">
            <v>0.69788625828009254</v>
          </cell>
          <cell r="BS312">
            <v>0.68899810061925049</v>
          </cell>
          <cell r="BT312">
            <v>0.62267069415808574</v>
          </cell>
          <cell r="BU312">
            <v>0.76448143733246199</v>
          </cell>
          <cell r="BV312">
            <v>0.73720644125290891</v>
          </cell>
          <cell r="BY312" t="str">
            <v>2250/0.8/4000</v>
          </cell>
          <cell r="BZ312">
            <v>2.1673788374880543E-2</v>
          </cell>
          <cell r="CA312">
            <v>2.0792719603112908E-2</v>
          </cell>
        </row>
        <row r="313">
          <cell r="BN313" t="str">
            <v>2250/1/6250</v>
          </cell>
          <cell r="BO313">
            <v>0.70834368421973293</v>
          </cell>
          <cell r="BP313">
            <v>0.7134715289083311</v>
          </cell>
          <cell r="BQ313">
            <v>0.71527082173166323</v>
          </cell>
          <cell r="BR313">
            <v>0.69750780475557139</v>
          </cell>
          <cell r="BS313">
            <v>0.68871707098581225</v>
          </cell>
          <cell r="BT313">
            <v>0.62266916227659475</v>
          </cell>
          <cell r="BU313">
            <v>0.76385583849615779</v>
          </cell>
          <cell r="BV313">
            <v>0.73705990083346973</v>
          </cell>
          <cell r="BY313" t="str">
            <v>2250/0.8/4250</v>
          </cell>
          <cell r="BZ313">
            <v>2.1555594837285363E-2</v>
          </cell>
          <cell r="CA313">
            <v>2.0678025006052814E-2</v>
          </cell>
        </row>
        <row r="314">
          <cell r="BN314" t="str">
            <v>2250/1/6350</v>
          </cell>
          <cell r="BO314">
            <v>0.70829222895960964</v>
          </cell>
          <cell r="BP314">
            <v>0.71334339975992722</v>
          </cell>
          <cell r="BQ314">
            <v>0.71519750820893191</v>
          </cell>
          <cell r="BR314">
            <v>0.69738050266471974</v>
          </cell>
          <cell r="BS314">
            <v>0.68862030253748374</v>
          </cell>
          <cell r="BT314">
            <v>0.62266854952399842</v>
          </cell>
          <cell r="BU314">
            <v>0.76366903619086646</v>
          </cell>
          <cell r="BV314">
            <v>0.73700002011592924</v>
          </cell>
          <cell r="BY314" t="str">
            <v>2250/0.8/4500</v>
          </cell>
          <cell r="BZ314">
            <v>2.1437401299690184E-2</v>
          </cell>
          <cell r="CA314">
            <v>2.0563330408992719E-2</v>
          </cell>
        </row>
        <row r="315">
          <cell r="BN315" t="str">
            <v>2250/1/6600</v>
          </cell>
          <cell r="BO315">
            <v>0.70821537388272127</v>
          </cell>
          <cell r="BP315">
            <v>0.71308786359423171</v>
          </cell>
          <cell r="BQ315">
            <v>0.71509404024263556</v>
          </cell>
          <cell r="BR315">
            <v>0.69711191104818326</v>
          </cell>
          <cell r="BS315">
            <v>0.68843160741254039</v>
          </cell>
          <cell r="BT315">
            <v>0.62266763039510375</v>
          </cell>
          <cell r="BU315">
            <v>0.76335903924426507</v>
          </cell>
          <cell r="BV315">
            <v>0.7369301150516625</v>
          </cell>
          <cell r="BY315" t="str">
            <v>2250/0.8/4750</v>
          </cell>
          <cell r="BZ315">
            <v>2.1345202789871287E-2</v>
          </cell>
          <cell r="CA315">
            <v>2.047449347082908E-2</v>
          </cell>
        </row>
        <row r="316">
          <cell r="BN316" t="str">
            <v>2250/1/6850</v>
          </cell>
          <cell r="BO316">
            <v>0.70821369429377778</v>
          </cell>
          <cell r="BP316">
            <v>0.71293292503734995</v>
          </cell>
          <cell r="BQ316">
            <v>0.7150793161900928</v>
          </cell>
          <cell r="BR316">
            <v>0.69692905638687175</v>
          </cell>
          <cell r="BS316">
            <v>0.68833171379944691</v>
          </cell>
          <cell r="BT316">
            <v>0.62266763039510375</v>
          </cell>
          <cell r="BU316">
            <v>0.76314169062195414</v>
          </cell>
          <cell r="BV316">
            <v>0.7369301150516625</v>
          </cell>
          <cell r="BY316" t="str">
            <v>2250/0.8/5000</v>
          </cell>
          <cell r="BZ316">
            <v>2.125300428005239E-2</v>
          </cell>
          <cell r="CA316">
            <v>2.0385656532665442E-2</v>
          </cell>
        </row>
        <row r="317">
          <cell r="BN317" t="str">
            <v>2250/1/7500</v>
          </cell>
          <cell r="BO317">
            <v>0.70821368095843895</v>
          </cell>
          <cell r="BP317">
            <v>0.71260757476965741</v>
          </cell>
          <cell r="BQ317">
            <v>0.71506838031038988</v>
          </cell>
          <cell r="BR317">
            <v>0.69655181148243384</v>
          </cell>
          <cell r="BS317">
            <v>0.68813355241959995</v>
          </cell>
          <cell r="BT317">
            <v>0.62266763039510375</v>
          </cell>
          <cell r="BU317">
            <v>0.76314169062195414</v>
          </cell>
          <cell r="BV317">
            <v>0.7369301150516625</v>
          </cell>
          <cell r="BY317" t="str">
            <v>2250/0.8/5250</v>
          </cell>
          <cell r="BZ317">
            <v>2.1171922957127554E-2</v>
          </cell>
          <cell r="CA317">
            <v>2.0309107092028822E-2</v>
          </cell>
        </row>
        <row r="318">
          <cell r="BN318" t="str">
            <v>2250/1/10000</v>
          </cell>
          <cell r="BO318">
            <v>0.70821368095843895</v>
          </cell>
          <cell r="BP318">
            <v>0.71206103286717437</v>
          </cell>
          <cell r="BQ318">
            <v>0.71506669118019428</v>
          </cell>
          <cell r="BR318">
            <v>0.69583664475908424</v>
          </cell>
          <cell r="BS318">
            <v>0.68778530537054361</v>
          </cell>
          <cell r="BT318">
            <v>0.62266763039510375</v>
          </cell>
          <cell r="BU318">
            <v>0.76314169062195414</v>
          </cell>
          <cell r="BV318">
            <v>0.7369301150516625</v>
          </cell>
          <cell r="BY318" t="str">
            <v>2250/0.8/5500</v>
          </cell>
          <cell r="BZ318">
            <v>2.1090841634202717E-2</v>
          </cell>
          <cell r="CA318">
            <v>2.0232557651392202E-2</v>
          </cell>
        </row>
        <row r="319">
          <cell r="BN319" t="str">
            <v>2250/1/99999</v>
          </cell>
          <cell r="BO319">
            <v>0.70821368095843895</v>
          </cell>
          <cell r="BP319">
            <v>0.71154366545782644</v>
          </cell>
          <cell r="BQ319">
            <v>0.71506669118019428</v>
          </cell>
          <cell r="BR319">
            <v>0.69515108305104412</v>
          </cell>
          <cell r="BS319">
            <v>0.6874164559734135</v>
          </cell>
          <cell r="BT319">
            <v>0.62266763039510375</v>
          </cell>
          <cell r="BU319">
            <v>0.76314169062195414</v>
          </cell>
          <cell r="BV319">
            <v>0.7369301150516625</v>
          </cell>
          <cell r="BY319" t="str">
            <v>2250/0.8/5750</v>
          </cell>
          <cell r="BZ319">
            <v>2.102254604690007E-2</v>
          </cell>
          <cell r="CA319">
            <v>2.0167020385380763E-2</v>
          </cell>
        </row>
        <row r="320">
          <cell r="BY320" t="str">
            <v>2250/0.8/6000</v>
          </cell>
          <cell r="BZ320">
            <v>2.0954250459597423E-2</v>
          </cell>
          <cell r="CA320">
            <v>2.0101483119369323E-2</v>
          </cell>
        </row>
        <row r="321">
          <cell r="BN321" t="str">
            <v>2500/1/2500</v>
          </cell>
          <cell r="BT321">
            <v>0.63204698266409187</v>
          </cell>
          <cell r="BU321">
            <v>0.8029517108138654</v>
          </cell>
          <cell r="BV321">
            <v>0.76780729422472116</v>
          </cell>
          <cell r="BY321" t="str">
            <v>2250/0.8/6250</v>
          </cell>
          <cell r="BZ321">
            <v>2.0896586795300709E-2</v>
          </cell>
          <cell r="CA321">
            <v>2.0040069217651779E-2</v>
          </cell>
        </row>
        <row r="322">
          <cell r="BN322" t="str">
            <v>2500/1/2750</v>
          </cell>
          <cell r="BO322">
            <v>0.74366153737129514</v>
          </cell>
          <cell r="BP322">
            <v>0.76803870543459907</v>
          </cell>
          <cell r="BQ322">
            <v>0.76376578399357364</v>
          </cell>
          <cell r="BR322">
            <v>0.74472574941334724</v>
          </cell>
          <cell r="BS322">
            <v>0.72538551317227096</v>
          </cell>
          <cell r="BT322">
            <v>0.61857593170769343</v>
          </cell>
          <cell r="BU322">
            <v>0.77877260608349053</v>
          </cell>
          <cell r="BV322">
            <v>0.74262511031339162</v>
          </cell>
          <cell r="BY322" t="str">
            <v>2250/0.8/6350</v>
          </cell>
          <cell r="BZ322">
            <v>2.0873517606759151E-2</v>
          </cell>
          <cell r="CA322">
            <v>2.0017200981282346E-2</v>
          </cell>
        </row>
        <row r="323">
          <cell r="BN323" t="str">
            <v>2500/1/3000</v>
          </cell>
          <cell r="BO323">
            <v>0.72734354564026182</v>
          </cell>
          <cell r="BP323">
            <v>0.75418120971556957</v>
          </cell>
          <cell r="BQ323">
            <v>0.74850276412298467</v>
          </cell>
          <cell r="BR323">
            <v>0.72839244931890257</v>
          </cell>
          <cell r="BS323">
            <v>0.71253450458911061</v>
          </cell>
          <cell r="BT323">
            <v>0.60936104265223057</v>
          </cell>
          <cell r="BU323">
            <v>0.76421293629864984</v>
          </cell>
          <cell r="BV323">
            <v>0.72848537143839931</v>
          </cell>
          <cell r="BY323" t="str">
            <v>2250/0.8/6600</v>
          </cell>
          <cell r="BZ323">
            <v>2.0815970163933994E-2</v>
          </cell>
          <cell r="CA323">
            <v>1.9962686568467114E-2</v>
          </cell>
        </row>
        <row r="324">
          <cell r="BN324" t="str">
            <v>2500/1/3250</v>
          </cell>
          <cell r="BO324">
            <v>0.71855421048458212</v>
          </cell>
          <cell r="BP324">
            <v>0.73923465806762545</v>
          </cell>
          <cell r="BQ324">
            <v>0.734463952032958</v>
          </cell>
          <cell r="BR324">
            <v>0.71726402753940088</v>
          </cell>
          <cell r="BS324">
            <v>0.70292835034626133</v>
          </cell>
          <cell r="BT324">
            <v>0.60759433000709828</v>
          </cell>
          <cell r="BU324">
            <v>0.75755730760694573</v>
          </cell>
          <cell r="BV324">
            <v>0.7227202203930394</v>
          </cell>
          <cell r="BY324" t="str">
            <v>2250/0.8/6850</v>
          </cell>
          <cell r="BZ324">
            <v>2.0763254170927725E-2</v>
          </cell>
          <cell r="CA324">
            <v>1.9913945610700146E-2</v>
          </cell>
        </row>
        <row r="325">
          <cell r="BN325" t="str">
            <v>2500/1/3500</v>
          </cell>
          <cell r="BO325">
            <v>0.70976487532890253</v>
          </cell>
          <cell r="BP325">
            <v>0.72428810641968122</v>
          </cell>
          <cell r="BQ325">
            <v>0.72042513994293134</v>
          </cell>
          <cell r="BR325">
            <v>0.70613560575989931</v>
          </cell>
          <cell r="BS325">
            <v>0.69332219610341195</v>
          </cell>
          <cell r="BT325">
            <v>0.60582761736196611</v>
          </cell>
          <cell r="BU325">
            <v>0.75090167891524173</v>
          </cell>
          <cell r="BV325">
            <v>0.71695506934767939</v>
          </cell>
          <cell r="BY325" t="str">
            <v>2250/0.8/7500</v>
          </cell>
          <cell r="BZ325">
            <v>2.0643627650879237E-2</v>
          </cell>
          <cell r="CA325">
            <v>1.9795781689569747E-2</v>
          </cell>
        </row>
        <row r="326">
          <cell r="BN326" t="str">
            <v>2500/1/3750</v>
          </cell>
          <cell r="BO326">
            <v>0.70718414802000706</v>
          </cell>
          <cell r="BP326">
            <v>0.72044259823637424</v>
          </cell>
          <cell r="BQ326">
            <v>0.71729578845860331</v>
          </cell>
          <cell r="BR326">
            <v>0.702276746605633</v>
          </cell>
          <cell r="BS326">
            <v>0.68979965163813084</v>
          </cell>
          <cell r="BT326">
            <v>0.60510931854486505</v>
          </cell>
          <cell r="BU326">
            <v>0.74857074639930277</v>
          </cell>
          <cell r="BV326">
            <v>0.71536755952390929</v>
          </cell>
          <cell r="BY326" t="str">
            <v>2250/0.8/8000</v>
          </cell>
          <cell r="BZ326">
            <v>2.0559225139242909E-2</v>
          </cell>
          <cell r="CA326">
            <v>1.9714232688566868E-2</v>
          </cell>
        </row>
        <row r="327">
          <cell r="BN327" t="str">
            <v>2500/1/4000</v>
          </cell>
          <cell r="BO327">
            <v>0.70460342071111159</v>
          </cell>
          <cell r="BP327">
            <v>0.71659709005306726</v>
          </cell>
          <cell r="BQ327">
            <v>0.7141664369742754</v>
          </cell>
          <cell r="BR327">
            <v>0.69841788745136679</v>
          </cell>
          <cell r="BS327">
            <v>0.68627710717284973</v>
          </cell>
          <cell r="BT327">
            <v>0.6043910197277641</v>
          </cell>
          <cell r="BU327">
            <v>0.7462398138833638</v>
          </cell>
          <cell r="BV327">
            <v>0.71378004970013909</v>
          </cell>
          <cell r="BY327" t="str">
            <v>2250/0.8/9000</v>
          </cell>
          <cell r="BZ327">
            <v>2.0415697398990407E-2</v>
          </cell>
          <cell r="CA327">
            <v>1.9574055914422073E-2</v>
          </cell>
        </row>
        <row r="328">
          <cell r="BN328" t="str">
            <v>2500/1/4250</v>
          </cell>
          <cell r="BO328">
            <v>0.703120336864269</v>
          </cell>
          <cell r="BP328">
            <v>0.71435913927493</v>
          </cell>
          <cell r="BQ328">
            <v>0.71247780171007746</v>
          </cell>
          <cell r="BR328">
            <v>0.6961584485737714</v>
          </cell>
          <cell r="BS328">
            <v>0.68421966065363493</v>
          </cell>
          <cell r="BT328">
            <v>0.60421036191558719</v>
          </cell>
          <cell r="BU328">
            <v>0.74542333397046734</v>
          </cell>
          <cell r="BV328">
            <v>0.71292838845118744</v>
          </cell>
          <cell r="BY328" t="str">
            <v>2250/0.8/10000</v>
          </cell>
          <cell r="BZ328">
            <v>2.0288171446241399E-2</v>
          </cell>
          <cell r="CA328">
            <v>1.9459688622099125E-2</v>
          </cell>
        </row>
        <row r="329">
          <cell r="BN329" t="str">
            <v>2500/1/4500</v>
          </cell>
          <cell r="BO329">
            <v>0.70163725301742641</v>
          </cell>
          <cell r="BP329">
            <v>0.71212118849679273</v>
          </cell>
          <cell r="BQ329">
            <v>0.71078916644587964</v>
          </cell>
          <cell r="BR329">
            <v>0.69389900969617602</v>
          </cell>
          <cell r="BS329">
            <v>0.68216221413442013</v>
          </cell>
          <cell r="BT329">
            <v>0.60402970410341017</v>
          </cell>
          <cell r="BU329">
            <v>0.74460685405757088</v>
          </cell>
          <cell r="BV329">
            <v>0.71207672720223592</v>
          </cell>
          <cell r="BY329" t="str">
            <v>2250/0.8/99999</v>
          </cell>
          <cell r="BZ329">
            <v>1.8848461145761775E-2</v>
          </cell>
          <cell r="CA329">
            <v>1.8344514840147541E-2</v>
          </cell>
        </row>
        <row r="330">
          <cell r="BN330" t="str">
            <v>2500/1/4750</v>
          </cell>
          <cell r="BO330">
            <v>0.70072287257168742</v>
          </cell>
          <cell r="BP330">
            <v>0.71077660753140903</v>
          </cell>
          <cell r="BQ330">
            <v>0.70972260100275031</v>
          </cell>
          <cell r="BR330">
            <v>0.6924840519545612</v>
          </cell>
          <cell r="BS330">
            <v>0.68092001589773177</v>
          </cell>
          <cell r="BT330">
            <v>0.60398531538522271</v>
          </cell>
          <cell r="BU330">
            <v>0.74397602679459374</v>
          </cell>
          <cell r="BV330">
            <v>0.71126105193372013</v>
          </cell>
          <cell r="BY330" t="str">
            <v>2500/0.8/2500</v>
          </cell>
          <cell r="BZ330">
            <v>2.2679233556877509E-2</v>
          </cell>
          <cell r="CA330">
            <v>2.1931405624654676E-2</v>
          </cell>
        </row>
        <row r="331">
          <cell r="BN331" t="str">
            <v>2500/1/5000</v>
          </cell>
          <cell r="BO331">
            <v>0.69980849212594842</v>
          </cell>
          <cell r="BP331">
            <v>0.70943202656602544</v>
          </cell>
          <cell r="BQ331">
            <v>0.70865603555962098</v>
          </cell>
          <cell r="BR331">
            <v>0.69106909421294638</v>
          </cell>
          <cell r="BS331">
            <v>0.67967781766104352</v>
          </cell>
          <cell r="BT331">
            <v>0.60394092666703525</v>
          </cell>
          <cell r="BU331">
            <v>0.7433451995316166</v>
          </cell>
          <cell r="BV331">
            <v>0.71044537666520435</v>
          </cell>
          <cell r="BY331" t="str">
            <v>2500/0.8/2750</v>
          </cell>
          <cell r="BZ331">
            <v>2.2428313058086013E-2</v>
          </cell>
          <cell r="CA331">
            <v>2.1565647527856724E-2</v>
          </cell>
        </row>
        <row r="332">
          <cell r="BN332" t="str">
            <v>2500/1/5250</v>
          </cell>
          <cell r="BO332">
            <v>0.69927315823993275</v>
          </cell>
          <cell r="BP332">
            <v>0.70855602719024136</v>
          </cell>
          <cell r="BQ332">
            <v>0.70800264481633746</v>
          </cell>
          <cell r="BR332">
            <v>0.69013838523888671</v>
          </cell>
          <cell r="BS332">
            <v>0.67888769795499815</v>
          </cell>
          <cell r="BT332">
            <v>0.60392618511353113</v>
          </cell>
          <cell r="BU332">
            <v>0.74271777316503595</v>
          </cell>
          <cell r="BV332">
            <v>0.70974510149539305</v>
          </cell>
          <cell r="BY332" t="str">
            <v>2500/0.8/3000</v>
          </cell>
          <cell r="BZ332">
            <v>2.2184267685808834E-2</v>
          </cell>
          <cell r="CA332">
            <v>2.1282348513177896E-2</v>
          </cell>
        </row>
        <row r="333">
          <cell r="BN333" t="str">
            <v>2500/1/5500</v>
          </cell>
          <cell r="BO333">
            <v>0.69873782435391696</v>
          </cell>
          <cell r="BP333">
            <v>0.70768002781445738</v>
          </cell>
          <cell r="BQ333">
            <v>0.70734925407305405</v>
          </cell>
          <cell r="BR333">
            <v>0.68920767626482704</v>
          </cell>
          <cell r="BS333">
            <v>0.67809757824895278</v>
          </cell>
          <cell r="BT333">
            <v>0.60391144356002691</v>
          </cell>
          <cell r="BU333">
            <v>0.74209034679845531</v>
          </cell>
          <cell r="BV333">
            <v>0.70904482632558175</v>
          </cell>
          <cell r="BY333" t="str">
            <v>2500/0.8/3250</v>
          </cell>
          <cell r="BZ333">
            <v>2.1994415668955547E-2</v>
          </cell>
          <cell r="CA333">
            <v>2.1063941716760404E-2</v>
          </cell>
        </row>
        <row r="334">
          <cell r="BN334" t="str">
            <v>2500/1/5750</v>
          </cell>
          <cell r="BO334">
            <v>0.69847263629086676</v>
          </cell>
          <cell r="BP334">
            <v>0.70708714725209454</v>
          </cell>
          <cell r="BQ334">
            <v>0.70694573048616316</v>
          </cell>
          <cell r="BR334">
            <v>0.68859747048057507</v>
          </cell>
          <cell r="BS334">
            <v>0.67760884995807669</v>
          </cell>
          <cell r="BT334">
            <v>0.60390837979704526</v>
          </cell>
          <cell r="BU334">
            <v>0.74146581331278028</v>
          </cell>
          <cell r="BV334">
            <v>0.70875710015151472</v>
          </cell>
          <cell r="BY334" t="str">
            <v>2500/0.8/3500</v>
          </cell>
          <cell r="BZ334">
            <v>2.180456365210226E-2</v>
          </cell>
          <cell r="CA334">
            <v>2.0845534920342912E-2</v>
          </cell>
        </row>
        <row r="335">
          <cell r="BN335" t="str">
            <v>2500/1/6000</v>
          </cell>
          <cell r="BO335">
            <v>0.69820744822781655</v>
          </cell>
          <cell r="BP335">
            <v>0.70649426668973181</v>
          </cell>
          <cell r="BQ335">
            <v>0.70654220689927227</v>
          </cell>
          <cell r="BR335">
            <v>0.68798726469632321</v>
          </cell>
          <cell r="BS335">
            <v>0.67712012166720059</v>
          </cell>
          <cell r="BT335">
            <v>0.6039053160340635</v>
          </cell>
          <cell r="BU335">
            <v>0.74084127982710513</v>
          </cell>
          <cell r="BV335">
            <v>0.7084693739774478</v>
          </cell>
          <cell r="BY335" t="str">
            <v>2500/0.8/3750</v>
          </cell>
          <cell r="BZ335">
            <v>2.1656959217342564E-2</v>
          </cell>
          <cell r="CA335">
            <v>2.0681055536720061E-2</v>
          </cell>
        </row>
        <row r="336">
          <cell r="BN336" t="str">
            <v>2500/1/6250</v>
          </cell>
          <cell r="BO336">
            <v>0.69795352973140934</v>
          </cell>
          <cell r="BP336">
            <v>0.70604769314030802</v>
          </cell>
          <cell r="BQ336">
            <v>0.70617697231809007</v>
          </cell>
          <cell r="BR336">
            <v>0.68742449020334651</v>
          </cell>
          <cell r="BS336">
            <v>0.67668301920242568</v>
          </cell>
          <cell r="BT336">
            <v>0.60390225227108163</v>
          </cell>
          <cell r="BU336">
            <v>0.7402151410833725</v>
          </cell>
          <cell r="BV336">
            <v>0.70817629313856922</v>
          </cell>
          <cell r="BY336" t="str">
            <v>2500/0.8/4000</v>
          </cell>
          <cell r="BZ336">
            <v>2.1509354782582868E-2</v>
          </cell>
          <cell r="CA336">
            <v>2.051657615309721E-2</v>
          </cell>
        </row>
        <row r="337">
          <cell r="BN337" t="str">
            <v>2500/1/6350</v>
          </cell>
          <cell r="BO337">
            <v>0.69785196287377183</v>
          </cell>
          <cell r="BP337">
            <v>0.70586908786592673</v>
          </cell>
          <cell r="BQ337">
            <v>0.70604078019844285</v>
          </cell>
          <cell r="BR337">
            <v>0.68724753904406821</v>
          </cell>
          <cell r="BS337">
            <v>0.67653095182577405</v>
          </cell>
          <cell r="BT337">
            <v>0.60390102676588886</v>
          </cell>
          <cell r="BU337">
            <v>0.73996472253392376</v>
          </cell>
          <cell r="BV337">
            <v>0.70805653170348848</v>
          </cell>
          <cell r="BY337" t="str">
            <v>2500/0.8/4250</v>
          </cell>
          <cell r="BZ337">
            <v>2.1384626675859608E-2</v>
          </cell>
          <cell r="CA337">
            <v>2.0386769374662883E-2</v>
          </cell>
        </row>
        <row r="338">
          <cell r="BN338" t="str">
            <v>2500/1/6600</v>
          </cell>
          <cell r="BO338">
            <v>0.69769826936463886</v>
          </cell>
          <cell r="BP338">
            <v>0.70552355280198986</v>
          </cell>
          <cell r="BQ338">
            <v>0.70584492717332981</v>
          </cell>
          <cell r="BR338">
            <v>0.68690448515278446</v>
          </cell>
          <cell r="BS338">
            <v>0.67624848311735275</v>
          </cell>
          <cell r="BT338">
            <v>0.60389918850809965</v>
          </cell>
          <cell r="BU338">
            <v>0.73934472864072076</v>
          </cell>
          <cell r="BV338">
            <v>0.70791672157495478</v>
          </cell>
          <cell r="BY338" t="str">
            <v>2500/0.8/4500</v>
          </cell>
          <cell r="BZ338">
            <v>2.1259898569136348E-2</v>
          </cell>
          <cell r="CA338">
            <v>2.0256962596228556E-2</v>
          </cell>
        </row>
        <row r="339">
          <cell r="BN339" t="str">
            <v>2500/1/6850</v>
          </cell>
          <cell r="BO339">
            <v>0.69769491018675189</v>
          </cell>
          <cell r="BP339">
            <v>0.70532942024592504</v>
          </cell>
          <cell r="BQ339">
            <v>0.70581883825242653</v>
          </cell>
          <cell r="BR339">
            <v>0.68671035259671998</v>
          </cell>
          <cell r="BS339">
            <v>0.67613030578239686</v>
          </cell>
          <cell r="BT339">
            <v>0.60389918850809965</v>
          </cell>
          <cell r="BU339">
            <v>0.73891003139609912</v>
          </cell>
          <cell r="BV339">
            <v>0.70791672157495478</v>
          </cell>
          <cell r="BY339" t="str">
            <v>2500/0.8/4750</v>
          </cell>
          <cell r="BZ339">
            <v>2.1156452891964217E-2</v>
          </cell>
          <cell r="CA339">
            <v>2.016206136164933E-2</v>
          </cell>
        </row>
        <row r="340">
          <cell r="BN340" t="str">
            <v>2500/1/7500</v>
          </cell>
          <cell r="BO340">
            <v>0.69769488351607412</v>
          </cell>
          <cell r="BP340">
            <v>0.70497965000909146</v>
          </cell>
          <cell r="BQ340">
            <v>0.7058023591191811</v>
          </cell>
          <cell r="BR340">
            <v>0.68625679383819616</v>
          </cell>
          <cell r="BS340">
            <v>0.67589769780310027</v>
          </cell>
          <cell r="BT340">
            <v>0.60389918850809965</v>
          </cell>
          <cell r="BU340">
            <v>0.73891003139609912</v>
          </cell>
          <cell r="BV340">
            <v>0.70791672157495478</v>
          </cell>
          <cell r="BY340" t="str">
            <v>2500/0.8/5000</v>
          </cell>
          <cell r="BZ340">
            <v>2.1053007214792085E-2</v>
          </cell>
          <cell r="CA340">
            <v>2.0067160127070105E-2</v>
          </cell>
        </row>
        <row r="341">
          <cell r="BN341" t="str">
            <v>2500/1/10000</v>
          </cell>
          <cell r="BO341">
            <v>0.69769488351607412</v>
          </cell>
          <cell r="BP341">
            <v>0.70434702914232805</v>
          </cell>
          <cell r="BQ341">
            <v>0.70579898085878978</v>
          </cell>
          <cell r="BR341">
            <v>0.68543830058083732</v>
          </cell>
          <cell r="BS341">
            <v>0.67550495574289604</v>
          </cell>
          <cell r="BT341">
            <v>0.60389918850809965</v>
          </cell>
          <cell r="BU341">
            <v>0.73891003139609912</v>
          </cell>
          <cell r="BV341">
            <v>0.70791672157495478</v>
          </cell>
          <cell r="BY341" t="str">
            <v>2500/0.8/5250</v>
          </cell>
          <cell r="BZ341">
            <v>2.0971992311220489E-2</v>
          </cell>
          <cell r="CA341">
            <v>1.9987512043525668E-2</v>
          </cell>
        </row>
        <row r="342">
          <cell r="BN342" t="str">
            <v>2500/1/99999</v>
          </cell>
          <cell r="BO342">
            <v>0.69769488351607412</v>
          </cell>
          <cell r="BP342">
            <v>0.70380152403851626</v>
          </cell>
          <cell r="BQ342">
            <v>0.70579898085878978</v>
          </cell>
          <cell r="BR342">
            <v>0.68470772093277865</v>
          </cell>
          <cell r="BS342">
            <v>0.67510178482473071</v>
          </cell>
          <cell r="BT342">
            <v>0.60389918850809965</v>
          </cell>
          <cell r="BU342">
            <v>0.73891003139609912</v>
          </cell>
          <cell r="BV342">
            <v>0.70791672157495478</v>
          </cell>
          <cell r="BY342" t="str">
            <v>2500/0.8/5500</v>
          </cell>
          <cell r="BZ342">
            <v>2.0890977407648892E-2</v>
          </cell>
          <cell r="CA342">
            <v>1.9907863959981231E-2</v>
          </cell>
        </row>
        <row r="343">
          <cell r="BY343" t="str">
            <v>2500/0.8/5750</v>
          </cell>
          <cell r="BZ343">
            <v>2.0813206609587298E-2</v>
          </cell>
          <cell r="CA343">
            <v>1.9837805565337319E-2</v>
          </cell>
        </row>
        <row r="344">
          <cell r="BN344" t="str">
            <v>2600/1/2600</v>
          </cell>
          <cell r="BT344">
            <v>0.60102436084675182</v>
          </cell>
          <cell r="BU344">
            <v>0.75548681588949196</v>
          </cell>
          <cell r="BV344">
            <v>0.71531140335939614</v>
          </cell>
          <cell r="BY344" t="str">
            <v>2500/0.8/6000</v>
          </cell>
          <cell r="BZ344">
            <v>2.0735435811525704E-2</v>
          </cell>
          <cell r="CA344">
            <v>1.9767747170693406E-2</v>
          </cell>
        </row>
        <row r="345">
          <cell r="BN345" t="str">
            <v>2600/1/3000</v>
          </cell>
          <cell r="BO345">
            <v>0.71771254388357186</v>
          </cell>
          <cell r="BP345">
            <v>0.74019488505732811</v>
          </cell>
          <cell r="BQ345">
            <v>0.73237028418550443</v>
          </cell>
          <cell r="BR345">
            <v>0.71847644986803216</v>
          </cell>
          <cell r="BS345">
            <v>0.70286220180003534</v>
          </cell>
          <cell r="BT345">
            <v>0.59899244934722007</v>
          </cell>
          <cell r="BU345">
            <v>0.74849868929755059</v>
          </cell>
          <cell r="BV345">
            <v>0.70997600406050565</v>
          </cell>
          <cell r="BY345" t="str">
            <v>2500/0.8/6250</v>
          </cell>
          <cell r="BZ345">
            <v>2.067782172227095E-2</v>
          </cell>
          <cell r="CA345">
            <v>1.9706812846266297E-2</v>
          </cell>
        </row>
        <row r="346">
          <cell r="BN346" t="str">
            <v>2600/1/3250</v>
          </cell>
          <cell r="BO346">
            <v>0.71337514766404431</v>
          </cell>
          <cell r="BP346">
            <v>0.73387660256427301</v>
          </cell>
          <cell r="BQ346">
            <v>0.72700033438176526</v>
          </cell>
          <cell r="BR346">
            <v>0.71261520464849537</v>
          </cell>
          <cell r="BS346">
            <v>0.69756574047749509</v>
          </cell>
          <cell r="BT346">
            <v>0.5979764935974542</v>
          </cell>
          <cell r="BU346">
            <v>0.74500462600157991</v>
          </cell>
          <cell r="BV346">
            <v>0.70730830441106041</v>
          </cell>
          <cell r="BY346" t="str">
            <v>2500/0.8/6350</v>
          </cell>
          <cell r="BZ346">
            <v>2.065475867145139E-2</v>
          </cell>
          <cell r="CA346">
            <v>1.9682265694283663E-2</v>
          </cell>
        </row>
        <row r="347">
          <cell r="BN347" t="str">
            <v>2600/1/3500</v>
          </cell>
          <cell r="BO347">
            <v>0.70903775144451675</v>
          </cell>
          <cell r="BP347">
            <v>0.7275583200712179</v>
          </cell>
          <cell r="BQ347">
            <v>0.72163038457802609</v>
          </cell>
          <cell r="BR347">
            <v>0.70675395942895858</v>
          </cell>
          <cell r="BS347">
            <v>0.69226927915495484</v>
          </cell>
          <cell r="BT347">
            <v>0.59696053784768832</v>
          </cell>
          <cell r="BU347">
            <v>0.74151056270560922</v>
          </cell>
          <cell r="BV347">
            <v>0.70464060476161516</v>
          </cell>
          <cell r="BY347" t="str">
            <v>2500/0.8/6600</v>
          </cell>
          <cell r="BZ347">
            <v>2.0597057506608341E-2</v>
          </cell>
          <cell r="CA347">
            <v>1.9620464258796932E-2</v>
          </cell>
        </row>
        <row r="348">
          <cell r="BN348" t="str">
            <v>2600/1/3750</v>
          </cell>
          <cell r="BO348">
            <v>0.70470035522498919</v>
          </cell>
          <cell r="BP348">
            <v>0.7212400375781628</v>
          </cell>
          <cell r="BQ348">
            <v>0.71626043477428691</v>
          </cell>
          <cell r="BR348">
            <v>0.70089271420942179</v>
          </cell>
          <cell r="BS348">
            <v>0.6869728178324146</v>
          </cell>
          <cell r="BT348">
            <v>0.59594458209792245</v>
          </cell>
          <cell r="BU348">
            <v>0.73801649940963854</v>
          </cell>
          <cell r="BV348">
            <v>0.70197290511216992</v>
          </cell>
          <cell r="BY348" t="str">
            <v>2500/0.8/6850</v>
          </cell>
          <cell r="BZ348">
            <v>2.0539482163093536E-2</v>
          </cell>
          <cell r="CA348">
            <v>1.956789508198753E-2</v>
          </cell>
        </row>
        <row r="349">
          <cell r="BN349" t="str">
            <v>2600/1/4000</v>
          </cell>
          <cell r="BO349">
            <v>0.70036295900546153</v>
          </cell>
          <cell r="BP349">
            <v>0.7149217550851078</v>
          </cell>
          <cell r="BQ349">
            <v>0.71089048497054785</v>
          </cell>
          <cell r="BR349">
            <v>0.69503146898988488</v>
          </cell>
          <cell r="BS349">
            <v>0.68167635650987435</v>
          </cell>
          <cell r="BT349">
            <v>0.59492862634815658</v>
          </cell>
          <cell r="BU349">
            <v>0.73452243611366796</v>
          </cell>
          <cell r="BV349">
            <v>0.69930520546272468</v>
          </cell>
          <cell r="BY349" t="str">
            <v>2500/0.8/7500</v>
          </cell>
          <cell r="BZ349">
            <v>2.0413450903759678E-2</v>
          </cell>
          <cell r="CA349">
            <v>1.9450177104409994E-2</v>
          </cell>
        </row>
        <row r="350">
          <cell r="BN350" t="str">
            <v>2600/1/4250</v>
          </cell>
          <cell r="BO350">
            <v>0.69855997103592582</v>
          </cell>
          <cell r="BP350">
            <v>0.71220544886787063</v>
          </cell>
          <cell r="BQ350">
            <v>0.70877776285824023</v>
          </cell>
          <cell r="BR350">
            <v>0.69229986047623149</v>
          </cell>
          <cell r="BS350">
            <v>0.67918861282403431</v>
          </cell>
          <cell r="BT350">
            <v>0.59459353400005377</v>
          </cell>
          <cell r="BU350">
            <v>0.73332242838265072</v>
          </cell>
          <cell r="BV350">
            <v>0.6982784928770851</v>
          </cell>
          <cell r="BY350" t="str">
            <v>2500/0.8/8000</v>
          </cell>
          <cell r="BZ350">
            <v>2.0326334043995864E-2</v>
          </cell>
          <cell r="CA350">
            <v>1.9360853985684656E-2</v>
          </cell>
        </row>
        <row r="351">
          <cell r="BN351" t="str">
            <v>2600/1/4500</v>
          </cell>
          <cell r="BO351">
            <v>0.69675698306639022</v>
          </cell>
          <cell r="BP351">
            <v>0.70948914265063345</v>
          </cell>
          <cell r="BQ351">
            <v>0.70666504074593262</v>
          </cell>
          <cell r="BR351">
            <v>0.68956825196257809</v>
          </cell>
          <cell r="BS351">
            <v>0.67670086913819416</v>
          </cell>
          <cell r="BT351">
            <v>0.59425844165195096</v>
          </cell>
          <cell r="BU351">
            <v>0.73212242065163347</v>
          </cell>
          <cell r="BV351">
            <v>0.69725178029144563</v>
          </cell>
          <cell r="BY351" t="str">
            <v>2500/0.8/9000</v>
          </cell>
          <cell r="BZ351">
            <v>2.0178447175144942E-2</v>
          </cell>
          <cell r="CA351">
            <v>1.9217724393974622E-2</v>
          </cell>
        </row>
        <row r="352">
          <cell r="BN352" t="str">
            <v>2600/1/4750</v>
          </cell>
          <cell r="BO352">
            <v>0.6956778848676336</v>
          </cell>
          <cell r="BP352">
            <v>0.70788040107108963</v>
          </cell>
          <cell r="BQ352">
            <v>0.7054170067158132</v>
          </cell>
          <cell r="BR352">
            <v>0.68790386768077294</v>
          </cell>
          <cell r="BS352">
            <v>0.67521913357153596</v>
          </cell>
          <cell r="BT352">
            <v>0.59417489698763704</v>
          </cell>
          <cell r="BU352">
            <v>0.73144962877000641</v>
          </cell>
          <cell r="BV352">
            <v>0.69643720886278548</v>
          </cell>
          <cell r="BY352" t="str">
            <v>2500/0.8/10000</v>
          </cell>
          <cell r="BZ352">
            <v>2.0042478923298912E-2</v>
          </cell>
          <cell r="CA352">
            <v>1.9096839491531847E-2</v>
          </cell>
        </row>
        <row r="353">
          <cell r="BN353" t="str">
            <v>2600/1/5000</v>
          </cell>
          <cell r="BO353">
            <v>0.69459878666887698</v>
          </cell>
          <cell r="BP353">
            <v>0.70627165949154591</v>
          </cell>
          <cell r="BQ353">
            <v>0.70416897268569378</v>
          </cell>
          <cell r="BR353">
            <v>0.68623948339896779</v>
          </cell>
          <cell r="BS353">
            <v>0.67373739800487786</v>
          </cell>
          <cell r="BT353">
            <v>0.59409135232332311</v>
          </cell>
          <cell r="BU353">
            <v>0.73077683688837936</v>
          </cell>
          <cell r="BV353">
            <v>0.69562263743412545</v>
          </cell>
          <cell r="BY353" t="str">
            <v>2500/0.8/99999</v>
          </cell>
          <cell r="BZ353">
            <v>1.8583140675852539E-2</v>
          </cell>
          <cell r="CA353">
            <v>1.7966829831719267E-2</v>
          </cell>
        </row>
        <row r="354">
          <cell r="BN354" t="str">
            <v>2600/1/5250</v>
          </cell>
          <cell r="BO354">
            <v>0.69395339266621592</v>
          </cell>
          <cell r="BP354">
            <v>0.70525751277231696</v>
          </cell>
          <cell r="BQ354">
            <v>0.70339493936187036</v>
          </cell>
          <cell r="BR354">
            <v>0.68516304173865683</v>
          </cell>
          <cell r="BS354">
            <v>0.67281214293129876</v>
          </cell>
          <cell r="BT354">
            <v>0.59406814040981082</v>
          </cell>
          <cell r="BU354">
            <v>0.73015139727758605</v>
          </cell>
          <cell r="BV354">
            <v>0.69489571417448115</v>
          </cell>
          <cell r="BY354" t="str">
            <v>2750/0.8/3000</v>
          </cell>
          <cell r="BZ354">
            <v>2.2133497780098432E-2</v>
          </cell>
          <cell r="CA354">
            <v>2.1203037271240066E-2</v>
          </cell>
        </row>
        <row r="355">
          <cell r="BN355" t="str">
            <v>2600/1/5500</v>
          </cell>
          <cell r="BO355">
            <v>0.69330799866355464</v>
          </cell>
          <cell r="BP355">
            <v>0.70424336605308813</v>
          </cell>
          <cell r="BQ355">
            <v>0.70262090603804694</v>
          </cell>
          <cell r="BR355">
            <v>0.68408660007834599</v>
          </cell>
          <cell r="BS355">
            <v>0.67188688785771966</v>
          </cell>
          <cell r="BT355">
            <v>0.59404492849629853</v>
          </cell>
          <cell r="BU355">
            <v>0.72952595766679262</v>
          </cell>
          <cell r="BV355">
            <v>0.69416879091483696</v>
          </cell>
          <cell r="BY355" t="str">
            <v>2750/0.8/3250</v>
          </cell>
          <cell r="BZ355">
            <v>2.1925869609329685E-2</v>
          </cell>
          <cell r="CA355">
            <v>2.0943461700403621E-2</v>
          </cell>
        </row>
        <row r="356">
          <cell r="BN356" t="str">
            <v>2600/1/5750</v>
          </cell>
          <cell r="BO356">
            <v>0.69296402825415071</v>
          </cell>
          <cell r="BP356">
            <v>0.70356718659953876</v>
          </cell>
          <cell r="BQ356">
            <v>0.70214447434089666</v>
          </cell>
          <cell r="BR356">
            <v>0.6833793874403481</v>
          </cell>
          <cell r="BS356">
            <v>0.67130801040252375</v>
          </cell>
          <cell r="BT356">
            <v>0.59403850213719345</v>
          </cell>
          <cell r="BU356">
            <v>0.72890199916090492</v>
          </cell>
          <cell r="BV356">
            <v>0.693775651960157</v>
          </cell>
          <cell r="BY356" t="str">
            <v>2750/0.8/3500</v>
          </cell>
          <cell r="BZ356">
            <v>2.1718241438560937E-2</v>
          </cell>
          <cell r="CA356">
            <v>2.0683886129567175E-2</v>
          </cell>
        </row>
        <row r="357">
          <cell r="BN357" t="str">
            <v>2600/1/6000</v>
          </cell>
          <cell r="BO357">
            <v>0.69262005784474678</v>
          </cell>
          <cell r="BP357">
            <v>0.7028910071459894</v>
          </cell>
          <cell r="BQ357">
            <v>0.70166804264374638</v>
          </cell>
          <cell r="BR357">
            <v>0.68267217480235032</v>
          </cell>
          <cell r="BS357">
            <v>0.67072913294732783</v>
          </cell>
          <cell r="BT357">
            <v>0.59403207577808836</v>
          </cell>
          <cell r="BU357">
            <v>0.72827804065501711</v>
          </cell>
          <cell r="BV357">
            <v>0.69338251300547715</v>
          </cell>
          <cell r="BY357" t="str">
            <v>2750/0.8/3750</v>
          </cell>
          <cell r="BZ357">
            <v>2.1554609042560513E-2</v>
          </cell>
          <cell r="CA357">
            <v>2.0497635326949981E-2</v>
          </cell>
        </row>
        <row r="358">
          <cell r="BN358" t="str">
            <v>2600/1/6250</v>
          </cell>
          <cell r="BO358">
            <v>0.69236062677745958</v>
          </cell>
          <cell r="BP358">
            <v>0.70239499877416434</v>
          </cell>
          <cell r="BQ358">
            <v>0.70128102881841137</v>
          </cell>
          <cell r="BR358">
            <v>0.6820963190340581</v>
          </cell>
          <cell r="BS358">
            <v>0.67027212316506712</v>
          </cell>
          <cell r="BT358">
            <v>0.594029041265563</v>
          </cell>
          <cell r="BU358">
            <v>0.72765355797515008</v>
          </cell>
          <cell r="BV358">
            <v>0.69309229093928471</v>
          </cell>
          <cell r="BY358" t="str">
            <v>2750/0.8/4000</v>
          </cell>
          <cell r="BZ358">
            <v>2.1390976646560089E-2</v>
          </cell>
          <cell r="CA358">
            <v>2.0311384524332787E-2</v>
          </cell>
        </row>
        <row r="359">
          <cell r="BN359" t="str">
            <v>2600/1/6350</v>
          </cell>
          <cell r="BO359">
            <v>0.69225956958977231</v>
          </cell>
          <cell r="BP359">
            <v>0.70219662581556597</v>
          </cell>
          <cell r="BQ359">
            <v>0.7011423124904127</v>
          </cell>
          <cell r="BR359">
            <v>0.68189974872027193</v>
          </cell>
          <cell r="BS359">
            <v>0.67010514826938428</v>
          </cell>
          <cell r="BT359">
            <v>0.59402782746055283</v>
          </cell>
          <cell r="BU359">
            <v>0.72740369975492014</v>
          </cell>
          <cell r="BV359">
            <v>0.69297412792087765</v>
          </cell>
          <cell r="BY359" t="str">
            <v>2750/0.8/4250</v>
          </cell>
          <cell r="BZ359">
            <v>2.1257843186325509E-2</v>
          </cell>
          <cell r="CA359">
            <v>2.0168836939301937E-2</v>
          </cell>
        </row>
        <row r="360">
          <cell r="BN360" t="str">
            <v>2600/1/6600</v>
          </cell>
          <cell r="BO360">
            <v>0.69207708347841368</v>
          </cell>
          <cell r="BP360">
            <v>0.70180459007576423</v>
          </cell>
          <cell r="BQ360">
            <v>0.70089677128450534</v>
          </cell>
          <cell r="BR360">
            <v>0.68147788346154381</v>
          </cell>
          <cell r="BS360">
            <v>0.66977339667240421</v>
          </cell>
          <cell r="BT360">
            <v>0.59402565080166225</v>
          </cell>
          <cell r="BU360">
            <v>0.7267830636485193</v>
          </cell>
          <cell r="BV360">
            <v>0.69278967664051105</v>
          </cell>
          <cell r="BY360" t="str">
            <v>2750/0.8/4500</v>
          </cell>
          <cell r="BZ360">
            <v>2.1124709726090929E-2</v>
          </cell>
          <cell r="CA360">
            <v>2.0026289354271087E-2</v>
          </cell>
        </row>
        <row r="361">
          <cell r="BN361" t="str">
            <v>2600/1/6850</v>
          </cell>
          <cell r="BO361">
            <v>0.69199983187739411</v>
          </cell>
          <cell r="BP361">
            <v>0.70153561401354891</v>
          </cell>
          <cell r="BQ361">
            <v>0.70077310252893932</v>
          </cell>
          <cell r="BR361">
            <v>0.68118617153831373</v>
          </cell>
          <cell r="BS361">
            <v>0.66956515027783936</v>
          </cell>
          <cell r="BT361">
            <v>0.59402476092322398</v>
          </cell>
          <cell r="BU361">
            <v>0.72629342464556612</v>
          </cell>
          <cell r="BV361">
            <v>0.69269900515361327</v>
          </cell>
          <cell r="BY361" t="str">
            <v>2750/0.8/4750</v>
          </cell>
          <cell r="BZ361">
            <v>2.1011354277532701E-2</v>
          </cell>
          <cell r="CA361">
            <v>1.991706214796124E-2</v>
          </cell>
        </row>
        <row r="362">
          <cell r="BN362" t="str">
            <v>2600/1/7500</v>
          </cell>
          <cell r="BO362">
            <v>0.6919534494896642</v>
          </cell>
          <cell r="BP362">
            <v>0.70109445776797308</v>
          </cell>
          <cell r="BQ362">
            <v>0.7006928041479028</v>
          </cell>
          <cell r="BR362">
            <v>0.68067333813879738</v>
          </cell>
          <cell r="BS362">
            <v>0.66926271982094787</v>
          </cell>
          <cell r="BT362">
            <v>0.5940242269961612</v>
          </cell>
          <cell r="BU362">
            <v>0.72604897533304902</v>
          </cell>
          <cell r="BV362">
            <v>0.69266622333321382</v>
          </cell>
          <cell r="BY362" t="str">
            <v>2750/0.8/5000</v>
          </cell>
          <cell r="BZ362">
            <v>2.0897998828974473E-2</v>
          </cell>
          <cell r="CA362">
            <v>1.9807834941651392E-2</v>
          </cell>
        </row>
        <row r="363">
          <cell r="BN363" t="str">
            <v>2600/1/10000</v>
          </cell>
          <cell r="BO363">
            <v>0.6919534494896642</v>
          </cell>
          <cell r="BP363">
            <v>0.70040987903523433</v>
          </cell>
          <cell r="BQ363">
            <v>0.70068741732176876</v>
          </cell>
          <cell r="BR363">
            <v>0.67977268890893527</v>
          </cell>
          <cell r="BS363">
            <v>0.66882717333767683</v>
          </cell>
          <cell r="BT363">
            <v>0.5940242269961612</v>
          </cell>
          <cell r="BU363">
            <v>0.72604897533304902</v>
          </cell>
          <cell r="BV363">
            <v>0.69266622333321382</v>
          </cell>
          <cell r="BY363" t="str">
            <v>2750/0.8/5250</v>
          </cell>
          <cell r="BZ363">
            <v>2.0809941439866142E-2</v>
          </cell>
          <cell r="CA363">
            <v>1.9721509636864587E-2</v>
          </cell>
        </row>
        <row r="364">
          <cell r="BN364" t="str">
            <v>2600/1/99999</v>
          </cell>
          <cell r="BO364">
            <v>0.6919534494896642</v>
          </cell>
          <cell r="BP364">
            <v>0.69984744546530431</v>
          </cell>
          <cell r="BQ364">
            <v>0.70068741732176876</v>
          </cell>
          <cell r="BR364">
            <v>0.67899868837787003</v>
          </cell>
          <cell r="BS364">
            <v>0.66840123359469705</v>
          </cell>
          <cell r="BT364">
            <v>0.5940242269961612</v>
          </cell>
          <cell r="BU364">
            <v>0.72604897533304902</v>
          </cell>
          <cell r="BV364">
            <v>0.69266622333321382</v>
          </cell>
          <cell r="BY364" t="str">
            <v>2750/0.8/5500</v>
          </cell>
          <cell r="BZ364">
            <v>2.0721884050757811E-2</v>
          </cell>
          <cell r="CA364">
            <v>1.9635184332077782E-2</v>
          </cell>
        </row>
        <row r="365">
          <cell r="BY365" t="str">
            <v>2750/0.8/5750</v>
          </cell>
          <cell r="BZ365">
            <v>2.0642459522857259E-2</v>
          </cell>
          <cell r="CA365">
            <v>1.9561860675693044E-2</v>
          </cell>
        </row>
        <row r="366">
          <cell r="BN366" t="str">
            <v>2750/1/2750</v>
          </cell>
          <cell r="BT366">
            <v>0.61601816240668683</v>
          </cell>
          <cell r="BU366">
            <v>0.78131814212933826</v>
          </cell>
          <cell r="BV366">
            <v>0.74070457884132945</v>
          </cell>
          <cell r="BY366" t="str">
            <v>2750/0.8/6000</v>
          </cell>
          <cell r="BZ366">
            <v>2.0563034994956708E-2</v>
          </cell>
          <cell r="CA366">
            <v>1.9488537019308305E-2</v>
          </cell>
        </row>
        <row r="367">
          <cell r="BN367" t="str">
            <v>2750/1/3000</v>
          </cell>
          <cell r="BT367">
            <v>0.6037978542632918</v>
          </cell>
          <cell r="BU367">
            <v>0.76013014109370736</v>
          </cell>
          <cell r="BV367">
            <v>0.71951661434233349</v>
          </cell>
          <cell r="BY367" t="str">
            <v>2750/0.8/6250</v>
          </cell>
          <cell r="BZ367">
            <v>2.0493634293454521E-2</v>
          </cell>
          <cell r="CA367">
            <v>1.9421592413705668E-2</v>
          </cell>
        </row>
        <row r="368">
          <cell r="BN368" t="str">
            <v>2750/1/3250</v>
          </cell>
          <cell r="BT368">
            <v>0.59742350288406409</v>
          </cell>
          <cell r="BU368">
            <v>0.74768997982978069</v>
          </cell>
          <cell r="BV368">
            <v>0.70797378802328625</v>
          </cell>
          <cell r="BY368" t="str">
            <v>2750/0.8/6350</v>
          </cell>
          <cell r="BZ368">
            <v>2.0466845364952913E-2</v>
          </cell>
          <cell r="CA368">
            <v>1.9397247433826093E-2</v>
          </cell>
        </row>
        <row r="369">
          <cell r="BN369" t="str">
            <v>2750/1/3500</v>
          </cell>
          <cell r="BO369">
            <v>0.70855300218825956</v>
          </cell>
          <cell r="BP369">
            <v>0.72973846250557561</v>
          </cell>
          <cell r="BQ369">
            <v>0.72243388100142258</v>
          </cell>
          <cell r="BR369">
            <v>0.70716619520833146</v>
          </cell>
          <cell r="BS369">
            <v>0.69156733452265007</v>
          </cell>
          <cell r="BT369">
            <v>0.5910491515048365</v>
          </cell>
          <cell r="BU369">
            <v>0.73524981856585414</v>
          </cell>
          <cell r="BV369">
            <v>0.69643096170423902</v>
          </cell>
          <cell r="BY369" t="str">
            <v>2750/0.8/6600</v>
          </cell>
          <cell r="BZ369">
            <v>2.040919397199692E-2</v>
          </cell>
          <cell r="CA369">
            <v>1.9335951428597453E-2</v>
          </cell>
        </row>
        <row r="370">
          <cell r="BN370" t="str">
            <v>2750/1/3750</v>
          </cell>
          <cell r="BO370">
            <v>0.70304449336164387</v>
          </cell>
          <cell r="BP370">
            <v>0.72177166380602187</v>
          </cell>
          <cell r="BQ370">
            <v>0.71557019898474272</v>
          </cell>
          <cell r="BR370">
            <v>0.6999700259452809</v>
          </cell>
          <cell r="BS370">
            <v>0.68508826196193706</v>
          </cell>
          <cell r="BT370">
            <v>0.58983475779996064</v>
          </cell>
          <cell r="BU370">
            <v>0.73098033474986246</v>
          </cell>
          <cell r="BV370">
            <v>0.69304313550434371</v>
          </cell>
          <cell r="BY370" t="str">
            <v>2750/0.8/6850</v>
          </cell>
          <cell r="BZ370">
            <v>2.0351574338697831E-2</v>
          </cell>
          <cell r="CA370">
            <v>1.9278961870185962E-2</v>
          </cell>
        </row>
        <row r="371">
          <cell r="BN371" t="str">
            <v>2750/1/4000</v>
          </cell>
          <cell r="BO371">
            <v>0.69753598453502819</v>
          </cell>
          <cell r="BP371">
            <v>0.71380486510646812</v>
          </cell>
          <cell r="BQ371">
            <v>0.70870651696806286</v>
          </cell>
          <cell r="BR371">
            <v>0.69277385668223035</v>
          </cell>
          <cell r="BS371">
            <v>0.67860918940122406</v>
          </cell>
          <cell r="BT371">
            <v>0.58862036409508489</v>
          </cell>
          <cell r="BU371">
            <v>0.72671085093387078</v>
          </cell>
          <cell r="BV371">
            <v>0.68965530930444841</v>
          </cell>
          <cell r="BY371" t="str">
            <v>2750/0.8/7500</v>
          </cell>
          <cell r="BZ371">
            <v>2.0214207635820713E-2</v>
          </cell>
          <cell r="CA371">
            <v>1.9152775696155144E-2</v>
          </cell>
        </row>
        <row r="372">
          <cell r="BN372" t="str">
            <v>2750/1/4250</v>
          </cell>
          <cell r="BO372">
            <v>0.6955197271503637</v>
          </cell>
          <cell r="BP372">
            <v>0.71076965526316438</v>
          </cell>
          <cell r="BQ372">
            <v>0.70631107029034879</v>
          </cell>
          <cell r="BR372">
            <v>0.68972746841120491</v>
          </cell>
          <cell r="BS372">
            <v>0.67583458093763382</v>
          </cell>
          <cell r="BT372">
            <v>0.58818231538969823</v>
          </cell>
          <cell r="BU372">
            <v>0.72525515799077289</v>
          </cell>
          <cell r="BV372">
            <v>0.68851189582768346</v>
          </cell>
          <cell r="BY372" t="str">
            <v>2750/0.8/8000</v>
          </cell>
          <cell r="BZ372">
            <v>2.0127116637652098E-2</v>
          </cell>
          <cell r="CA372">
            <v>1.906287336787571E-2</v>
          </cell>
        </row>
        <row r="373">
          <cell r="BN373" t="str">
            <v>2750/1/4500</v>
          </cell>
          <cell r="BO373">
            <v>0.69350346976569943</v>
          </cell>
          <cell r="BP373">
            <v>0.70773444541986064</v>
          </cell>
          <cell r="BQ373">
            <v>0.7039156236126346</v>
          </cell>
          <cell r="BR373">
            <v>0.68668108014017948</v>
          </cell>
          <cell r="BS373">
            <v>0.67305997247404348</v>
          </cell>
          <cell r="BT373">
            <v>0.58774426668431157</v>
          </cell>
          <cell r="BU373">
            <v>0.72379946504767512</v>
          </cell>
          <cell r="BV373">
            <v>0.68736848235091874</v>
          </cell>
          <cell r="BY373" t="str">
            <v>2750/0.8/9000</v>
          </cell>
          <cell r="BZ373">
            <v>1.9972167548904407E-2</v>
          </cell>
          <cell r="CA373">
            <v>1.8913107521346673E-2</v>
          </cell>
        </row>
        <row r="374">
          <cell r="BN374" t="str">
            <v>2750/1/4750</v>
          </cell>
          <cell r="BO374">
            <v>0.69231455973159772</v>
          </cell>
          <cell r="BP374">
            <v>0.70594959676420999</v>
          </cell>
          <cell r="BQ374">
            <v>0.70254661052452172</v>
          </cell>
          <cell r="BR374">
            <v>0.68485041149824744</v>
          </cell>
          <cell r="BS374">
            <v>0.67141854535407208</v>
          </cell>
          <cell r="BT374">
            <v>0.58763461805591333</v>
          </cell>
          <cell r="BU374">
            <v>0.72309869675361482</v>
          </cell>
          <cell r="BV374">
            <v>0.68655464681549572</v>
          </cell>
          <cell r="BY374" t="str">
            <v>2750/0.8/10000</v>
          </cell>
          <cell r="BZ374">
            <v>1.9834577274681631E-2</v>
          </cell>
          <cell r="CA374">
            <v>1.8786913007525663E-2</v>
          </cell>
        </row>
        <row r="375">
          <cell r="BN375" t="str">
            <v>2750/1/5000</v>
          </cell>
          <cell r="BO375">
            <v>0.69112564969749601</v>
          </cell>
          <cell r="BP375">
            <v>0.70416474810855956</v>
          </cell>
          <cell r="BQ375">
            <v>0.70117759743640895</v>
          </cell>
          <cell r="BR375">
            <v>0.68301974285631539</v>
          </cell>
          <cell r="BS375">
            <v>0.66977711823410069</v>
          </cell>
          <cell r="BT375">
            <v>0.58752496942751509</v>
          </cell>
          <cell r="BU375">
            <v>0.72239792845955453</v>
          </cell>
          <cell r="BV375">
            <v>0.6857408112800728</v>
          </cell>
          <cell r="BY375" t="str">
            <v>2750/0.8/99999</v>
          </cell>
          <cell r="BZ375">
            <v>1.8349125586967663E-2</v>
          </cell>
          <cell r="CA375">
            <v>1.7637149766032811E-2</v>
          </cell>
        </row>
        <row r="376">
          <cell r="BN376" t="str">
            <v>2750/1/5250</v>
          </cell>
          <cell r="BO376">
            <v>0.69040688228373803</v>
          </cell>
          <cell r="BP376">
            <v>0.70305850316036744</v>
          </cell>
          <cell r="BQ376">
            <v>0.70032313572555893</v>
          </cell>
          <cell r="BR376">
            <v>0.68184614607183691</v>
          </cell>
          <cell r="BS376">
            <v>0.6687617729154991</v>
          </cell>
          <cell r="BT376">
            <v>0.58749611060733065</v>
          </cell>
          <cell r="BU376">
            <v>0.72177381335261936</v>
          </cell>
          <cell r="BV376">
            <v>0.68499612262720655</v>
          </cell>
          <cell r="BY376" t="str">
            <v>3000/0.8/3000</v>
          </cell>
          <cell r="BZ376">
            <v>2.2082727874388031E-2</v>
          </cell>
          <cell r="CA376">
            <v>2.1123726029302237E-2</v>
          </cell>
        </row>
        <row r="377">
          <cell r="BN377" t="str">
            <v>2750/1/5500</v>
          </cell>
          <cell r="BO377">
            <v>0.68968811486997983</v>
          </cell>
          <cell r="BP377">
            <v>0.70195225821217533</v>
          </cell>
          <cell r="BQ377">
            <v>0.69946867401470891</v>
          </cell>
          <cell r="BR377">
            <v>0.68067254928735854</v>
          </cell>
          <cell r="BS377">
            <v>0.66774642759689751</v>
          </cell>
          <cell r="BT377">
            <v>0.58746725178714621</v>
          </cell>
          <cell r="BU377">
            <v>0.7211496982456842</v>
          </cell>
          <cell r="BV377">
            <v>0.68425143397434041</v>
          </cell>
          <cell r="BY377" t="str">
            <v>3000/0.8/3250</v>
          </cell>
          <cell r="BZ377">
            <v>2.1857323549703822E-2</v>
          </cell>
          <cell r="CA377">
            <v>2.0822981684046837E-2</v>
          </cell>
        </row>
        <row r="378">
          <cell r="BN378" t="str">
            <v>2750/1/5750</v>
          </cell>
          <cell r="BO378">
            <v>0.68929162289634005</v>
          </cell>
          <cell r="BP378">
            <v>0.70122054616450158</v>
          </cell>
          <cell r="BQ378">
            <v>0.69894363691071892</v>
          </cell>
          <cell r="BR378">
            <v>0.67990066541353011</v>
          </cell>
          <cell r="BS378">
            <v>0.66710745069882171</v>
          </cell>
          <cell r="BT378">
            <v>0.58745858369729231</v>
          </cell>
          <cell r="BU378">
            <v>0.72052612305965469</v>
          </cell>
          <cell r="BV378">
            <v>0.68378801983258519</v>
          </cell>
          <cell r="BY378" t="str">
            <v>3000/0.8/3500</v>
          </cell>
          <cell r="BZ378">
            <v>2.1631919225019614E-2</v>
          </cell>
          <cell r="CA378">
            <v>2.0522237338791438E-2</v>
          </cell>
        </row>
        <row r="379">
          <cell r="BN379" t="str">
            <v>2750/1/6000</v>
          </cell>
          <cell r="BO379">
            <v>0.68889513092270027</v>
          </cell>
          <cell r="BP379">
            <v>0.70048883411682783</v>
          </cell>
          <cell r="BQ379">
            <v>0.69841859980672916</v>
          </cell>
          <cell r="BR379">
            <v>0.67912878153970169</v>
          </cell>
          <cell r="BS379">
            <v>0.66646847380074592</v>
          </cell>
          <cell r="BT379">
            <v>0.58744991560743831</v>
          </cell>
          <cell r="BU379">
            <v>0.71990254787362518</v>
          </cell>
          <cell r="BV379">
            <v>0.68332460569082998</v>
          </cell>
          <cell r="BY379" t="str">
            <v>3000/0.8/3750</v>
          </cell>
          <cell r="BZ379">
            <v>2.1452258867778462E-2</v>
          </cell>
          <cell r="CA379">
            <v>2.0314215117179901E-2</v>
          </cell>
        </row>
        <row r="380">
          <cell r="BN380" t="str">
            <v>2750/1/6250</v>
          </cell>
          <cell r="BO380">
            <v>0.68863202480815966</v>
          </cell>
          <cell r="BP380">
            <v>0.69995986919673514</v>
          </cell>
          <cell r="BQ380">
            <v>0.69801706648529227</v>
          </cell>
          <cell r="BR380">
            <v>0.67854420492119916</v>
          </cell>
          <cell r="BS380">
            <v>0.66599819247349468</v>
          </cell>
          <cell r="BT380">
            <v>0.5874469005952172</v>
          </cell>
          <cell r="BU380">
            <v>0.71927916923633517</v>
          </cell>
          <cell r="BV380">
            <v>0.68303628947309503</v>
          </cell>
          <cell r="BY380" t="str">
            <v>3000/0.8/4000</v>
          </cell>
          <cell r="BZ380">
            <v>2.1272598510537311E-2</v>
          </cell>
          <cell r="CA380">
            <v>2.0106192895568364E-2</v>
          </cell>
        </row>
        <row r="381">
          <cell r="BN381" t="str">
            <v>2750/1/6350</v>
          </cell>
          <cell r="BO381">
            <v>0.68853130740043922</v>
          </cell>
          <cell r="BP381">
            <v>0.6997483177819922</v>
          </cell>
          <cell r="BQ381">
            <v>0.69787666735172593</v>
          </cell>
          <cell r="BR381">
            <v>0.67833455517107444</v>
          </cell>
          <cell r="BS381">
            <v>0.66582127923179113</v>
          </cell>
          <cell r="BT381">
            <v>0.5874456945903288</v>
          </cell>
          <cell r="BU381">
            <v>0.7190296845689178</v>
          </cell>
          <cell r="BV381">
            <v>0.68291919206580376</v>
          </cell>
          <cell r="BY381" t="str">
            <v>3000/0.8/4250</v>
          </cell>
          <cell r="BZ381">
            <v>2.113105969679141E-2</v>
          </cell>
          <cell r="CA381">
            <v>1.9950904503940992E-2</v>
          </cell>
        </row>
        <row r="382">
          <cell r="BN382" t="str">
            <v>2750/1/6600</v>
          </cell>
          <cell r="BO382">
            <v>0.68832962622093019</v>
          </cell>
          <cell r="BP382">
            <v>0.69932528159161378</v>
          </cell>
          <cell r="BQ382">
            <v>0.69759800069195566</v>
          </cell>
          <cell r="BR382">
            <v>0.67786014900071678</v>
          </cell>
          <cell r="BS382">
            <v>0.66545667237577177</v>
          </cell>
          <cell r="BT382">
            <v>0.58744329233070391</v>
          </cell>
          <cell r="BU382">
            <v>0.71840862032038499</v>
          </cell>
          <cell r="BV382">
            <v>0.68270498001754865</v>
          </cell>
          <cell r="BY382" t="str">
            <v>3000/0.8/4500</v>
          </cell>
          <cell r="BZ382">
            <v>2.0989520883045509E-2</v>
          </cell>
          <cell r="CA382">
            <v>1.9795616112313619E-2</v>
          </cell>
        </row>
        <row r="383">
          <cell r="BN383" t="str">
            <v>2750/1/6850</v>
          </cell>
          <cell r="BO383">
            <v>0.688203113004489</v>
          </cell>
          <cell r="BP383">
            <v>0.69900640985863149</v>
          </cell>
          <cell r="BQ383">
            <v>0.69740927871328118</v>
          </cell>
          <cell r="BR383">
            <v>0.67750338416604294</v>
          </cell>
          <cell r="BS383">
            <v>0.66518837994146762</v>
          </cell>
          <cell r="BT383">
            <v>0.58744180919997357</v>
          </cell>
          <cell r="BU383">
            <v>0.71788235347854412</v>
          </cell>
          <cell r="BV383">
            <v>0.68255386087271885</v>
          </cell>
          <cell r="BY383" t="str">
            <v>3000/0.8/4750</v>
          </cell>
          <cell r="BZ383">
            <v>2.0866255663101185E-2</v>
          </cell>
          <cell r="CA383">
            <v>1.9672062934273149E-2</v>
          </cell>
        </row>
        <row r="384">
          <cell r="BN384" t="str">
            <v>2750/1/7500</v>
          </cell>
          <cell r="BO384">
            <v>0.68812582680539092</v>
          </cell>
          <cell r="BP384">
            <v>0.69850432960722753</v>
          </cell>
          <cell r="BQ384">
            <v>0.69728643416705061</v>
          </cell>
          <cell r="BR384">
            <v>0.67695103433919823</v>
          </cell>
          <cell r="BS384">
            <v>0.66483940116617957</v>
          </cell>
          <cell r="BT384">
            <v>0.58744091932153553</v>
          </cell>
          <cell r="BU384">
            <v>0.71747493795768236</v>
          </cell>
          <cell r="BV384">
            <v>0.68249922450538647</v>
          </cell>
          <cell r="BY384" t="str">
            <v>3000/0.8/5000</v>
          </cell>
          <cell r="BZ384">
            <v>2.0742990443156861E-2</v>
          </cell>
          <cell r="CA384">
            <v>1.9548509756232679E-2</v>
          </cell>
        </row>
        <row r="385">
          <cell r="BN385" t="str">
            <v>2750/1/10000</v>
          </cell>
          <cell r="BO385">
            <v>0.68812582680539092</v>
          </cell>
          <cell r="BP385">
            <v>0.69778511229717188</v>
          </cell>
          <cell r="BQ385">
            <v>0.69727970829708807</v>
          </cell>
          <cell r="BR385">
            <v>0.67599561446100065</v>
          </cell>
          <cell r="BS385">
            <v>0.66437531840086406</v>
          </cell>
          <cell r="BT385">
            <v>0.58744091932153553</v>
          </cell>
          <cell r="BU385">
            <v>0.71747493795768236</v>
          </cell>
          <cell r="BV385">
            <v>0.68249922450538647</v>
          </cell>
          <cell r="BY385" t="str">
            <v>3000/0.8/5250</v>
          </cell>
          <cell r="BZ385">
            <v>2.0647890568511795E-2</v>
          </cell>
          <cell r="CA385">
            <v>1.9455507230203506E-2</v>
          </cell>
        </row>
        <row r="386">
          <cell r="BN386" t="str">
            <v>2750/1/99999</v>
          </cell>
          <cell r="BO386">
            <v>0.68812582680539092</v>
          </cell>
          <cell r="BP386">
            <v>0.69721139308316293</v>
          </cell>
          <cell r="BQ386">
            <v>0.69727970829708807</v>
          </cell>
          <cell r="BR386">
            <v>0.67519266667459754</v>
          </cell>
          <cell r="BS386">
            <v>0.66393419944134124</v>
          </cell>
          <cell r="BT386">
            <v>0.58744091932153553</v>
          </cell>
          <cell r="BU386">
            <v>0.71747493795768236</v>
          </cell>
          <cell r="BV386">
            <v>0.68249922450538647</v>
          </cell>
          <cell r="BY386" t="str">
            <v>3000/0.8/5500</v>
          </cell>
          <cell r="BZ386">
            <v>2.0552790693866729E-2</v>
          </cell>
          <cell r="CA386">
            <v>1.9362504704174333E-2</v>
          </cell>
        </row>
        <row r="387">
          <cell r="BY387" t="str">
            <v>3000/0.8/5750</v>
          </cell>
          <cell r="BZ387">
            <v>2.0471712436127221E-2</v>
          </cell>
          <cell r="CA387">
            <v>1.9285915786048768E-2</v>
          </cell>
        </row>
        <row r="388">
          <cell r="BN388" t="str">
            <v>3000/1/3000</v>
          </cell>
          <cell r="BT388">
            <v>0.59823466587435292</v>
          </cell>
          <cell r="BU388">
            <v>0.75604734588876477</v>
          </cell>
          <cell r="BV388">
            <v>0.71054785724626757</v>
          </cell>
          <cell r="BY388" t="str">
            <v>3000/0.8/6000</v>
          </cell>
          <cell r="BZ388">
            <v>2.0390634178387712E-2</v>
          </cell>
          <cell r="CA388">
            <v>1.9209326867923204E-2</v>
          </cell>
        </row>
        <row r="389">
          <cell r="BN389" t="str">
            <v>3000/1/3250</v>
          </cell>
          <cell r="BT389">
            <v>0.58725267576102991</v>
          </cell>
          <cell r="BU389">
            <v>0.73782265205261566</v>
          </cell>
          <cell r="BV389">
            <v>0.69322735565353311</v>
          </cell>
          <cell r="BY389" t="str">
            <v>3000/0.8/6250</v>
          </cell>
          <cell r="BZ389">
            <v>2.0309446864638092E-2</v>
          </cell>
          <cell r="CA389">
            <v>1.9136371981145039E-2</v>
          </cell>
        </row>
        <row r="390">
          <cell r="BN390" t="str">
            <v>3000/1/3500</v>
          </cell>
          <cell r="BO390">
            <v>0.7073411290476167</v>
          </cell>
          <cell r="BP390">
            <v>0.73518881859146989</v>
          </cell>
          <cell r="BQ390">
            <v>0.72444262205991394</v>
          </cell>
          <cell r="BR390">
            <v>0.70819678465676372</v>
          </cell>
          <cell r="BS390">
            <v>0.6898124729418883</v>
          </cell>
          <cell r="BT390">
            <v>0.57627068564770689</v>
          </cell>
          <cell r="BU390">
            <v>0.71959795821646655</v>
          </cell>
          <cell r="BV390">
            <v>0.67590685406079853</v>
          </cell>
          <cell r="BY390" t="str">
            <v>3000/0.8/6350</v>
          </cell>
          <cell r="BZ390">
            <v>2.0278932058454435E-2</v>
          </cell>
          <cell r="CA390">
            <v>1.9112229173368522E-2</v>
          </cell>
        </row>
        <row r="391">
          <cell r="BN391" t="str">
            <v>3000/1/3750</v>
          </cell>
          <cell r="BO391">
            <v>0.69890483870328068</v>
          </cell>
          <cell r="BP391">
            <v>0.72310072937566949</v>
          </cell>
          <cell r="BQ391">
            <v>0.71384460951088213</v>
          </cell>
          <cell r="BR391">
            <v>0.69766330528492881</v>
          </cell>
          <cell r="BS391">
            <v>0.68037687228574328</v>
          </cell>
          <cell r="BT391">
            <v>0.57456019705505623</v>
          </cell>
          <cell r="BU391">
            <v>0.71338992310042215</v>
          </cell>
          <cell r="BV391">
            <v>0.67071871148477813</v>
          </cell>
          <cell r="BY391" t="str">
            <v>3000/0.8/6600</v>
          </cell>
          <cell r="BZ391">
            <v>2.0221330437385499E-2</v>
          </cell>
          <cell r="CA391">
            <v>1.9051438598397974E-2</v>
          </cell>
        </row>
        <row r="392">
          <cell r="BN392" t="str">
            <v>3000/1/4000</v>
          </cell>
          <cell r="BO392">
            <v>0.69046854835894467</v>
          </cell>
          <cell r="BP392">
            <v>0.71101264015986898</v>
          </cell>
          <cell r="BQ392">
            <v>0.70324659696185043</v>
          </cell>
          <cell r="BR392">
            <v>0.68712982591309391</v>
          </cell>
          <cell r="BS392">
            <v>0.67094127162959827</v>
          </cell>
          <cell r="BT392">
            <v>0.57284970846240557</v>
          </cell>
          <cell r="BU392">
            <v>0.70718188798437775</v>
          </cell>
          <cell r="BV392">
            <v>0.66553056890875772</v>
          </cell>
          <cell r="BY392" t="str">
            <v>3000/0.8/6850</v>
          </cell>
          <cell r="BZ392">
            <v>2.0163666514302125E-2</v>
          </cell>
          <cell r="CA392">
            <v>1.8990028658384395E-2</v>
          </cell>
        </row>
        <row r="393">
          <cell r="BN393" t="str">
            <v>3000/1/4250</v>
          </cell>
          <cell r="BO393">
            <v>0.6879191174364585</v>
          </cell>
          <cell r="BP393">
            <v>0.70718017125139876</v>
          </cell>
          <cell r="BQ393">
            <v>0.70014433887062</v>
          </cell>
          <cell r="BR393">
            <v>0.68329648824863831</v>
          </cell>
          <cell r="BS393">
            <v>0.6674495012216326</v>
          </cell>
          <cell r="BT393">
            <v>0.57215426886380927</v>
          </cell>
          <cell r="BU393">
            <v>0.70508698201107856</v>
          </cell>
          <cell r="BV393">
            <v>0.66409540320417959</v>
          </cell>
          <cell r="BY393" t="str">
            <v>3000/0.8/7500</v>
          </cell>
          <cell r="BZ393">
            <v>2.0014964367881749E-2</v>
          </cell>
          <cell r="CA393">
            <v>1.8855374287900295E-2</v>
          </cell>
        </row>
        <row r="394">
          <cell r="BN394" t="str">
            <v>3000/1/4500</v>
          </cell>
          <cell r="BO394">
            <v>0.68536968651397245</v>
          </cell>
          <cell r="BP394">
            <v>0.70334770234292854</v>
          </cell>
          <cell r="BQ394">
            <v>0.69704208077938956</v>
          </cell>
          <cell r="BR394">
            <v>0.67946315058418283</v>
          </cell>
          <cell r="BS394">
            <v>0.66395773081366682</v>
          </cell>
          <cell r="BT394">
            <v>0.57145882926521285</v>
          </cell>
          <cell r="BU394">
            <v>0.70299207603777936</v>
          </cell>
          <cell r="BV394">
            <v>0.66266023749960146</v>
          </cell>
          <cell r="BY394" t="str">
            <v>3000/0.8/8000</v>
          </cell>
          <cell r="BZ394">
            <v>1.9927899231308333E-2</v>
          </cell>
          <cell r="CA394">
            <v>1.8764892750066764E-2</v>
          </cell>
        </row>
        <row r="395">
          <cell r="BN395" t="str">
            <v>3000/1/4750</v>
          </cell>
          <cell r="BO395">
            <v>0.68390624689150803</v>
          </cell>
          <cell r="BP395">
            <v>0.70112258599701105</v>
          </cell>
          <cell r="BQ395">
            <v>0.69537062004629324</v>
          </cell>
          <cell r="BR395">
            <v>0.67721677104193356</v>
          </cell>
          <cell r="BS395">
            <v>0.6619170748104124</v>
          </cell>
          <cell r="BT395">
            <v>0.57128392072660383</v>
          </cell>
          <cell r="BU395">
            <v>0.70222136671263602</v>
          </cell>
          <cell r="BV395">
            <v>0.6618482416972713</v>
          </cell>
          <cell r="BY395" t="str">
            <v>3000/0.8/9000</v>
          </cell>
          <cell r="BZ395">
            <v>1.9765887922663872E-2</v>
          </cell>
          <cell r="CA395">
            <v>1.8608490648718723E-2</v>
          </cell>
        </row>
        <row r="396">
          <cell r="BN396" t="str">
            <v>3000/1/5000</v>
          </cell>
          <cell r="BO396">
            <v>0.68244280726904372</v>
          </cell>
          <cell r="BP396">
            <v>0.69889746965109356</v>
          </cell>
          <cell r="BQ396">
            <v>0.69369915931319703</v>
          </cell>
          <cell r="BR396">
            <v>0.6749703914996843</v>
          </cell>
          <cell r="BS396">
            <v>0.65987641880715786</v>
          </cell>
          <cell r="BT396">
            <v>0.57110901218799492</v>
          </cell>
          <cell r="BU396">
            <v>0.70145065738749257</v>
          </cell>
          <cell r="BV396">
            <v>0.66103624589494125</v>
          </cell>
          <cell r="BY396" t="str">
            <v>3000/0.8/10000</v>
          </cell>
          <cell r="BZ396">
            <v>1.9626675626064349E-2</v>
          </cell>
          <cell r="CA396">
            <v>1.8476986523519479E-2</v>
          </cell>
        </row>
        <row r="397">
          <cell r="BN397" t="str">
            <v>3000/1/5250</v>
          </cell>
          <cell r="BO397">
            <v>0.68154060632754332</v>
          </cell>
          <cell r="BP397">
            <v>0.69756097913049353</v>
          </cell>
          <cell r="BQ397">
            <v>0.69264362663478041</v>
          </cell>
          <cell r="BR397">
            <v>0.67355390690478711</v>
          </cell>
          <cell r="BS397">
            <v>0.65863584787600005</v>
          </cell>
          <cell r="BT397">
            <v>0.57106603610113016</v>
          </cell>
          <cell r="BU397">
            <v>0.70082985354020277</v>
          </cell>
          <cell r="BV397">
            <v>0.66024714375902005</v>
          </cell>
          <cell r="BY397" t="str">
            <v>3000/0.8/99999</v>
          </cell>
          <cell r="BZ397">
            <v>1.8115110498082787E-2</v>
          </cell>
          <cell r="CA397">
            <v>1.7307469700346356E-2</v>
          </cell>
        </row>
        <row r="398">
          <cell r="BN398" t="str">
            <v>3000/1/5500</v>
          </cell>
          <cell r="BO398">
            <v>0.68063840538604281</v>
          </cell>
          <cell r="BP398">
            <v>0.69622448860989339</v>
          </cell>
          <cell r="BQ398">
            <v>0.69158809395636378</v>
          </cell>
          <cell r="BR398">
            <v>0.67213742230989004</v>
          </cell>
          <cell r="BS398">
            <v>0.65739527694484223</v>
          </cell>
          <cell r="BT398">
            <v>0.5710230600142655</v>
          </cell>
          <cell r="BU398">
            <v>0.70020904969291298</v>
          </cell>
          <cell r="BV398">
            <v>0.65945804162309896</v>
          </cell>
          <cell r="BY398" t="str">
            <v>3250/0.8/3500</v>
          </cell>
          <cell r="BZ398">
            <v>2.1587270203475728E-2</v>
          </cell>
          <cell r="CA398">
            <v>2.0450844902578535E-2</v>
          </cell>
        </row>
        <row r="399">
          <cell r="BN399" t="str">
            <v>3000/1/5750</v>
          </cell>
          <cell r="BO399">
            <v>0.68011060950181335</v>
          </cell>
          <cell r="BP399">
            <v>0.69535394507690862</v>
          </cell>
          <cell r="BQ399">
            <v>0.6909415433352748</v>
          </cell>
          <cell r="BR399">
            <v>0.67120386034648516</v>
          </cell>
          <cell r="BS399">
            <v>0.65660605143956674</v>
          </cell>
          <cell r="BT399">
            <v>0.57100878759753937</v>
          </cell>
          <cell r="BU399">
            <v>0.6995864328065291</v>
          </cell>
          <cell r="BV399">
            <v>0.65881893951365567</v>
          </cell>
          <cell r="BY399" t="str">
            <v>3250/0.8/3750</v>
          </cell>
          <cell r="BZ399">
            <v>2.1393517305331511E-2</v>
          </cell>
          <cell r="CA399">
            <v>2.0206870492549656E-2</v>
          </cell>
        </row>
        <row r="400">
          <cell r="BN400" t="str">
            <v>3000/1/6000</v>
          </cell>
          <cell r="BO400">
            <v>0.67958281361758388</v>
          </cell>
          <cell r="BP400">
            <v>0.69448340154392396</v>
          </cell>
          <cell r="BQ400">
            <v>0.69029499271418593</v>
          </cell>
          <cell r="BR400">
            <v>0.67027029838308017</v>
          </cell>
          <cell r="BS400">
            <v>0.65581682593429125</v>
          </cell>
          <cell r="BT400">
            <v>0.57099451518081312</v>
          </cell>
          <cell r="BU400">
            <v>0.69896381592014523</v>
          </cell>
          <cell r="BV400">
            <v>0.65817983740421226</v>
          </cell>
          <cell r="BY400" t="str">
            <v>3250/0.8/4000</v>
          </cell>
          <cell r="BZ400">
            <v>2.1199764407187294E-2</v>
          </cell>
          <cell r="CA400">
            <v>1.9962896082520776E-2</v>
          </cell>
        </row>
        <row r="401">
          <cell r="BN401" t="str">
            <v>3000/1/6250</v>
          </cell>
          <cell r="BO401">
            <v>0.67931051988490998</v>
          </cell>
          <cell r="BP401">
            <v>0.69387204525316226</v>
          </cell>
          <cell r="BQ401">
            <v>0.68985716065249458</v>
          </cell>
          <cell r="BR401">
            <v>0.66966391963905192</v>
          </cell>
          <cell r="BS401">
            <v>0.65531336574456367</v>
          </cell>
          <cell r="BT401">
            <v>0.57099154891935278</v>
          </cell>
          <cell r="BU401">
            <v>0.69834319738929784</v>
          </cell>
          <cell r="BV401">
            <v>0.65789628580762083</v>
          </cell>
          <cell r="BY401" t="str">
            <v>3250/0.8/4250</v>
          </cell>
          <cell r="BZ401">
            <v>2.1043777081319492E-2</v>
          </cell>
          <cell r="CA401">
            <v>1.9785410090667477E-2</v>
          </cell>
        </row>
        <row r="402">
          <cell r="BN402" t="str">
            <v>3000/1/6350</v>
          </cell>
          <cell r="BO402">
            <v>0.67921065192710661</v>
          </cell>
          <cell r="BP402">
            <v>0.69362754769805768</v>
          </cell>
          <cell r="BQ402">
            <v>0.68971255450500901</v>
          </cell>
          <cell r="BR402">
            <v>0.66942157129808066</v>
          </cell>
          <cell r="BS402">
            <v>0.65511160663780821</v>
          </cell>
          <cell r="BT402">
            <v>0.57099036241476864</v>
          </cell>
          <cell r="BU402">
            <v>0.69809464660391185</v>
          </cell>
          <cell r="BV402">
            <v>0.65778185242811915</v>
          </cell>
          <cell r="BY402" t="str">
            <v>3250/0.8/4500</v>
          </cell>
          <cell r="BZ402">
            <v>2.0887789755451691E-2</v>
          </cell>
          <cell r="CA402">
            <v>1.9607924098814178E-2</v>
          </cell>
        </row>
        <row r="403">
          <cell r="BN403" t="str">
            <v>3000/1/6600</v>
          </cell>
          <cell r="BO403">
            <v>0.67896098307722164</v>
          </cell>
          <cell r="BP403">
            <v>0.6931270103812377</v>
          </cell>
          <cell r="BQ403">
            <v>0.6893510742105815</v>
          </cell>
          <cell r="BR403">
            <v>0.6688158128486491</v>
          </cell>
          <cell r="BS403">
            <v>0.65466486163419091</v>
          </cell>
          <cell r="BT403">
            <v>0.57098739615330818</v>
          </cell>
          <cell r="BU403">
            <v>0.69747251200004923</v>
          </cell>
          <cell r="BV403">
            <v>0.65749323846014263</v>
          </cell>
          <cell r="BY403" t="str">
            <v>3250/0.8/4750</v>
          </cell>
          <cell r="BZ403">
            <v>2.0758107825311123E-2</v>
          </cell>
          <cell r="CA403">
            <v>1.9473115201934788E-2</v>
          </cell>
        </row>
        <row r="404">
          <cell r="BN404" t="str">
            <v>3000/1/6850</v>
          </cell>
          <cell r="BO404">
            <v>0.6787113158222261</v>
          </cell>
          <cell r="BP404">
            <v>0.69268339947133795</v>
          </cell>
          <cell r="BQ404">
            <v>0.68899971917413583</v>
          </cell>
          <cell r="BR404">
            <v>0.6682964157353658</v>
          </cell>
          <cell r="BS404">
            <v>0.65424645410053839</v>
          </cell>
          <cell r="BT404">
            <v>0.57098442989184761</v>
          </cell>
          <cell r="BU404">
            <v>0.69685467556098912</v>
          </cell>
          <cell r="BV404">
            <v>0.65719100017048293</v>
          </cell>
          <cell r="BY404" t="str">
            <v>3250/0.8/5000</v>
          </cell>
          <cell r="BZ404">
            <v>2.0628425895170555E-2</v>
          </cell>
          <cell r="CA404">
            <v>1.9338306305055397E-2</v>
          </cell>
        </row>
        <row r="405">
          <cell r="BN405" t="str">
            <v>3000/1/7500</v>
          </cell>
          <cell r="BO405">
            <v>0.67855677009470772</v>
          </cell>
          <cell r="BP405">
            <v>0.69202900920536359</v>
          </cell>
          <cell r="BQ405">
            <v>0.68877050921492</v>
          </cell>
          <cell r="BR405">
            <v>0.6676452748402002</v>
          </cell>
          <cell r="BS405">
            <v>0.65378110452925886</v>
          </cell>
          <cell r="BT405">
            <v>0.57098265013497129</v>
          </cell>
          <cell r="BU405">
            <v>0.6960398445192657</v>
          </cell>
          <cell r="BV405">
            <v>0.65708172743581827</v>
          </cell>
          <cell r="BY405" t="str">
            <v>3250/0.8/5250</v>
          </cell>
          <cell r="BZ405">
            <v>2.0519499034586997E-2</v>
          </cell>
          <cell r="CA405">
            <v>1.9233168226292952E-2</v>
          </cell>
        </row>
        <row r="406">
          <cell r="BN406" t="str">
            <v>3000/1/10000</v>
          </cell>
          <cell r="BO406">
            <v>0.67855677009470772</v>
          </cell>
          <cell r="BP406">
            <v>0.69122319545201572</v>
          </cell>
          <cell r="BQ406">
            <v>0.68876043573538626</v>
          </cell>
          <cell r="BR406">
            <v>0.66655292834116409</v>
          </cell>
          <cell r="BS406">
            <v>0.65324568105883207</v>
          </cell>
          <cell r="BT406">
            <v>0.57098265013497129</v>
          </cell>
          <cell r="BU406">
            <v>0.6960398445192657</v>
          </cell>
          <cell r="BV406">
            <v>0.65708172743581827</v>
          </cell>
          <cell r="BY406" t="str">
            <v>3250/0.8/5500</v>
          </cell>
          <cell r="BZ406">
            <v>2.0410572174003438E-2</v>
          </cell>
          <cell r="CA406">
            <v>1.9128030147530506E-2</v>
          </cell>
        </row>
        <row r="407">
          <cell r="BN407" t="str">
            <v>3000/1/99999</v>
          </cell>
          <cell r="BO407">
            <v>0.67855677009470772</v>
          </cell>
          <cell r="BP407">
            <v>0.6906212621278095</v>
          </cell>
          <cell r="BQ407">
            <v>0.68876043573538626</v>
          </cell>
          <cell r="BR407">
            <v>0.66567761241641643</v>
          </cell>
          <cell r="BS407">
            <v>0.65276661405795189</v>
          </cell>
          <cell r="BT407">
            <v>0.57098265013497129</v>
          </cell>
          <cell r="BU407">
            <v>0.6960398445192657</v>
          </cell>
          <cell r="BV407">
            <v>0.65708172743581827</v>
          </cell>
          <cell r="BY407" t="str">
            <v>3250/0.8/5750</v>
          </cell>
          <cell r="BZ407">
            <v>2.0326718321753867E-2</v>
          </cell>
          <cell r="CA407">
            <v>1.9045471478887133E-2</v>
          </cell>
        </row>
        <row r="408">
          <cell r="BY408" t="str">
            <v>3250/0.8/6000</v>
          </cell>
          <cell r="BZ408">
            <v>2.0242864469504296E-2</v>
          </cell>
          <cell r="CA408">
            <v>1.8962912810243759E-2</v>
          </cell>
        </row>
        <row r="409">
          <cell r="BN409" t="str">
            <v>3250/1/3250</v>
          </cell>
          <cell r="BT409">
            <v>0.58005660808250026</v>
          </cell>
          <cell r="BU409">
            <v>0.72681581392002881</v>
          </cell>
          <cell r="BV409">
            <v>0.67910342937988644</v>
          </cell>
          <cell r="BY409" t="str">
            <v>3250/0.8/6250</v>
          </cell>
          <cell r="BZ409">
            <v>2.0161740336992695E-2</v>
          </cell>
          <cell r="CA409">
            <v>1.8888428902657739E-2</v>
          </cell>
        </row>
        <row r="410">
          <cell r="BN410" t="str">
            <v>3250/1/3500</v>
          </cell>
          <cell r="BT410">
            <v>0.57019713032124852</v>
          </cell>
          <cell r="BU410">
            <v>0.71015602688042834</v>
          </cell>
          <cell r="BV410">
            <v>0.66323063511534119</v>
          </cell>
          <cell r="BY410" t="str">
            <v>3250/0.8/6350</v>
          </cell>
          <cell r="BZ410">
            <v>2.0130248193722333E-2</v>
          </cell>
          <cell r="CA410">
            <v>1.8861056025936351E-2</v>
          </cell>
        </row>
        <row r="411">
          <cell r="BN411" t="str">
            <v>3250/1/3750</v>
          </cell>
          <cell r="BT411">
            <v>0.56493219407261031</v>
          </cell>
          <cell r="BU411">
            <v>0.6994369593781834</v>
          </cell>
          <cell r="BV411">
            <v>0.65336076474782812</v>
          </cell>
          <cell r="BY411" t="str">
            <v>3250/0.8/6600</v>
          </cell>
          <cell r="BZ411">
            <v>2.0060812935413397E-2</v>
          </cell>
          <cell r="CA411">
            <v>1.8792925535628835E-2</v>
          </cell>
        </row>
        <row r="412">
          <cell r="BN412" t="str">
            <v>3250/1/4000</v>
          </cell>
          <cell r="BO412">
            <v>0.68878329781862813</v>
          </cell>
          <cell r="BP412">
            <v>0.7146130704967536</v>
          </cell>
          <cell r="BQ412">
            <v>0.70452385834952058</v>
          </cell>
          <cell r="BR412">
            <v>0.68758828840548936</v>
          </cell>
          <cell r="BS412">
            <v>0.66850856885494192</v>
          </cell>
          <cell r="BT412">
            <v>0.55966725782397209</v>
          </cell>
          <cell r="BU412">
            <v>0.68871789187593846</v>
          </cell>
          <cell r="BV412">
            <v>0.64349089438031493</v>
          </cell>
          <cell r="BY412" t="str">
            <v>3250/0.8/6850</v>
          </cell>
          <cell r="BZ412">
            <v>1.9997093137625099E-2</v>
          </cell>
          <cell r="CA412">
            <v>1.8731668341863683E-2</v>
          </cell>
        </row>
        <row r="413">
          <cell r="BN413" t="str">
            <v>3250/1/4250</v>
          </cell>
          <cell r="BO413">
            <v>0.68388661858695587</v>
          </cell>
          <cell r="BP413">
            <v>0.70803856072746429</v>
          </cell>
          <cell r="BQ413">
            <v>0.69832688251779818</v>
          </cell>
          <cell r="BR413">
            <v>0.68105189628807294</v>
          </cell>
          <cell r="BS413">
            <v>0.6626840314389788</v>
          </cell>
          <cell r="BT413">
            <v>0.5584854598954756</v>
          </cell>
          <cell r="BU413">
            <v>0.68494531246015278</v>
          </cell>
          <cell r="BV413">
            <v>0.64146747063229625</v>
          </cell>
          <cell r="BY413" t="str">
            <v>3250/0.8/7500</v>
          </cell>
          <cell r="BZ413">
            <v>1.9847762832919114E-2</v>
          </cell>
          <cell r="CA413">
            <v>1.8585536457563778E-2</v>
          </cell>
        </row>
        <row r="414">
          <cell r="BN414" t="str">
            <v>3250/1/4500</v>
          </cell>
          <cell r="BO414">
            <v>0.67898993935528384</v>
          </cell>
          <cell r="BP414">
            <v>0.70146405095817499</v>
          </cell>
          <cell r="BQ414">
            <v>0.69212990668607599</v>
          </cell>
          <cell r="BR414">
            <v>0.67451550417065653</v>
          </cell>
          <cell r="BS414">
            <v>0.65685949402301547</v>
          </cell>
          <cell r="BT414">
            <v>0.557303661966979</v>
          </cell>
          <cell r="BU414">
            <v>0.6811727330443671</v>
          </cell>
          <cell r="BV414">
            <v>0.63944404688427769</v>
          </cell>
          <cell r="BY414" t="str">
            <v>3250/0.8/8000</v>
          </cell>
          <cell r="BZ414">
            <v>1.9750013636146924E-2</v>
          </cell>
          <cell r="CA414">
            <v>1.8494005988497486E-2</v>
          </cell>
        </row>
        <row r="415">
          <cell r="BN415" t="str">
            <v>3250/1/4750</v>
          </cell>
          <cell r="BO415">
            <v>0.67699800717891467</v>
          </cell>
          <cell r="BP415">
            <v>0.69844065604999295</v>
          </cell>
          <cell r="BQ415">
            <v>0.68975510135325502</v>
          </cell>
          <cell r="BR415">
            <v>0.6714885492283782</v>
          </cell>
          <cell r="BS415">
            <v>0.65410776113270674</v>
          </cell>
          <cell r="BT415">
            <v>0.55687989099042046</v>
          </cell>
          <cell r="BU415">
            <v>0.67986880108738068</v>
          </cell>
          <cell r="BV415">
            <v>0.63867629309393315</v>
          </cell>
          <cell r="BY415" t="str">
            <v>3250/0.8/9000</v>
          </cell>
          <cell r="BZ415">
            <v>1.9581897026507478E-2</v>
          </cell>
          <cell r="CA415">
            <v>1.8330279382379855E-2</v>
          </cell>
        </row>
        <row r="416">
          <cell r="BN416" t="str">
            <v>3250/1/5000</v>
          </cell>
          <cell r="BO416">
            <v>0.67500607500254572</v>
          </cell>
          <cell r="BP416">
            <v>0.69541726114181091</v>
          </cell>
          <cell r="BQ416">
            <v>0.68738029602043405</v>
          </cell>
          <cell r="BR416">
            <v>0.66846159428609964</v>
          </cell>
          <cell r="BS416">
            <v>0.6513560282423978</v>
          </cell>
          <cell r="BT416">
            <v>0.5564561200138618</v>
          </cell>
          <cell r="BU416">
            <v>0.67856486913039415</v>
          </cell>
          <cell r="BV416">
            <v>0.63790853930358848</v>
          </cell>
          <cell r="BY416" t="str">
            <v>3250/0.8/10000</v>
          </cell>
          <cell r="BZ416">
            <v>1.9441796872247674E-2</v>
          </cell>
          <cell r="CA416">
            <v>1.8193954934540013E-2</v>
          </cell>
        </row>
        <row r="417">
          <cell r="BN417" t="str">
            <v>3250/1/5250</v>
          </cell>
          <cell r="BO417">
            <v>0.67382681259962451</v>
          </cell>
          <cell r="BP417">
            <v>0.69363644581589623</v>
          </cell>
          <cell r="BQ417">
            <v>0.68601869245246316</v>
          </cell>
          <cell r="BR417">
            <v>0.66663072771846632</v>
          </cell>
          <cell r="BS417">
            <v>0.64971776566212092</v>
          </cell>
          <cell r="BT417">
            <v>0.55635224954142326</v>
          </cell>
          <cell r="BU417">
            <v>0.67790578381109068</v>
          </cell>
          <cell r="BV417">
            <v>0.63730020944880417</v>
          </cell>
          <cell r="BY417" t="str">
            <v>3250/0.8/99999</v>
          </cell>
          <cell r="BZ417">
            <v>1.7902667037060782E-2</v>
          </cell>
          <cell r="CA417">
            <v>1.7003702524665987E-2</v>
          </cell>
        </row>
        <row r="418">
          <cell r="BN418" t="str">
            <v>3250/1/5500</v>
          </cell>
          <cell r="BO418">
            <v>0.67264755019670319</v>
          </cell>
          <cell r="BP418">
            <v>0.69185563048998144</v>
          </cell>
          <cell r="BQ418">
            <v>0.68465708888449228</v>
          </cell>
          <cell r="BR418">
            <v>0.66479986115083312</v>
          </cell>
          <cell r="BS418">
            <v>0.64807950308184403</v>
          </cell>
          <cell r="BT418">
            <v>0.55624837906898483</v>
          </cell>
          <cell r="BU418">
            <v>0.67724669849178731</v>
          </cell>
          <cell r="BV418">
            <v>0.63669187959401996</v>
          </cell>
          <cell r="BY418" t="str">
            <v>3500/0.8/3500</v>
          </cell>
          <cell r="BZ418">
            <v>2.1542621181931843E-2</v>
          </cell>
          <cell r="CA418">
            <v>2.0379452466365633E-2</v>
          </cell>
        </row>
        <row r="419">
          <cell r="BN419" t="str">
            <v>3250/1/5750</v>
          </cell>
          <cell r="BO419">
            <v>0.67193819678131161</v>
          </cell>
          <cell r="BP419">
            <v>0.69075589749929656</v>
          </cell>
          <cell r="BQ419">
            <v>0.68381099187936767</v>
          </cell>
          <cell r="BR419">
            <v>0.66362401647742775</v>
          </cell>
          <cell r="BS419">
            <v>0.64706518498676036</v>
          </cell>
          <cell r="BT419">
            <v>0.55622039064484785</v>
          </cell>
          <cell r="BU419">
            <v>0.67665054849514616</v>
          </cell>
          <cell r="BV419">
            <v>0.63616138346116491</v>
          </cell>
          <cell r="BY419" t="str">
            <v>3500/0.8/3750</v>
          </cell>
          <cell r="BZ419">
            <v>2.133477574288456E-2</v>
          </cell>
          <cell r="CA419">
            <v>2.009952586791941E-2</v>
          </cell>
        </row>
        <row r="420">
          <cell r="BN420" t="str">
            <v>3250/1/6000</v>
          </cell>
          <cell r="BO420">
            <v>0.67122884336591992</v>
          </cell>
          <cell r="BP420">
            <v>0.68965616450861167</v>
          </cell>
          <cell r="BQ420">
            <v>0.68296489487424306</v>
          </cell>
          <cell r="BR420">
            <v>0.66244817180402227</v>
          </cell>
          <cell r="BS420">
            <v>0.64605086689167668</v>
          </cell>
          <cell r="BT420">
            <v>0.55619240222071087</v>
          </cell>
          <cell r="BU420">
            <v>0.67605439849850479</v>
          </cell>
          <cell r="BV420">
            <v>0.63563088732830975</v>
          </cell>
          <cell r="BY420" t="str">
            <v>3500/0.8/4000</v>
          </cell>
          <cell r="BZ420">
            <v>2.1126930303837277E-2</v>
          </cell>
          <cell r="CA420">
            <v>1.9819599269473187E-2</v>
          </cell>
        </row>
        <row r="421">
          <cell r="BN421" t="str">
            <v>3250/1/6250</v>
          </cell>
          <cell r="BO421">
            <v>0.67081624562355979</v>
          </cell>
          <cell r="BP421">
            <v>0.68889137762295016</v>
          </cell>
          <cell r="BQ421">
            <v>0.6824256432105632</v>
          </cell>
          <cell r="BR421">
            <v>0.66165184430602764</v>
          </cell>
          <cell r="BS421">
            <v>0.64538474551271485</v>
          </cell>
          <cell r="BT421">
            <v>0.55618399404084529</v>
          </cell>
          <cell r="BU421">
            <v>0.67545868681057586</v>
          </cell>
          <cell r="BV421">
            <v>0.63527272454244876</v>
          </cell>
          <cell r="BY421" t="str">
            <v>3500/0.8/4250</v>
          </cell>
          <cell r="BZ421">
            <v>2.0956494465847575E-2</v>
          </cell>
          <cell r="CA421">
            <v>1.9619915677393962E-2</v>
          </cell>
        </row>
        <row r="422">
          <cell r="BN422" t="str">
            <v>3250/1/6350</v>
          </cell>
          <cell r="BO422">
            <v>0.67066175978690135</v>
          </cell>
          <cell r="BP422">
            <v>0.68860657402473135</v>
          </cell>
          <cell r="BQ422">
            <v>0.68222530755213318</v>
          </cell>
          <cell r="BR422">
            <v>0.66133339503276445</v>
          </cell>
          <cell r="BS422">
            <v>0.64512842321837116</v>
          </cell>
          <cell r="BT422">
            <v>0.55618063076889901</v>
          </cell>
          <cell r="BU422">
            <v>0.67522082181340515</v>
          </cell>
          <cell r="BV422">
            <v>0.635152200199262</v>
          </cell>
          <cell r="BY422" t="str">
            <v>3500/0.8/4500</v>
          </cell>
          <cell r="BZ422">
            <v>2.0786058627857873E-2</v>
          </cell>
          <cell r="CA422">
            <v>1.9420232085314737E-2</v>
          </cell>
        </row>
        <row r="423">
          <cell r="BN423" t="str">
            <v>3250/1/6600</v>
          </cell>
          <cell r="BO423">
            <v>0.67034342532452529</v>
          </cell>
          <cell r="BP423">
            <v>0.68799083218804025</v>
          </cell>
          <cell r="BQ423">
            <v>0.68176522081715585</v>
          </cell>
          <cell r="BR423">
            <v>0.66066369099933053</v>
          </cell>
          <cell r="BS423">
            <v>0.64458637624131976</v>
          </cell>
          <cell r="BT423">
            <v>0.55617441691063274</v>
          </cell>
          <cell r="BU423">
            <v>0.67462540941846127</v>
          </cell>
          <cell r="BV423">
            <v>0.6349216603743344</v>
          </cell>
          <cell r="BY423" t="str">
            <v>3500/0.8/4750</v>
          </cell>
          <cell r="BZ423">
            <v>2.064995998752106E-2</v>
          </cell>
          <cell r="CA423">
            <v>1.9274167469596426E-2</v>
          </cell>
        </row>
        <row r="424">
          <cell r="BN424" t="str">
            <v>3250/1/6850</v>
          </cell>
          <cell r="BO424">
            <v>0.67008892691731115</v>
          </cell>
          <cell r="BP424">
            <v>0.68746464390448581</v>
          </cell>
          <cell r="BQ424">
            <v>0.68138816129561253</v>
          </cell>
          <cell r="BR424">
            <v>0.66010297651577976</v>
          </cell>
          <cell r="BS424">
            <v>0.64412758276940196</v>
          </cell>
          <cell r="BT424">
            <v>0.55617149453476578</v>
          </cell>
          <cell r="BU424">
            <v>0.67403161644056508</v>
          </cell>
          <cell r="BV424">
            <v>0.63468317137067054</v>
          </cell>
          <cell r="BY424" t="str">
            <v>3500/0.8/5000</v>
          </cell>
          <cell r="BZ424">
            <v>2.0513861347184248E-2</v>
          </cell>
          <cell r="CA424">
            <v>1.9128102853878115E-2</v>
          </cell>
        </row>
        <row r="425">
          <cell r="BN425" t="str">
            <v>3250/1/7500</v>
          </cell>
          <cell r="BO425">
            <v>0.66969220652282246</v>
          </cell>
          <cell r="BP425">
            <v>0.68653662242899527</v>
          </cell>
          <cell r="BQ425">
            <v>0.68083174525598844</v>
          </cell>
          <cell r="BR425">
            <v>0.6590750225020372</v>
          </cell>
          <cell r="BS425">
            <v>0.64334559411229786</v>
          </cell>
          <cell r="BT425">
            <v>0.55616686261897219</v>
          </cell>
          <cell r="BU425">
            <v>0.672888677807849</v>
          </cell>
          <cell r="BV425">
            <v>0.63445929677378399</v>
          </cell>
          <cell r="BY425" t="str">
            <v>3500/0.8/5250</v>
          </cell>
          <cell r="BZ425">
            <v>2.0391107500662198E-2</v>
          </cell>
          <cell r="CA425">
            <v>1.9010829222382397E-2</v>
          </cell>
        </row>
        <row r="426">
          <cell r="BN426" t="str">
            <v>3250/1/10000</v>
          </cell>
          <cell r="BO426">
            <v>0.66968982636460983</v>
          </cell>
          <cell r="BP426">
            <v>0.68557941163969505</v>
          </cell>
          <cell r="BQ426">
            <v>0.68079680649967811</v>
          </cell>
          <cell r="BR426">
            <v>0.65782349867078849</v>
          </cell>
          <cell r="BS426">
            <v>0.64270495495760549</v>
          </cell>
          <cell r="BT426">
            <v>0.55616686261897219</v>
          </cell>
          <cell r="BU426">
            <v>0.67265394900021891</v>
          </cell>
          <cell r="BV426">
            <v>0.63445929677378399</v>
          </cell>
          <cell r="BY426" t="str">
            <v>3500/0.8/5500</v>
          </cell>
          <cell r="BZ426">
            <v>2.0268353654140148E-2</v>
          </cell>
          <cell r="CA426">
            <v>1.8893555590886679E-2</v>
          </cell>
        </row>
        <row r="427">
          <cell r="BN427" t="str">
            <v>3250/1/99999</v>
          </cell>
          <cell r="BO427">
            <v>0.66968982636460983</v>
          </cell>
          <cell r="BP427">
            <v>0.68493779782696151</v>
          </cell>
          <cell r="BQ427">
            <v>0.68079680649967811</v>
          </cell>
          <cell r="BR427">
            <v>0.65687358986504385</v>
          </cell>
          <cell r="BS427">
            <v>0.6421846534766833</v>
          </cell>
          <cell r="BT427">
            <v>0.55616686261897219</v>
          </cell>
          <cell r="BU427">
            <v>0.67265394900021891</v>
          </cell>
          <cell r="BV427">
            <v>0.63445929677378399</v>
          </cell>
          <cell r="BY427" t="str">
            <v>3500/0.8/5750</v>
          </cell>
          <cell r="BZ427">
            <v>2.0181724207380514E-2</v>
          </cell>
          <cell r="CA427">
            <v>1.8805027171725497E-2</v>
          </cell>
        </row>
        <row r="428">
          <cell r="BY428" t="str">
            <v>3500/0.8/6000</v>
          </cell>
          <cell r="BZ428">
            <v>2.009509476062088E-2</v>
          </cell>
          <cell r="CA428">
            <v>1.8716498752564315E-2</v>
          </cell>
        </row>
        <row r="429">
          <cell r="BN429" t="str">
            <v>3500/1/3500</v>
          </cell>
          <cell r="BT429">
            <v>0.56412357499479027</v>
          </cell>
          <cell r="BU429">
            <v>0.70071409554439013</v>
          </cell>
          <cell r="BV429">
            <v>0.65055441616988385</v>
          </cell>
          <cell r="BY429" t="str">
            <v>3500/0.8/6250</v>
          </cell>
          <cell r="BZ429">
            <v>2.0014033809347298E-2</v>
          </cell>
          <cell r="CA429">
            <v>1.8640485824170439E-2</v>
          </cell>
        </row>
        <row r="430">
          <cell r="BN430" t="str">
            <v>3500/1/3750</v>
          </cell>
          <cell r="BT430">
            <v>0.55530419109016438</v>
          </cell>
          <cell r="BU430">
            <v>0.68548399565594464</v>
          </cell>
          <cell r="BV430">
            <v>0.63600281801087799</v>
          </cell>
          <cell r="BY430" t="str">
            <v>3500/0.8/6350</v>
          </cell>
          <cell r="BZ430">
            <v>1.9981564328990231E-2</v>
          </cell>
          <cell r="CA430">
            <v>1.860988287850418E-2</v>
          </cell>
        </row>
        <row r="431">
          <cell r="BN431" t="str">
            <v>3500/1/4000</v>
          </cell>
          <cell r="BO431">
            <v>0.68709804727831159</v>
          </cell>
          <cell r="BP431">
            <v>0.71821350083363822</v>
          </cell>
          <cell r="BQ431">
            <v>0.70580111973719062</v>
          </cell>
          <cell r="BR431">
            <v>0.68804675089788481</v>
          </cell>
          <cell r="BS431">
            <v>0.66607586608028568</v>
          </cell>
          <cell r="BT431">
            <v>0.5464848071855386</v>
          </cell>
          <cell r="BU431">
            <v>0.67025389576749916</v>
          </cell>
          <cell r="BV431">
            <v>0.62145121985187213</v>
          </cell>
          <cell r="BY431" t="str">
            <v>3500/0.8/6600</v>
          </cell>
          <cell r="BZ431">
            <v>1.9900295433441295E-2</v>
          </cell>
          <cell r="CA431">
            <v>1.8534412472859696E-2</v>
          </cell>
        </row>
        <row r="432">
          <cell r="BN432" t="str">
            <v>3500/1/4250</v>
          </cell>
          <cell r="BO432">
            <v>0.67985411973745336</v>
          </cell>
          <cell r="BP432">
            <v>0.70889695020352983</v>
          </cell>
          <cell r="BQ432">
            <v>0.69650942616497646</v>
          </cell>
          <cell r="BR432">
            <v>0.67880730432750758</v>
          </cell>
          <cell r="BS432">
            <v>0.65791856165632501</v>
          </cell>
          <cell r="BT432">
            <v>0.54481665092714193</v>
          </cell>
          <cell r="BU432">
            <v>0.664803642909227</v>
          </cell>
          <cell r="BV432">
            <v>0.61883953806041303</v>
          </cell>
          <cell r="BY432" t="str">
            <v>3500/0.8/6850</v>
          </cell>
          <cell r="BZ432">
            <v>1.9830519760948073E-2</v>
          </cell>
          <cell r="CA432">
            <v>1.8473308025342972E-2</v>
          </cell>
        </row>
        <row r="433">
          <cell r="BN433" t="str">
            <v>3500/1/4500</v>
          </cell>
          <cell r="BO433">
            <v>0.67261019219659512</v>
          </cell>
          <cell r="BP433">
            <v>0.69958039957342144</v>
          </cell>
          <cell r="BQ433">
            <v>0.68721773259276242</v>
          </cell>
          <cell r="BR433">
            <v>0.66956785775713035</v>
          </cell>
          <cell r="BS433">
            <v>0.64976125723236422</v>
          </cell>
          <cell r="BT433">
            <v>0.54314849466874515</v>
          </cell>
          <cell r="BU433">
            <v>0.65935339005095484</v>
          </cell>
          <cell r="BV433">
            <v>0.61622785626895404</v>
          </cell>
          <cell r="BY433" t="str">
            <v>3500/0.8/7500</v>
          </cell>
          <cell r="BZ433">
            <v>1.9680561297956478E-2</v>
          </cell>
          <cell r="CA433">
            <v>1.8315698627227261E-2</v>
          </cell>
        </row>
        <row r="434">
          <cell r="BN434" t="str">
            <v>3500/1/4750</v>
          </cell>
          <cell r="BO434">
            <v>0.67008976746632132</v>
          </cell>
          <cell r="BP434">
            <v>0.69575872610297484</v>
          </cell>
          <cell r="BQ434">
            <v>0.68413958266021679</v>
          </cell>
          <cell r="BR434">
            <v>0.66576032741482272</v>
          </cell>
          <cell r="BS434">
            <v>0.64629844745500109</v>
          </cell>
          <cell r="BT434">
            <v>0.54247586125423697</v>
          </cell>
          <cell r="BU434">
            <v>0.65751623546212534</v>
          </cell>
          <cell r="BV434">
            <v>0.61550434449059488</v>
          </cell>
          <cell r="BY434" t="str">
            <v>3500/0.8/8000</v>
          </cell>
          <cell r="BZ434">
            <v>1.9572128040985515E-2</v>
          </cell>
          <cell r="CA434">
            <v>1.8223119226928208E-2</v>
          </cell>
        </row>
        <row r="435">
          <cell r="BN435" t="str">
            <v>3500/1/5000</v>
          </cell>
          <cell r="BO435">
            <v>0.66756934273604762</v>
          </cell>
          <cell r="BP435">
            <v>0.69193705263252825</v>
          </cell>
          <cell r="BQ435">
            <v>0.68106143272767117</v>
          </cell>
          <cell r="BR435">
            <v>0.66195279707251498</v>
          </cell>
          <cell r="BS435">
            <v>0.64283563767763785</v>
          </cell>
          <cell r="BT435">
            <v>0.54180322783972878</v>
          </cell>
          <cell r="BU435">
            <v>0.65567908087329574</v>
          </cell>
          <cell r="BV435">
            <v>0.61478083271223571</v>
          </cell>
          <cell r="BY435" t="str">
            <v>3500/0.8/9000</v>
          </cell>
          <cell r="BZ435">
            <v>1.9397906130351084E-2</v>
          </cell>
          <cell r="CA435">
            <v>1.8052068116040987E-2</v>
          </cell>
        </row>
        <row r="436">
          <cell r="BN436" t="str">
            <v>3500/1/5250</v>
          </cell>
          <cell r="BO436">
            <v>0.6661130188717056</v>
          </cell>
          <cell r="BP436">
            <v>0.68971191250129893</v>
          </cell>
          <cell r="BQ436">
            <v>0.67939375827014592</v>
          </cell>
          <cell r="BR436">
            <v>0.65970754853214553</v>
          </cell>
          <cell r="BS436">
            <v>0.6407996834482419</v>
          </cell>
          <cell r="BT436">
            <v>0.54163846298171647</v>
          </cell>
          <cell r="BU436">
            <v>0.65498171408197869</v>
          </cell>
          <cell r="BV436">
            <v>0.61435327513858828</v>
          </cell>
          <cell r="BY436" t="str">
            <v>3500/0.8/10000</v>
          </cell>
          <cell r="BZ436">
            <v>1.9256918118430999E-2</v>
          </cell>
          <cell r="CA436">
            <v>1.7910923345560548E-2</v>
          </cell>
        </row>
        <row r="437">
          <cell r="BN437" t="str">
            <v>3500/1/5500</v>
          </cell>
          <cell r="BO437">
            <v>0.66465669500736357</v>
          </cell>
          <cell r="BP437">
            <v>0.6874867723700695</v>
          </cell>
          <cell r="BQ437">
            <v>0.67772608381262078</v>
          </cell>
          <cell r="BR437">
            <v>0.65746229999177619</v>
          </cell>
          <cell r="BS437">
            <v>0.63876372921884594</v>
          </cell>
          <cell r="BT437">
            <v>0.54147369812370416</v>
          </cell>
          <cell r="BU437">
            <v>0.65428434729066176</v>
          </cell>
          <cell r="BV437">
            <v>0.61392571756494096</v>
          </cell>
          <cell r="BY437" t="str">
            <v>3500/0.8/99999</v>
          </cell>
          <cell r="BZ437">
            <v>1.7690223576038777E-2</v>
          </cell>
          <cell r="CA437">
            <v>1.6699935348985617E-2</v>
          </cell>
        </row>
        <row r="438">
          <cell r="BN438" t="str">
            <v>3500/1/5750</v>
          </cell>
          <cell r="BO438">
            <v>0.66376578406080977</v>
          </cell>
          <cell r="BP438">
            <v>0.68615784992168449</v>
          </cell>
          <cell r="BQ438">
            <v>0.67668044042346054</v>
          </cell>
          <cell r="BR438">
            <v>0.65604417260837034</v>
          </cell>
          <cell r="BS438">
            <v>0.63752431853395408</v>
          </cell>
          <cell r="BT438">
            <v>0.54143199369215633</v>
          </cell>
          <cell r="BU438">
            <v>0.65371466418376312</v>
          </cell>
          <cell r="BV438">
            <v>0.61350382740867415</v>
          </cell>
          <cell r="BY438" t="str">
            <v>3750/0.8/4000</v>
          </cell>
          <cell r="BZ438">
            <v>2.1089035462097838E-2</v>
          </cell>
          <cell r="CA438">
            <v>1.9759328131731091E-2</v>
          </cell>
        </row>
        <row r="439">
          <cell r="BN439" t="str">
            <v>3500/1/6000</v>
          </cell>
          <cell r="BO439">
            <v>0.66287487311425597</v>
          </cell>
          <cell r="BP439">
            <v>0.68482892747329949</v>
          </cell>
          <cell r="BQ439">
            <v>0.67563479703430029</v>
          </cell>
          <cell r="BR439">
            <v>0.65462604522496448</v>
          </cell>
          <cell r="BS439">
            <v>0.63628490784906211</v>
          </cell>
          <cell r="BT439">
            <v>0.54139028926060861</v>
          </cell>
          <cell r="BU439">
            <v>0.65314498107686447</v>
          </cell>
          <cell r="BV439">
            <v>0.61308193725240723</v>
          </cell>
          <cell r="BY439" t="str">
            <v>3750/0.8/4250</v>
          </cell>
          <cell r="BZ439">
            <v>2.0906983090490272E-2</v>
          </cell>
          <cell r="CA439">
            <v>1.9528250258579238E-2</v>
          </cell>
        </row>
        <row r="440">
          <cell r="BN440" t="str">
            <v>3500/1/6250</v>
          </cell>
          <cell r="BO440">
            <v>0.66232197136220949</v>
          </cell>
          <cell r="BP440">
            <v>0.68391070999273795</v>
          </cell>
          <cell r="BQ440">
            <v>0.67499412576863183</v>
          </cell>
          <cell r="BR440">
            <v>0.65363976897300335</v>
          </cell>
          <cell r="BS440">
            <v>0.63545612528086604</v>
          </cell>
          <cell r="BT440">
            <v>0.5413764391623378</v>
          </cell>
          <cell r="BU440">
            <v>0.65257417623185388</v>
          </cell>
          <cell r="BV440">
            <v>0.61264916327727681</v>
          </cell>
          <cell r="BY440" t="str">
            <v>3750/0.8/4500</v>
          </cell>
          <cell r="BZ440">
            <v>2.0724930718882706E-2</v>
          </cell>
          <cell r="CA440">
            <v>1.9297172385427386E-2</v>
          </cell>
        </row>
        <row r="441">
          <cell r="BN441" t="str">
            <v>3500/1/6350</v>
          </cell>
          <cell r="BO441">
            <v>0.66211286764669597</v>
          </cell>
          <cell r="BP441">
            <v>0.68358560035140492</v>
          </cell>
          <cell r="BQ441">
            <v>0.67473806059925745</v>
          </cell>
          <cell r="BR441">
            <v>0.65324521876744834</v>
          </cell>
          <cell r="BS441">
            <v>0.63514523979893411</v>
          </cell>
          <cell r="BT441">
            <v>0.54137089912302927</v>
          </cell>
          <cell r="BU441">
            <v>0.65234699702289844</v>
          </cell>
          <cell r="BV441">
            <v>0.61252254797040473</v>
          </cell>
          <cell r="BY441" t="str">
            <v>3750/0.8/4750</v>
          </cell>
          <cell r="BZ441">
            <v>2.0575849974385163E-2</v>
          </cell>
          <cell r="CA441">
            <v>1.9127619096263038E-2</v>
          </cell>
        </row>
        <row r="442">
          <cell r="BN442" t="str">
            <v>3500/1/6600</v>
          </cell>
          <cell r="BO442">
            <v>0.66172586757182883</v>
          </cell>
          <cell r="BP442">
            <v>0.6828546539948428</v>
          </cell>
          <cell r="BQ442">
            <v>0.67417936742373019</v>
          </cell>
          <cell r="BR442">
            <v>0.65251156915001196</v>
          </cell>
          <cell r="BS442">
            <v>0.63450789084844872</v>
          </cell>
          <cell r="BT442">
            <v>0.5413614376679573</v>
          </cell>
          <cell r="BU442">
            <v>0.65177830683687332</v>
          </cell>
          <cell r="BV442">
            <v>0.61235008228852605</v>
          </cell>
          <cell r="BY442" t="str">
            <v>3750/0.8/5000</v>
          </cell>
          <cell r="BZ442">
            <v>2.042676922988762E-2</v>
          </cell>
          <cell r="CA442">
            <v>1.895806580709869E-2</v>
          </cell>
        </row>
        <row r="443">
          <cell r="BN443" t="str">
            <v>3500/1/6850</v>
          </cell>
          <cell r="BO443">
            <v>0.66146653801239608</v>
          </cell>
          <cell r="BP443">
            <v>0.68224588833763367</v>
          </cell>
          <cell r="BQ443">
            <v>0.67377660341708923</v>
          </cell>
          <cell r="BR443">
            <v>0.65190953729619383</v>
          </cell>
          <cell r="BS443">
            <v>0.63400871143826554</v>
          </cell>
          <cell r="BT443">
            <v>0.54135855917768405</v>
          </cell>
          <cell r="BU443">
            <v>0.65120855732014105</v>
          </cell>
          <cell r="BV443">
            <v>0.61217534257085815</v>
          </cell>
          <cell r="BY443" t="str">
            <v>3750/0.8/5250</v>
          </cell>
          <cell r="BZ443">
            <v>2.0299863373821281E-2</v>
          </cell>
          <cell r="CA443">
            <v>1.8830935666439508E-2</v>
          </cell>
        </row>
        <row r="444">
          <cell r="BN444" t="str">
            <v>3500/1/7500</v>
          </cell>
          <cell r="BO444">
            <v>0.66082764295093721</v>
          </cell>
          <cell r="BP444">
            <v>0.68104423565262706</v>
          </cell>
          <cell r="BQ444">
            <v>0.67289298129705688</v>
          </cell>
          <cell r="BR444">
            <v>0.6505047701638742</v>
          </cell>
          <cell r="BS444">
            <v>0.63291008369533697</v>
          </cell>
          <cell r="BT444">
            <v>0.54135107510297309</v>
          </cell>
          <cell r="BU444">
            <v>0.6497375110964323</v>
          </cell>
          <cell r="BV444">
            <v>0.6118368661117497</v>
          </cell>
          <cell r="BY444" t="str">
            <v>3750/0.8/5500</v>
          </cell>
          <cell r="BZ444">
            <v>2.0172957517754941E-2</v>
          </cell>
          <cell r="CA444">
            <v>1.8703805525780326E-2</v>
          </cell>
        </row>
        <row r="445">
          <cell r="BN445" t="str">
            <v>3500/1/10000</v>
          </cell>
          <cell r="BO445">
            <v>0.66082288263451205</v>
          </cell>
          <cell r="BP445">
            <v>0.67993562782737438</v>
          </cell>
          <cell r="BQ445">
            <v>0.67283317726396996</v>
          </cell>
          <cell r="BR445">
            <v>0.649094069000413</v>
          </cell>
          <cell r="BS445">
            <v>0.63216422885637891</v>
          </cell>
          <cell r="BT445">
            <v>0.54135107510297309</v>
          </cell>
          <cell r="BU445">
            <v>0.64926805348117211</v>
          </cell>
          <cell r="BV445">
            <v>0.6118368661117497</v>
          </cell>
          <cell r="BY445" t="str">
            <v>3750/0.8/5750</v>
          </cell>
          <cell r="BZ445">
            <v>2.0069619521628668E-2</v>
          </cell>
          <cell r="CA445">
            <v>1.86050479182574E-2</v>
          </cell>
        </row>
        <row r="446">
          <cell r="BN446" t="str">
            <v>3500/1/99999</v>
          </cell>
          <cell r="BO446">
            <v>0.66082288263451205</v>
          </cell>
          <cell r="BP446">
            <v>0.67925433352611353</v>
          </cell>
          <cell r="BQ446">
            <v>0.67283317726396996</v>
          </cell>
          <cell r="BR446">
            <v>0.64806956731367127</v>
          </cell>
          <cell r="BS446">
            <v>0.63160269289541482</v>
          </cell>
          <cell r="BT446">
            <v>0.54135107510297309</v>
          </cell>
          <cell r="BU446">
            <v>0.64926805348117211</v>
          </cell>
          <cell r="BV446">
            <v>0.6118368661117497</v>
          </cell>
          <cell r="BY446" t="str">
            <v>3750/0.8/6000</v>
          </cell>
          <cell r="BZ446">
            <v>1.9966281525502394E-2</v>
          </cell>
          <cell r="CA446">
            <v>1.8506290310734475E-2</v>
          </cell>
        </row>
        <row r="447">
          <cell r="BY447" t="str">
            <v>3750/0.8/6250</v>
          </cell>
          <cell r="BZ447">
            <v>1.9885056747854568E-2</v>
          </cell>
          <cell r="CA447">
            <v>1.8422692106605743E-2</v>
          </cell>
        </row>
        <row r="448">
          <cell r="BN448" t="str">
            <v>3750/1/3750</v>
          </cell>
          <cell r="BT448">
            <v>0.55020656256892986</v>
          </cell>
          <cell r="BU448">
            <v>0.67411448514148453</v>
          </cell>
          <cell r="BV448">
            <v>0.62500963994853453</v>
          </cell>
          <cell r="BY448" t="str">
            <v>3750/0.8/6350</v>
          </cell>
          <cell r="BZ448">
            <v>1.9852639163442265E-2</v>
          </cell>
          <cell r="CA448">
            <v>1.8390089380538766E-2</v>
          </cell>
        </row>
        <row r="449">
          <cell r="BN449" t="str">
            <v>3750/1/4000</v>
          </cell>
          <cell r="BT449">
            <v>0.54150901929499362</v>
          </cell>
          <cell r="BU449">
            <v>0.66020468551641553</v>
          </cell>
          <cell r="BV449">
            <v>0.61441785438279539</v>
          </cell>
          <cell r="BY449" t="str">
            <v>3750/0.8/6600</v>
          </cell>
          <cell r="BZ449">
            <v>1.9771491143009023E-2</v>
          </cell>
          <cell r="CA449">
            <v>1.8314429680959088E-2</v>
          </cell>
        </row>
        <row r="450">
          <cell r="BN450" t="str">
            <v>3750/1/4250</v>
          </cell>
          <cell r="BT450">
            <v>0.53638758064658987</v>
          </cell>
          <cell r="BU450">
            <v>0.65113054171081008</v>
          </cell>
          <cell r="BV450">
            <v>0.60963026320392366</v>
          </cell>
          <cell r="BY450" t="str">
            <v>3750/0.8/6850</v>
          </cell>
          <cell r="BZ450">
            <v>1.9696009073997711E-2</v>
          </cell>
          <cell r="CA450">
            <v>1.8245599792035105E-2</v>
          </cell>
        </row>
        <row r="451">
          <cell r="BN451" t="str">
            <v>3750/1/4500</v>
          </cell>
          <cell r="BO451">
            <v>0.67144235568236055</v>
          </cell>
          <cell r="BP451">
            <v>0.70333054096422143</v>
          </cell>
          <cell r="BQ451">
            <v>0.68877616222840343</v>
          </cell>
          <cell r="BR451">
            <v>0.67044940800673059</v>
          </cell>
          <cell r="BS451">
            <v>0.64778384174130599</v>
          </cell>
          <cell r="BT451">
            <v>0.531266141998186</v>
          </cell>
          <cell r="BU451">
            <v>0.64205639790520475</v>
          </cell>
          <cell r="BV451">
            <v>0.60484267202505204</v>
          </cell>
          <cell r="BY451" t="str">
            <v>3750/0.8/7500</v>
          </cell>
          <cell r="BZ451">
            <v>1.9532900240193163E-2</v>
          </cell>
          <cell r="CA451">
            <v>1.8083354687364106E-2</v>
          </cell>
        </row>
        <row r="452">
          <cell r="BN452" t="str">
            <v>3750/1/4750</v>
          </cell>
          <cell r="BO452">
            <v>0.66658513689555576</v>
          </cell>
          <cell r="BP452">
            <v>0.6970598755566334</v>
          </cell>
          <cell r="BQ452">
            <v>0.68267779558745789</v>
          </cell>
          <cell r="BR452">
            <v>0.66399605320214294</v>
          </cell>
          <cell r="BS452">
            <v>0.64204408193319684</v>
          </cell>
          <cell r="BT452">
            <v>0.5301188857333099</v>
          </cell>
          <cell r="BU452">
            <v>0.6392163137853587</v>
          </cell>
          <cell r="BV452">
            <v>0.60338900287675035</v>
          </cell>
          <cell r="BY452" t="str">
            <v>3750/0.8/8000</v>
          </cell>
          <cell r="BZ452">
            <v>1.9421018769508858E-2</v>
          </cell>
          <cell r="CA452">
            <v>1.7979104514362576E-2</v>
          </cell>
        </row>
        <row r="453">
          <cell r="BN453" t="str">
            <v>3750/1/5000</v>
          </cell>
          <cell r="BO453">
            <v>0.6617279181087512</v>
          </cell>
          <cell r="BP453">
            <v>0.69078921014904537</v>
          </cell>
          <cell r="BQ453">
            <v>0.67657942894651257</v>
          </cell>
          <cell r="BR453">
            <v>0.6575426983975553</v>
          </cell>
          <cell r="BS453">
            <v>0.6363043221250877</v>
          </cell>
          <cell r="BT453">
            <v>0.5289716294684339</v>
          </cell>
          <cell r="BU453">
            <v>0.63637622966551266</v>
          </cell>
          <cell r="BV453">
            <v>0.60193533372844854</v>
          </cell>
          <cell r="BY453" t="str">
            <v>3750/0.8/9000</v>
          </cell>
          <cell r="BZ453">
            <v>1.9238906902352193E-2</v>
          </cell>
          <cell r="CA453">
            <v>1.780252456224285E-2</v>
          </cell>
        </row>
        <row r="454">
          <cell r="BN454" t="str">
            <v>3750/1/5250</v>
          </cell>
          <cell r="BO454">
            <v>0.65975319453922898</v>
          </cell>
          <cell r="BP454">
            <v>0.68776521909546884</v>
          </cell>
          <cell r="BQ454">
            <v>0.67421779859985242</v>
          </cell>
          <cell r="BR454">
            <v>0.65452980364067226</v>
          </cell>
          <cell r="BS454">
            <v>0.63356895683905989</v>
          </cell>
          <cell r="BT454">
            <v>0.52856226025934805</v>
          </cell>
          <cell r="BU454">
            <v>0.63555206194055935</v>
          </cell>
          <cell r="BV454">
            <v>0.60141769091068975</v>
          </cell>
          <cell r="BY454" t="str">
            <v>3750/0.8/10000</v>
          </cell>
          <cell r="BZ454">
            <v>1.9090872823096405E-2</v>
          </cell>
          <cell r="CA454">
            <v>1.7657952405298771E-2</v>
          </cell>
        </row>
        <row r="455">
          <cell r="BN455" t="str">
            <v>3750/1/5500</v>
          </cell>
          <cell r="BO455">
            <v>0.65777847096970654</v>
          </cell>
          <cell r="BP455">
            <v>0.6847412280418923</v>
          </cell>
          <cell r="BQ455">
            <v>0.67185616825319239</v>
          </cell>
          <cell r="BR455">
            <v>0.65151690888378933</v>
          </cell>
          <cell r="BS455">
            <v>0.6308335915530322</v>
          </cell>
          <cell r="BT455">
            <v>0.5281528910502622</v>
          </cell>
          <cell r="BU455">
            <v>0.63472789421560605</v>
          </cell>
          <cell r="BV455">
            <v>0.60090004809293096</v>
          </cell>
          <cell r="BY455" t="str">
            <v>3750/0.8/99999</v>
          </cell>
          <cell r="BZ455">
            <v>1.7496577608584585E-2</v>
          </cell>
          <cell r="CA455">
            <v>1.6422276283076909E-2</v>
          </cell>
        </row>
        <row r="456">
          <cell r="BN456" t="str">
            <v>3750/1/5750</v>
          </cell>
          <cell r="BO456">
            <v>0.65661349843880767</v>
          </cell>
          <cell r="BP456">
            <v>0.68296801470856749</v>
          </cell>
          <cell r="BQ456">
            <v>0.67050678707510625</v>
          </cell>
          <cell r="BR456">
            <v>0.64969111436040716</v>
          </cell>
          <cell r="BS456">
            <v>0.62920325372630681</v>
          </cell>
          <cell r="BT456">
            <v>0.52805194181696025</v>
          </cell>
          <cell r="BU456">
            <v>0.63425777814776341</v>
          </cell>
          <cell r="BV456">
            <v>0.60049821918986035</v>
          </cell>
          <cell r="BY456" t="str">
            <v>4000/0.8/4000</v>
          </cell>
          <cell r="BZ456">
            <v>2.10511406203584E-2</v>
          </cell>
          <cell r="CA456">
            <v>1.9699056993988995E-2</v>
          </cell>
        </row>
        <row r="457">
          <cell r="BN457" t="str">
            <v>3750/1/6000</v>
          </cell>
          <cell r="BO457">
            <v>0.65544852590790881</v>
          </cell>
          <cell r="BP457">
            <v>0.68119480137524269</v>
          </cell>
          <cell r="BQ457">
            <v>0.66915740589702</v>
          </cell>
          <cell r="BR457">
            <v>0.647865319837025</v>
          </cell>
          <cell r="BS457">
            <v>0.62757291589958131</v>
          </cell>
          <cell r="BT457">
            <v>0.52795099258365852</v>
          </cell>
          <cell r="BU457">
            <v>0.63378766207992054</v>
          </cell>
          <cell r="BV457">
            <v>0.60009639028678974</v>
          </cell>
          <cell r="BY457" t="str">
            <v>4000/0.8/4250</v>
          </cell>
          <cell r="BZ457">
            <v>2.0857471715132969E-2</v>
          </cell>
          <cell r="CA457">
            <v>1.9436584839764515E-2</v>
          </cell>
        </row>
        <row r="458">
          <cell r="BN458" t="str">
            <v>3750/1/6250</v>
          </cell>
          <cell r="BO458">
            <v>0.6547265403291469</v>
          </cell>
          <cell r="BP458">
            <v>0.68004186048630422</v>
          </cell>
          <cell r="BQ458">
            <v>0.66830273586220856</v>
          </cell>
          <cell r="BR458">
            <v>0.64657243939791131</v>
          </cell>
          <cell r="BS458">
            <v>0.62646844321162765</v>
          </cell>
          <cell r="BT458">
            <v>0.52792379379032184</v>
          </cell>
          <cell r="BU458">
            <v>0.63334892336382986</v>
          </cell>
          <cell r="BV458">
            <v>0.59969230594146994</v>
          </cell>
          <cell r="BY458" t="str">
            <v>4000/0.8/4500</v>
          </cell>
          <cell r="BZ458">
            <v>2.0663802809907539E-2</v>
          </cell>
          <cell r="CA458">
            <v>1.9174112685540035E-2</v>
          </cell>
        </row>
        <row r="459">
          <cell r="BN459" t="str">
            <v>3750/1/6350</v>
          </cell>
          <cell r="BO459">
            <v>0.65444377454076408</v>
          </cell>
          <cell r="BP459">
            <v>0.67962658725432412</v>
          </cell>
          <cell r="BQ459">
            <v>0.66796097708776725</v>
          </cell>
          <cell r="BR459">
            <v>0.64612721548604124</v>
          </cell>
          <cell r="BS459">
            <v>0.62609153776065207</v>
          </cell>
          <cell r="BT459">
            <v>0.52791291427298725</v>
          </cell>
          <cell r="BU459">
            <v>0.63317384655074038</v>
          </cell>
          <cell r="BV459">
            <v>0.59955308742664304</v>
          </cell>
          <cell r="BY459" t="str">
            <v>4000/0.8/4750</v>
          </cell>
          <cell r="BZ459">
            <v>2.0501739961249266E-2</v>
          </cell>
          <cell r="CA459">
            <v>1.8981070722929649E-2</v>
          </cell>
        </row>
        <row r="460">
          <cell r="BN460" t="str">
            <v>3750/1/6600</v>
          </cell>
          <cell r="BO460">
            <v>0.65388449740944488</v>
          </cell>
          <cell r="BP460">
            <v>0.67868313567107796</v>
          </cell>
          <cell r="BQ460">
            <v>0.66726658134394956</v>
          </cell>
          <cell r="BR460">
            <v>0.6451925600743853</v>
          </cell>
          <cell r="BS460">
            <v>0.62527882267926982</v>
          </cell>
          <cell r="BT460">
            <v>0.52789332612375373</v>
          </cell>
          <cell r="BU460">
            <v>0.63273586398613135</v>
          </cell>
          <cell r="BV460">
            <v>0.59927449395407839</v>
          </cell>
          <cell r="BY460" t="str">
            <v>4000/0.8/5000</v>
          </cell>
          <cell r="BZ460">
            <v>2.0339677112590993E-2</v>
          </cell>
          <cell r="CA460">
            <v>1.8788028760319264E-2</v>
          </cell>
        </row>
        <row r="461">
          <cell r="BN461" t="str">
            <v>3750/1/6850</v>
          </cell>
          <cell r="BO461">
            <v>0.65348770197471362</v>
          </cell>
          <cell r="BP461">
            <v>0.67795743664472485</v>
          </cell>
          <cell r="BQ461">
            <v>0.66674796591213314</v>
          </cell>
          <cell r="BR461">
            <v>0.64440167909633073</v>
          </cell>
          <cell r="BS461">
            <v>0.62462951762257268</v>
          </cell>
          <cell r="BT461">
            <v>0.52788515394067548</v>
          </cell>
          <cell r="BU461">
            <v>0.63229801449917766</v>
          </cell>
          <cell r="BV461">
            <v>0.5989924514736048</v>
          </cell>
          <cell r="BY461" t="str">
            <v>4000/0.8/5250</v>
          </cell>
          <cell r="BZ461">
            <v>2.0208619246980364E-2</v>
          </cell>
          <cell r="CA461">
            <v>1.8651042110496618E-2</v>
          </cell>
        </row>
        <row r="462">
          <cell r="BN462" t="str">
            <v>3750/1/7500</v>
          </cell>
          <cell r="BO462">
            <v>0.65277705192494007</v>
          </cell>
          <cell r="BP462">
            <v>0.67652918651152505</v>
          </cell>
          <cell r="BQ462">
            <v>0.66572309326455015</v>
          </cell>
          <cell r="BR462">
            <v>0.64284690756049145</v>
          </cell>
          <cell r="BS462">
            <v>0.62337208683931733</v>
          </cell>
          <cell r="BT462">
            <v>0.52787457350389577</v>
          </cell>
          <cell r="BU462">
            <v>0.63116468743725451</v>
          </cell>
          <cell r="BV462">
            <v>0.59863530661023745</v>
          </cell>
          <cell r="BY462" t="str">
            <v>4000/0.8/5500</v>
          </cell>
          <cell r="BZ462">
            <v>2.0077561381369735E-2</v>
          </cell>
          <cell r="CA462">
            <v>1.8514055460673973E-2</v>
          </cell>
        </row>
        <row r="463">
          <cell r="BN463" t="str">
            <v>3750/1/10000</v>
          </cell>
          <cell r="BO463">
            <v>0.65253024589389308</v>
          </cell>
          <cell r="BP463">
            <v>0.67503424275351076</v>
          </cell>
          <cell r="BQ463">
            <v>0.66533212705465161</v>
          </cell>
          <cell r="BR463">
            <v>0.64099029991835654</v>
          </cell>
          <cell r="BS463">
            <v>0.62224056701261921</v>
          </cell>
          <cell r="BT463">
            <v>0.52787177486723658</v>
          </cell>
          <cell r="BU463">
            <v>0.63048280323793793</v>
          </cell>
          <cell r="BV463">
            <v>0.59854415394551186</v>
          </cell>
          <cell r="BY463" t="str">
            <v>4000/0.8/5750</v>
          </cell>
          <cell r="BZ463">
            <v>1.9957514835876822E-2</v>
          </cell>
          <cell r="CA463">
            <v>1.8405068664789304E-2</v>
          </cell>
        </row>
        <row r="464">
          <cell r="BN464" t="str">
            <v>3750/1/99999</v>
          </cell>
          <cell r="BO464">
            <v>0.65253024589389308</v>
          </cell>
          <cell r="BP464">
            <v>0.67429872497165411</v>
          </cell>
          <cell r="BQ464">
            <v>0.66533212705465161</v>
          </cell>
          <cell r="BR464">
            <v>0.63984218277036153</v>
          </cell>
          <cell r="BS464">
            <v>0.621625493756369</v>
          </cell>
          <cell r="BT464">
            <v>0.52787177486723658</v>
          </cell>
          <cell r="BU464">
            <v>0.63048280323793793</v>
          </cell>
          <cell r="BV464">
            <v>0.59854415394551186</v>
          </cell>
          <cell r="BY464" t="str">
            <v>4000/0.8/6000</v>
          </cell>
          <cell r="BZ464">
            <v>1.9837468290383908E-2</v>
          </cell>
          <cell r="CA464">
            <v>1.8296081868904635E-2</v>
          </cell>
        </row>
        <row r="465">
          <cell r="BY465" t="str">
            <v>4000/0.8/6250</v>
          </cell>
          <cell r="BZ465">
            <v>1.9756079686361838E-2</v>
          </cell>
          <cell r="CA465">
            <v>1.8204898389041047E-2</v>
          </cell>
        </row>
        <row r="466">
          <cell r="BN466" t="str">
            <v>4000/1/4000</v>
          </cell>
          <cell r="BT466">
            <v>0.53653323140444875</v>
          </cell>
          <cell r="BU466">
            <v>0.65015547526533191</v>
          </cell>
          <cell r="BV466">
            <v>0.60738448891371866</v>
          </cell>
          <cell r="BY466" t="str">
            <v>4000/0.8/6350</v>
          </cell>
          <cell r="BZ466">
            <v>1.9723713997894299E-2</v>
          </cell>
          <cell r="CA466">
            <v>1.8170295882573351E-2</v>
          </cell>
        </row>
        <row r="467">
          <cell r="BN467" t="str">
            <v>4000/1/4250</v>
          </cell>
          <cell r="BT467">
            <v>0.5279585103660378</v>
          </cell>
          <cell r="BU467">
            <v>0.63745744051239317</v>
          </cell>
          <cell r="BV467">
            <v>0.60042098834743429</v>
          </cell>
          <cell r="BY467" t="str">
            <v>4000/0.8/6600</v>
          </cell>
          <cell r="BZ467">
            <v>1.9642686852576752E-2</v>
          </cell>
          <cell r="CA467">
            <v>1.809444688905848E-2</v>
          </cell>
        </row>
        <row r="468">
          <cell r="BN468" t="str">
            <v>4000/1/4500</v>
          </cell>
          <cell r="BO468">
            <v>0.67027451916812586</v>
          </cell>
          <cell r="BP468">
            <v>0.70708068235502153</v>
          </cell>
          <cell r="BQ468">
            <v>0.69033459186404433</v>
          </cell>
          <cell r="BR468">
            <v>0.67133095825633082</v>
          </cell>
          <cell r="BS468">
            <v>0.64580642625024764</v>
          </cell>
          <cell r="BT468">
            <v>0.51938378932762685</v>
          </cell>
          <cell r="BU468">
            <v>0.62475940575945454</v>
          </cell>
          <cell r="BV468">
            <v>0.59345748778115004</v>
          </cell>
          <cell r="BY468" t="str">
            <v>4000/0.8/6850</v>
          </cell>
          <cell r="BZ468">
            <v>1.9561498387047349E-2</v>
          </cell>
          <cell r="CA468">
            <v>1.8017891558727239E-2</v>
          </cell>
        </row>
        <row r="469">
          <cell r="BN469" t="str">
            <v>4000/1/4750</v>
          </cell>
          <cell r="BO469">
            <v>0.66308050632479032</v>
          </cell>
          <cell r="BP469">
            <v>0.69836102501029196</v>
          </cell>
          <cell r="BQ469">
            <v>0.6812160085146991</v>
          </cell>
          <cell r="BR469">
            <v>0.66223177898946317</v>
          </cell>
          <cell r="BS469">
            <v>0.63778971641139259</v>
          </cell>
          <cell r="BT469">
            <v>0.51776191021238294</v>
          </cell>
          <cell r="BU469">
            <v>0.62091639210859206</v>
          </cell>
          <cell r="BV469">
            <v>0.5912736612629057</v>
          </cell>
          <cell r="BY469" t="str">
            <v>4000/0.8/7500</v>
          </cell>
          <cell r="BZ469">
            <v>1.9385239182429848E-2</v>
          </cell>
          <cell r="CA469">
            <v>1.7851010747500951E-2</v>
          </cell>
        </row>
        <row r="470">
          <cell r="BN470" t="str">
            <v>4000/1/5000</v>
          </cell>
          <cell r="BO470">
            <v>0.65588649348145478</v>
          </cell>
          <cell r="BP470">
            <v>0.68964136766556239</v>
          </cell>
          <cell r="BQ470">
            <v>0.67209742516535387</v>
          </cell>
          <cell r="BR470">
            <v>0.65313259972259563</v>
          </cell>
          <cell r="BS470">
            <v>0.62977300657253743</v>
          </cell>
          <cell r="BT470">
            <v>0.51614003109713891</v>
          </cell>
          <cell r="BU470">
            <v>0.61707337845772947</v>
          </cell>
          <cell r="BV470">
            <v>0.58908983474466126</v>
          </cell>
          <cell r="BY470" t="str">
            <v>4000/0.8/8000</v>
          </cell>
          <cell r="BZ470">
            <v>1.9269909498032201E-2</v>
          </cell>
          <cell r="CA470">
            <v>1.7735089801796944E-2</v>
          </cell>
        </row>
        <row r="471">
          <cell r="BN471" t="str">
            <v>4000/1/5250</v>
          </cell>
          <cell r="BO471">
            <v>0.65339337020675226</v>
          </cell>
          <cell r="BP471">
            <v>0.68581852568963875</v>
          </cell>
          <cell r="BQ471">
            <v>0.66904183892955893</v>
          </cell>
          <cell r="BR471">
            <v>0.64935205874919899</v>
          </cell>
          <cell r="BS471">
            <v>0.62633823022987789</v>
          </cell>
          <cell r="BT471">
            <v>0.51548605753697951</v>
          </cell>
          <cell r="BU471">
            <v>0.61612240979914001</v>
          </cell>
          <cell r="BV471">
            <v>0.58848210668279122</v>
          </cell>
          <cell r="BY471" t="str">
            <v>4000/0.8/9000</v>
          </cell>
          <cell r="BZ471">
            <v>1.9079907674353302E-2</v>
          </cell>
          <cell r="CA471">
            <v>1.7552981008444712E-2</v>
          </cell>
        </row>
        <row r="472">
          <cell r="BN472" t="str">
            <v>4000/1/5500</v>
          </cell>
          <cell r="BO472">
            <v>0.65090024693204962</v>
          </cell>
          <cell r="BP472">
            <v>0.68199568371371511</v>
          </cell>
          <cell r="BQ472">
            <v>0.66598625269376399</v>
          </cell>
          <cell r="BR472">
            <v>0.64557151777580246</v>
          </cell>
          <cell r="BS472">
            <v>0.62290345388721846</v>
          </cell>
          <cell r="BT472">
            <v>0.51483208397682023</v>
          </cell>
          <cell r="BU472">
            <v>0.61517144114055045</v>
          </cell>
          <cell r="BV472">
            <v>0.58787437862092107</v>
          </cell>
          <cell r="BY472" t="str">
            <v>4000/0.8/10000</v>
          </cell>
          <cell r="BZ472">
            <v>1.8924827527761812E-2</v>
          </cell>
          <cell r="CA472">
            <v>1.7404981465036995E-2</v>
          </cell>
        </row>
        <row r="473">
          <cell r="BN473" t="str">
            <v>4000/1/5750</v>
          </cell>
          <cell r="BO473">
            <v>0.64946121281680569</v>
          </cell>
          <cell r="BP473">
            <v>0.6797781794954505</v>
          </cell>
          <cell r="BQ473">
            <v>0.66433313372675196</v>
          </cell>
          <cell r="BR473">
            <v>0.64333805611244399</v>
          </cell>
          <cell r="BS473">
            <v>0.62088218891865943</v>
          </cell>
          <cell r="BT473">
            <v>0.51467188994176427</v>
          </cell>
          <cell r="BU473">
            <v>0.61480089211176359</v>
          </cell>
          <cell r="BV473">
            <v>0.58749261097104655</v>
          </cell>
          <cell r="BY473" t="str">
            <v>4000/0.8/99999</v>
          </cell>
          <cell r="BZ473">
            <v>1.7302931641130392E-2</v>
          </cell>
          <cell r="CA473">
            <v>1.61446172171682E-2</v>
          </cell>
        </row>
        <row r="474">
          <cell r="BN474" t="str">
            <v>4000/1/6000</v>
          </cell>
          <cell r="BO474">
            <v>0.64802217870156176</v>
          </cell>
          <cell r="BP474">
            <v>0.67756067527718578</v>
          </cell>
          <cell r="BQ474">
            <v>0.66268001475973981</v>
          </cell>
          <cell r="BR474">
            <v>0.64110459444908552</v>
          </cell>
          <cell r="BS474">
            <v>0.61886092395010039</v>
          </cell>
          <cell r="BT474">
            <v>0.51451169590670831</v>
          </cell>
          <cell r="BU474">
            <v>0.61443034308297662</v>
          </cell>
          <cell r="BV474">
            <v>0.58711084332117214</v>
          </cell>
          <cell r="BY474" t="str">
            <v>4250/0.8/5000</v>
          </cell>
          <cell r="BZ474">
            <v>2.029737431341061E-2</v>
          </cell>
          <cell r="CA474">
            <v>1.8712236746601496E-2</v>
          </cell>
        </row>
        <row r="475">
          <cell r="BN475" t="str">
            <v>4000/1/6250</v>
          </cell>
          <cell r="BO475">
            <v>0.64713110929608442</v>
          </cell>
          <cell r="BP475">
            <v>0.67617301097987048</v>
          </cell>
          <cell r="BQ475">
            <v>0.6616113459557853</v>
          </cell>
          <cell r="BR475">
            <v>0.63950510982281927</v>
          </cell>
          <cell r="BS475">
            <v>0.61748076114238915</v>
          </cell>
          <cell r="BT475">
            <v>0.51447114841830599</v>
          </cell>
          <cell r="BU475">
            <v>0.61412367049580585</v>
          </cell>
          <cell r="BV475">
            <v>0.58673544860566307</v>
          </cell>
          <cell r="BY475" t="str">
            <v>4250/0.8/5250</v>
          </cell>
          <cell r="BZ475">
            <v>2.0156114854348706E-2</v>
          </cell>
          <cell r="CA475">
            <v>1.8551232054046768E-2</v>
          </cell>
        </row>
        <row r="476">
          <cell r="BN476" t="str">
            <v>4000/1/6350</v>
          </cell>
          <cell r="BO476">
            <v>0.64677468143483219</v>
          </cell>
          <cell r="BP476">
            <v>0.67566757415724332</v>
          </cell>
          <cell r="BQ476">
            <v>0.66118389357627705</v>
          </cell>
          <cell r="BR476">
            <v>0.63900921220463414</v>
          </cell>
          <cell r="BS476">
            <v>0.61703783572237003</v>
          </cell>
          <cell r="BT476">
            <v>0.51445492942294513</v>
          </cell>
          <cell r="BU476">
            <v>0.61400069607858232</v>
          </cell>
          <cell r="BV476">
            <v>0.58658362688288124</v>
          </cell>
          <cell r="BY476" t="str">
            <v>4250/0.8/5500</v>
          </cell>
          <cell r="BZ476">
            <v>2.0014855395286801E-2</v>
          </cell>
          <cell r="CA476">
            <v>1.839022736149204E-2</v>
          </cell>
        </row>
        <row r="477">
          <cell r="BN477" t="str">
            <v>4000/1/6600</v>
          </cell>
          <cell r="BO477">
            <v>0.64604312724706092</v>
          </cell>
          <cell r="BP477">
            <v>0.67451161734731313</v>
          </cell>
          <cell r="BQ477">
            <v>0.66035379526416904</v>
          </cell>
          <cell r="BR477">
            <v>0.63787355099875875</v>
          </cell>
          <cell r="BS477">
            <v>0.61604975451009103</v>
          </cell>
          <cell r="BT477">
            <v>0.51442521457955026</v>
          </cell>
          <cell r="BU477">
            <v>0.61369342113538927</v>
          </cell>
          <cell r="BV477">
            <v>0.58619890561963062</v>
          </cell>
          <cell r="BY477" t="str">
            <v>4250/0.8/5750</v>
          </cell>
          <cell r="BZ477">
            <v>1.988800497899923E-2</v>
          </cell>
          <cell r="CA477">
            <v>1.8265994649745459E-2</v>
          </cell>
        </row>
        <row r="478">
          <cell r="BN478" t="str">
            <v>4000/1/6850</v>
          </cell>
          <cell r="BO478">
            <v>0.64550886593703105</v>
          </cell>
          <cell r="BP478">
            <v>0.67366898495181604</v>
          </cell>
          <cell r="BQ478">
            <v>0.65971932840717706</v>
          </cell>
          <cell r="BR478">
            <v>0.63689382089646751</v>
          </cell>
          <cell r="BS478">
            <v>0.61525032380687972</v>
          </cell>
          <cell r="BT478">
            <v>0.51441174870366679</v>
          </cell>
          <cell r="BU478">
            <v>0.61338747167821428</v>
          </cell>
          <cell r="BV478">
            <v>0.58580956037635146</v>
          </cell>
          <cell r="BY478" t="str">
            <v>4250/0.8/6000</v>
          </cell>
          <cell r="BZ478">
            <v>1.9761154562711658E-2</v>
          </cell>
          <cell r="CA478">
            <v>1.8141761937998879E-2</v>
          </cell>
        </row>
        <row r="479">
          <cell r="BN479" t="str">
            <v>4000/1/7500</v>
          </cell>
          <cell r="BO479">
            <v>0.64472646089894292</v>
          </cell>
          <cell r="BP479">
            <v>0.67201413737042315</v>
          </cell>
          <cell r="BQ479">
            <v>0.6585532052320433</v>
          </cell>
          <cell r="BR479">
            <v>0.63518904495710882</v>
          </cell>
          <cell r="BS479">
            <v>0.6138340899832978</v>
          </cell>
          <cell r="BT479">
            <v>0.51439807190481845</v>
          </cell>
          <cell r="BU479">
            <v>0.61259186377807684</v>
          </cell>
          <cell r="BV479">
            <v>0.58543374710872509</v>
          </cell>
          <cell r="BY479" t="str">
            <v>4250/0.8/6250</v>
          </cell>
          <cell r="BZ479">
            <v>1.9668407775883412E-2</v>
          </cell>
          <cell r="CA479">
            <v>1.8039791542247885E-2</v>
          </cell>
        </row>
        <row r="480">
          <cell r="BN480" t="str">
            <v>4000/1/10000</v>
          </cell>
          <cell r="BO480">
            <v>0.6442376091532741</v>
          </cell>
          <cell r="BP480">
            <v>0.67013285767964714</v>
          </cell>
          <cell r="BQ480">
            <v>0.65783107684533326</v>
          </cell>
          <cell r="BR480">
            <v>0.6328865308363002</v>
          </cell>
          <cell r="BS480">
            <v>0.6123169051688595</v>
          </cell>
          <cell r="BT480">
            <v>0.51439247463150017</v>
          </cell>
          <cell r="BU480">
            <v>0.61169755299470374</v>
          </cell>
          <cell r="BV480">
            <v>0.58525144177927402</v>
          </cell>
          <cell r="BY480" t="str">
            <v>4250/0.8/6350</v>
          </cell>
          <cell r="BZ480">
            <v>1.9631918356547096E-2</v>
          </cell>
          <cell r="CA480">
            <v>1.8000314473309464E-2</v>
          </cell>
        </row>
        <row r="481">
          <cell r="BN481" t="str">
            <v>4000/1/99999</v>
          </cell>
          <cell r="BO481">
            <v>0.6442376091532741</v>
          </cell>
          <cell r="BP481">
            <v>0.66934311641719468</v>
          </cell>
          <cell r="BQ481">
            <v>0.65783107684533326</v>
          </cell>
          <cell r="BR481">
            <v>0.6316147982270518</v>
          </cell>
          <cell r="BS481">
            <v>0.61164829461732328</v>
          </cell>
          <cell r="BT481">
            <v>0.51439247463150017</v>
          </cell>
          <cell r="BU481">
            <v>0.61169755299470374</v>
          </cell>
          <cell r="BV481">
            <v>0.58525144177927402</v>
          </cell>
          <cell r="BY481" t="str">
            <v>4250/0.8/6600</v>
          </cell>
          <cell r="BZ481">
            <v>1.9540447742143752E-2</v>
          </cell>
          <cell r="CA481">
            <v>1.7914498286158542E-2</v>
          </cell>
        </row>
        <row r="482">
          <cell r="BY482" t="str">
            <v>4250/0.8/6850</v>
          </cell>
          <cell r="BZ482">
            <v>1.945221950552134E-2</v>
          </cell>
          <cell r="CA482">
            <v>1.7833073639935859E-2</v>
          </cell>
        </row>
        <row r="483">
          <cell r="BN483" t="str">
            <v>4250/1/4250</v>
          </cell>
          <cell r="BT483">
            <v>0.52394853227961002</v>
          </cell>
          <cell r="BU483">
            <v>0.63058262264112874</v>
          </cell>
          <cell r="BV483">
            <v>0.59314702306646194</v>
          </cell>
          <cell r="BY483" t="str">
            <v>4250/0.8/7500</v>
          </cell>
          <cell r="BZ483">
            <v>1.9267362309208891E-2</v>
          </cell>
          <cell r="CA483">
            <v>1.7654300079022189E-2</v>
          </cell>
        </row>
        <row r="484">
          <cell r="BN484" t="str">
            <v>4250/1/4500</v>
          </cell>
          <cell r="BT484">
            <v>0.51716309343821809</v>
          </cell>
          <cell r="BU484">
            <v>0.62018292236266959</v>
          </cell>
          <cell r="BV484">
            <v>0.58741177640192044</v>
          </cell>
          <cell r="BY484" t="str">
            <v>4250/0.8/8000</v>
          </cell>
          <cell r="BZ484">
            <v>1.9141901552501561E-2</v>
          </cell>
          <cell r="CA484">
            <v>1.7532334320015663E-2</v>
          </cell>
        </row>
        <row r="485">
          <cell r="BN485" t="str">
            <v>4250/1/4750</v>
          </cell>
          <cell r="BT485">
            <v>0.51380300384218247</v>
          </cell>
          <cell r="BU485">
            <v>0.61412615343628807</v>
          </cell>
          <cell r="BV485">
            <v>0.58403303137166607</v>
          </cell>
          <cell r="BY485" t="str">
            <v>4250/0.8/9000</v>
          </cell>
          <cell r="BZ485">
            <v>1.8941802422964726E-2</v>
          </cell>
          <cell r="CA485">
            <v>1.7339228524890227E-2</v>
          </cell>
        </row>
        <row r="486">
          <cell r="BN486" t="str">
            <v>4250/1/5000</v>
          </cell>
          <cell r="BT486">
            <v>0.51044291424614663</v>
          </cell>
          <cell r="BU486">
            <v>0.60806938450990633</v>
          </cell>
          <cell r="BV486">
            <v>0.5806542863414117</v>
          </cell>
          <cell r="BY486" t="str">
            <v>4250/0.8/10000</v>
          </cell>
          <cell r="BZ486">
            <v>1.8780753933263616E-2</v>
          </cell>
          <cell r="CA486">
            <v>1.7183788376563092E-2</v>
          </cell>
        </row>
        <row r="487">
          <cell r="BN487" t="str">
            <v>4250/1/5250</v>
          </cell>
          <cell r="BO487">
            <v>0.65100000000000002</v>
          </cell>
          <cell r="BP487">
            <v>0.68799999999999994</v>
          </cell>
          <cell r="BQ487">
            <v>0.66800000000000004</v>
          </cell>
          <cell r="BR487">
            <v>0.64800000000000002</v>
          </cell>
          <cell r="BS487">
            <v>0.622</v>
          </cell>
          <cell r="BT487">
            <v>0.5089135581296157</v>
          </cell>
          <cell r="BU487">
            <v>0.60623694251542637</v>
          </cell>
          <cell r="BV487">
            <v>0.57898229767487552</v>
          </cell>
          <cell r="BY487" t="str">
            <v>4250/0.8/99999</v>
          </cell>
          <cell r="BZ487">
            <v>1.7129236983366047E-2</v>
          </cell>
          <cell r="CA487">
            <v>1.5896917656662291E-2</v>
          </cell>
        </row>
        <row r="488">
          <cell r="BN488" t="str">
            <v>4250/1/5500</v>
          </cell>
          <cell r="BO488">
            <v>0.64800110931986032</v>
          </cell>
          <cell r="BP488">
            <v>0.68392318641359751</v>
          </cell>
          <cell r="BQ488">
            <v>0.66489534625133628</v>
          </cell>
          <cell r="BR488">
            <v>0.64431879138232362</v>
          </cell>
          <cell r="BS488">
            <v>0.61923390574544834</v>
          </cell>
          <cell r="BT488">
            <v>0.50738420201308476</v>
          </cell>
          <cell r="BU488">
            <v>0.60440450052094608</v>
          </cell>
          <cell r="BV488">
            <v>0.57731030900833935</v>
          </cell>
          <cell r="BY488" t="str">
            <v>4500/0.8/5000</v>
          </cell>
          <cell r="BZ488">
            <v>2.0255071514230227E-2</v>
          </cell>
          <cell r="CA488">
            <v>1.8636444732883728E-2</v>
          </cell>
        </row>
        <row r="489">
          <cell r="BN489" t="str">
            <v>4250/1/5750</v>
          </cell>
          <cell r="BO489">
            <v>0.64515595324755914</v>
          </cell>
          <cell r="BP489">
            <v>0.68018679032956175</v>
          </cell>
          <cell r="BQ489">
            <v>0.66146404271394721</v>
          </cell>
          <cell r="BR489">
            <v>0.64044479940694266</v>
          </cell>
          <cell r="BS489">
            <v>0.61577883582033244</v>
          </cell>
          <cell r="BT489">
            <v>0.50706755665977021</v>
          </cell>
          <cell r="BU489">
            <v>0.60365309532474509</v>
          </cell>
          <cell r="BV489">
            <v>0.57666167855478845</v>
          </cell>
          <cell r="BY489" t="str">
            <v>4500/0.8/5250</v>
          </cell>
          <cell r="BZ489">
            <v>2.0103610461717047E-2</v>
          </cell>
          <cell r="CA489">
            <v>1.8451421997596917E-2</v>
          </cell>
        </row>
        <row r="490">
          <cell r="BN490" t="str">
            <v>4250/1/6000</v>
          </cell>
          <cell r="BO490">
            <v>0.64231079717525796</v>
          </cell>
          <cell r="BP490">
            <v>0.676450394245526</v>
          </cell>
          <cell r="BQ490">
            <v>0.65803273917655802</v>
          </cell>
          <cell r="BR490">
            <v>0.63657080743156158</v>
          </cell>
          <cell r="BS490">
            <v>0.61232376589521642</v>
          </cell>
          <cell r="BT490">
            <v>0.50675091130645578</v>
          </cell>
          <cell r="BU490">
            <v>0.602901690128544</v>
          </cell>
          <cell r="BV490">
            <v>0.57601304810123755</v>
          </cell>
          <cell r="BY490" t="str">
            <v>4500/0.8/5500</v>
          </cell>
          <cell r="BZ490">
            <v>1.9952149409203868E-2</v>
          </cell>
          <cell r="CA490">
            <v>1.8266399262310107E-2</v>
          </cell>
        </row>
        <row r="491">
          <cell r="BN491" t="str">
            <v>4250/1/6250</v>
          </cell>
          <cell r="BO491">
            <v>0.64098878856006047</v>
          </cell>
          <cell r="BP491">
            <v>0.67436326240503153</v>
          </cell>
          <cell r="BQ491">
            <v>0.6564105519464869</v>
          </cell>
          <cell r="BR491">
            <v>0.63437410029669428</v>
          </cell>
          <cell r="BS491">
            <v>0.61037390729500918</v>
          </cell>
          <cell r="BT491">
            <v>0.50664126809492482</v>
          </cell>
          <cell r="BU491">
            <v>0.60246543673793229</v>
          </cell>
          <cell r="BV491">
            <v>0.57560705005153334</v>
          </cell>
          <cell r="BY491" t="str">
            <v>4500/0.8/5750</v>
          </cell>
          <cell r="BZ491">
            <v>1.9818495122121638E-2</v>
          </cell>
          <cell r="CA491">
            <v>1.8126920634701615E-2</v>
          </cell>
        </row>
        <row r="492">
          <cell r="BN492" t="str">
            <v>4250/1/6350</v>
          </cell>
          <cell r="BO492">
            <v>0.64048928500612545</v>
          </cell>
          <cell r="BP492">
            <v>0.67361949280868261</v>
          </cell>
          <cell r="BQ492">
            <v>0.6558144843439786</v>
          </cell>
          <cell r="BR492">
            <v>0.63364551770603827</v>
          </cell>
          <cell r="BS492">
            <v>0.6097071863224206</v>
          </cell>
          <cell r="BT492">
            <v>0.50659741081031262</v>
          </cell>
          <cell r="BU492">
            <v>0.6023176989448018</v>
          </cell>
          <cell r="BV492">
            <v>0.57545653134028574</v>
          </cell>
          <cell r="BY492" t="str">
            <v>4500/0.8/6000</v>
          </cell>
          <cell r="BZ492">
            <v>1.9684840835039408E-2</v>
          </cell>
          <cell r="CA492">
            <v>1.7987442007093124E-2</v>
          </cell>
        </row>
        <row r="493">
          <cell r="BN493" t="str">
            <v>4250/1/6600</v>
          </cell>
          <cell r="BO493">
            <v>0.63945790177614747</v>
          </cell>
          <cell r="BP493">
            <v>0.67201046509190698</v>
          </cell>
          <cell r="BQ493">
            <v>0.654611508399358</v>
          </cell>
          <cell r="BR493">
            <v>0.63204907476789285</v>
          </cell>
          <cell r="BS493">
            <v>0.60830911369385643</v>
          </cell>
          <cell r="BT493">
            <v>0.50651982175531218</v>
          </cell>
          <cell r="BU493">
            <v>0.6019980168432697</v>
          </cell>
          <cell r="BV493">
            <v>0.57508591486153426</v>
          </cell>
          <cell r="BY493" t="str">
            <v>4500/0.8/6250</v>
          </cell>
          <cell r="BZ493">
            <v>1.9580735865404986E-2</v>
          </cell>
          <cell r="CA493">
            <v>1.7874684695454723E-2</v>
          </cell>
        </row>
        <row r="494">
          <cell r="BN494" t="str">
            <v>4250/1/6850</v>
          </cell>
          <cell r="BO494">
            <v>0.63869432835958651</v>
          </cell>
          <cell r="BP494">
            <v>0.67082912143133211</v>
          </cell>
          <cell r="BQ494">
            <v>0.65371842066084385</v>
          </cell>
          <cell r="BR494">
            <v>0.63074802106307382</v>
          </cell>
          <cell r="BS494">
            <v>0.60720585315862796</v>
          </cell>
          <cell r="BT494">
            <v>0.50649031393510746</v>
          </cell>
          <cell r="BU494">
            <v>0.60170363255415005</v>
          </cell>
          <cell r="BV494">
            <v>0.57471488435338047</v>
          </cell>
          <cell r="BY494" t="str">
            <v>4500/0.8/6350</v>
          </cell>
          <cell r="BZ494">
            <v>1.9540122715199892E-2</v>
          </cell>
          <cell r="CA494">
            <v>1.7830333064045578E-2</v>
          </cell>
        </row>
        <row r="495">
          <cell r="BN495" t="str">
            <v>4250/1/7500</v>
          </cell>
          <cell r="BO495">
            <v>0.63748257811507292</v>
          </cell>
          <cell r="BP495">
            <v>0.66861513453514643</v>
          </cell>
          <cell r="BQ495">
            <v>0.65210752221992818</v>
          </cell>
          <cell r="BR495">
            <v>0.62845263039609933</v>
          </cell>
          <cell r="BS495">
            <v>0.60524786907095718</v>
          </cell>
          <cell r="BT495">
            <v>0.50645858617293971</v>
          </cell>
          <cell r="BU495">
            <v>0.60096381210958993</v>
          </cell>
          <cell r="BV495">
            <v>0.57422692510452333</v>
          </cell>
          <cell r="BY495" t="str">
            <v>4500/0.8/6600</v>
          </cell>
          <cell r="BZ495">
            <v>1.9438208631710752E-2</v>
          </cell>
          <cell r="CA495">
            <v>1.7734549683258605E-2</v>
          </cell>
        </row>
        <row r="496">
          <cell r="BN496" t="str">
            <v>4250/1/10000</v>
          </cell>
          <cell r="BO496">
            <v>0.63662257092824914</v>
          </cell>
          <cell r="BP496">
            <v>0.66611042250572527</v>
          </cell>
          <cell r="BQ496">
            <v>0.65088413781742238</v>
          </cell>
          <cell r="BR496">
            <v>0.62548749940895765</v>
          </cell>
          <cell r="BS496">
            <v>0.60314818962623051</v>
          </cell>
          <cell r="BT496">
            <v>0.50644976900128391</v>
          </cell>
          <cell r="BU496">
            <v>0.59990028777629234</v>
          </cell>
          <cell r="BV496">
            <v>0.57392127719336805</v>
          </cell>
          <cell r="BY496" t="str">
            <v>4500/0.8/6850</v>
          </cell>
          <cell r="BZ496">
            <v>1.9342940623995331E-2</v>
          </cell>
          <cell r="CA496">
            <v>1.7648255721144479E-2</v>
          </cell>
        </row>
        <row r="497">
          <cell r="BN497" t="str">
            <v>4250/1/99999</v>
          </cell>
          <cell r="BO497">
            <v>0.63662257092824914</v>
          </cell>
          <cell r="BP497">
            <v>0.66522415713106398</v>
          </cell>
          <cell r="BQ497">
            <v>0.65088329450277616</v>
          </cell>
          <cell r="BR497">
            <v>0.62406139439016473</v>
          </cell>
          <cell r="BS497">
            <v>0.60239773571609589</v>
          </cell>
          <cell r="BT497">
            <v>0.50644976900128391</v>
          </cell>
          <cell r="BU497">
            <v>0.59990028777629234</v>
          </cell>
          <cell r="BV497">
            <v>0.57392127719336805</v>
          </cell>
          <cell r="BY497" t="str">
            <v>4500/0.8/7500</v>
          </cell>
          <cell r="BZ497">
            <v>1.9149485435987934E-2</v>
          </cell>
          <cell r="CA497">
            <v>1.7457589410543428E-2</v>
          </cell>
        </row>
        <row r="498">
          <cell r="BY498" t="str">
            <v>4500/0.8/8000</v>
          </cell>
          <cell r="BZ498">
            <v>1.9013893606970922E-2</v>
          </cell>
          <cell r="CA498">
            <v>1.7329578838234383E-2</v>
          </cell>
        </row>
        <row r="499">
          <cell r="BN499" t="str">
            <v>4500/1/4500</v>
          </cell>
          <cell r="BT499">
            <v>0.51494239754880944</v>
          </cell>
          <cell r="BU499">
            <v>0.61560643896588463</v>
          </cell>
          <cell r="BV499">
            <v>0.58136606502269073</v>
          </cell>
          <cell r="BY499" t="str">
            <v>4500/0.8/9000</v>
          </cell>
          <cell r="BZ499">
            <v>1.880369717157615E-2</v>
          </cell>
          <cell r="CA499">
            <v>1.7125476041335741E-2</v>
          </cell>
        </row>
        <row r="500">
          <cell r="BN500" t="str">
            <v>4500/1/4750</v>
          </cell>
          <cell r="BT500">
            <v>0.50984409747198201</v>
          </cell>
          <cell r="BU500">
            <v>0.60733591476398396</v>
          </cell>
          <cell r="BV500">
            <v>0.57679240148042643</v>
          </cell>
          <cell r="BY500" t="str">
            <v>4500/0.8/10000</v>
          </cell>
          <cell r="BZ500">
            <v>1.8636680338765421E-2</v>
          </cell>
          <cell r="CA500">
            <v>1.6962595288089188E-2</v>
          </cell>
        </row>
        <row r="501">
          <cell r="BN501" t="str">
            <v>4500/1/5000</v>
          </cell>
          <cell r="BT501">
            <v>0.50474579739515446</v>
          </cell>
          <cell r="BU501">
            <v>0.5990653905620833</v>
          </cell>
          <cell r="BV501">
            <v>0.57221873793816203</v>
          </cell>
          <cell r="BY501" t="str">
            <v>4500/0.8/99999</v>
          </cell>
          <cell r="BZ501">
            <v>1.6955542325601702E-2</v>
          </cell>
          <cell r="CA501">
            <v>1.5649218096156381E-2</v>
          </cell>
        </row>
        <row r="502">
          <cell r="BN502" t="str">
            <v>4500/1/5250</v>
          </cell>
          <cell r="BT502">
            <v>0.50234105872225188</v>
          </cell>
          <cell r="BU502">
            <v>0.59635147523171261</v>
          </cell>
          <cell r="BV502">
            <v>0.56948248866695983</v>
          </cell>
          <cell r="BY502" t="str">
            <v>4750/0.8/5000</v>
          </cell>
          <cell r="BZ502">
            <v>2.0212768715049845E-2</v>
          </cell>
          <cell r="CA502">
            <v>1.856065271916596E-2</v>
          </cell>
        </row>
        <row r="503">
          <cell r="BN503" t="str">
            <v>4500/1/5500</v>
          </cell>
          <cell r="BO503">
            <v>0.64510197170767114</v>
          </cell>
          <cell r="BP503">
            <v>0.68585068911347979</v>
          </cell>
          <cell r="BQ503">
            <v>0.66380443980890846</v>
          </cell>
          <cell r="BR503">
            <v>0.64306606498884467</v>
          </cell>
          <cell r="BS503">
            <v>0.61556435760367822</v>
          </cell>
          <cell r="BT503">
            <v>0.49993632004934918</v>
          </cell>
          <cell r="BU503">
            <v>0.5936375599013417</v>
          </cell>
          <cell r="BV503">
            <v>0.56674623939575763</v>
          </cell>
          <cell r="BY503" t="str">
            <v>4750/0.8/5250</v>
          </cell>
          <cell r="BZ503">
            <v>2.0051106069085389E-2</v>
          </cell>
          <cell r="CA503">
            <v>1.8351611941147067E-2</v>
          </cell>
        </row>
        <row r="504">
          <cell r="BN504" t="str">
            <v>4500/1/5750</v>
          </cell>
          <cell r="BO504">
            <v>0.6408506936783126</v>
          </cell>
          <cell r="BP504">
            <v>0.68059540116367301</v>
          </cell>
          <cell r="BQ504">
            <v>0.65859495170114246</v>
          </cell>
          <cell r="BR504">
            <v>0.63755154270144121</v>
          </cell>
          <cell r="BS504">
            <v>0.61067548272200534</v>
          </cell>
          <cell r="BT504">
            <v>0.49946322337777616</v>
          </cell>
          <cell r="BU504">
            <v>0.5925052985377266</v>
          </cell>
          <cell r="BV504">
            <v>0.56583074613853024</v>
          </cell>
          <cell r="BY504" t="str">
            <v>4750/0.8/5500</v>
          </cell>
          <cell r="BZ504">
            <v>1.9889443423120934E-2</v>
          </cell>
          <cell r="CA504">
            <v>1.8142571163128174E-2</v>
          </cell>
        </row>
        <row r="505">
          <cell r="BN505" t="str">
            <v>4500/1/6000</v>
          </cell>
          <cell r="BO505">
            <v>0.63659941564895406</v>
          </cell>
          <cell r="BP505">
            <v>0.67534011321386611</v>
          </cell>
          <cell r="BQ505">
            <v>0.65338546359337624</v>
          </cell>
          <cell r="BR505">
            <v>0.63203702041403764</v>
          </cell>
          <cell r="BS505">
            <v>0.60578660784033245</v>
          </cell>
          <cell r="BT505">
            <v>0.49899012670620319</v>
          </cell>
          <cell r="BU505">
            <v>0.59137303717411149</v>
          </cell>
          <cell r="BV505">
            <v>0.56491525288130284</v>
          </cell>
          <cell r="BY505" t="str">
            <v>4750/0.8/5750</v>
          </cell>
          <cell r="BZ505">
            <v>1.9748985265244046E-2</v>
          </cell>
          <cell r="CA505">
            <v>1.7987846619657771E-2</v>
          </cell>
        </row>
        <row r="506">
          <cell r="BN506" t="str">
            <v>4500/1/6250</v>
          </cell>
          <cell r="BO506">
            <v>0.63484646782403653</v>
          </cell>
          <cell r="BP506">
            <v>0.67255351383019257</v>
          </cell>
          <cell r="BQ506">
            <v>0.6512097579371886</v>
          </cell>
          <cell r="BR506">
            <v>0.62924309077056928</v>
          </cell>
          <cell r="BS506">
            <v>0.60326705344762921</v>
          </cell>
          <cell r="BT506">
            <v>0.49881138777154377</v>
          </cell>
          <cell r="BU506">
            <v>0.59080720298005884</v>
          </cell>
          <cell r="BV506">
            <v>0.56447865149740362</v>
          </cell>
          <cell r="BY506" t="str">
            <v>4750/0.8/6000</v>
          </cell>
          <cell r="BZ506">
            <v>1.9608527107367157E-2</v>
          </cell>
          <cell r="CA506">
            <v>1.7833122076187369E-2</v>
          </cell>
        </row>
        <row r="507">
          <cell r="BN507" t="str">
            <v>4500/1/6350</v>
          </cell>
          <cell r="BO507">
            <v>0.63420388857741861</v>
          </cell>
          <cell r="BP507">
            <v>0.67157141146012189</v>
          </cell>
          <cell r="BQ507">
            <v>0.65044507511168015</v>
          </cell>
          <cell r="BR507">
            <v>0.62828182320744241</v>
          </cell>
          <cell r="BS507">
            <v>0.60237653692247128</v>
          </cell>
          <cell r="BT507">
            <v>0.49873989219768011</v>
          </cell>
          <cell r="BU507">
            <v>0.59063470181102118</v>
          </cell>
          <cell r="BV507">
            <v>0.56432943579769024</v>
          </cell>
          <cell r="BY507" t="str">
            <v>4750/0.8/6250</v>
          </cell>
          <cell r="BZ507">
            <v>1.9493063954926559E-2</v>
          </cell>
          <cell r="CA507">
            <v>1.7709577848661562E-2</v>
          </cell>
        </row>
        <row r="508">
          <cell r="BN508" t="str">
            <v>4500/1/6600</v>
          </cell>
          <cell r="BO508">
            <v>0.63287267630523392</v>
          </cell>
          <cell r="BP508">
            <v>0.66950931283650084</v>
          </cell>
          <cell r="BQ508">
            <v>0.64886922153454685</v>
          </cell>
          <cell r="BR508">
            <v>0.62622459853702694</v>
          </cell>
          <cell r="BS508">
            <v>0.60056847287762183</v>
          </cell>
          <cell r="BT508">
            <v>0.49861442893107405</v>
          </cell>
          <cell r="BU508">
            <v>0.59030261255115002</v>
          </cell>
          <cell r="BV508">
            <v>0.56397292410343791</v>
          </cell>
          <cell r="BY508" t="str">
            <v>4750/0.8/6350</v>
          </cell>
          <cell r="BZ508">
            <v>1.9448327073852689E-2</v>
          </cell>
          <cell r="CA508">
            <v>1.7660351654781692E-2</v>
          </cell>
        </row>
        <row r="509">
          <cell r="BN509" t="str">
            <v>4500/1/6850</v>
          </cell>
          <cell r="BO509">
            <v>0.63187979078214185</v>
          </cell>
          <cell r="BP509">
            <v>0.66798925791084818</v>
          </cell>
          <cell r="BQ509">
            <v>0.64771751291451063</v>
          </cell>
          <cell r="BR509">
            <v>0.62460222122968023</v>
          </cell>
          <cell r="BS509">
            <v>0.59916138251037632</v>
          </cell>
          <cell r="BT509">
            <v>0.49856887916654813</v>
          </cell>
          <cell r="BU509">
            <v>0.5900197934300857</v>
          </cell>
          <cell r="BV509">
            <v>0.56362020833040938</v>
          </cell>
          <cell r="BY509" t="str">
            <v>4750/0.8/6600</v>
          </cell>
          <cell r="BZ509">
            <v>1.9335969521277752E-2</v>
          </cell>
          <cell r="CA509">
            <v>1.7554601080358667E-2</v>
          </cell>
        </row>
        <row r="510">
          <cell r="BN510" t="str">
            <v>4500/1/7500</v>
          </cell>
          <cell r="BO510">
            <v>0.63023869533120291</v>
          </cell>
          <cell r="BP510">
            <v>0.66521613169986971</v>
          </cell>
          <cell r="BQ510">
            <v>0.64566183920781295</v>
          </cell>
          <cell r="BR510">
            <v>0.62171621583508996</v>
          </cell>
          <cell r="BS510">
            <v>0.59666164815861655</v>
          </cell>
          <cell r="BT510">
            <v>0.49851910044106096</v>
          </cell>
          <cell r="BU510">
            <v>0.58933576044110314</v>
          </cell>
          <cell r="BV510">
            <v>0.56302010310032169</v>
          </cell>
          <cell r="BY510" t="str">
            <v>4750/0.8/6850</v>
          </cell>
          <cell r="BZ510">
            <v>1.9233661742469321E-2</v>
          </cell>
          <cell r="CA510">
            <v>1.7463437802353099E-2</v>
          </cell>
        </row>
        <row r="511">
          <cell r="BN511" t="str">
            <v>4500/1/10000</v>
          </cell>
          <cell r="BO511">
            <v>0.62900753270322429</v>
          </cell>
          <cell r="BP511">
            <v>0.66208798733180341</v>
          </cell>
          <cell r="BQ511">
            <v>0.64393719878951139</v>
          </cell>
          <cell r="BR511">
            <v>0.61808846798161499</v>
          </cell>
          <cell r="BS511">
            <v>0.59397947408360152</v>
          </cell>
          <cell r="BT511">
            <v>0.49850706337106754</v>
          </cell>
          <cell r="BU511">
            <v>0.58810302255788094</v>
          </cell>
          <cell r="BV511">
            <v>0.56259111260746208</v>
          </cell>
          <cell r="BY511" t="str">
            <v>4750/0.8/7500</v>
          </cell>
          <cell r="BZ511">
            <v>1.9031608562766977E-2</v>
          </cell>
          <cell r="CA511">
            <v>1.7260878742064667E-2</v>
          </cell>
        </row>
        <row r="512">
          <cell r="BN512" t="str">
            <v>4500/1/99999</v>
          </cell>
          <cell r="BO512">
            <v>0.62900753270322429</v>
          </cell>
          <cell r="BP512">
            <v>0.66110519784493316</v>
          </cell>
          <cell r="BQ512">
            <v>0.64393551216021905</v>
          </cell>
          <cell r="BR512">
            <v>0.61650799055327776</v>
          </cell>
          <cell r="BS512">
            <v>0.59314717681486839</v>
          </cell>
          <cell r="BT512">
            <v>0.49850706337106754</v>
          </cell>
          <cell r="BU512">
            <v>0.58810302255788094</v>
          </cell>
          <cell r="BV512">
            <v>0.56259111260746208</v>
          </cell>
          <cell r="BY512" t="str">
            <v>4750/0.8/8000</v>
          </cell>
          <cell r="BZ512">
            <v>1.8885885661440283E-2</v>
          </cell>
          <cell r="CA512">
            <v>1.7126823356453102E-2</v>
          </cell>
        </row>
        <row r="513">
          <cell r="BY513" t="str">
            <v>4750/0.8/9000</v>
          </cell>
          <cell r="BZ513">
            <v>1.8665591920187574E-2</v>
          </cell>
          <cell r="CA513">
            <v>1.6911723557781255E-2</v>
          </cell>
        </row>
        <row r="514">
          <cell r="BN514" t="str">
            <v>4750/1/4750</v>
          </cell>
          <cell r="BT514">
            <v>0.50366345370594523</v>
          </cell>
          <cell r="BU514">
            <v>0.59636980611025669</v>
          </cell>
          <cell r="BV514">
            <v>0.56850959771795939</v>
          </cell>
          <cell r="BY514" t="str">
            <v>4750/0.8/10000</v>
          </cell>
          <cell r="BZ514">
            <v>1.8492606744267226E-2</v>
          </cell>
          <cell r="CA514">
            <v>1.6741402199615285E-2</v>
          </cell>
        </row>
        <row r="515">
          <cell r="BN515" t="str">
            <v>4750/1/5000</v>
          </cell>
          <cell r="BT515">
            <v>0.49904868054416229</v>
          </cell>
          <cell r="BU515">
            <v>0.59006139661426027</v>
          </cell>
          <cell r="BV515">
            <v>0.56378318953491235</v>
          </cell>
          <cell r="BY515" t="str">
            <v>4750/0.8/99999</v>
          </cell>
          <cell r="BZ515">
            <v>1.6781847667837357E-2</v>
          </cell>
          <cell r="CA515">
            <v>1.5401518535650471E-2</v>
          </cell>
        </row>
        <row r="516">
          <cell r="BN516" t="str">
            <v>4750/1/5250</v>
          </cell>
          <cell r="BT516">
            <v>0.495768559314888</v>
          </cell>
          <cell r="BU516">
            <v>0.58646600794799886</v>
          </cell>
          <cell r="BV516">
            <v>0.55998267965904414</v>
          </cell>
          <cell r="BY516" t="str">
            <v>5000/0.8/5000</v>
          </cell>
          <cell r="BZ516">
            <v>2.0170465915869462E-2</v>
          </cell>
          <cell r="CA516">
            <v>1.8484860705448192E-2</v>
          </cell>
        </row>
        <row r="517">
          <cell r="BN517" t="str">
            <v>4750/1/5500</v>
          </cell>
          <cell r="BO517">
            <v>0.64220283409548196</v>
          </cell>
          <cell r="BP517">
            <v>0.68777819181336208</v>
          </cell>
          <cell r="BQ517">
            <v>0.66271353336648076</v>
          </cell>
          <cell r="BR517">
            <v>0.64181333859536582</v>
          </cell>
          <cell r="BS517">
            <v>0.61189480946190811</v>
          </cell>
          <cell r="BT517">
            <v>0.49248843808561366</v>
          </cell>
          <cell r="BU517">
            <v>0.58287061928173745</v>
          </cell>
          <cell r="BV517">
            <v>0.55618216978317592</v>
          </cell>
          <cell r="BY517" t="str">
            <v>5000/0.8/5250</v>
          </cell>
          <cell r="BZ517">
            <v>1.9998601676453731E-2</v>
          </cell>
          <cell r="CA517">
            <v>1.8251801884697216E-2</v>
          </cell>
        </row>
        <row r="518">
          <cell r="BN518" t="str">
            <v>4750/1/5750</v>
          </cell>
          <cell r="BO518">
            <v>0.63654543410906606</v>
          </cell>
          <cell r="BP518">
            <v>0.68100401199778426</v>
          </cell>
          <cell r="BQ518">
            <v>0.65572586068833771</v>
          </cell>
          <cell r="BR518">
            <v>0.63465828599593976</v>
          </cell>
          <cell r="BS518">
            <v>0.60557212962367823</v>
          </cell>
          <cell r="BT518">
            <v>0.4918588900957821</v>
          </cell>
          <cell r="BU518">
            <v>0.58135750175070822</v>
          </cell>
          <cell r="BV518">
            <v>0.55499981372227203</v>
          </cell>
          <cell r="BY518" t="str">
            <v>5000/0.8/5500</v>
          </cell>
          <cell r="BZ518">
            <v>1.9826737437038E-2</v>
          </cell>
          <cell r="CA518">
            <v>1.8018743063946241E-2</v>
          </cell>
        </row>
        <row r="519">
          <cell r="BN519" t="str">
            <v>4750/1/6000</v>
          </cell>
          <cell r="BO519">
            <v>0.63088803412265015</v>
          </cell>
          <cell r="BP519">
            <v>0.67422983218220622</v>
          </cell>
          <cell r="BQ519">
            <v>0.64873818801019456</v>
          </cell>
          <cell r="BR519">
            <v>0.6275032333965137</v>
          </cell>
          <cell r="BS519">
            <v>0.59924944978544836</v>
          </cell>
          <cell r="BT519">
            <v>0.49122934210595059</v>
          </cell>
          <cell r="BU519">
            <v>0.57984438421967899</v>
          </cell>
          <cell r="BV519">
            <v>0.55381745766136825</v>
          </cell>
          <cell r="BY519" t="str">
            <v>5000/0.8/5750</v>
          </cell>
          <cell r="BZ519">
            <v>1.9679475408366454E-2</v>
          </cell>
          <cell r="CA519">
            <v>1.7848772604613927E-2</v>
          </cell>
        </row>
        <row r="520">
          <cell r="BN520" t="str">
            <v>4750/1/6250</v>
          </cell>
          <cell r="BO520">
            <v>0.62870414708801259</v>
          </cell>
          <cell r="BP520">
            <v>0.67074376525535362</v>
          </cell>
          <cell r="BQ520">
            <v>0.64600896392789031</v>
          </cell>
          <cell r="BR520">
            <v>0.62411208124444428</v>
          </cell>
          <cell r="BS520">
            <v>0.59616019960024924</v>
          </cell>
          <cell r="BT520">
            <v>0.49098150744816271</v>
          </cell>
          <cell r="BU520">
            <v>0.57914896922218539</v>
          </cell>
          <cell r="BV520">
            <v>0.55335025294327389</v>
          </cell>
          <cell r="BY520" t="str">
            <v>5000/0.8/6000</v>
          </cell>
          <cell r="BZ520">
            <v>1.9532213379694907E-2</v>
          </cell>
          <cell r="CA520">
            <v>1.7678802145281614E-2</v>
          </cell>
        </row>
        <row r="521">
          <cell r="BN521" t="str">
            <v>4750/1/6350</v>
          </cell>
          <cell r="BO521">
            <v>0.62791849214871176</v>
          </cell>
          <cell r="BP521">
            <v>0.66952333011156118</v>
          </cell>
          <cell r="BQ521">
            <v>0.6450756658793817</v>
          </cell>
          <cell r="BR521">
            <v>0.62291812870884655</v>
          </cell>
          <cell r="BS521">
            <v>0.59504588752252197</v>
          </cell>
          <cell r="BT521">
            <v>0.4908823735850476</v>
          </cell>
          <cell r="BU521">
            <v>0.57895170467724055</v>
          </cell>
          <cell r="BV521">
            <v>0.55320234025509474</v>
          </cell>
          <cell r="BY521" t="str">
            <v>5000/0.8/6250</v>
          </cell>
          <cell r="BZ521">
            <v>1.9405392044448133E-2</v>
          </cell>
          <cell r="CA521">
            <v>1.75444710018684E-2</v>
          </cell>
        </row>
        <row r="522">
          <cell r="BN522" t="str">
            <v>4750/1/6600</v>
          </cell>
          <cell r="BO522">
            <v>0.62628745083432036</v>
          </cell>
          <cell r="BP522">
            <v>0.66700816058109469</v>
          </cell>
          <cell r="BQ522">
            <v>0.64312693466973569</v>
          </cell>
          <cell r="BR522">
            <v>0.62040012230616104</v>
          </cell>
          <cell r="BS522">
            <v>0.59282783206138723</v>
          </cell>
          <cell r="BT522">
            <v>0.49070903610683592</v>
          </cell>
          <cell r="BU522">
            <v>0.57860720825903034</v>
          </cell>
          <cell r="BV522">
            <v>0.55285993334534167</v>
          </cell>
          <cell r="BY522" t="str">
            <v>5000/0.8/6350</v>
          </cell>
          <cell r="BZ522">
            <v>1.9356531432505486E-2</v>
          </cell>
          <cell r="CA522">
            <v>1.7490370245517806E-2</v>
          </cell>
        </row>
        <row r="523">
          <cell r="BN523" t="str">
            <v>4750/1/6850</v>
          </cell>
          <cell r="BO523">
            <v>0.62506525320469719</v>
          </cell>
          <cell r="BP523">
            <v>0.66514939439036425</v>
          </cell>
          <cell r="BQ523">
            <v>0.64171660516817741</v>
          </cell>
          <cell r="BR523">
            <v>0.61845642139628654</v>
          </cell>
          <cell r="BS523">
            <v>0.59111691186212467</v>
          </cell>
          <cell r="BT523">
            <v>0.4906474443979888</v>
          </cell>
          <cell r="BU523">
            <v>0.57833595430602136</v>
          </cell>
          <cell r="BV523">
            <v>0.55252553230743828</v>
          </cell>
          <cell r="BY523" t="str">
            <v>5000/0.8/6600</v>
          </cell>
          <cell r="BZ523">
            <v>1.9233730410844752E-2</v>
          </cell>
          <cell r="CA523">
            <v>1.737465247745873E-2</v>
          </cell>
        </row>
        <row r="524">
          <cell r="BN524" t="str">
            <v>4750/1/7500</v>
          </cell>
          <cell r="BO524">
            <v>0.6229948125473328</v>
          </cell>
          <cell r="BP524">
            <v>0.6618171288645931</v>
          </cell>
          <cell r="BQ524">
            <v>0.63921615619569772</v>
          </cell>
          <cell r="BR524">
            <v>0.61497980127408058</v>
          </cell>
          <cell r="BS524">
            <v>0.58807542724627593</v>
          </cell>
          <cell r="BT524">
            <v>0.49057961470918221</v>
          </cell>
          <cell r="BU524">
            <v>0.57770770877261635</v>
          </cell>
          <cell r="BV524">
            <v>0.55181328109611993</v>
          </cell>
          <cell r="BY524" t="str">
            <v>5000/0.8/6850</v>
          </cell>
          <cell r="BZ524">
            <v>1.9124382860943312E-2</v>
          </cell>
          <cell r="CA524">
            <v>1.7278619883561719E-2</v>
          </cell>
        </row>
        <row r="525">
          <cell r="BN525" t="str">
            <v>4750/1/10000</v>
          </cell>
          <cell r="BO525">
            <v>0.62139249447819944</v>
          </cell>
          <cell r="BP525">
            <v>0.65806555215788154</v>
          </cell>
          <cell r="BQ525">
            <v>0.6369902597616004</v>
          </cell>
          <cell r="BR525">
            <v>0.61068943655427244</v>
          </cell>
          <cell r="BS525">
            <v>0.58481075854097253</v>
          </cell>
          <cell r="BT525">
            <v>0.49056435774085122</v>
          </cell>
          <cell r="BU525">
            <v>0.57630575733946954</v>
          </cell>
          <cell r="BV525">
            <v>0.55126094802155612</v>
          </cell>
          <cell r="BY525" t="str">
            <v>5000/0.8/7500</v>
          </cell>
          <cell r="BZ525">
            <v>1.8913731689546021E-2</v>
          </cell>
          <cell r="CA525">
            <v>1.7064168073585906E-2</v>
          </cell>
        </row>
        <row r="526">
          <cell r="BN526" t="str">
            <v>4750/1/99999</v>
          </cell>
          <cell r="BO526">
            <v>0.62139249447819944</v>
          </cell>
          <cell r="BP526">
            <v>0.65698623855880234</v>
          </cell>
          <cell r="BQ526">
            <v>0.63698772981766194</v>
          </cell>
          <cell r="BR526">
            <v>0.6089545867163908</v>
          </cell>
          <cell r="BS526">
            <v>0.58389661791364089</v>
          </cell>
          <cell r="BT526">
            <v>0.49056435774085122</v>
          </cell>
          <cell r="BU526">
            <v>0.57630575733946954</v>
          </cell>
          <cell r="BV526">
            <v>0.55126094802155612</v>
          </cell>
          <cell r="BY526" t="str">
            <v>5000/0.8/8000</v>
          </cell>
          <cell r="BZ526">
            <v>1.8757877715909643E-2</v>
          </cell>
          <cell r="CA526">
            <v>1.6924067874671822E-2</v>
          </cell>
        </row>
        <row r="527">
          <cell r="BY527" t="str">
            <v>5000/0.8/9000</v>
          </cell>
          <cell r="BZ527">
            <v>1.8527486668798998E-2</v>
          </cell>
          <cell r="CA527">
            <v>1.669797107422677E-2</v>
          </cell>
        </row>
        <row r="528">
          <cell r="BN528" t="str">
            <v>5000/1/5000</v>
          </cell>
          <cell r="BT528">
            <v>0.49335156369317007</v>
          </cell>
          <cell r="BU528">
            <v>0.58105740266643724</v>
          </cell>
          <cell r="BV528">
            <v>0.55534764113166279</v>
          </cell>
          <cell r="BY528" t="str">
            <v>5000/0.8/10000</v>
          </cell>
          <cell r="BZ528">
            <v>1.8348533149769031E-2</v>
          </cell>
          <cell r="CA528">
            <v>1.6520209111141382E-2</v>
          </cell>
        </row>
        <row r="529">
          <cell r="BN529" t="str">
            <v>5000/1/5250</v>
          </cell>
          <cell r="BT529">
            <v>0.48919605990752413</v>
          </cell>
          <cell r="BU529">
            <v>0.57658054066428521</v>
          </cell>
          <cell r="BV529">
            <v>0.55048287065112855</v>
          </cell>
          <cell r="BY529" t="str">
            <v>5000/0.8/99999</v>
          </cell>
          <cell r="BZ529">
            <v>1.6608153010073012E-2</v>
          </cell>
          <cell r="CA529">
            <v>1.5153818975144562E-2</v>
          </cell>
        </row>
        <row r="530">
          <cell r="BN530" t="str">
            <v>5000/1/5500</v>
          </cell>
          <cell r="BO530">
            <v>0.63930369648329277</v>
          </cell>
          <cell r="BP530">
            <v>0.68970569451324448</v>
          </cell>
          <cell r="BQ530">
            <v>0.66162262692405305</v>
          </cell>
          <cell r="BR530">
            <v>0.64056061220188698</v>
          </cell>
          <cell r="BS530">
            <v>0.60822526132013788</v>
          </cell>
          <cell r="BT530">
            <v>0.48504055612187813</v>
          </cell>
          <cell r="BU530">
            <v>0.57210367866213307</v>
          </cell>
          <cell r="BV530">
            <v>0.54561810017059431</v>
          </cell>
          <cell r="BY530" t="str">
            <v>0/0.7/0</v>
          </cell>
          <cell r="BZ530">
            <v>2.8206809685441092E-2</v>
          </cell>
          <cell r="CA530">
            <v>2.8350139159793786E-2</v>
          </cell>
        </row>
        <row r="531">
          <cell r="BN531" t="str">
            <v>5000/1/5750</v>
          </cell>
          <cell r="BO531">
            <v>0.63224017453981951</v>
          </cell>
          <cell r="BP531">
            <v>0.68141262283189541</v>
          </cell>
          <cell r="BQ531">
            <v>0.65285676967553297</v>
          </cell>
          <cell r="BR531">
            <v>0.63176502929043843</v>
          </cell>
          <cell r="BS531">
            <v>0.60046877652535113</v>
          </cell>
          <cell r="BT531">
            <v>0.4842545568137881</v>
          </cell>
          <cell r="BU531">
            <v>0.57020970496368972</v>
          </cell>
          <cell r="BV531">
            <v>0.54416888130601393</v>
          </cell>
          <cell r="BY531" t="str">
            <v>0/0.7/250</v>
          </cell>
          <cell r="BZ531">
            <v>2.7424759939446819E-2</v>
          </cell>
          <cell r="CA531">
            <v>2.7500944084534407E-2</v>
          </cell>
        </row>
        <row r="532">
          <cell r="BN532" t="str">
            <v>5000/1/6000</v>
          </cell>
          <cell r="BO532">
            <v>0.62517665259634625</v>
          </cell>
          <cell r="BP532">
            <v>0.67311955115054634</v>
          </cell>
          <cell r="BQ532">
            <v>0.64409091242701277</v>
          </cell>
          <cell r="BR532">
            <v>0.62296944637898977</v>
          </cell>
          <cell r="BS532">
            <v>0.59271229173056439</v>
          </cell>
          <cell r="BT532">
            <v>0.48346855750569806</v>
          </cell>
          <cell r="BU532">
            <v>0.56831573126524637</v>
          </cell>
          <cell r="BV532">
            <v>0.54271966244143366</v>
          </cell>
          <cell r="BY532" t="str">
            <v>0/0.7/500</v>
          </cell>
          <cell r="BZ532">
            <v>2.6913067783929545E-2</v>
          </cell>
          <cell r="CA532">
            <v>2.6944168076543873E-2</v>
          </cell>
        </row>
        <row r="533">
          <cell r="BN533" t="str">
            <v>5000/1/6250</v>
          </cell>
          <cell r="BO533">
            <v>0.62256182635198865</v>
          </cell>
          <cell r="BP533">
            <v>0.66893401668051466</v>
          </cell>
          <cell r="BQ533">
            <v>0.64080816991859191</v>
          </cell>
          <cell r="BR533">
            <v>0.61898107171831929</v>
          </cell>
          <cell r="BS533">
            <v>0.58905334575286927</v>
          </cell>
          <cell r="BT533">
            <v>0.4831516271247816</v>
          </cell>
          <cell r="BU533">
            <v>0.56749073546431184</v>
          </cell>
          <cell r="BV533">
            <v>0.54222185438914428</v>
          </cell>
          <cell r="BY533" t="str">
            <v>0/0.7/750</v>
          </cell>
          <cell r="BZ533">
            <v>2.6532395691750033E-2</v>
          </cell>
          <cell r="CA533">
            <v>2.6529906556608029E-2</v>
          </cell>
        </row>
        <row r="534">
          <cell r="BN534" t="str">
            <v>5000/1/6350</v>
          </cell>
          <cell r="BO534">
            <v>0.62163309572000491</v>
          </cell>
          <cell r="BP534">
            <v>0.66747524876300046</v>
          </cell>
          <cell r="BQ534">
            <v>0.63970625664708314</v>
          </cell>
          <cell r="BR534">
            <v>0.61755443421025069</v>
          </cell>
          <cell r="BS534">
            <v>0.58771523812257254</v>
          </cell>
          <cell r="BT534">
            <v>0.4830248549724151</v>
          </cell>
          <cell r="BU534">
            <v>0.56726870754346004</v>
          </cell>
          <cell r="BV534">
            <v>0.54207524471249935</v>
          </cell>
          <cell r="BY534" t="str">
            <v>0/0.7/1000</v>
          </cell>
          <cell r="BZ534">
            <v>2.6227658532886888E-2</v>
          </cell>
          <cell r="CA534">
            <v>2.6193760757881712E-2</v>
          </cell>
        </row>
        <row r="535">
          <cell r="BN535" t="str">
            <v>5000/1/6600</v>
          </cell>
          <cell r="BO535">
            <v>0.6197022253634068</v>
          </cell>
          <cell r="BP535">
            <v>0.66450700832568854</v>
          </cell>
          <cell r="BQ535">
            <v>0.63738464780492465</v>
          </cell>
          <cell r="BR535">
            <v>0.61457564607529525</v>
          </cell>
          <cell r="BS535">
            <v>0.58508719124515263</v>
          </cell>
          <cell r="BT535">
            <v>0.48280364328259784</v>
          </cell>
          <cell r="BU535">
            <v>0.56691180396691077</v>
          </cell>
          <cell r="BV535">
            <v>0.54174694258724532</v>
          </cell>
          <cell r="BY535" t="str">
            <v>0/0.7/1250</v>
          </cell>
          <cell r="BZ535">
            <v>2.5966087042354147E-2</v>
          </cell>
          <cell r="CA535">
            <v>2.590511736404455E-2</v>
          </cell>
        </row>
        <row r="536">
          <cell r="BN536" t="str">
            <v>5000/1/6850</v>
          </cell>
          <cell r="BO536">
            <v>0.61825071562725253</v>
          </cell>
          <cell r="BP536">
            <v>0.66230953086988031</v>
          </cell>
          <cell r="BQ536">
            <v>0.63571569742184419</v>
          </cell>
          <cell r="BR536">
            <v>0.61231062156289284</v>
          </cell>
          <cell r="BS536">
            <v>0.58307244121387303</v>
          </cell>
          <cell r="BT536">
            <v>0.48272600962942946</v>
          </cell>
          <cell r="BU536">
            <v>0.56665211518195702</v>
          </cell>
          <cell r="BV536">
            <v>0.5414308562844673</v>
          </cell>
          <cell r="BY536" t="str">
            <v>0/0.7/1500</v>
          </cell>
          <cell r="BZ536">
            <v>2.5736166032170438E-2</v>
          </cell>
          <cell r="CA536">
            <v>2.5649166800670642E-2</v>
          </cell>
        </row>
        <row r="537">
          <cell r="BN537" t="str">
            <v>5000/1/7500</v>
          </cell>
          <cell r="BO537">
            <v>0.6157509297634628</v>
          </cell>
          <cell r="BP537">
            <v>0.65841812602931638</v>
          </cell>
          <cell r="BQ537">
            <v>0.63277047318358259</v>
          </cell>
          <cell r="BR537">
            <v>0.60824338671307121</v>
          </cell>
          <cell r="BS537">
            <v>0.5794892063339353</v>
          </cell>
          <cell r="BT537">
            <v>0.48264012897730352</v>
          </cell>
          <cell r="BU537">
            <v>0.56607965710412944</v>
          </cell>
          <cell r="BV537">
            <v>0.54060645909191818</v>
          </cell>
          <cell r="BY537" t="str">
            <v>0/0.7/1750</v>
          </cell>
          <cell r="BZ537">
            <v>2.5542868171359978E-2</v>
          </cell>
          <cell r="CA537">
            <v>2.5428239453024526E-2</v>
          </cell>
        </row>
        <row r="538">
          <cell r="BN538" t="str">
            <v>5000/1/10000</v>
          </cell>
          <cell r="BO538">
            <v>0.61377745625317448</v>
          </cell>
          <cell r="BP538">
            <v>0.65404311698395967</v>
          </cell>
          <cell r="BQ538">
            <v>0.63004332073368952</v>
          </cell>
          <cell r="BR538">
            <v>0.60329040512692989</v>
          </cell>
          <cell r="BS538">
            <v>0.57564204299834343</v>
          </cell>
          <cell r="BT538">
            <v>0.4826216521106349</v>
          </cell>
          <cell r="BU538">
            <v>0.56450849212105814</v>
          </cell>
          <cell r="BV538">
            <v>0.53993078343565015</v>
          </cell>
          <cell r="BY538" t="str">
            <v>0/0.7/2000</v>
          </cell>
          <cell r="BZ538">
            <v>2.5349570310549518E-2</v>
          </cell>
          <cell r="CA538">
            <v>2.520731210537841E-2</v>
          </cell>
        </row>
        <row r="539">
          <cell r="BN539" t="str">
            <v>5000/1/99999</v>
          </cell>
          <cell r="BO539">
            <v>0.61377745625317448</v>
          </cell>
          <cell r="BP539">
            <v>0.65286727927267152</v>
          </cell>
          <cell r="BQ539">
            <v>0.63003994747510483</v>
          </cell>
          <cell r="BR539">
            <v>0.60140118287950384</v>
          </cell>
          <cell r="BS539">
            <v>0.5746460590124135</v>
          </cell>
          <cell r="BT539">
            <v>0.4826216521106349</v>
          </cell>
          <cell r="BU539">
            <v>0.56450849212105814</v>
          </cell>
          <cell r="BV539">
            <v>0.53993078343565015</v>
          </cell>
          <cell r="BY539" t="str">
            <v>0/0.7/2250</v>
          </cell>
          <cell r="BZ539">
            <v>2.5181907237893153E-2</v>
          </cell>
          <cell r="CA539">
            <v>2.5017143718293999E-2</v>
          </cell>
        </row>
        <row r="540">
          <cell r="BY540" t="str">
            <v>0/0.7/2500</v>
          </cell>
          <cell r="BZ540">
            <v>2.5027102605237106E-2</v>
          </cell>
          <cell r="CA540">
            <v>2.4833341141026866E-2</v>
          </cell>
        </row>
        <row r="541">
          <cell r="BN541" t="str">
            <v>0/0.9/250</v>
          </cell>
          <cell r="BO541">
            <v>0.97009005069097765</v>
          </cell>
          <cell r="BP541">
            <v>0.96968776249843924</v>
          </cell>
          <cell r="BQ541">
            <v>0.97005407244019337</v>
          </cell>
          <cell r="BR541">
            <v>0.97022259159955637</v>
          </cell>
          <cell r="BS541">
            <v>0.96546885042352448</v>
          </cell>
          <cell r="BT541">
            <v>0.98042685469859325</v>
          </cell>
          <cell r="BU541">
            <v>1.0965289259947162</v>
          </cell>
          <cell r="BV541">
            <v>1.0916728378376768</v>
          </cell>
          <cell r="BY541" t="str">
            <v>0/0.7/2750</v>
          </cell>
          <cell r="BZ541">
            <v>2.4883273691507668E-2</v>
          </cell>
          <cell r="CA541">
            <v>2.4665858803618379E-2</v>
          </cell>
        </row>
        <row r="542">
          <cell r="BN542" t="str">
            <v>0/0.9/500</v>
          </cell>
          <cell r="BO542">
            <v>0.93568470585145602</v>
          </cell>
          <cell r="BP542">
            <v>0.93576514179280834</v>
          </cell>
          <cell r="BQ542">
            <v>0.93516862476350504</v>
          </cell>
          <cell r="BR542">
            <v>0.93573226172708457</v>
          </cell>
          <cell r="BS542">
            <v>0.92794361929704916</v>
          </cell>
          <cell r="BT542">
            <v>0.94454920562150024</v>
          </cell>
          <cell r="BU542">
            <v>1.0603613820529498</v>
          </cell>
          <cell r="BV542">
            <v>1.0513980125740978</v>
          </cell>
          <cell r="BY542" t="str">
            <v>0/0.7/3000</v>
          </cell>
          <cell r="BZ542">
            <v>2.4748783246142825E-2</v>
          </cell>
          <cell r="CA542">
            <v>2.4531704483768291E-2</v>
          </cell>
        </row>
        <row r="543">
          <cell r="BN543" t="str">
            <v>0/0.9/750</v>
          </cell>
          <cell r="BO543">
            <v>0.90994541120008454</v>
          </cell>
          <cell r="BP543">
            <v>0.91114404184690712</v>
          </cell>
          <cell r="BQ543">
            <v>0.90891237744364672</v>
          </cell>
          <cell r="BR543">
            <v>0.90965607613092381</v>
          </cell>
          <cell r="BS543">
            <v>0.89991994445405421</v>
          </cell>
          <cell r="BT543">
            <v>0.92279425696011685</v>
          </cell>
          <cell r="BU543">
            <v>1.0356566155845128</v>
          </cell>
          <cell r="BV543">
            <v>1.0242580724982226</v>
          </cell>
          <cell r="BY543" t="str">
            <v>0/0.7/3250</v>
          </cell>
          <cell r="BZ543">
            <v>2.4624933975568419E-2</v>
          </cell>
          <cell r="CA543">
            <v>2.4397757746782767E-2</v>
          </cell>
        </row>
        <row r="544">
          <cell r="BN544" t="str">
            <v>0/0.9/1000</v>
          </cell>
          <cell r="BO544">
            <v>0.88870998475414242</v>
          </cell>
          <cell r="BP544">
            <v>0.89142941606379122</v>
          </cell>
          <cell r="BQ544">
            <v>0.88722395675275922</v>
          </cell>
          <cell r="BR544">
            <v>0.88789284384447154</v>
          </cell>
          <cell r="BS544">
            <v>0.87636465588720736</v>
          </cell>
          <cell r="BT544">
            <v>0.9043698383488874</v>
          </cell>
          <cell r="BU544">
            <v>1.0176018184380433</v>
          </cell>
          <cell r="BV544">
            <v>1.0044116489285861</v>
          </cell>
          <cell r="BY544" t="str">
            <v>0/0.7/3500</v>
          </cell>
          <cell r="BZ544">
            <v>2.4501084704994014E-2</v>
          </cell>
          <cell r="CA544">
            <v>2.4263811009797243E-2</v>
          </cell>
        </row>
        <row r="545">
          <cell r="BN545" t="str">
            <v>0/0.9/1250</v>
          </cell>
          <cell r="BO545">
            <v>0.87551314482596443</v>
          </cell>
          <cell r="BP545">
            <v>0.88060229032527249</v>
          </cell>
          <cell r="BQ545">
            <v>0.87375113549625949</v>
          </cell>
          <cell r="BR545">
            <v>0.87413009402118635</v>
          </cell>
          <cell r="BS545">
            <v>0.86193791050325463</v>
          </cell>
          <cell r="BT545">
            <v>0.89298731198622405</v>
          </cell>
          <cell r="BU545">
            <v>1.0036888147513556</v>
          </cell>
          <cell r="BV545">
            <v>0.99175672524923986</v>
          </cell>
          <cell r="BY545" t="str">
            <v>0/0.7/3750</v>
          </cell>
          <cell r="BZ545">
            <v>2.4378023371992796E-2</v>
          </cell>
          <cell r="CA545">
            <v>2.4152676890872971E-2</v>
          </cell>
        </row>
        <row r="546">
          <cell r="BN546" t="str">
            <v>0/0.9/1500</v>
          </cell>
          <cell r="BO546">
            <v>0.86386198787871704</v>
          </cell>
          <cell r="BP546">
            <v>0.87178338965799818</v>
          </cell>
          <cell r="BQ546">
            <v>0.86161472917108939</v>
          </cell>
          <cell r="BR546">
            <v>0.86155083885940265</v>
          </cell>
          <cell r="BS546">
            <v>0.84921136558657173</v>
          </cell>
          <cell r="BT546">
            <v>0.88401047592636994</v>
          </cell>
          <cell r="BU546">
            <v>0.9943785435695931</v>
          </cell>
          <cell r="BV546">
            <v>0.98275149995054023</v>
          </cell>
          <cell r="BY546" t="str">
            <v>0/0.7/4000</v>
          </cell>
          <cell r="BZ546">
            <v>2.4254962038991579E-2</v>
          </cell>
          <cell r="CA546">
            <v>2.4041542771948698E-2</v>
          </cell>
        </row>
        <row r="547">
          <cell r="BN547" t="str">
            <v>0/0.9/1750</v>
          </cell>
          <cell r="BO547">
            <v>0.85638269239982334</v>
          </cell>
          <cell r="BP547">
            <v>0.86641310698730778</v>
          </cell>
          <cell r="BQ547">
            <v>0.85396993742259442</v>
          </cell>
          <cell r="BR547">
            <v>0.8535129445217029</v>
          </cell>
          <cell r="BS547">
            <v>0.84124076971543815</v>
          </cell>
          <cell r="BT547">
            <v>0.87679657998559113</v>
          </cell>
          <cell r="BU547">
            <v>0.98753035434607184</v>
          </cell>
          <cell r="BV547">
            <v>0.97600132375755622</v>
          </cell>
          <cell r="BY547" t="str">
            <v>0/0.7/4250</v>
          </cell>
          <cell r="BZ547">
            <v>2.4169467272705747E-2</v>
          </cell>
          <cell r="CA547">
            <v>2.3950435526747804E-2</v>
          </cell>
        </row>
        <row r="548">
          <cell r="BN548" t="str">
            <v>0/0.9/2000</v>
          </cell>
          <cell r="BO548">
            <v>0.84890339692092964</v>
          </cell>
          <cell r="BP548">
            <v>0.86104282431661738</v>
          </cell>
          <cell r="BQ548">
            <v>0.84632514567409944</v>
          </cell>
          <cell r="BR548">
            <v>0.84547505018400315</v>
          </cell>
          <cell r="BS548">
            <v>0.83327017384430457</v>
          </cell>
          <cell r="BT548">
            <v>0.86958268404481232</v>
          </cell>
          <cell r="BU548">
            <v>0.98068216512255046</v>
          </cell>
          <cell r="BV548">
            <v>0.9692511475645722</v>
          </cell>
          <cell r="BY548" t="str">
            <v>0/0.7/4500</v>
          </cell>
          <cell r="BZ548">
            <v>2.4083972506419915E-2</v>
          </cell>
          <cell r="CA548">
            <v>2.385932828154691E-2</v>
          </cell>
        </row>
        <row r="549">
          <cell r="BN549" t="str">
            <v>0/0.9/2250</v>
          </cell>
          <cell r="BO549">
            <v>0.84353355985339451</v>
          </cell>
          <cell r="BP549">
            <v>0.85730094228269593</v>
          </cell>
          <cell r="BQ549">
            <v>0.84095941050679779</v>
          </cell>
          <cell r="BR549">
            <v>0.83909111186542862</v>
          </cell>
          <cell r="BS549">
            <v>0.82702690674075041</v>
          </cell>
          <cell r="BT549">
            <v>0.86435365978310441</v>
          </cell>
          <cell r="BU549">
            <v>0.97553515364041299</v>
          </cell>
          <cell r="BV549">
            <v>0.96388768367515743</v>
          </cell>
          <cell r="BY549" t="str">
            <v>0/0.7/4750</v>
          </cell>
          <cell r="BZ549">
            <v>2.4002994031369629E-2</v>
          </cell>
          <cell r="CA549">
            <v>2.3777109473338665E-2</v>
          </cell>
        </row>
        <row r="550">
          <cell r="BN550" t="str">
            <v>0/0.9/2500</v>
          </cell>
          <cell r="BO550">
            <v>0.83836823905349322</v>
          </cell>
          <cell r="BP550">
            <v>0.85376458125810162</v>
          </cell>
          <cell r="BQ550">
            <v>0.83560375811308985</v>
          </cell>
          <cell r="BR550">
            <v>0.83372704279707632</v>
          </cell>
          <cell r="BS550">
            <v>0.82160501708386147</v>
          </cell>
          <cell r="BT550">
            <v>0.859852380912694</v>
          </cell>
          <cell r="BU550">
            <v>0.97080201869576821</v>
          </cell>
          <cell r="BV550">
            <v>0.95900897441096189</v>
          </cell>
          <cell r="BY550" t="str">
            <v>0/0.7/5000</v>
          </cell>
          <cell r="BZ550">
            <v>2.3922015556319343E-2</v>
          </cell>
          <cell r="CA550">
            <v>2.3694890665130419E-2</v>
          </cell>
        </row>
        <row r="551">
          <cell r="BN551" t="str">
            <v>0/0.9/2750</v>
          </cell>
          <cell r="BO551">
            <v>0.83452493140685113</v>
          </cell>
          <cell r="BP551">
            <v>0.85129503147135133</v>
          </cell>
          <cell r="BQ551">
            <v>0.83172415607168471</v>
          </cell>
          <cell r="BR551">
            <v>0.82889821784359485</v>
          </cell>
          <cell r="BS551">
            <v>0.8169192000056924</v>
          </cell>
          <cell r="BT551">
            <v>0.8562102275315473</v>
          </cell>
          <cell r="BU551">
            <v>0.96690312629703989</v>
          </cell>
          <cell r="BV551">
            <v>0.9549467374803996</v>
          </cell>
          <cell r="BY551" t="str">
            <v>0/0.7/5250</v>
          </cell>
          <cell r="BZ551">
            <v>2.3840823255405597E-2</v>
          </cell>
          <cell r="CA551">
            <v>2.3618224628355278E-2</v>
          </cell>
        </row>
        <row r="552">
          <cell r="BN552" t="str">
            <v>0/0.9/3000</v>
          </cell>
          <cell r="BO552">
            <v>0.83071435883531519</v>
          </cell>
          <cell r="BP552">
            <v>0.84882556181066482</v>
          </cell>
          <cell r="BQ552">
            <v>0.82788514336310282</v>
          </cell>
          <cell r="BR552">
            <v>0.82500823173722704</v>
          </cell>
          <cell r="BS552">
            <v>0.81300959285263608</v>
          </cell>
          <cell r="BT552">
            <v>0.85297950885991347</v>
          </cell>
          <cell r="BU552">
            <v>0.9631378734508923</v>
          </cell>
          <cell r="BV552">
            <v>0.95133428374922735</v>
          </cell>
          <cell r="BY552" t="str">
            <v>0/0.7/5500</v>
          </cell>
          <cell r="BZ552">
            <v>2.375963095449185E-2</v>
          </cell>
          <cell r="CA552">
            <v>2.3541558591580136E-2</v>
          </cell>
        </row>
        <row r="553">
          <cell r="BN553" t="str">
            <v>0/0.9/3250</v>
          </cell>
          <cell r="BO553">
            <v>0.82759894831835767</v>
          </cell>
          <cell r="BP553">
            <v>0.84684935652428961</v>
          </cell>
          <cell r="BQ553">
            <v>0.82470256240171502</v>
          </cell>
          <cell r="BR553">
            <v>0.82141608021700052</v>
          </cell>
          <cell r="BS553">
            <v>0.80940808685045496</v>
          </cell>
          <cell r="BT553">
            <v>0.84995425445632922</v>
          </cell>
          <cell r="BU553">
            <v>0.96005382478725809</v>
          </cell>
          <cell r="BV553">
            <v>0.94824061903682078</v>
          </cell>
          <cell r="BY553" t="str">
            <v>0/0.7/5750</v>
          </cell>
          <cell r="BZ553">
            <v>2.3688973245886258E-2</v>
          </cell>
          <cell r="CA553">
            <v>2.3473336601273154E-2</v>
          </cell>
        </row>
        <row r="554">
          <cell r="BN554" t="str">
            <v>0/0.9/3500</v>
          </cell>
          <cell r="BO554">
            <v>0.82448353780140016</v>
          </cell>
          <cell r="BP554">
            <v>0.8448731512379144</v>
          </cell>
          <cell r="BQ554">
            <v>0.82151998144032723</v>
          </cell>
          <cell r="BR554">
            <v>0.81782392869677401</v>
          </cell>
          <cell r="BS554">
            <v>0.80580658084827372</v>
          </cell>
          <cell r="BT554">
            <v>0.84692900005274496</v>
          </cell>
          <cell r="BU554">
            <v>0.95696977612362399</v>
          </cell>
          <cell r="BV554">
            <v>0.9451469543244142</v>
          </cell>
          <cell r="BY554" t="str">
            <v>0/0.7/6000</v>
          </cell>
          <cell r="BZ554">
            <v>2.3618315537280665E-2</v>
          </cell>
          <cell r="CA554">
            <v>2.3405114610966171E-2</v>
          </cell>
        </row>
        <row r="555">
          <cell r="BN555" t="str">
            <v>0/0.9/3750</v>
          </cell>
          <cell r="BO555">
            <v>0.82173639895385087</v>
          </cell>
          <cell r="BP555">
            <v>0.84291942229102368</v>
          </cell>
          <cell r="BQ555">
            <v>0.81866235428724798</v>
          </cell>
          <cell r="BR555">
            <v>0.81471358415804573</v>
          </cell>
          <cell r="BS555">
            <v>0.8027031026183995</v>
          </cell>
          <cell r="BT555">
            <v>0.84453261720971096</v>
          </cell>
          <cell r="BU555">
            <v>0.95438019998512247</v>
          </cell>
          <cell r="BV555">
            <v>0.94251153496928897</v>
          </cell>
          <cell r="BY555" t="str">
            <v>0/0.7/6250</v>
          </cell>
          <cell r="BZ555">
            <v>2.3560705436631135E-2</v>
          </cell>
          <cell r="CA555">
            <v>2.334418413180761E-2</v>
          </cell>
        </row>
        <row r="556">
          <cell r="BN556" t="str">
            <v>0/0.9/4000</v>
          </cell>
          <cell r="BO556">
            <v>0.81898926010630158</v>
          </cell>
          <cell r="BP556">
            <v>0.84096569334413285</v>
          </cell>
          <cell r="BQ556">
            <v>0.81580472713416863</v>
          </cell>
          <cell r="BR556">
            <v>0.81160323961931757</v>
          </cell>
          <cell r="BS556">
            <v>0.79959962438852528</v>
          </cell>
          <cell r="BT556">
            <v>0.84213623436667706</v>
          </cell>
          <cell r="BU556">
            <v>0.95179062384662083</v>
          </cell>
          <cell r="BV556">
            <v>0.93987611561416384</v>
          </cell>
          <cell r="BY556" t="str">
            <v>0/0.7/6350</v>
          </cell>
          <cell r="BZ556">
            <v>2.3537649798585081E-2</v>
          </cell>
          <cell r="CA556">
            <v>2.3319696325336148E-2</v>
          </cell>
        </row>
        <row r="557">
          <cell r="BN557" t="str">
            <v>0/0.9/4250</v>
          </cell>
          <cell r="BO557">
            <v>0.81726060383368315</v>
          </cell>
          <cell r="BP557">
            <v>0.84016456433836828</v>
          </cell>
          <cell r="BQ557">
            <v>0.81407642147837622</v>
          </cell>
          <cell r="BR557">
            <v>0.8095108213987432</v>
          </cell>
          <cell r="BS557">
            <v>0.79733827133093449</v>
          </cell>
          <cell r="BT557">
            <v>0.8404058625628098</v>
          </cell>
          <cell r="BU557">
            <v>0.94966674721690214</v>
          </cell>
          <cell r="BV557">
            <v>0.9377135200818032</v>
          </cell>
          <cell r="BY557" t="str">
            <v>0/0.7/6600</v>
          </cell>
          <cell r="BZ557">
            <v>2.3479981709004116E-2</v>
          </cell>
          <cell r="CA557">
            <v>2.3258187772137839E-2</v>
          </cell>
        </row>
        <row r="558">
          <cell r="BN558" t="str">
            <v>0/0.9/4500</v>
          </cell>
          <cell r="BO558">
            <v>0.81553194756106484</v>
          </cell>
          <cell r="BP558">
            <v>0.83936343533260371</v>
          </cell>
          <cell r="BQ558">
            <v>0.81234811582258393</v>
          </cell>
          <cell r="BR558">
            <v>0.80741840317816893</v>
          </cell>
          <cell r="BS558">
            <v>0.7950769182733437</v>
          </cell>
          <cell r="BT558">
            <v>0.83867549075894254</v>
          </cell>
          <cell r="BU558">
            <v>0.94754287058718345</v>
          </cell>
          <cell r="BV558">
            <v>0.93555092454944244</v>
          </cell>
          <cell r="BY558" t="str">
            <v>0/0.7/6850</v>
          </cell>
          <cell r="BZ558">
            <v>2.3422272198758032E-2</v>
          </cell>
          <cell r="CA558">
            <v>2.3196266308910696E-2</v>
          </cell>
        </row>
        <row r="559">
          <cell r="BN559" t="str">
            <v>0/0.9/4750</v>
          </cell>
          <cell r="BO559">
            <v>0.81392742760757342</v>
          </cell>
          <cell r="BP559">
            <v>0.83860767794233171</v>
          </cell>
          <cell r="BQ559">
            <v>0.81067016063453667</v>
          </cell>
          <cell r="BR559">
            <v>0.80568919274340378</v>
          </cell>
          <cell r="BS559">
            <v>0.79356378521555837</v>
          </cell>
          <cell r="BT559">
            <v>0.83727489061013305</v>
          </cell>
          <cell r="BU559">
            <v>0.94563277003486856</v>
          </cell>
          <cell r="BV559">
            <v>0.93400551314805169</v>
          </cell>
          <cell r="BY559" t="str">
            <v>0/0.7/7500</v>
          </cell>
          <cell r="BZ559">
            <v>2.3273511402017943E-2</v>
          </cell>
          <cell r="CA559">
            <v>2.3058699640791547E-2</v>
          </cell>
        </row>
        <row r="560">
          <cell r="BN560" t="str">
            <v>0/0.9/5000</v>
          </cell>
          <cell r="BO560">
            <v>0.81232290765408199</v>
          </cell>
          <cell r="BP560">
            <v>0.83785192055205981</v>
          </cell>
          <cell r="BQ560">
            <v>0.80899220544648942</v>
          </cell>
          <cell r="BR560">
            <v>0.80395998230863863</v>
          </cell>
          <cell r="BS560">
            <v>0.79205065215777315</v>
          </cell>
          <cell r="BT560">
            <v>0.83587429046132344</v>
          </cell>
          <cell r="BU560">
            <v>0.94372266948255357</v>
          </cell>
          <cell r="BV560">
            <v>0.93246010174666094</v>
          </cell>
          <cell r="BY560" t="str">
            <v>0/0.7/8000</v>
          </cell>
          <cell r="BZ560">
            <v>2.3186467175910774E-2</v>
          </cell>
          <cell r="CA560">
            <v>2.296864258188891E-2</v>
          </cell>
        </row>
        <row r="561">
          <cell r="BN561" t="str">
            <v>0/0.9/5250</v>
          </cell>
          <cell r="BO561">
            <v>0.81102313125811765</v>
          </cell>
          <cell r="BP561">
            <v>0.83709616316178792</v>
          </cell>
          <cell r="BQ561">
            <v>0.80769275392183815</v>
          </cell>
          <cell r="BR561">
            <v>0.80224059540373482</v>
          </cell>
          <cell r="BS561">
            <v>0.7906705412011964</v>
          </cell>
          <cell r="BT561">
            <v>0.83458272099430231</v>
          </cell>
          <cell r="BU561">
            <v>0.94215251291724633</v>
          </cell>
          <cell r="BV561">
            <v>0.93097752886213547</v>
          </cell>
          <cell r="BY561" t="str">
            <v>0/0.7/9000</v>
          </cell>
          <cell r="BZ561">
            <v>2.3012248890472486E-2</v>
          </cell>
          <cell r="CA561">
            <v>2.2786158534578993E-2</v>
          </cell>
        </row>
        <row r="562">
          <cell r="BN562" t="str">
            <v>0/0.9/5500</v>
          </cell>
          <cell r="BO562">
            <v>0.8097233548621533</v>
          </cell>
          <cell r="BP562">
            <v>0.83634040577151603</v>
          </cell>
          <cell r="BQ562">
            <v>0.80639330239718687</v>
          </cell>
          <cell r="BR562">
            <v>0.80052120849883113</v>
          </cell>
          <cell r="BS562">
            <v>0.78929043024461965</v>
          </cell>
          <cell r="BT562">
            <v>0.83329115152728117</v>
          </cell>
          <cell r="BU562">
            <v>0.94058235635193899</v>
          </cell>
          <cell r="BV562">
            <v>0.92949495597761</v>
          </cell>
          <cell r="BY562" t="str">
            <v>0/0.7/10000</v>
          </cell>
          <cell r="BZ562">
            <v>2.2865478092791935E-2</v>
          </cell>
          <cell r="CA562">
            <v>2.2640942149102061E-2</v>
          </cell>
        </row>
        <row r="563">
          <cell r="BN563" t="str">
            <v>0/0.9/5750</v>
          </cell>
          <cell r="BO563">
            <v>0.80842627014976942</v>
          </cell>
          <cell r="BP563">
            <v>0.83576760802694994</v>
          </cell>
          <cell r="BQ563">
            <v>0.8050943458072366</v>
          </cell>
          <cell r="BR563">
            <v>0.79922125986994708</v>
          </cell>
          <cell r="BS563">
            <v>0.78798210788539369</v>
          </cell>
          <cell r="BT563">
            <v>0.83199958206026059</v>
          </cell>
          <cell r="BU563">
            <v>0.93900979879600288</v>
          </cell>
          <cell r="BV563">
            <v>0.92824398977234457</v>
          </cell>
          <cell r="BY563" t="str">
            <v>0/0.7/99999</v>
          </cell>
          <cell r="BZ563">
            <v>2.0585383574582394E-2</v>
          </cell>
          <cell r="CA563">
            <v>2.0738882804089087E-2</v>
          </cell>
        </row>
        <row r="564">
          <cell r="BN564" t="str">
            <v>0/0.9/6000</v>
          </cell>
          <cell r="BO564">
            <v>0.80712918543738554</v>
          </cell>
          <cell r="BP564">
            <v>0.83519481028238385</v>
          </cell>
          <cell r="BQ564">
            <v>0.80379538921728633</v>
          </cell>
          <cell r="BR564">
            <v>0.79792131124106314</v>
          </cell>
          <cell r="BS564">
            <v>0.78667378552616762</v>
          </cell>
          <cell r="BT564">
            <v>0.83070801259324012</v>
          </cell>
          <cell r="BU564">
            <v>0.93743724124006678</v>
          </cell>
          <cell r="BV564">
            <v>0.92699302356707913</v>
          </cell>
          <cell r="BY564" t="str">
            <v>250/0.7/250</v>
          </cell>
          <cell r="BZ564">
            <v>2.7145315195597375E-2</v>
          </cell>
          <cell r="CA564">
            <v>2.7349303420450832E-2</v>
          </cell>
        </row>
        <row r="565">
          <cell r="BN565" t="str">
            <v>0/0.9/6250</v>
          </cell>
          <cell r="BO565">
            <v>0.80583683824017527</v>
          </cell>
          <cell r="BP565">
            <v>0.83469453261264193</v>
          </cell>
          <cell r="BQ565">
            <v>0.80250304202007483</v>
          </cell>
          <cell r="BR565">
            <v>0.79662027491750376</v>
          </cell>
          <cell r="BS565">
            <v>0.7853637355285924</v>
          </cell>
          <cell r="BT565">
            <v>0.82941644312621943</v>
          </cell>
          <cell r="BU565">
            <v>0.93587599296486579</v>
          </cell>
          <cell r="BV565">
            <v>0.9258858430828758</v>
          </cell>
          <cell r="BY565" t="str">
            <v>250/0.7/500</v>
          </cell>
          <cell r="BZ565">
            <v>2.6514612140160265E-2</v>
          </cell>
          <cell r="CA565">
            <v>2.6606005939520339E-2</v>
          </cell>
        </row>
        <row r="566">
          <cell r="BN566" t="str">
            <v>0/0.9/6350</v>
          </cell>
          <cell r="BO566">
            <v>0.80531989936129167</v>
          </cell>
          <cell r="BP566">
            <v>0.83449442154474407</v>
          </cell>
          <cell r="BQ566">
            <v>0.80198610314119079</v>
          </cell>
          <cell r="BR566">
            <v>0.79610302526232801</v>
          </cell>
          <cell r="BS566">
            <v>0.78488618847632685</v>
          </cell>
          <cell r="BT566">
            <v>0.82905414570656921</v>
          </cell>
          <cell r="BU566">
            <v>0.9352513712255619</v>
          </cell>
          <cell r="BV566">
            <v>0.92551018037628829</v>
          </cell>
          <cell r="BY566" t="str">
            <v>250/0.7/750</v>
          </cell>
          <cell r="BZ566">
            <v>2.6049922780115642E-2</v>
          </cell>
          <cell r="CA566">
            <v>2.6098290130341484E-2</v>
          </cell>
        </row>
        <row r="567">
          <cell r="BN567" t="str">
            <v>0/0.9/6600</v>
          </cell>
          <cell r="BO567">
            <v>0.80402755216408039</v>
          </cell>
          <cell r="BP567">
            <v>0.83399417298625056</v>
          </cell>
          <cell r="BQ567">
            <v>0.80069375594397973</v>
          </cell>
          <cell r="BR567">
            <v>0.79481067806511785</v>
          </cell>
          <cell r="BS567">
            <v>0.78385578930714872</v>
          </cell>
          <cell r="BT567">
            <v>0.82829884312854851</v>
          </cell>
          <cell r="BU567">
            <v>0.93388793865768305</v>
          </cell>
          <cell r="BV567">
            <v>0.92457032727206401</v>
          </cell>
          <cell r="BY567" t="str">
            <v>250/0.7/1000</v>
          </cell>
          <cell r="BZ567">
            <v>2.5698092972239683E-2</v>
          </cell>
          <cell r="CA567">
            <v>2.5707311611076644E-2</v>
          </cell>
        </row>
        <row r="568">
          <cell r="BN568" t="str">
            <v>0/0.9/6850</v>
          </cell>
          <cell r="BO568">
            <v>0.80325001659925277</v>
          </cell>
          <cell r="BP568">
            <v>0.83349394679621258</v>
          </cell>
          <cell r="BQ568">
            <v>0.79970364033101726</v>
          </cell>
          <cell r="BR568">
            <v>0.79351833086790591</v>
          </cell>
          <cell r="BS568">
            <v>0.78286401709743247</v>
          </cell>
          <cell r="BT568">
            <v>0.82754354055052848</v>
          </cell>
          <cell r="BU568">
            <v>0.93300244465271753</v>
          </cell>
          <cell r="BV568">
            <v>0.92362947939961548</v>
          </cell>
          <cell r="BY568" t="str">
            <v>250/0.7/1250</v>
          </cell>
          <cell r="BZ568">
            <v>2.5408007113414399E-2</v>
          </cell>
          <cell r="CA568">
            <v>2.5383152418988697E-2</v>
          </cell>
        </row>
        <row r="569">
          <cell r="BN569" t="str">
            <v>0/0.9/7500</v>
          </cell>
          <cell r="BO569">
            <v>0.8012850473845452</v>
          </cell>
          <cell r="BP569">
            <v>0.83219337591119502</v>
          </cell>
          <cell r="BQ569">
            <v>0.79773867111630981</v>
          </cell>
          <cell r="BR569">
            <v>0.79031422768681636</v>
          </cell>
          <cell r="BS569">
            <v>0.78071058874156551</v>
          </cell>
          <cell r="BT569">
            <v>0.8255797538476749</v>
          </cell>
          <cell r="BU569">
            <v>0.93069900040868025</v>
          </cell>
          <cell r="BV569">
            <v>0.92138056950761626</v>
          </cell>
          <cell r="BY569" t="str">
            <v>250/0.7/1500</v>
          </cell>
          <cell r="BZ569">
            <v>2.5156045485464906E-2</v>
          </cell>
          <cell r="CA569">
            <v>2.510354053403252E-2</v>
          </cell>
        </row>
        <row r="570">
          <cell r="BN570" t="str">
            <v>0/0.9/10000</v>
          </cell>
          <cell r="BO570">
            <v>0.79438343982192106</v>
          </cell>
          <cell r="BP570">
            <v>0.82909802417524403</v>
          </cell>
          <cell r="BQ570">
            <v>0.79070227703310436</v>
          </cell>
          <cell r="BR570">
            <v>0.78275684068998874</v>
          </cell>
          <cell r="BS570">
            <v>0.77366391708087356</v>
          </cell>
          <cell r="BT570">
            <v>0.81911969386284345</v>
          </cell>
          <cell r="BU570">
            <v>0.92287460326866966</v>
          </cell>
          <cell r="BV570">
            <v>0.91476510448081449</v>
          </cell>
          <cell r="BY570" t="str">
            <v>250/0.7/1750</v>
          </cell>
          <cell r="BZ570">
            <v>2.4947584242412835E-2</v>
          </cell>
          <cell r="CA570">
            <v>2.4867232637118208E-2</v>
          </cell>
        </row>
        <row r="571">
          <cell r="BN571" t="str">
            <v>0/0.9/99999</v>
          </cell>
          <cell r="BO571">
            <v>0.7701590219142157</v>
          </cell>
          <cell r="BP571">
            <v>0.82099597205514119</v>
          </cell>
          <cell r="BQ571">
            <v>0.76608678455287826</v>
          </cell>
          <cell r="BR571">
            <v>0.7535417970421705</v>
          </cell>
          <cell r="BS571">
            <v>0.75279110334138044</v>
          </cell>
          <cell r="BT571">
            <v>0.79636730651619136</v>
          </cell>
          <cell r="BU571">
            <v>0.89693580582887955</v>
          </cell>
          <cell r="BV571">
            <v>0.89651939399111924</v>
          </cell>
          <cell r="BY571" t="str">
            <v>250/0.7/2000</v>
          </cell>
          <cell r="BZ571">
            <v>2.4739122999360763E-2</v>
          </cell>
          <cell r="CA571">
            <v>2.4630924740203897E-2</v>
          </cell>
        </row>
        <row r="572">
          <cell r="BY572" t="str">
            <v>250/0.7/2250</v>
          </cell>
          <cell r="BZ572">
            <v>2.4559919873651248E-2</v>
          </cell>
          <cell r="CA572">
            <v>2.4422463315694865E-2</v>
          </cell>
        </row>
        <row r="573">
          <cell r="BN573" t="str">
            <v>250/0.9/500</v>
          </cell>
          <cell r="BO573">
            <v>0.93726899724951285</v>
          </cell>
          <cell r="BP573">
            <v>0.93769103278613974</v>
          </cell>
          <cell r="BQ573">
            <v>0.93943539520020147</v>
          </cell>
          <cell r="BR573">
            <v>0.93754007580598686</v>
          </cell>
          <cell r="BS573">
            <v>0.93425206881592626</v>
          </cell>
          <cell r="BT573">
            <v>0.90837845631853009</v>
          </cell>
          <cell r="BU573">
            <v>1.0335206231084044</v>
          </cell>
          <cell r="BV573">
            <v>1.0253238720417386</v>
          </cell>
          <cell r="BY573" t="str">
            <v>250/0.7/2500</v>
          </cell>
          <cell r="BZ573">
            <v>2.4396026349669864E-2</v>
          </cell>
          <cell r="CA573">
            <v>2.423769712912871E-2</v>
          </cell>
        </row>
        <row r="574">
          <cell r="BN574" t="str">
            <v>250/0.9/750</v>
          </cell>
          <cell r="BO574">
            <v>0.90383309989649674</v>
          </cell>
          <cell r="BP574">
            <v>0.90480857529211689</v>
          </cell>
          <cell r="BQ574">
            <v>0.90544602230672466</v>
          </cell>
          <cell r="BR574">
            <v>0.9040453249064998</v>
          </cell>
          <cell r="BS574">
            <v>0.89808965666027896</v>
          </cell>
          <cell r="BT574">
            <v>0.87398302613906331</v>
          </cell>
          <cell r="BU574">
            <v>0.99961639968370064</v>
          </cell>
          <cell r="BV574">
            <v>0.98746601517064003</v>
          </cell>
          <cell r="BY574" t="str">
            <v>250/0.7/2750</v>
          </cell>
          <cell r="BZ574">
            <v>2.4245419745682728E-2</v>
          </cell>
          <cell r="CA574">
            <v>2.4053342667301525E-2</v>
          </cell>
        </row>
        <row r="575">
          <cell r="BN575" t="str">
            <v>250/0.9/1000</v>
          </cell>
          <cell r="BO575">
            <v>0.87872471743186331</v>
          </cell>
          <cell r="BP575">
            <v>0.88080786192382943</v>
          </cell>
          <cell r="BQ575">
            <v>0.87976635896970423</v>
          </cell>
          <cell r="BR575">
            <v>0.87858278034272919</v>
          </cell>
          <cell r="BS575">
            <v>0.87076022999037039</v>
          </cell>
          <cell r="BT575">
            <v>0.8529339306059357</v>
          </cell>
          <cell r="BU575">
            <v>0.97589417734876915</v>
          </cell>
          <cell r="BV575">
            <v>0.96130162781108963</v>
          </cell>
          <cell r="BY575" t="str">
            <v>250/0.7/3000</v>
          </cell>
          <cell r="BZ575">
            <v>2.4103372383890154E-2</v>
          </cell>
          <cell r="CA575">
            <v>2.3899988815421658E-2</v>
          </cell>
        </row>
        <row r="576">
          <cell r="BN576" t="str">
            <v>250/0.9/1250</v>
          </cell>
          <cell r="BO576">
            <v>0.857893651233536</v>
          </cell>
          <cell r="BP576">
            <v>0.86155073054696185</v>
          </cell>
          <cell r="BQ576">
            <v>0.85850426114962164</v>
          </cell>
          <cell r="BR576">
            <v>0.85725781046336458</v>
          </cell>
          <cell r="BS576">
            <v>0.84763144262704448</v>
          </cell>
          <cell r="BT576">
            <v>0.83507290981713556</v>
          </cell>
          <cell r="BU576">
            <v>0.95828317238066907</v>
          </cell>
          <cell r="BV576">
            <v>0.94186645779362099</v>
          </cell>
          <cell r="BY576" t="str">
            <v>250/0.7/3250</v>
          </cell>
          <cell r="BZ576">
            <v>2.3975945693678891E-2</v>
          </cell>
          <cell r="CA576">
            <v>2.3765763678071372E-2</v>
          </cell>
        </row>
        <row r="577">
          <cell r="BN577" t="str">
            <v>250/0.9/1500</v>
          </cell>
          <cell r="BO577">
            <v>0.84489523438934799</v>
          </cell>
          <cell r="BP577">
            <v>0.85104895087051158</v>
          </cell>
          <cell r="BQ577">
            <v>0.84523742936032165</v>
          </cell>
          <cell r="BR577">
            <v>0.84376091585459512</v>
          </cell>
          <cell r="BS577">
            <v>0.83364830907349552</v>
          </cell>
          <cell r="BT577">
            <v>0.82381967124075972</v>
          </cell>
          <cell r="BU577">
            <v>0.94461057021727735</v>
          </cell>
          <cell r="BV577">
            <v>0.92960676134793252</v>
          </cell>
          <cell r="BY577" t="str">
            <v>250/0.7/3500</v>
          </cell>
          <cell r="BZ577">
            <v>2.3848519003467628E-2</v>
          </cell>
          <cell r="CA577">
            <v>2.3631538540721087E-2</v>
          </cell>
        </row>
        <row r="578">
          <cell r="BN578" t="str">
            <v>250/0.9/1750</v>
          </cell>
          <cell r="BO578">
            <v>0.83535890696836523</v>
          </cell>
          <cell r="BP578">
            <v>0.8439606822115846</v>
          </cell>
          <cell r="BQ578">
            <v>0.83544424587407251</v>
          </cell>
          <cell r="BR578">
            <v>0.8334719994051758</v>
          </cell>
          <cell r="BS578">
            <v>0.82318793893807962</v>
          </cell>
          <cell r="BT578">
            <v>0.81563588058001857</v>
          </cell>
          <cell r="BU578">
            <v>0.93630329714953175</v>
          </cell>
          <cell r="BV578">
            <v>0.92139960525798126</v>
          </cell>
          <cell r="BY578" t="str">
            <v>250/0.7/3750</v>
          </cell>
          <cell r="BZ578">
            <v>2.3725876626045195E-2</v>
          </cell>
          <cell r="CA578">
            <v>2.3509162756973012E-2</v>
          </cell>
        </row>
        <row r="579">
          <cell r="BN579" t="str">
            <v>250/0.9/2000</v>
          </cell>
          <cell r="BO579">
            <v>0.82582257954738247</v>
          </cell>
          <cell r="BP579">
            <v>0.83687241355265773</v>
          </cell>
          <cell r="BQ579">
            <v>0.82565106238782338</v>
          </cell>
          <cell r="BR579">
            <v>0.82318308295575648</v>
          </cell>
          <cell r="BS579">
            <v>0.81272756880266384</v>
          </cell>
          <cell r="BT579">
            <v>0.80745208991927753</v>
          </cell>
          <cell r="BU579">
            <v>0.92799602408178627</v>
          </cell>
          <cell r="BV579">
            <v>0.91319244916803</v>
          </cell>
          <cell r="BY579" t="str">
            <v>250/0.7/4000</v>
          </cell>
          <cell r="BZ579">
            <v>2.3603234248622762E-2</v>
          </cell>
          <cell r="CA579">
            <v>2.3386786973224938E-2</v>
          </cell>
        </row>
        <row r="580">
          <cell r="BN580" t="str">
            <v>250/0.9/2250</v>
          </cell>
          <cell r="BO580">
            <v>0.81884455601741035</v>
          </cell>
          <cell r="BP580">
            <v>0.83197137003056609</v>
          </cell>
          <cell r="BQ580">
            <v>0.81835130267641387</v>
          </cell>
          <cell r="BR580">
            <v>0.81551158248924316</v>
          </cell>
          <cell r="BS580">
            <v>0.80552859151369283</v>
          </cell>
          <cell r="BT580">
            <v>0.80114767191434588</v>
          </cell>
          <cell r="BU580">
            <v>0.92172792334590425</v>
          </cell>
          <cell r="BV580">
            <v>0.90715592464578976</v>
          </cell>
          <cell r="BY580" t="str">
            <v>250/0.7/4250</v>
          </cell>
          <cell r="BZ580">
            <v>2.3502600932833961E-2</v>
          </cell>
          <cell r="CA580">
            <v>2.329188394357673E-2</v>
          </cell>
        </row>
        <row r="581">
          <cell r="BN581" t="str">
            <v>250/0.9/2500</v>
          </cell>
          <cell r="BO581">
            <v>0.81349544184680811</v>
          </cell>
          <cell r="BP581">
            <v>0.82825211850514258</v>
          </cell>
          <cell r="BQ581">
            <v>0.81300477354512035</v>
          </cell>
          <cell r="BR581">
            <v>0.80930815979661819</v>
          </cell>
          <cell r="BS581">
            <v>0.79942692328643938</v>
          </cell>
          <cell r="BT581">
            <v>0.79596241972406978</v>
          </cell>
          <cell r="BU581">
            <v>0.91657736990018446</v>
          </cell>
          <cell r="BV581">
            <v>0.90177173578498537</v>
          </cell>
          <cell r="BY581" t="str">
            <v>250/0.7/4500</v>
          </cell>
          <cell r="BZ581">
            <v>2.3401967617045161E-2</v>
          </cell>
          <cell r="CA581">
            <v>2.3196980913928522E-2</v>
          </cell>
        </row>
        <row r="582">
          <cell r="BN582" t="str">
            <v>250/0.9/2750</v>
          </cell>
          <cell r="BO582">
            <v>0.80845735397844565</v>
          </cell>
          <cell r="BP582">
            <v>0.82482109226818889</v>
          </cell>
          <cell r="BQ582">
            <v>0.80773544382806961</v>
          </cell>
          <cell r="BR582">
            <v>0.80396686131462669</v>
          </cell>
          <cell r="BS582">
            <v>0.79401749024609036</v>
          </cell>
          <cell r="BT582">
            <v>0.79160642930054537</v>
          </cell>
          <cell r="BU582">
            <v>0.91179085994232756</v>
          </cell>
          <cell r="BV582">
            <v>0.89685187841620351</v>
          </cell>
          <cell r="BY582" t="str">
            <v>250/0.7/4750</v>
          </cell>
          <cell r="BZ582">
            <v>2.3321061151659217E-2</v>
          </cell>
          <cell r="CA582">
            <v>2.3109276160849013E-2</v>
          </cell>
        </row>
        <row r="583">
          <cell r="BN583" t="str">
            <v>250/0.9/3000</v>
          </cell>
          <cell r="BO583">
            <v>0.80462643734669437</v>
          </cell>
          <cell r="BP583">
            <v>0.82236383707131777</v>
          </cell>
          <cell r="BQ583">
            <v>0.80390597013322018</v>
          </cell>
          <cell r="BR583">
            <v>0.79919542468656646</v>
          </cell>
          <cell r="BS583">
            <v>0.78943770575350802</v>
          </cell>
          <cell r="BT583">
            <v>0.78798578460388369</v>
          </cell>
          <cell r="BU583">
            <v>0.90789032349818277</v>
          </cell>
          <cell r="BV583">
            <v>0.89274089702852477</v>
          </cell>
          <cell r="BY583" t="str">
            <v>250/0.7/5000</v>
          </cell>
          <cell r="BZ583">
            <v>2.3240154686273273E-2</v>
          </cell>
          <cell r="CA583">
            <v>2.3021571407769503E-2</v>
          </cell>
        </row>
        <row r="584">
          <cell r="BN584" t="str">
            <v>250/0.9/3250</v>
          </cell>
          <cell r="BO584">
            <v>0.80121086678362174</v>
          </cell>
          <cell r="BP584">
            <v>0.82016750815427275</v>
          </cell>
          <cell r="BQ584">
            <v>0.8004073887251093</v>
          </cell>
          <cell r="BR584">
            <v>0.79541421895237652</v>
          </cell>
          <cell r="BS584">
            <v>0.78561713838523906</v>
          </cell>
          <cell r="BT584">
            <v>0.78491089604948017</v>
          </cell>
          <cell r="BU584">
            <v>0.90443610234280492</v>
          </cell>
          <cell r="BV584">
            <v>0.88919801897727779</v>
          </cell>
          <cell r="BY584" t="str">
            <v>250/0.7/5250</v>
          </cell>
          <cell r="BZ584">
            <v>2.3159033870674084E-2</v>
          </cell>
          <cell r="CA584">
            <v>2.2945246328599844E-2</v>
          </cell>
        </row>
        <row r="585">
          <cell r="BN585" t="str">
            <v>250/0.9/3500</v>
          </cell>
          <cell r="BO585">
            <v>0.79779529622054923</v>
          </cell>
          <cell r="BP585">
            <v>0.81797117923722762</v>
          </cell>
          <cell r="BQ585">
            <v>0.79690880731699842</v>
          </cell>
          <cell r="BR585">
            <v>0.79163301321818669</v>
          </cell>
          <cell r="BS585">
            <v>0.78179657101696998</v>
          </cell>
          <cell r="BT585">
            <v>0.78183600749507665</v>
          </cell>
          <cell r="BU585">
            <v>0.90098188118742706</v>
          </cell>
          <cell r="BV585">
            <v>0.88565514092603081</v>
          </cell>
          <cell r="BY585" t="str">
            <v>250/0.7/5500</v>
          </cell>
          <cell r="BZ585">
            <v>2.3077913055074895E-2</v>
          </cell>
          <cell r="CA585">
            <v>2.2868921249430185E-2</v>
          </cell>
        </row>
        <row r="586">
          <cell r="BN586" t="str">
            <v>250/0.9/3750</v>
          </cell>
          <cell r="BO586">
            <v>0.79473271048883765</v>
          </cell>
          <cell r="BP586">
            <v>0.81602841086915923</v>
          </cell>
          <cell r="BQ586">
            <v>0.79380581502031666</v>
          </cell>
          <cell r="BR586">
            <v>0.78840158561003704</v>
          </cell>
          <cell r="BS586">
            <v>0.77858693819082014</v>
          </cell>
          <cell r="BT586">
            <v>0.77912780388715341</v>
          </cell>
          <cell r="BU586">
            <v>0.89789420766225947</v>
          </cell>
          <cell r="BV586">
            <v>0.88293144904045917</v>
          </cell>
          <cell r="BY586" t="str">
            <v>250/0.7/5750</v>
          </cell>
          <cell r="BZ586">
            <v>2.2998763200782757E-2</v>
          </cell>
          <cell r="CA586">
            <v>2.2794910859833317E-2</v>
          </cell>
        </row>
        <row r="587">
          <cell r="BN587" t="str">
            <v>250/0.9/4000</v>
          </cell>
          <cell r="BO587">
            <v>0.79167012475712606</v>
          </cell>
          <cell r="BP587">
            <v>0.81408564250109083</v>
          </cell>
          <cell r="BQ587">
            <v>0.79070282272363501</v>
          </cell>
          <cell r="BR587">
            <v>0.7851701580018875</v>
          </cell>
          <cell r="BS587">
            <v>0.77537730536467042</v>
          </cell>
          <cell r="BT587">
            <v>0.77641960027923029</v>
          </cell>
          <cell r="BU587">
            <v>0.89480653413709188</v>
          </cell>
          <cell r="BV587">
            <v>0.88020775715488764</v>
          </cell>
          <cell r="BY587" t="str">
            <v>250/0.7/6000</v>
          </cell>
          <cell r="BZ587">
            <v>2.2919613346490619E-2</v>
          </cell>
          <cell r="CA587">
            <v>2.2720900470236449E-2</v>
          </cell>
        </row>
        <row r="588">
          <cell r="BN588" t="str">
            <v>250/0.9/4250</v>
          </cell>
          <cell r="BO588">
            <v>0.78962517872504856</v>
          </cell>
          <cell r="BP588">
            <v>0.81272740095856544</v>
          </cell>
          <cell r="BQ588">
            <v>0.78858793711010011</v>
          </cell>
          <cell r="BR588">
            <v>0.78242853034562965</v>
          </cell>
          <cell r="BS588">
            <v>0.77261402698222192</v>
          </cell>
          <cell r="BT588">
            <v>0.77442380760960206</v>
          </cell>
          <cell r="BU588">
            <v>0.89263587568880021</v>
          </cell>
          <cell r="BV588">
            <v>0.87754407149470981</v>
          </cell>
          <cell r="BY588" t="str">
            <v>250/0.7/6250</v>
          </cell>
          <cell r="BZ588">
            <v>2.2862030585481863E-2</v>
          </cell>
          <cell r="CA588">
            <v>2.2660268966321562E-2</v>
          </cell>
        </row>
        <row r="589">
          <cell r="BN589" t="str">
            <v>250/0.9/4500</v>
          </cell>
          <cell r="BO589">
            <v>0.78758023269297095</v>
          </cell>
          <cell r="BP589">
            <v>0.81136915941603993</v>
          </cell>
          <cell r="BQ589">
            <v>0.7864730514965651</v>
          </cell>
          <cell r="BR589">
            <v>0.7796869026893718</v>
          </cell>
          <cell r="BS589">
            <v>0.76985074859977354</v>
          </cell>
          <cell r="BT589">
            <v>0.77242801493997382</v>
          </cell>
          <cell r="BU589">
            <v>0.89046521724050853</v>
          </cell>
          <cell r="BV589">
            <v>0.87488038583453198</v>
          </cell>
          <cell r="BY589" t="str">
            <v>250/0.7/6350</v>
          </cell>
          <cell r="BZ589">
            <v>2.2838985854851668E-2</v>
          </cell>
          <cell r="CA589">
            <v>2.2635900749947702E-2</v>
          </cell>
        </row>
        <row r="590">
          <cell r="BN590" t="str">
            <v>250/0.9/4750</v>
          </cell>
          <cell r="BO590">
            <v>0.78585045518673224</v>
          </cell>
          <cell r="BP590">
            <v>0.81061323578905808</v>
          </cell>
          <cell r="BQ590">
            <v>0.78474364640224681</v>
          </cell>
          <cell r="BR590">
            <v>0.7779586036467504</v>
          </cell>
          <cell r="BS590">
            <v>0.7680672954796558</v>
          </cell>
          <cell r="BT590">
            <v>0.77083355272735599</v>
          </cell>
          <cell r="BU590">
            <v>0.88833883474662767</v>
          </cell>
          <cell r="BV590">
            <v>0.87321807129862994</v>
          </cell>
          <cell r="BY590" t="str">
            <v>250/0.7/6600</v>
          </cell>
          <cell r="BZ590">
            <v>2.2781344962709671E-2</v>
          </cell>
          <cell r="CA590">
            <v>2.2574691171992844E-2</v>
          </cell>
        </row>
        <row r="591">
          <cell r="BN591" t="str">
            <v>250/0.9/5000</v>
          </cell>
          <cell r="BO591">
            <v>0.78412067768049354</v>
          </cell>
          <cell r="BP591">
            <v>0.80985731216207613</v>
          </cell>
          <cell r="BQ591">
            <v>0.78301424130792863</v>
          </cell>
          <cell r="BR591">
            <v>0.77623030460412901</v>
          </cell>
          <cell r="BS591">
            <v>0.76628384235953806</v>
          </cell>
          <cell r="BT591">
            <v>0.76923909051473804</v>
          </cell>
          <cell r="BU591">
            <v>0.88621245225274681</v>
          </cell>
          <cell r="BV591">
            <v>0.87155575676272778</v>
          </cell>
          <cell r="BY591" t="str">
            <v>250/0.7/6850</v>
          </cell>
          <cell r="BZ591">
            <v>2.2723662548329138E-2</v>
          </cell>
          <cell r="CA591">
            <v>2.2513068684009818E-2</v>
          </cell>
        </row>
        <row r="592">
          <cell r="BN592" t="str">
            <v>250/0.9/5250</v>
          </cell>
          <cell r="BO592">
            <v>0.78276018012585447</v>
          </cell>
          <cell r="BP592">
            <v>0.80910155477180434</v>
          </cell>
          <cell r="BQ592">
            <v>0.78158079977669259</v>
          </cell>
          <cell r="BR592">
            <v>0.77450007938729426</v>
          </cell>
          <cell r="BS592">
            <v>0.7648355916714944</v>
          </cell>
          <cell r="BT592">
            <v>0.76794362274631445</v>
          </cell>
          <cell r="BU592">
            <v>0.88452493723216707</v>
          </cell>
          <cell r="BV592">
            <v>0.87000443737250344</v>
          </cell>
          <cell r="BY592" t="str">
            <v>250/0.7/7500</v>
          </cell>
          <cell r="BZ592">
            <v>2.2573939481099758E-2</v>
          </cell>
          <cell r="CA592">
            <v>2.2364589522152256E-2</v>
          </cell>
        </row>
        <row r="593">
          <cell r="BN593" t="str">
            <v>250/0.9/5500</v>
          </cell>
          <cell r="BO593">
            <v>0.78139968257121539</v>
          </cell>
          <cell r="BP593">
            <v>0.80834579738153267</v>
          </cell>
          <cell r="BQ593">
            <v>0.78014735824545667</v>
          </cell>
          <cell r="BR593">
            <v>0.77276985417045951</v>
          </cell>
          <cell r="BS593">
            <v>0.76338734098345085</v>
          </cell>
          <cell r="BT593">
            <v>0.76664815497789085</v>
          </cell>
          <cell r="BU593">
            <v>0.88283742221158745</v>
          </cell>
          <cell r="BV593">
            <v>0.86845311798227909</v>
          </cell>
          <cell r="BY593" t="str">
            <v>250/0.7/8000</v>
          </cell>
          <cell r="BZ593">
            <v>2.2477620552367572E-2</v>
          </cell>
          <cell r="CA593">
            <v>2.227366415901999E-2</v>
          </cell>
        </row>
        <row r="594">
          <cell r="BN594" t="str">
            <v>250/0.9/5750</v>
          </cell>
          <cell r="BO594">
            <v>0.78009907310075377</v>
          </cell>
          <cell r="BP594">
            <v>0.80766469655738038</v>
          </cell>
          <cell r="BQ594">
            <v>0.77884709018951415</v>
          </cell>
          <cell r="BR594">
            <v>0.77128763865875549</v>
          </cell>
          <cell r="BS594">
            <v>0.762080166733905</v>
          </cell>
          <cell r="BT594">
            <v>0.76535658551086982</v>
          </cell>
          <cell r="BU594">
            <v>0.88126540608892945</v>
          </cell>
          <cell r="BV594">
            <v>0.86741259950962546</v>
          </cell>
          <cell r="BY594" t="str">
            <v>250/0.7/9000</v>
          </cell>
          <cell r="BZ594">
            <v>2.2303429824124255E-2</v>
          </cell>
          <cell r="CA594">
            <v>2.2091168102134295E-2</v>
          </cell>
        </row>
        <row r="595">
          <cell r="BN595" t="str">
            <v>250/0.9/6000</v>
          </cell>
          <cell r="BO595">
            <v>0.77879846363029226</v>
          </cell>
          <cell r="BP595">
            <v>0.80698359573322798</v>
          </cell>
          <cell r="BQ595">
            <v>0.77754682213357151</v>
          </cell>
          <cell r="BR595">
            <v>0.76980542314705147</v>
          </cell>
          <cell r="BS595">
            <v>0.76077299248435926</v>
          </cell>
          <cell r="BT595">
            <v>0.7640650160438488</v>
          </cell>
          <cell r="BU595">
            <v>0.87969338996627144</v>
          </cell>
          <cell r="BV595">
            <v>0.86637208103697183</v>
          </cell>
          <cell r="BY595" t="str">
            <v>250/0.7/10000</v>
          </cell>
          <cell r="BZ595">
            <v>2.215025441898244E-2</v>
          </cell>
          <cell r="CA595">
            <v>2.1939738644622508E-2</v>
          </cell>
        </row>
        <row r="596">
          <cell r="BN596" t="str">
            <v>250/0.9/6250</v>
          </cell>
          <cell r="BO596">
            <v>0.77750576649130498</v>
          </cell>
          <cell r="BP596">
            <v>0.80648331806348572</v>
          </cell>
          <cell r="BQ596">
            <v>0.77624999914685966</v>
          </cell>
          <cell r="BR596">
            <v>0.76850508549130814</v>
          </cell>
          <cell r="BS596">
            <v>0.75946410017724164</v>
          </cell>
          <cell r="BT596">
            <v>0.76277344657682666</v>
          </cell>
          <cell r="BU596">
            <v>0.87812297000777417</v>
          </cell>
          <cell r="BV596">
            <v>0.8654649495651352</v>
          </cell>
          <cell r="BY596" t="str">
            <v>250/0.7/99999</v>
          </cell>
          <cell r="BZ596">
            <v>1.984418474849714E-2</v>
          </cell>
          <cell r="CA596">
            <v>2.0014402299141087E-2</v>
          </cell>
        </row>
        <row r="597">
          <cell r="BN597" t="str">
            <v>250/0.9/6350</v>
          </cell>
          <cell r="BO597">
            <v>0.77698882761242116</v>
          </cell>
          <cell r="BP597">
            <v>0.80628320699558709</v>
          </cell>
          <cell r="BQ597">
            <v>0.77573306026797528</v>
          </cell>
          <cell r="BR597">
            <v>0.76798474815884299</v>
          </cell>
          <cell r="BS597">
            <v>0.75894022255031524</v>
          </cell>
          <cell r="BT597">
            <v>0.76225681879001872</v>
          </cell>
          <cell r="BU597">
            <v>0.87749849262405777</v>
          </cell>
          <cell r="BV597">
            <v>0.86510329254856644</v>
          </cell>
          <cell r="BY597" t="str">
            <v>300/0.7/500</v>
          </cell>
          <cell r="BZ597">
            <v>2.6467138253635003E-2</v>
          </cell>
          <cell r="CA597">
            <v>2.6566322332951753E-2</v>
          </cell>
        </row>
        <row r="598">
          <cell r="BN598" t="str">
            <v>250/0.9/6600</v>
          </cell>
          <cell r="BO598">
            <v>0.77569648041521033</v>
          </cell>
          <cell r="BP598">
            <v>0.80578292932584461</v>
          </cell>
          <cell r="BQ598">
            <v>0.7744407130707649</v>
          </cell>
          <cell r="BR598">
            <v>0.76668705509813262</v>
          </cell>
          <cell r="BS598">
            <v>0.75771287492965411</v>
          </cell>
          <cell r="BT598">
            <v>0.76117320637905672</v>
          </cell>
          <cell r="BU598">
            <v>0.87593699239359446</v>
          </cell>
          <cell r="BV598">
            <v>0.86431683814054183</v>
          </cell>
          <cell r="BY598" t="str">
            <v>300/0.7/750</v>
          </cell>
          <cell r="BZ598">
            <v>2.5983107958245544E-2</v>
          </cell>
          <cell r="CA598">
            <v>2.6032988142032698E-2</v>
          </cell>
        </row>
        <row r="599">
          <cell r="BN599" t="str">
            <v>250/0.9/6850</v>
          </cell>
          <cell r="BO599">
            <v>0.77446466063786501</v>
          </cell>
          <cell r="BP599">
            <v>0.80528268891444443</v>
          </cell>
          <cell r="BQ599">
            <v>0.77314836587355362</v>
          </cell>
          <cell r="BR599">
            <v>0.76539470790092157</v>
          </cell>
          <cell r="BS599">
            <v>0.75668244439755217</v>
          </cell>
          <cell r="BT599">
            <v>0.76041790380103602</v>
          </cell>
          <cell r="BU599">
            <v>0.87437505391859716</v>
          </cell>
          <cell r="BV599">
            <v>0.8636343392949305</v>
          </cell>
          <cell r="BY599" t="str">
            <v>300/0.7/1000</v>
          </cell>
          <cell r="BZ599">
            <v>2.561852250156571E-2</v>
          </cell>
          <cell r="CA599">
            <v>2.5627915325995065E-2</v>
          </cell>
        </row>
        <row r="600">
          <cell r="BN600" t="str">
            <v>250/0.9/7500</v>
          </cell>
          <cell r="BO600">
            <v>0.77249969142315844</v>
          </cell>
          <cell r="BP600">
            <v>0.80398211008716158</v>
          </cell>
          <cell r="BQ600">
            <v>0.7710337801598629</v>
          </cell>
          <cell r="BR600">
            <v>0.76203460518817467</v>
          </cell>
          <cell r="BS600">
            <v>0.75438543126383528</v>
          </cell>
          <cell r="BT600">
            <v>0.75845411709818167</v>
          </cell>
          <cell r="BU600">
            <v>0.87205807133112612</v>
          </cell>
          <cell r="BV600">
            <v>0.86186046573882236</v>
          </cell>
          <cell r="BY600" t="str">
            <v>300/0.7/1250</v>
          </cell>
          <cell r="BZ600">
            <v>2.5322096646502867E-2</v>
          </cell>
          <cell r="CA600">
            <v>2.5295408982740852E-2</v>
          </cell>
        </row>
        <row r="601">
          <cell r="BN601" t="str">
            <v>250/0.9/10000</v>
          </cell>
          <cell r="BO601">
            <v>0.7653899845578106</v>
          </cell>
          <cell r="BP601">
            <v>0.80069533134085558</v>
          </cell>
          <cell r="BQ601">
            <v>0.76379129704594118</v>
          </cell>
          <cell r="BR601">
            <v>0.75415414753008958</v>
          </cell>
          <cell r="BS601">
            <v>0.7470545021197037</v>
          </cell>
          <cell r="BT601">
            <v>0.7517641939062456</v>
          </cell>
          <cell r="BU601">
            <v>0.86494537888659728</v>
          </cell>
          <cell r="BV601">
            <v>0.85664666807388479</v>
          </cell>
          <cell r="BY601" t="str">
            <v>300/0.7/1500</v>
          </cell>
          <cell r="BZ601">
            <v>2.5065362631451871E-2</v>
          </cell>
          <cell r="CA601">
            <v>2.5010475541672239E-2</v>
          </cell>
        </row>
        <row r="602">
          <cell r="BN602" t="str">
            <v>250/0.9/99999</v>
          </cell>
          <cell r="BO602">
            <v>0.74083194431277988</v>
          </cell>
          <cell r="BP602">
            <v>0.79240411911732445</v>
          </cell>
          <cell r="BQ602">
            <v>0.73885281036245543</v>
          </cell>
          <cell r="BR602">
            <v>0.72449892065833332</v>
          </cell>
          <cell r="BS602">
            <v>0.72577336999005848</v>
          </cell>
          <cell r="BT602">
            <v>0.72856550797466846</v>
          </cell>
          <cell r="BU602">
            <v>0.8451872031865183</v>
          </cell>
          <cell r="BV602">
            <v>0.84269442504816572</v>
          </cell>
          <cell r="BY602" t="str">
            <v>300/0.7/1750</v>
          </cell>
          <cell r="BZ602">
            <v>2.485344335803541E-2</v>
          </cell>
          <cell r="CA602">
            <v>2.4770884645728408E-2</v>
          </cell>
        </row>
        <row r="603">
          <cell r="BY603" t="str">
            <v>300/0.7/2000</v>
          </cell>
          <cell r="BZ603">
            <v>2.4641524084618949E-2</v>
          </cell>
          <cell r="CA603">
            <v>2.4531293749784577E-2</v>
          </cell>
        </row>
        <row r="604">
          <cell r="BN604" t="str">
            <v>300/0.9/1000</v>
          </cell>
          <cell r="BO604">
            <v>0.87818770166199556</v>
          </cell>
          <cell r="BP604">
            <v>0.88026177411122364</v>
          </cell>
          <cell r="BQ604">
            <v>0.87984639453567903</v>
          </cell>
          <cell r="BR604">
            <v>0.87813440333167536</v>
          </cell>
          <cell r="BS604">
            <v>0.87077194908555222</v>
          </cell>
          <cell r="BT604">
            <v>0.84501761898193606</v>
          </cell>
          <cell r="BU604">
            <v>0.96898065050570226</v>
          </cell>
          <cell r="BV604">
            <v>0.95418392472213076</v>
          </cell>
          <cell r="BY604" t="str">
            <v>300/0.7/2250</v>
          </cell>
          <cell r="BZ604">
            <v>2.4459874546128635E-2</v>
          </cell>
          <cell r="CA604">
            <v>2.4319808493413975E-2</v>
          </cell>
        </row>
        <row r="605">
          <cell r="BN605" t="str">
            <v>300/0.9/1250</v>
          </cell>
          <cell r="BO605">
            <v>0.85675835726319105</v>
          </cell>
          <cell r="BP605">
            <v>0.86035430122993906</v>
          </cell>
          <cell r="BQ605">
            <v>0.85797470151865873</v>
          </cell>
          <cell r="BR605">
            <v>0.85626340038104798</v>
          </cell>
          <cell r="BS605">
            <v>0.84712975725061479</v>
          </cell>
          <cell r="BT605">
            <v>0.82674052474642323</v>
          </cell>
          <cell r="BU605">
            <v>0.95043094775048431</v>
          </cell>
          <cell r="BV605">
            <v>0.93376794610742031</v>
          </cell>
          <cell r="BY605" t="str">
            <v>300/0.7/2500</v>
          </cell>
          <cell r="BZ605">
            <v>2.4294057616082831E-2</v>
          </cell>
          <cell r="CA605">
            <v>2.413268013825931E-2</v>
          </cell>
        </row>
        <row r="606">
          <cell r="BN606" t="str">
            <v>300/0.9/1500</v>
          </cell>
          <cell r="BO606">
            <v>0.84239146108994634</v>
          </cell>
          <cell r="BP606">
            <v>0.8482748969852747</v>
          </cell>
          <cell r="BQ606">
            <v>0.84326405198262189</v>
          </cell>
          <cell r="BR606">
            <v>0.8413402055567536</v>
          </cell>
          <cell r="BS606">
            <v>0.83145225003510992</v>
          </cell>
          <cell r="BT606">
            <v>0.81439344271870073</v>
          </cell>
          <cell r="BU606">
            <v>0.9361602902884234</v>
          </cell>
          <cell r="BV606">
            <v>0.92038816681651647</v>
          </cell>
          <cell r="BY606" t="str">
            <v>300/0.7/2750</v>
          </cell>
          <cell r="BZ606">
            <v>2.4141510823961987E-2</v>
          </cell>
          <cell r="CA606">
            <v>2.394857983869092E-2</v>
          </cell>
        </row>
        <row r="607">
          <cell r="BN607" t="str">
            <v>300/0.9/1750</v>
          </cell>
          <cell r="BO607">
            <v>0.83239796549320222</v>
          </cell>
          <cell r="BP607">
            <v>0.84073705774368312</v>
          </cell>
          <cell r="BQ607">
            <v>0.8330246159037924</v>
          </cell>
          <cell r="BR607">
            <v>0.8305906877892768</v>
          </cell>
          <cell r="BS607">
            <v>0.82052637083052071</v>
          </cell>
          <cell r="BT607">
            <v>0.80590658549121952</v>
          </cell>
          <cell r="BU607">
            <v>0.92737826877888041</v>
          </cell>
          <cell r="BV607">
            <v>0.91175754550146149</v>
          </cell>
          <cell r="BY607" t="str">
            <v>300/0.7/3000</v>
          </cell>
          <cell r="BZ607">
            <v>2.3998552044760091E-2</v>
          </cell>
          <cell r="CA607">
            <v>2.3787816440155707E-2</v>
          </cell>
        </row>
        <row r="608">
          <cell r="BN608" t="str">
            <v>300/0.9/2000</v>
          </cell>
          <cell r="BO608">
            <v>0.8224044698964581</v>
          </cell>
          <cell r="BP608">
            <v>0.83319921850209155</v>
          </cell>
          <cell r="BQ608">
            <v>0.8227851798249628</v>
          </cell>
          <cell r="BR608">
            <v>0.81984117002180001</v>
          </cell>
          <cell r="BS608">
            <v>0.80960049162593151</v>
          </cell>
          <cell r="BT608">
            <v>0.7974197282637383</v>
          </cell>
          <cell r="BU608">
            <v>0.91859624726933742</v>
          </cell>
          <cell r="BV608">
            <v>0.90312692418640639</v>
          </cell>
          <cell r="BY608" t="str">
            <v>300/0.7/3250</v>
          </cell>
          <cell r="BZ608">
            <v>2.3869868743131462E-2</v>
          </cell>
          <cell r="CA608">
            <v>2.3653669110027642E-2</v>
          </cell>
        </row>
        <row r="609">
          <cell r="BN609" t="str">
            <v>300/0.9/2250</v>
          </cell>
          <cell r="BO609">
            <v>0.81512740507843828</v>
          </cell>
          <cell r="BP609">
            <v>0.82823413379221411</v>
          </cell>
          <cell r="BQ609">
            <v>0.81515988233718317</v>
          </cell>
          <cell r="BR609">
            <v>0.81214691920507931</v>
          </cell>
          <cell r="BS609">
            <v>0.80221083582521746</v>
          </cell>
          <cell r="BT609">
            <v>0.79082741415391444</v>
          </cell>
          <cell r="BU609">
            <v>0.91186189054988587</v>
          </cell>
          <cell r="BV609">
            <v>0.89693194393362441</v>
          </cell>
          <cell r="BY609" t="str">
            <v>300/0.7/3500</v>
          </cell>
          <cell r="BZ609">
            <v>2.3741185441502832E-2</v>
          </cell>
          <cell r="CA609">
            <v>2.3519521779899577E-2</v>
          </cell>
        </row>
        <row r="610">
          <cell r="BN610" t="str">
            <v>300/0.9/2500</v>
          </cell>
          <cell r="BO610">
            <v>0.80966194044975992</v>
          </cell>
          <cell r="BP610">
            <v>0.82434755833532636</v>
          </cell>
          <cell r="BQ610">
            <v>0.80969656330117135</v>
          </cell>
          <cell r="BR610">
            <v>0.80552403487883351</v>
          </cell>
          <cell r="BS610">
            <v>0.79577998744062906</v>
          </cell>
          <cell r="BT610">
            <v>0.78546431735253519</v>
          </cell>
          <cell r="BU610">
            <v>0.90671584207837486</v>
          </cell>
          <cell r="BV610">
            <v>0.89139759126836293</v>
          </cell>
          <cell r="BY610" t="str">
            <v>300/0.7/3750</v>
          </cell>
          <cell r="BZ610">
            <v>2.3618627681971982E-2</v>
          </cell>
          <cell r="CA610">
            <v>2.3394781197351389E-2</v>
          </cell>
        </row>
        <row r="611">
          <cell r="BN611" t="str">
            <v>300/0.9/2750</v>
          </cell>
          <cell r="BO611">
            <v>0.80444220420226387</v>
          </cell>
          <cell r="BP611">
            <v>0.82078471106178152</v>
          </cell>
          <cell r="BQ611">
            <v>0.80436177832518663</v>
          </cell>
          <cell r="BR611">
            <v>0.80018520185637099</v>
          </cell>
          <cell r="BS611">
            <v>0.79038557680097099</v>
          </cell>
          <cell r="BT611">
            <v>0.78093531616033285</v>
          </cell>
          <cell r="BU611">
            <v>0.90166611157196841</v>
          </cell>
          <cell r="BV611">
            <v>0.88641559454786911</v>
          </cell>
          <cell r="BY611" t="str">
            <v>300/0.7/4000</v>
          </cell>
          <cell r="BZ611">
            <v>2.3496069922441132E-2</v>
          </cell>
          <cell r="CA611">
            <v>2.32700406148032E-2</v>
          </cell>
        </row>
        <row r="612">
          <cell r="BN612" t="str">
            <v>300/0.9/3000</v>
          </cell>
          <cell r="BO612">
            <v>0.80051312626129889</v>
          </cell>
          <cell r="BP612">
            <v>0.8182277028739291</v>
          </cell>
          <cell r="BQ612">
            <v>0.80031685634966898</v>
          </cell>
          <cell r="BR612">
            <v>0.79526817108959447</v>
          </cell>
          <cell r="BS612">
            <v>0.78555598804604776</v>
          </cell>
          <cell r="BT612">
            <v>0.77720657217062494</v>
          </cell>
          <cell r="BU612">
            <v>0.89776759964117125</v>
          </cell>
          <cell r="BV612">
            <v>0.88209868861603036</v>
          </cell>
          <cell r="BY612" t="str">
            <v>300/0.7/4250</v>
          </cell>
          <cell r="BZ612">
            <v>2.3392402665984302E-2</v>
          </cell>
          <cell r="CA612">
            <v>2.3174383173914515E-2</v>
          </cell>
        </row>
        <row r="613">
          <cell r="BN613" t="str">
            <v>300/0.9/3250</v>
          </cell>
          <cell r="BO613">
            <v>0.79703269966891144</v>
          </cell>
          <cell r="BP613">
            <v>0.81598578991144732</v>
          </cell>
          <cell r="BQ613">
            <v>0.79675307037882748</v>
          </cell>
          <cell r="BR613">
            <v>0.79141075720673715</v>
          </cell>
          <cell r="BS613">
            <v>0.78170654865706823</v>
          </cell>
          <cell r="BT613">
            <v>0.77407986220419089</v>
          </cell>
          <cell r="BU613">
            <v>0.89422551404713468</v>
          </cell>
          <cell r="BV613">
            <v>0.87848633496643769</v>
          </cell>
          <cell r="BY613" t="str">
            <v>300/0.7/4500</v>
          </cell>
          <cell r="BZ613">
            <v>2.3288735409527472E-2</v>
          </cell>
          <cell r="CA613">
            <v>2.3078725733025829E-2</v>
          </cell>
        </row>
        <row r="614">
          <cell r="BN614" t="str">
            <v>300/0.9/3500</v>
          </cell>
          <cell r="BO614">
            <v>0.79355227307652387</v>
          </cell>
          <cell r="BP614">
            <v>0.81374387694896555</v>
          </cell>
          <cell r="BQ614">
            <v>0.79318928440798608</v>
          </cell>
          <cell r="BR614">
            <v>0.78755334332387983</v>
          </cell>
          <cell r="BS614">
            <v>0.7778571092680886</v>
          </cell>
          <cell r="BT614">
            <v>0.77095315223775684</v>
          </cell>
          <cell r="BU614">
            <v>0.890683428453098</v>
          </cell>
          <cell r="BV614">
            <v>0.87487398131684502</v>
          </cell>
          <cell r="BY614" t="str">
            <v>300/0.7/4750</v>
          </cell>
          <cell r="BZ614">
            <v>2.3207843513801008E-2</v>
          </cell>
          <cell r="CA614">
            <v>2.2989940872101711E-2</v>
          </cell>
        </row>
        <row r="615">
          <cell r="BN615" t="str">
            <v>300/0.9/3750</v>
          </cell>
          <cell r="BO615">
            <v>0.79045028285169794</v>
          </cell>
          <cell r="BP615">
            <v>0.81180286124019063</v>
          </cell>
          <cell r="BQ615">
            <v>0.79008784109605712</v>
          </cell>
          <cell r="BR615">
            <v>0.7842659972611572</v>
          </cell>
          <cell r="BS615">
            <v>0.7745874472709755</v>
          </cell>
          <cell r="BT615">
            <v>0.76818188972171053</v>
          </cell>
          <cell r="BU615">
            <v>0.8875963108203504</v>
          </cell>
          <cell r="BV615">
            <v>0.87209308554325715</v>
          </cell>
          <cell r="BY615" t="str">
            <v>300/0.7/5000</v>
          </cell>
          <cell r="BZ615">
            <v>2.3126951618074543E-2</v>
          </cell>
          <cell r="CA615">
            <v>2.2901156011177592E-2</v>
          </cell>
        </row>
        <row r="616">
          <cell r="BN616" t="str">
            <v>300/0.9/4000</v>
          </cell>
          <cell r="BO616">
            <v>0.78734829262687211</v>
          </cell>
          <cell r="BP616">
            <v>0.80986184553141571</v>
          </cell>
          <cell r="BQ616">
            <v>0.78698639778412816</v>
          </cell>
          <cell r="BR616">
            <v>0.78097865119843457</v>
          </cell>
          <cell r="BS616">
            <v>0.77131778527386252</v>
          </cell>
          <cell r="BT616">
            <v>0.76541062720566422</v>
          </cell>
          <cell r="BU616">
            <v>0.88450919318760268</v>
          </cell>
          <cell r="BV616">
            <v>0.86931218976966929</v>
          </cell>
          <cell r="BY616" t="str">
            <v>300/0.7/5250</v>
          </cell>
          <cell r="BZ616">
            <v>2.3045845279040411E-2</v>
          </cell>
          <cell r="CA616">
            <v>2.282489912352903E-2</v>
          </cell>
        </row>
        <row r="617">
          <cell r="BN617" t="str">
            <v>300/0.9/4250</v>
          </cell>
          <cell r="BO617">
            <v>0.78521516953775916</v>
          </cell>
          <cell r="BP617">
            <v>0.80839149093090024</v>
          </cell>
          <cell r="BQ617">
            <v>0.78474186969333926</v>
          </cell>
          <cell r="BR617">
            <v>0.77813314280186874</v>
          </cell>
          <cell r="BS617">
            <v>0.7684748871283491</v>
          </cell>
          <cell r="BT617">
            <v>0.76336391409800042</v>
          </cell>
          <cell r="BU617">
            <v>0.88222955046527973</v>
          </cell>
          <cell r="BV617">
            <v>0.86720520463680895</v>
          </cell>
          <cell r="BY617" t="str">
            <v>300/0.7/5500</v>
          </cell>
          <cell r="BZ617">
            <v>2.296473894000628E-2</v>
          </cell>
          <cell r="CA617">
            <v>2.2748642235880467E-2</v>
          </cell>
        </row>
        <row r="618">
          <cell r="BN618" t="str">
            <v>300/0.9/4500</v>
          </cell>
          <cell r="BO618">
            <v>0.78308204644864632</v>
          </cell>
          <cell r="BP618">
            <v>0.80692113633038476</v>
          </cell>
          <cell r="BQ618">
            <v>0.78249734160255047</v>
          </cell>
          <cell r="BR618">
            <v>0.77528763440530291</v>
          </cell>
          <cell r="BS618">
            <v>0.7656319889828358</v>
          </cell>
          <cell r="BT618">
            <v>0.76131720099033651</v>
          </cell>
          <cell r="BU618">
            <v>0.87994990774295689</v>
          </cell>
          <cell r="BV618">
            <v>0.86509821950394861</v>
          </cell>
          <cell r="BY618" t="str">
            <v>300/0.7/5750</v>
          </cell>
          <cell r="BZ618">
            <v>2.2883875676179333E-2</v>
          </cell>
          <cell r="CA618">
            <v>2.2673492636606563E-2</v>
          </cell>
        </row>
        <row r="619">
          <cell r="BN619" t="str">
            <v>300/0.9/4750</v>
          </cell>
          <cell r="BO619">
            <v>0.7813524616489893</v>
          </cell>
          <cell r="BP619">
            <v>0.80616475780993935</v>
          </cell>
          <cell r="BQ619">
            <v>0.78076812493283931</v>
          </cell>
          <cell r="BR619">
            <v>0.77353285753978607</v>
          </cell>
          <cell r="BS619">
            <v>0.76377397919486745</v>
          </cell>
          <cell r="BT619">
            <v>0.75968398105376633</v>
          </cell>
          <cell r="BU619">
            <v>0.87782390651593289</v>
          </cell>
          <cell r="BV619">
            <v>0.86381462180041213</v>
          </cell>
          <cell r="BY619" t="str">
            <v>300/0.7/6000</v>
          </cell>
          <cell r="BZ619">
            <v>2.2803012412352386E-2</v>
          </cell>
          <cell r="CA619">
            <v>2.2598343037332658E-2</v>
          </cell>
        </row>
        <row r="620">
          <cell r="BN620" t="str">
            <v>300/0.9/5000</v>
          </cell>
          <cell r="BO620">
            <v>0.77962287684933218</v>
          </cell>
          <cell r="BP620">
            <v>0.80540837928949405</v>
          </cell>
          <cell r="BQ620">
            <v>0.77903890826312827</v>
          </cell>
          <cell r="BR620">
            <v>0.77177808067426923</v>
          </cell>
          <cell r="BS620">
            <v>0.76191596940689899</v>
          </cell>
          <cell r="BT620">
            <v>0.75805076111719627</v>
          </cell>
          <cell r="BU620">
            <v>0.8756979052889089</v>
          </cell>
          <cell r="BV620">
            <v>0.86253102409687565</v>
          </cell>
          <cell r="BY620" t="str">
            <v>300/0.7/6250</v>
          </cell>
          <cell r="BZ620">
            <v>2.274543519679928E-2</v>
          </cell>
          <cell r="CA620">
            <v>2.253777132846646E-2</v>
          </cell>
        </row>
        <row r="621">
          <cell r="BN621" t="str">
            <v>300/0.9/5250</v>
          </cell>
          <cell r="BO621">
            <v>0.77822353584657822</v>
          </cell>
          <cell r="BP621">
            <v>0.80465262189922271</v>
          </cell>
          <cell r="BQ621">
            <v>0.77756650639310698</v>
          </cell>
          <cell r="BR621">
            <v>0.77004803589696125</v>
          </cell>
          <cell r="BS621">
            <v>0.76045754869125304</v>
          </cell>
          <cell r="BT621">
            <v>0.75675455777399503</v>
          </cell>
          <cell r="BU621">
            <v>0.87394370565016533</v>
          </cell>
          <cell r="BV621">
            <v>0.86140527954541224</v>
          </cell>
          <cell r="BY621" t="str">
            <v>300/0.7/6350</v>
          </cell>
          <cell r="BZ621">
            <v>2.2722392679301873E-2</v>
          </cell>
          <cell r="CA621">
            <v>2.2513427030111943E-2</v>
          </cell>
        </row>
        <row r="622">
          <cell r="BN622" t="str">
            <v>300/0.9/5500</v>
          </cell>
          <cell r="BO622">
            <v>0.77682419484382426</v>
          </cell>
          <cell r="BP622">
            <v>0.80389686450895137</v>
          </cell>
          <cell r="BQ622">
            <v>0.77609410452308569</v>
          </cell>
          <cell r="BR622">
            <v>0.76831799111965327</v>
          </cell>
          <cell r="BS622">
            <v>0.75899912797560698</v>
          </cell>
          <cell r="BT622">
            <v>0.75545835443079379</v>
          </cell>
          <cell r="BU622">
            <v>0.87218950601142164</v>
          </cell>
          <cell r="BV622">
            <v>0.86027953499394882</v>
          </cell>
          <cell r="BY622" t="str">
            <v>300/0.7/6600</v>
          </cell>
          <cell r="BZ622">
            <v>2.266475730736861E-2</v>
          </cell>
          <cell r="CA622">
            <v>2.2452277247205998E-2</v>
          </cell>
        </row>
        <row r="623">
          <cell r="BN623" t="str">
            <v>300/0.9/5750</v>
          </cell>
          <cell r="BO623">
            <v>0.77552373124435259</v>
          </cell>
          <cell r="BP623">
            <v>0.80319262338540731</v>
          </cell>
          <cell r="BQ623">
            <v>0.77479397910202175</v>
          </cell>
          <cell r="BR623">
            <v>0.76679559718608514</v>
          </cell>
          <cell r="BS623">
            <v>0.75768842326168762</v>
          </cell>
          <cell r="BT623">
            <v>0.75416678496377298</v>
          </cell>
          <cell r="BU623">
            <v>0.87061777061315393</v>
          </cell>
          <cell r="BV623">
            <v>0.85926450488429396</v>
          </cell>
          <cell r="BY623" t="str">
            <v>300/0.7/6850</v>
          </cell>
          <cell r="BZ623">
            <v>2.2607080395163459E-2</v>
          </cell>
          <cell r="CA623">
            <v>2.2390714554271662E-2</v>
          </cell>
        </row>
        <row r="624">
          <cell r="BN624" t="str">
            <v>300/0.9/6000</v>
          </cell>
          <cell r="BO624">
            <v>0.77422326764488103</v>
          </cell>
          <cell r="BP624">
            <v>0.80248838226186325</v>
          </cell>
          <cell r="BQ624">
            <v>0.77349385368095791</v>
          </cell>
          <cell r="BR624">
            <v>0.76527320325251713</v>
          </cell>
          <cell r="BS624">
            <v>0.75637771854776814</v>
          </cell>
          <cell r="BT624">
            <v>0.75287521549675229</v>
          </cell>
          <cell r="BU624">
            <v>0.8690460352148861</v>
          </cell>
          <cell r="BV624">
            <v>0.8582494747746392</v>
          </cell>
          <cell r="BY624" t="str">
            <v>300/0.7/7500</v>
          </cell>
          <cell r="BZ624">
            <v>2.2457317359471762E-2</v>
          </cell>
          <cell r="CA624">
            <v>2.2240482158515817E-2</v>
          </cell>
        </row>
        <row r="625">
          <cell r="BN625" t="str">
            <v>300/0.9/6250</v>
          </cell>
          <cell r="BO625">
            <v>0.77292889631550743</v>
          </cell>
          <cell r="BP625">
            <v>0.80198810459211956</v>
          </cell>
          <cell r="BQ625">
            <v>0.77219542494920101</v>
          </cell>
          <cell r="BR625">
            <v>0.76397300253527245</v>
          </cell>
          <cell r="BS625">
            <v>0.75506904589252821</v>
          </cell>
          <cell r="BT625">
            <v>0.75158364602973082</v>
          </cell>
          <cell r="BU625">
            <v>0.86764247992110932</v>
          </cell>
          <cell r="BV625">
            <v>0.85734172674038622</v>
          </cell>
          <cell r="BY625" t="str">
            <v>300/0.7/8000</v>
          </cell>
          <cell r="BZ625">
            <v>2.2358966122465462E-2</v>
          </cell>
          <cell r="CA625">
            <v>2.214900422275301E-2</v>
          </cell>
        </row>
        <row r="626">
          <cell r="BN626" t="str">
            <v>300/0.9/6350</v>
          </cell>
          <cell r="BO626">
            <v>0.77241195743662294</v>
          </cell>
          <cell r="BP626">
            <v>0.80178799352422392</v>
          </cell>
          <cell r="BQ626">
            <v>0.77167848607031775</v>
          </cell>
          <cell r="BR626">
            <v>0.7634527201057415</v>
          </cell>
          <cell r="BS626">
            <v>0.75454525635961689</v>
          </cell>
          <cell r="BT626">
            <v>0.75106701824292244</v>
          </cell>
          <cell r="BU626">
            <v>0.86718910746740174</v>
          </cell>
          <cell r="BV626">
            <v>0.85698002605800161</v>
          </cell>
          <cell r="BY626" t="str">
            <v>300/0.7/9000</v>
          </cell>
          <cell r="BZ626">
            <v>2.2184781009306542E-2</v>
          </cell>
          <cell r="CA626">
            <v>2.1966659724717674E-2</v>
          </cell>
        </row>
        <row r="627">
          <cell r="BN627" t="str">
            <v>300/0.9/6600</v>
          </cell>
          <cell r="BO627">
            <v>0.77111961023941322</v>
          </cell>
          <cell r="BP627">
            <v>0.80128771585447967</v>
          </cell>
          <cell r="BQ627">
            <v>0.77038613887310725</v>
          </cell>
          <cell r="BR627">
            <v>0.76215339286398698</v>
          </cell>
          <cell r="BS627">
            <v>0.75326658665222967</v>
          </cell>
          <cell r="BT627">
            <v>0.74988687779194052</v>
          </cell>
          <cell r="BU627">
            <v>0.86605545360532676</v>
          </cell>
          <cell r="BV627">
            <v>0.85614011069313001</v>
          </cell>
          <cell r="BY627" t="str">
            <v>300/0.7/10000</v>
          </cell>
          <cell r="BZ627">
            <v>2.2030304304500925E-2</v>
          </cell>
          <cell r="CA627">
            <v>2.1813869103741501E-2</v>
          </cell>
        </row>
        <row r="628">
          <cell r="BN628" t="str">
            <v>300/0.9/6850</v>
          </cell>
          <cell r="BO628">
            <v>0.76982726304220106</v>
          </cell>
          <cell r="BP628">
            <v>0.80078746694266378</v>
          </cell>
          <cell r="BQ628">
            <v>0.76909379167589742</v>
          </cell>
          <cell r="BR628">
            <v>0.76086104566677659</v>
          </cell>
          <cell r="BS628">
            <v>0.75223659995573966</v>
          </cell>
          <cell r="BT628">
            <v>0.74913157521392082</v>
          </cell>
          <cell r="BU628">
            <v>0.86492148156067061</v>
          </cell>
          <cell r="BV628">
            <v>0.85545771991874753</v>
          </cell>
          <cell r="BY628" t="str">
            <v>300/0.7/99999</v>
          </cell>
          <cell r="BZ628">
            <v>1.9718827387448457E-2</v>
          </cell>
          <cell r="CA628">
            <v>1.9884151336012623E-2</v>
          </cell>
        </row>
        <row r="629">
          <cell r="BN629" t="str">
            <v>300/0.9/7500</v>
          </cell>
          <cell r="BO629">
            <v>0.76782673237519039</v>
          </cell>
          <cell r="BP629">
            <v>0.79948688649188104</v>
          </cell>
          <cell r="BQ629">
            <v>0.76688284282337627</v>
          </cell>
          <cell r="BR629">
            <v>0.75750094295402848</v>
          </cell>
          <cell r="BS629">
            <v>0.7499015118516672</v>
          </cell>
          <cell r="BT629">
            <v>0.7471677885110668</v>
          </cell>
          <cell r="BU629">
            <v>0.8631112025372516</v>
          </cell>
          <cell r="BV629">
            <v>0.85368011256802256</v>
          </cell>
          <cell r="BY629" t="str">
            <v>500/0.7/500</v>
          </cell>
          <cell r="BZ629">
            <v>2.6324213225347171E-2</v>
          </cell>
          <cell r="CA629">
            <v>2.6494714523038976E-2</v>
          </cell>
        </row>
        <row r="630">
          <cell r="BN630" t="str">
            <v>300/0.9/10000</v>
          </cell>
          <cell r="BO630">
            <v>0.76067174119691361</v>
          </cell>
          <cell r="BP630">
            <v>0.79615795814906687</v>
          </cell>
          <cell r="BQ630">
            <v>0.75959496783495672</v>
          </cell>
          <cell r="BR630">
            <v>0.74951962026313723</v>
          </cell>
          <cell r="BS630">
            <v>0.74250929215121408</v>
          </cell>
          <cell r="BT630">
            <v>0.74043189298490686</v>
          </cell>
          <cell r="BU630">
            <v>0.85701713692799775</v>
          </cell>
          <cell r="BV630">
            <v>0.84837313808828274</v>
          </cell>
          <cell r="BY630" t="str">
            <v>500/0.7/750</v>
          </cell>
          <cell r="BZ630">
            <v>2.5795910771803765E-2</v>
          </cell>
          <cell r="CA630">
            <v>2.5831987306742965E-2</v>
          </cell>
        </row>
        <row r="631">
          <cell r="BN631" t="str">
            <v>300/0.9/99999</v>
          </cell>
          <cell r="BO631">
            <v>0.73602981255482214</v>
          </cell>
          <cell r="BP631">
            <v>0.78781874466784985</v>
          </cell>
          <cell r="BQ631">
            <v>0.73457254165256836</v>
          </cell>
          <cell r="BR631">
            <v>0.72102819678239494</v>
          </cell>
          <cell r="BS631">
            <v>0.72219227984961187</v>
          </cell>
          <cell r="BT631">
            <v>0.71929596883637192</v>
          </cell>
          <cell r="BU631">
            <v>0.83707799335435429</v>
          </cell>
          <cell r="BV631">
            <v>0.83430431221978651</v>
          </cell>
          <cell r="BY631" t="str">
            <v>500/0.7/1000</v>
          </cell>
          <cell r="BZ631">
            <v>2.5370765778428783E-2</v>
          </cell>
          <cell r="CA631">
            <v>2.5359643140330013E-2</v>
          </cell>
        </row>
        <row r="632">
          <cell r="BY632" t="str">
            <v>500/0.7/1250</v>
          </cell>
          <cell r="BZ632">
            <v>2.5041212829536086E-2</v>
          </cell>
          <cell r="CA632">
            <v>2.4989484938394924E-2</v>
          </cell>
        </row>
        <row r="633">
          <cell r="BN633" t="str">
            <v>500/0.9/1000</v>
          </cell>
          <cell r="BO633">
            <v>0.87919061596022452</v>
          </cell>
          <cell r="BP633">
            <v>0.88161951749761736</v>
          </cell>
          <cell r="BQ633">
            <v>0.88366745668837743</v>
          </cell>
          <cell r="BR633">
            <v>0.87952741678888813</v>
          </cell>
          <cell r="BS633">
            <v>0.8733936426989285</v>
          </cell>
          <cell r="BT633">
            <v>0.81920408354269603</v>
          </cell>
          <cell r="BU633">
            <v>0.94619609440501273</v>
          </cell>
          <cell r="BV633">
            <v>0.93053935813838151</v>
          </cell>
          <cell r="BY633" t="str">
            <v>500/0.7/1500</v>
          </cell>
          <cell r="BZ633">
            <v>2.4763921938475653E-2</v>
          </cell>
          <cell r="CA633">
            <v>2.4677496322356829E-2</v>
          </cell>
        </row>
        <row r="634">
          <cell r="BN634" t="str">
            <v>500/0.9/1250</v>
          </cell>
          <cell r="BO634">
            <v>0.85465368575885947</v>
          </cell>
          <cell r="BP634">
            <v>0.85821332296273634</v>
          </cell>
          <cell r="BQ634">
            <v>0.85851842378152143</v>
          </cell>
          <cell r="BR634">
            <v>0.85467206577958144</v>
          </cell>
          <cell r="BS634">
            <v>0.84674819120382772</v>
          </cell>
          <cell r="BT634">
            <v>0.79879812770820358</v>
          </cell>
          <cell r="BU634">
            <v>0.9235089897417762</v>
          </cell>
          <cell r="BV634">
            <v>0.90546058704022359</v>
          </cell>
          <cell r="BY634" t="str">
            <v>500/0.7/1750</v>
          </cell>
          <cell r="BZ634">
            <v>2.4536236507185949E-2</v>
          </cell>
          <cell r="CA634">
            <v>2.4421619140820972E-2</v>
          </cell>
        </row>
        <row r="635">
          <cell r="BN635" t="str">
            <v>500/0.9/1500</v>
          </cell>
          <cell r="BO635">
            <v>0.83421376887921583</v>
          </cell>
          <cell r="BP635">
            <v>0.83931889663796644</v>
          </cell>
          <cell r="BQ635">
            <v>0.83761635802899947</v>
          </cell>
          <cell r="BR635">
            <v>0.83374313604494199</v>
          </cell>
          <cell r="BS635">
            <v>0.82396169251005524</v>
          </cell>
          <cell r="BT635">
            <v>0.78139754642354875</v>
          </cell>
          <cell r="BU635">
            <v>0.90642457344653138</v>
          </cell>
          <cell r="BV635">
            <v>0.88670353252738576</v>
          </cell>
          <cell r="BY635" t="str">
            <v>500/0.7/2000</v>
          </cell>
          <cell r="BZ635">
            <v>2.4308551075896245E-2</v>
          </cell>
          <cell r="CA635">
            <v>2.4165741959285114E-2</v>
          </cell>
        </row>
        <row r="636">
          <cell r="BN636" t="str">
            <v>500/0.9/1750</v>
          </cell>
          <cell r="BO636">
            <v>0.82227486172523667</v>
          </cell>
          <cell r="BP636">
            <v>0.83003579334445465</v>
          </cell>
          <cell r="BQ636">
            <v>0.82529796003981426</v>
          </cell>
          <cell r="BR636">
            <v>0.82086161241136724</v>
          </cell>
          <cell r="BS636">
            <v>0.81105873329607636</v>
          </cell>
          <cell r="BT636">
            <v>0.77171233535986183</v>
          </cell>
          <cell r="BU636">
            <v>0.89529597884612777</v>
          </cell>
          <cell r="BV636">
            <v>0.87669475813423015</v>
          </cell>
          <cell r="BY636" t="str">
            <v>500/0.7/2250</v>
          </cell>
          <cell r="BZ636">
            <v>2.4118848803425186E-2</v>
          </cell>
          <cell r="CA636">
            <v>2.3945135986106258E-2</v>
          </cell>
        </row>
        <row r="637">
          <cell r="BN637" t="str">
            <v>500/0.9/2000</v>
          </cell>
          <cell r="BO637">
            <v>0.81033595457125762</v>
          </cell>
          <cell r="BP637">
            <v>0.82075269005094287</v>
          </cell>
          <cell r="BQ637">
            <v>0.81297956205062893</v>
          </cell>
          <cell r="BR637">
            <v>0.80798008877779248</v>
          </cell>
          <cell r="BS637">
            <v>0.79815577408209737</v>
          </cell>
          <cell r="BT637">
            <v>0.76202712429617481</v>
          </cell>
          <cell r="BU637">
            <v>0.88416738424572416</v>
          </cell>
          <cell r="BV637">
            <v>0.86668598374107442</v>
          </cell>
          <cell r="BY637" t="str">
            <v>500/0.7/2500</v>
          </cell>
          <cell r="BZ637">
            <v>2.3942653291538551E-2</v>
          </cell>
          <cell r="CA637">
            <v>2.3743547485185479E-2</v>
          </cell>
        </row>
        <row r="638">
          <cell r="BN638" t="str">
            <v>500/0.9/2250</v>
          </cell>
          <cell r="BO638">
            <v>0.8026317003217045</v>
          </cell>
          <cell r="BP638">
            <v>0.81526305819954215</v>
          </cell>
          <cell r="BQ638">
            <v>0.8052551829120167</v>
          </cell>
          <cell r="BR638">
            <v>0.8002075883945422</v>
          </cell>
          <cell r="BS638">
            <v>0.78988830349239514</v>
          </cell>
          <cell r="BT638">
            <v>0.75429648996924592</v>
          </cell>
          <cell r="BU638">
            <v>0.87675773525809564</v>
          </cell>
          <cell r="BV638">
            <v>0.86126530827145631</v>
          </cell>
          <cell r="BY638" t="str">
            <v>500/0.7/2750</v>
          </cell>
          <cell r="BZ638">
            <v>2.378429738011012E-2</v>
          </cell>
          <cell r="CA638">
            <v>2.3559841785135704E-2</v>
          </cell>
        </row>
        <row r="639">
          <cell r="BN639" t="str">
            <v>500/0.9/2500</v>
          </cell>
          <cell r="BO639">
            <v>0.79582448016492169</v>
          </cell>
          <cell r="BP639">
            <v>0.81044206885295667</v>
          </cell>
          <cell r="BQ639">
            <v>0.79811631118532567</v>
          </cell>
          <cell r="BR639">
            <v>0.7925765998445784</v>
          </cell>
          <cell r="BS639">
            <v>0.78277690366652908</v>
          </cell>
          <cell r="BT639">
            <v>0.74822380957546863</v>
          </cell>
          <cell r="BU639">
            <v>0.87056465121202442</v>
          </cell>
          <cell r="BV639">
            <v>0.85688536901650481</v>
          </cell>
          <cell r="BY639" t="str">
            <v>500/0.7/3000</v>
          </cell>
          <cell r="BZ639">
            <v>2.3635558311383642E-2</v>
          </cell>
          <cell r="CA639">
            <v>2.3375452847795852E-2</v>
          </cell>
        </row>
        <row r="640">
          <cell r="BN640" t="str">
            <v>500/0.9/2750</v>
          </cell>
          <cell r="BO640">
            <v>0.79049088484687591</v>
          </cell>
          <cell r="BP640">
            <v>0.80673989731158169</v>
          </cell>
          <cell r="BQ640">
            <v>0.79278325744765965</v>
          </cell>
          <cell r="BR640">
            <v>0.78653620486924292</v>
          </cell>
          <cell r="BS640">
            <v>0.77680133823546493</v>
          </cell>
          <cell r="BT640">
            <v>0.74307221970233861</v>
          </cell>
          <cell r="BU640">
            <v>0.86614436379181836</v>
          </cell>
          <cell r="BV640">
            <v>0.85299167238445806</v>
          </cell>
          <cell r="BY640" t="str">
            <v>500/0.7/3250</v>
          </cell>
          <cell r="BZ640">
            <v>2.35018848682641E-2</v>
          </cell>
          <cell r="CA640">
            <v>2.3238819691927981E-2</v>
          </cell>
        </row>
        <row r="641">
          <cell r="BN641" t="str">
            <v>500/0.9/3000</v>
          </cell>
          <cell r="BO641">
            <v>0.78556109863482126</v>
          </cell>
          <cell r="BP641">
            <v>0.80339195432698951</v>
          </cell>
          <cell r="BQ641">
            <v>0.78761637421490094</v>
          </cell>
          <cell r="BR641">
            <v>0.78121312791325781</v>
          </cell>
          <cell r="BS641">
            <v>0.77139972501118736</v>
          </cell>
          <cell r="BT641">
            <v>0.73885146940220892</v>
          </cell>
          <cell r="BU641">
            <v>0.86268334192596974</v>
          </cell>
          <cell r="BV641">
            <v>0.84941027339266895</v>
          </cell>
          <cell r="BY641" t="str">
            <v>500/0.7/3500</v>
          </cell>
          <cell r="BZ641">
            <v>2.3368211425144558E-2</v>
          </cell>
          <cell r="CA641">
            <v>2.310218653606011E-2</v>
          </cell>
        </row>
        <row r="642">
          <cell r="BN642" t="str">
            <v>500/0.9/3250</v>
          </cell>
          <cell r="BO642">
            <v>0.78182136721502871</v>
          </cell>
          <cell r="BP642">
            <v>0.8009671758610033</v>
          </cell>
          <cell r="BQ642">
            <v>0.783798014728603</v>
          </cell>
          <cell r="BR642">
            <v>0.77696551304453654</v>
          </cell>
          <cell r="BS642">
            <v>0.76723446917000948</v>
          </cell>
          <cell r="BT642">
            <v>0.7355158304472853</v>
          </cell>
          <cell r="BU642">
            <v>0.8598769405119665</v>
          </cell>
          <cell r="BV642">
            <v>0.84661910394692885</v>
          </cell>
          <cell r="BY642" t="str">
            <v>500/0.7/3750</v>
          </cell>
          <cell r="BZ642">
            <v>2.3245612527271309E-2</v>
          </cell>
          <cell r="CA642">
            <v>2.2969988896984872E-2</v>
          </cell>
        </row>
        <row r="643">
          <cell r="BN643" t="str">
            <v>500/0.9/3500</v>
          </cell>
          <cell r="BO643">
            <v>0.77808163579523604</v>
          </cell>
          <cell r="BP643">
            <v>0.79854239739501709</v>
          </cell>
          <cell r="BQ643">
            <v>0.77997965524230517</v>
          </cell>
          <cell r="BR643">
            <v>0.77271789817581538</v>
          </cell>
          <cell r="BS643">
            <v>0.76306921332883149</v>
          </cell>
          <cell r="BT643">
            <v>0.7321801914923618</v>
          </cell>
          <cell r="BU643">
            <v>0.85707053909796327</v>
          </cell>
          <cell r="BV643">
            <v>0.84382793450118865</v>
          </cell>
          <cell r="BY643" t="str">
            <v>500/0.7/4000</v>
          </cell>
          <cell r="BZ643">
            <v>2.3123013629398059E-2</v>
          </cell>
          <cell r="CA643">
            <v>2.2837791257909634E-2</v>
          </cell>
        </row>
        <row r="644">
          <cell r="BN644" t="str">
            <v>500/0.9/3750</v>
          </cell>
          <cell r="BO644">
            <v>0.77498608570062266</v>
          </cell>
          <cell r="BP644">
            <v>0.79660774150915192</v>
          </cell>
          <cell r="BQ644">
            <v>0.77687743215884142</v>
          </cell>
          <cell r="BR644">
            <v>0.76920278045801804</v>
          </cell>
          <cell r="BS644">
            <v>0.7595549942782005</v>
          </cell>
          <cell r="BT644">
            <v>0.72919374649445545</v>
          </cell>
          <cell r="BU644">
            <v>0.85483064482334514</v>
          </cell>
          <cell r="BV644">
            <v>0.84153960823046403</v>
          </cell>
          <cell r="BY644" t="str">
            <v>500/0.7/4250</v>
          </cell>
          <cell r="BZ644">
            <v>2.3007582404559024E-2</v>
          </cell>
          <cell r="CA644">
            <v>2.2737338753200054E-2</v>
          </cell>
        </row>
        <row r="645">
          <cell r="BN645" t="str">
            <v>500/0.9/4000</v>
          </cell>
          <cell r="BO645">
            <v>0.77189053560600929</v>
          </cell>
          <cell r="BP645">
            <v>0.79467308562328665</v>
          </cell>
          <cell r="BQ645">
            <v>0.77377520907537767</v>
          </cell>
          <cell r="BR645">
            <v>0.76568766274022071</v>
          </cell>
          <cell r="BS645">
            <v>0.75604077522756952</v>
          </cell>
          <cell r="BT645">
            <v>0.72620730149654911</v>
          </cell>
          <cell r="BU645">
            <v>0.85259075054872713</v>
          </cell>
          <cell r="BV645">
            <v>0.8392512819597393</v>
          </cell>
          <cell r="BY645" t="str">
            <v>500/0.7/4500</v>
          </cell>
          <cell r="BZ645">
            <v>2.2892151179719988E-2</v>
          </cell>
          <cell r="CA645">
            <v>2.2636886248490473E-2</v>
          </cell>
        </row>
        <row r="646">
          <cell r="BN646" t="str">
            <v>500/0.9/4250</v>
          </cell>
          <cell r="BO646">
            <v>0.76924243145973237</v>
          </cell>
          <cell r="BP646">
            <v>0.79275657366433028</v>
          </cell>
          <cell r="BQ646">
            <v>0.77101398551795719</v>
          </cell>
          <cell r="BR646">
            <v>0.76259705611390149</v>
          </cell>
          <cell r="BS646">
            <v>0.75295153699658712</v>
          </cell>
          <cell r="BT646">
            <v>0.72438402146758807</v>
          </cell>
          <cell r="BU646">
            <v>0.85064934974749384</v>
          </cell>
          <cell r="BV646">
            <v>0.83732826988956766</v>
          </cell>
          <cell r="BY646" t="str">
            <v>500/0.7/4750</v>
          </cell>
          <cell r="BZ646">
            <v>2.2810936272336879E-2</v>
          </cell>
          <cell r="CA646">
            <v>2.2545478408462549E-2</v>
          </cell>
        </row>
        <row r="647">
          <cell r="BN647" t="str">
            <v>500/0.9/4500</v>
          </cell>
          <cell r="BO647">
            <v>0.76659432731345556</v>
          </cell>
          <cell r="BP647">
            <v>0.7908400617053738</v>
          </cell>
          <cell r="BQ647">
            <v>0.76825276196053671</v>
          </cell>
          <cell r="BR647">
            <v>0.75950644948758228</v>
          </cell>
          <cell r="BS647">
            <v>0.74986229876560484</v>
          </cell>
          <cell r="BT647">
            <v>0.72256074143862703</v>
          </cell>
          <cell r="BU647">
            <v>0.84870794894626056</v>
          </cell>
          <cell r="BV647">
            <v>0.83540525781939601</v>
          </cell>
          <cell r="BY647" t="str">
            <v>500/0.7/5000</v>
          </cell>
          <cell r="BZ647">
            <v>2.272972136495377E-2</v>
          </cell>
          <cell r="CA647">
            <v>2.2454070568434625E-2</v>
          </cell>
        </row>
        <row r="648">
          <cell r="BN648" t="str">
            <v>500/0.9/4750</v>
          </cell>
          <cell r="BO648">
            <v>0.76486550958972011</v>
          </cell>
          <cell r="BP648">
            <v>0.79008195134754988</v>
          </cell>
          <cell r="BQ648">
            <v>0.76652429470429517</v>
          </cell>
          <cell r="BR648">
            <v>0.75747795495497339</v>
          </cell>
          <cell r="BS648">
            <v>0.74768825427887431</v>
          </cell>
          <cell r="BT648">
            <v>0.72130424858454445</v>
          </cell>
          <cell r="BU648">
            <v>0.84716536998810477</v>
          </cell>
          <cell r="BV648">
            <v>0.83379036009123753</v>
          </cell>
          <cell r="BY648" t="str">
            <v>500/0.7/5250</v>
          </cell>
          <cell r="BZ648">
            <v>2.2648673401774677E-2</v>
          </cell>
          <cell r="CA648">
            <v>2.2376438118739905E-2</v>
          </cell>
        </row>
        <row r="649">
          <cell r="BN649" t="str">
            <v>500/0.9/5000</v>
          </cell>
          <cell r="BO649">
            <v>0.76313669186598476</v>
          </cell>
          <cell r="BP649">
            <v>0.78932384098972608</v>
          </cell>
          <cell r="BQ649">
            <v>0.76479582744805352</v>
          </cell>
          <cell r="BR649">
            <v>0.75544946042236449</v>
          </cell>
          <cell r="BS649">
            <v>0.74551420979214367</v>
          </cell>
          <cell r="BT649">
            <v>0.72004775573046176</v>
          </cell>
          <cell r="BU649">
            <v>0.84562279102994908</v>
          </cell>
          <cell r="BV649">
            <v>0.83217546236307893</v>
          </cell>
          <cell r="BY649" t="str">
            <v>500/0.7/5500</v>
          </cell>
          <cell r="BZ649">
            <v>2.2567625438595584E-2</v>
          </cell>
          <cell r="CA649">
            <v>2.2298805669045185E-2</v>
          </cell>
        </row>
        <row r="650">
          <cell r="BN650" t="str">
            <v>500/0.9/5250</v>
          </cell>
          <cell r="BO650">
            <v>0.76158156117201514</v>
          </cell>
          <cell r="BP650">
            <v>0.78856808359945463</v>
          </cell>
          <cell r="BQ650">
            <v>0.76316720120656334</v>
          </cell>
          <cell r="BR650">
            <v>0.7537201319257617</v>
          </cell>
          <cell r="BS650">
            <v>0.74401020539056484</v>
          </cell>
          <cell r="BT650">
            <v>0.71906282087446449</v>
          </cell>
          <cell r="BU650">
            <v>0.84417764142783114</v>
          </cell>
          <cell r="BV650">
            <v>0.83105196835992512</v>
          </cell>
          <cell r="BY650" t="str">
            <v>500/0.7/5750</v>
          </cell>
          <cell r="BZ650">
            <v>2.2486383985357961E-2</v>
          </cell>
          <cell r="CA650">
            <v>2.2221730128366035E-2</v>
          </cell>
        </row>
        <row r="651">
          <cell r="BN651" t="str">
            <v>500/0.9/5500</v>
          </cell>
          <cell r="BO651">
            <v>0.76002643047804552</v>
          </cell>
          <cell r="BP651">
            <v>0.78781232620918329</v>
          </cell>
          <cell r="BQ651">
            <v>0.76153857496507327</v>
          </cell>
          <cell r="BR651">
            <v>0.75199080342915892</v>
          </cell>
          <cell r="BS651">
            <v>0.7425062009889859</v>
          </cell>
          <cell r="BT651">
            <v>0.71807788601846734</v>
          </cell>
          <cell r="BU651">
            <v>0.84273249182571319</v>
          </cell>
          <cell r="BV651">
            <v>0.82992847435677142</v>
          </cell>
          <cell r="BY651" t="str">
            <v>500/0.7/6000</v>
          </cell>
          <cell r="BZ651">
            <v>2.2405142532120337E-2</v>
          </cell>
          <cell r="CA651">
            <v>2.2144654587686885E-2</v>
          </cell>
        </row>
        <row r="652">
          <cell r="BN652" t="str">
            <v>500/0.9/5750</v>
          </cell>
          <cell r="BO652">
            <v>0.75872654719938215</v>
          </cell>
          <cell r="BP652">
            <v>0.78705656881891151</v>
          </cell>
          <cell r="BQ652">
            <v>0.76023901641935754</v>
          </cell>
          <cell r="BR652">
            <v>0.75030745344975136</v>
          </cell>
          <cell r="BS652">
            <v>0.74113864836398935</v>
          </cell>
          <cell r="BT652">
            <v>0.71714015633867589</v>
          </cell>
          <cell r="BU652">
            <v>0.84159205088503319</v>
          </cell>
          <cell r="BV652">
            <v>0.82882226649310653</v>
          </cell>
          <cell r="BY652" t="str">
            <v>500/0.7/6250</v>
          </cell>
          <cell r="BZ652">
            <v>2.2334572379289819E-2</v>
          </cell>
          <cell r="CA652">
            <v>2.2079156914803999E-2</v>
          </cell>
        </row>
        <row r="653">
          <cell r="BN653" t="str">
            <v>500/0.9/6000</v>
          </cell>
          <cell r="BO653">
            <v>0.75742666392071878</v>
          </cell>
          <cell r="BP653">
            <v>0.78630081142863961</v>
          </cell>
          <cell r="BQ653">
            <v>0.75893945787364192</v>
          </cell>
          <cell r="BR653">
            <v>0.7486241034703438</v>
          </cell>
          <cell r="BS653">
            <v>0.7397710957389928</v>
          </cell>
          <cell r="BT653">
            <v>0.71620242665888434</v>
          </cell>
          <cell r="BU653">
            <v>0.84045160994435331</v>
          </cell>
          <cell r="BV653">
            <v>0.82771605862944164</v>
          </cell>
          <cell r="BY653" t="str">
            <v>500/0.7/6350</v>
          </cell>
          <cell r="BZ653">
            <v>2.2311538796805586E-2</v>
          </cell>
          <cell r="CA653">
            <v>2.2054908288527741E-2</v>
          </cell>
        </row>
        <row r="654">
          <cell r="BN654" t="str">
            <v>500/0.9/6250</v>
          </cell>
          <cell r="BO654">
            <v>0.75612589036573163</v>
          </cell>
          <cell r="BP654">
            <v>0.78571773316143112</v>
          </cell>
          <cell r="BQ654">
            <v>0.7576387488728703</v>
          </cell>
          <cell r="BR654">
            <v>0.74732444597738823</v>
          </cell>
          <cell r="BS654">
            <v>0.73846328163848574</v>
          </cell>
          <cell r="BT654">
            <v>0.7152646969790919</v>
          </cell>
          <cell r="BU654">
            <v>0.83930942534890018</v>
          </cell>
          <cell r="BV654">
            <v>0.82680757504990909</v>
          </cell>
          <cell r="BY654" t="str">
            <v>500/0.7/6600</v>
          </cell>
          <cell r="BZ654">
            <v>2.2253925715955747E-2</v>
          </cell>
          <cell r="CA654">
            <v>2.199399768581678E-2</v>
          </cell>
        </row>
        <row r="655">
          <cell r="BN655" t="str">
            <v>500/0.9/6350</v>
          </cell>
          <cell r="BO655">
            <v>0.75560895148684581</v>
          </cell>
          <cell r="BP655">
            <v>0.78551762209353326</v>
          </cell>
          <cell r="BQ655">
            <v>0.7571182505209515</v>
          </cell>
          <cell r="BR655">
            <v>0.74680438131402649</v>
          </cell>
          <cell r="BS655">
            <v>0.73793983625245163</v>
          </cell>
          <cell r="BT655">
            <v>0.71488960510717614</v>
          </cell>
          <cell r="BU655">
            <v>0.83885222602849485</v>
          </cell>
          <cell r="BV655">
            <v>0.82644430041097017</v>
          </cell>
          <cell r="BY655" t="str">
            <v>500/0.7/6850</v>
          </cell>
          <cell r="BZ655">
            <v>2.2196271028479098E-2</v>
          </cell>
          <cell r="CA655">
            <v>2.1932674173077427E-2</v>
          </cell>
        </row>
        <row r="656">
          <cell r="BN656" t="str">
            <v>500/0.9/6600</v>
          </cell>
          <cell r="BO656">
            <v>0.75431660428963532</v>
          </cell>
          <cell r="BP656">
            <v>0.78501734442379012</v>
          </cell>
          <cell r="BQ656">
            <v>0.75582561404912019</v>
          </cell>
          <cell r="BR656">
            <v>0.74550371549017247</v>
          </cell>
          <cell r="BS656">
            <v>0.73663042342279195</v>
          </cell>
          <cell r="BT656">
            <v>0.71395187542738392</v>
          </cell>
          <cell r="BU656">
            <v>0.83771792976230897</v>
          </cell>
          <cell r="BV656">
            <v>0.82553994559413835</v>
          </cell>
          <cell r="BY656" t="str">
            <v>500/0.7/7500</v>
          </cell>
          <cell r="BZ656">
            <v>2.2046351648947304E-2</v>
          </cell>
          <cell r="CA656">
            <v>2.177553847297653E-2</v>
          </cell>
        </row>
        <row r="657">
          <cell r="BN657" t="str">
            <v>500/0.9/6850</v>
          </cell>
          <cell r="BO657">
            <v>0.75302425709242504</v>
          </cell>
          <cell r="BP657">
            <v>0.78451706675404664</v>
          </cell>
          <cell r="BQ657">
            <v>0.75453326685191013</v>
          </cell>
          <cell r="BR657">
            <v>0.74420646489641851</v>
          </cell>
          <cell r="BS657">
            <v>0.73542550090907999</v>
          </cell>
          <cell r="BT657">
            <v>0.71320406572298889</v>
          </cell>
          <cell r="BU657">
            <v>0.83658414437701267</v>
          </cell>
          <cell r="BV657">
            <v>0.824718596962147</v>
          </cell>
          <cell r="BY657" t="str">
            <v>500/0.7/8000</v>
          </cell>
          <cell r="BZ657">
            <v>2.1939820909529395E-2</v>
          </cell>
          <cell r="CA657">
            <v>2.1681879830133921E-2</v>
          </cell>
        </row>
        <row r="658">
          <cell r="BN658" t="str">
            <v>500/0.9/7500</v>
          </cell>
          <cell r="BO658">
            <v>0.75063749083741227</v>
          </cell>
          <cell r="BP658">
            <v>0.78321647537563555</v>
          </cell>
          <cell r="BQ658">
            <v>0.751935276040409</v>
          </cell>
          <cell r="BR658">
            <v>0.74084636218367095</v>
          </cell>
          <cell r="BS658">
            <v>0.73293862147354805</v>
          </cell>
          <cell r="BT658">
            <v>0.71177828017829536</v>
          </cell>
          <cell r="BU658">
            <v>0.83433345977545326</v>
          </cell>
          <cell r="BV658">
            <v>0.82294206453839935</v>
          </cell>
          <cell r="BY658" t="str">
            <v>500/0.7/9000</v>
          </cell>
          <cell r="BZ658">
            <v>2.1765658525290776E-2</v>
          </cell>
          <cell r="CA658">
            <v>2.1500141567500686E-2</v>
          </cell>
        </row>
        <row r="659">
          <cell r="BN659" t="str">
            <v>500/0.9/10000</v>
          </cell>
          <cell r="BO659">
            <v>0.74329991979360766</v>
          </cell>
          <cell r="BP659">
            <v>0.77971794987205645</v>
          </cell>
          <cell r="BQ659">
            <v>0.74446468343185934</v>
          </cell>
          <cell r="BR659">
            <v>0.73246009737697937</v>
          </cell>
          <cell r="BS659">
            <v>0.72529815323766633</v>
          </cell>
          <cell r="BT659">
            <v>0.70675424790646413</v>
          </cell>
          <cell r="BU659">
            <v>0.82801363455782218</v>
          </cell>
          <cell r="BV659">
            <v>0.81728148270102086</v>
          </cell>
          <cell r="BY659" t="str">
            <v>500/0.7/10000</v>
          </cell>
          <cell r="BZ659">
            <v>2.1605940880668806E-2</v>
          </cell>
          <cell r="CA659">
            <v>2.1342002524323167E-2</v>
          </cell>
        </row>
        <row r="660">
          <cell r="BN660" t="str">
            <v>500/0.9/99999</v>
          </cell>
          <cell r="BO660">
            <v>0.72014615754041889</v>
          </cell>
          <cell r="BP660">
            <v>0.77118379402920267</v>
          </cell>
          <cell r="BQ660">
            <v>0.72071679743710371</v>
          </cell>
          <cell r="BR660">
            <v>0.70821270720992302</v>
          </cell>
          <cell r="BS660">
            <v>0.70941481421807917</v>
          </cell>
          <cell r="BT660">
            <v>0.68958706741322007</v>
          </cell>
          <cell r="BU660">
            <v>0.80752841848844481</v>
          </cell>
          <cell r="BV660">
            <v>0.80278879337655618</v>
          </cell>
          <cell r="BY660" t="str">
            <v>500/0.7/99999</v>
          </cell>
          <cell r="BZ660">
            <v>1.9272570032564218E-2</v>
          </cell>
          <cell r="CA660">
            <v>1.9395484112118E-2</v>
          </cell>
        </row>
        <row r="661">
          <cell r="BY661" t="str">
            <v>750/0.7/750</v>
          </cell>
          <cell r="BZ661">
            <v>2.5656454598912193E-2</v>
          </cell>
          <cell r="CA661">
            <v>2.5745897161148834E-2</v>
          </cell>
        </row>
        <row r="662">
          <cell r="BN662" t="str">
            <v>750/0.9/1250</v>
          </cell>
          <cell r="BO662">
            <v>0.85734684220276491</v>
          </cell>
          <cell r="BP662">
            <v>0.8617618820468752</v>
          </cell>
          <cell r="BQ662">
            <v>0.86469733827287021</v>
          </cell>
          <cell r="BR662">
            <v>0.85780348365494119</v>
          </cell>
          <cell r="BS662">
            <v>0.8505825150835562</v>
          </cell>
          <cell r="BT662">
            <v>0.77365328743197914</v>
          </cell>
          <cell r="BU662">
            <v>0.89801477766824267</v>
          </cell>
          <cell r="BV662">
            <v>0.87872142344064152</v>
          </cell>
          <cell r="BY662" t="str">
            <v>750/0.7/1000</v>
          </cell>
          <cell r="BZ662">
            <v>2.5199738883872946E-2</v>
          </cell>
          <cell r="CA662">
            <v>2.5145340104815839E-2</v>
          </cell>
        </row>
        <row r="663">
          <cell r="BN663" t="str">
            <v>750/0.9/1500</v>
          </cell>
          <cell r="BO663">
            <v>0.83335521121468259</v>
          </cell>
          <cell r="BP663">
            <v>0.83892026550537602</v>
          </cell>
          <cell r="BQ663">
            <v>0.84007812206994703</v>
          </cell>
          <cell r="BR663">
            <v>0.83354639165651323</v>
          </cell>
          <cell r="BS663">
            <v>0.82455300572379275</v>
          </cell>
          <cell r="BT663">
            <v>0.75381772214450438</v>
          </cell>
          <cell r="BU663">
            <v>0.87628381645438858</v>
          </cell>
          <cell r="BV663">
            <v>0.85834032186466458</v>
          </cell>
          <cell r="BY663" t="str">
            <v>750/0.7/1250</v>
          </cell>
          <cell r="BZ663">
            <v>2.4808618683491046E-2</v>
          </cell>
          <cell r="CA663">
            <v>2.4700264367880198E-2</v>
          </cell>
        </row>
        <row r="664">
          <cell r="BN664" t="str">
            <v>750/0.9/1750</v>
          </cell>
          <cell r="BO664">
            <v>0.81697791461813907</v>
          </cell>
          <cell r="BQ664">
            <v>0.82333269856300628</v>
          </cell>
          <cell r="BR664">
            <v>0.81672799330482149</v>
          </cell>
          <cell r="BS664">
            <v>0.80674443595494894</v>
          </cell>
          <cell r="BT664">
            <v>0.73998189584485174</v>
          </cell>
          <cell r="BU664">
            <v>0.86441604359348334</v>
          </cell>
          <cell r="BV664">
            <v>0.84759627257942494</v>
          </cell>
          <cell r="BY664" t="str">
            <v>750/0.7/1500</v>
          </cell>
          <cell r="BZ664">
            <v>2.4498471199157157E-2</v>
          </cell>
          <cell r="CA664">
            <v>2.4348107599375668E-2</v>
          </cell>
        </row>
        <row r="665">
          <cell r="BN665" t="str">
            <v>750/0.9/2000</v>
          </cell>
          <cell r="BO665">
            <v>0.80060061802159543</v>
          </cell>
          <cell r="BP665">
            <v>0.81045560797275562</v>
          </cell>
          <cell r="BQ665">
            <v>0.80658727505606542</v>
          </cell>
          <cell r="BR665">
            <v>0.79990959495312963</v>
          </cell>
          <cell r="BS665">
            <v>0.78893586618610501</v>
          </cell>
          <cell r="BT665">
            <v>0.72614606954519911</v>
          </cell>
          <cell r="BU665">
            <v>0.85254827073257811</v>
          </cell>
          <cell r="BV665">
            <v>0.83685222329418529</v>
          </cell>
          <cell r="BY665" t="str">
            <v>750/0.7/1750</v>
          </cell>
          <cell r="BZ665">
            <v>2.4248609894713335E-2</v>
          </cell>
          <cell r="CA665">
            <v>2.4066423448323659E-2</v>
          </cell>
        </row>
        <row r="666">
          <cell r="BN666" t="str">
            <v>750/0.9/2250</v>
          </cell>
          <cell r="BO666">
            <v>0.78985468673036241</v>
          </cell>
          <cell r="BP666">
            <v>0.80228093340168538</v>
          </cell>
          <cell r="BQ666">
            <v>0.79530463907606375</v>
          </cell>
          <cell r="BR666">
            <v>0.78768374748034453</v>
          </cell>
          <cell r="BS666">
            <v>0.77694560915049937</v>
          </cell>
          <cell r="BT666">
            <v>0.71984268434746412</v>
          </cell>
          <cell r="BU666">
            <v>0.84631332981106422</v>
          </cell>
          <cell r="BV666">
            <v>0.83075487866954145</v>
          </cell>
          <cell r="BY666" t="str">
            <v>750/0.7/2000</v>
          </cell>
          <cell r="BZ666">
            <v>2.3998748590269514E-2</v>
          </cell>
          <cell r="CA666">
            <v>2.3784739297271651E-2</v>
          </cell>
        </row>
        <row r="667">
          <cell r="BN667" t="str">
            <v>750/0.9/2500</v>
          </cell>
          <cell r="BO667">
            <v>0.78218619265215328</v>
          </cell>
          <cell r="BP667">
            <v>0.79690284739161543</v>
          </cell>
          <cell r="BQ667">
            <v>0.78761265958748905</v>
          </cell>
          <cell r="BR667">
            <v>0.77998198657811779</v>
          </cell>
          <cell r="BS667">
            <v>0.76890488290722647</v>
          </cell>
          <cell r="BT667">
            <v>0.71438270401131598</v>
          </cell>
          <cell r="BU667">
            <v>0.84095674862403824</v>
          </cell>
          <cell r="BV667">
            <v>0.82537426833479166</v>
          </cell>
          <cell r="BY667" t="str">
            <v>750/0.7/2250</v>
          </cell>
          <cell r="BZ667">
            <v>2.3794602119619368E-2</v>
          </cell>
          <cell r="CA667">
            <v>2.3550002699910921E-2</v>
          </cell>
        </row>
        <row r="668">
          <cell r="BN668" t="str">
            <v>750/0.9/2750</v>
          </cell>
          <cell r="BO668">
            <v>0.77554829003947423</v>
          </cell>
          <cell r="BP668">
            <v>0.79215834873949897</v>
          </cell>
          <cell r="BQ668">
            <v>0.78063327441521602</v>
          </cell>
          <cell r="BR668">
            <v>0.77238949991034023</v>
          </cell>
          <cell r="BS668">
            <v>0.76180969120729713</v>
          </cell>
          <cell r="BT668">
            <v>0.71001832953693267</v>
          </cell>
          <cell r="BU668">
            <v>0.83652792538573684</v>
          </cell>
          <cell r="BV668">
            <v>0.8210077277569785</v>
          </cell>
          <cell r="BY668" t="str">
            <v>750/0.7/2500</v>
          </cell>
          <cell r="BZ668">
            <v>2.3607747416265257E-2</v>
          </cell>
          <cell r="CA668">
            <v>2.3334472705662801E-2</v>
          </cell>
        </row>
        <row r="669">
          <cell r="BN669" t="str">
            <v>750/0.9/3000</v>
          </cell>
          <cell r="BO669">
            <v>0.77022963143639744</v>
          </cell>
          <cell r="BP669">
            <v>0.78847088749521355</v>
          </cell>
          <cell r="BQ669">
            <v>0.77531165862719087</v>
          </cell>
          <cell r="BR669">
            <v>0.76651367747445498</v>
          </cell>
          <cell r="BS669">
            <v>0.75595977589253416</v>
          </cell>
          <cell r="BT669">
            <v>0.70632385143847309</v>
          </cell>
          <cell r="BU669">
            <v>0.83278260616491273</v>
          </cell>
          <cell r="BV669">
            <v>0.81713751951007829</v>
          </cell>
          <cell r="BY669" t="str">
            <v>750/0.7/2750</v>
          </cell>
          <cell r="BZ669">
            <v>2.3437923900544888E-2</v>
          </cell>
          <cell r="CA669">
            <v>2.3139770596313447E-2</v>
          </cell>
        </row>
        <row r="670">
          <cell r="BN670" t="str">
            <v>750/0.9/3250</v>
          </cell>
          <cell r="BO670">
            <v>0.76591061189252141</v>
          </cell>
          <cell r="BP670">
            <v>0.78561677870510027</v>
          </cell>
          <cell r="BQ670">
            <v>0.77087151065901327</v>
          </cell>
          <cell r="BR670">
            <v>0.7615681687768785</v>
          </cell>
          <cell r="BS670">
            <v>0.7510637543956411</v>
          </cell>
          <cell r="BT670">
            <v>0.70352242084874583</v>
          </cell>
          <cell r="BU670">
            <v>0.8296495782299147</v>
          </cell>
          <cell r="BV670">
            <v>0.81387705712820102</v>
          </cell>
          <cell r="BY670" t="str">
            <v>750/0.7/3000</v>
          </cell>
          <cell r="BZ670">
            <v>2.3281738478614145E-2</v>
          </cell>
          <cell r="CA670">
            <v>2.29561564861267E-2</v>
          </cell>
        </row>
        <row r="671">
          <cell r="BN671" t="str">
            <v>750/0.9/3500</v>
          </cell>
          <cell r="BO671">
            <v>0.76159159234864549</v>
          </cell>
          <cell r="BP671">
            <v>0.782762669914987</v>
          </cell>
          <cell r="BQ671">
            <v>0.76643136269083567</v>
          </cell>
          <cell r="BR671">
            <v>0.7566226600793019</v>
          </cell>
          <cell r="BS671">
            <v>0.74616773289874794</v>
          </cell>
          <cell r="BT671">
            <v>0.70072099025901846</v>
          </cell>
          <cell r="BU671">
            <v>0.82651655029491655</v>
          </cell>
          <cell r="BV671">
            <v>0.81061659474632375</v>
          </cell>
          <cell r="BY671" t="str">
            <v>750/0.7/3250</v>
          </cell>
          <cell r="BZ671">
            <v>2.3141308080497192E-2</v>
          </cell>
          <cell r="CA671">
            <v>2.2801424741580534E-2</v>
          </cell>
        </row>
        <row r="672">
          <cell r="BN672" t="str">
            <v>750/0.9/3750</v>
          </cell>
          <cell r="BO672">
            <v>0.75825229973121466</v>
          </cell>
          <cell r="BP672">
            <v>0.78062138459065689</v>
          </cell>
          <cell r="BQ672">
            <v>0.76300467182503429</v>
          </cell>
          <cell r="BR672">
            <v>0.75285990556398352</v>
          </cell>
          <cell r="BS672">
            <v>0.74238397577188198</v>
          </cell>
          <cell r="BT672">
            <v>0.69855622712217103</v>
          </cell>
          <cell r="BU672">
            <v>0.82401224501823045</v>
          </cell>
          <cell r="BV672">
            <v>0.80805979168939279</v>
          </cell>
          <cell r="BY672" t="str">
            <v>750/0.7/3500</v>
          </cell>
          <cell r="BZ672">
            <v>2.3000877682380239E-2</v>
          </cell>
          <cell r="CA672">
            <v>2.2646692997034368E-2</v>
          </cell>
        </row>
        <row r="673">
          <cell r="BN673" t="str">
            <v>750/0.9/4000</v>
          </cell>
          <cell r="BO673">
            <v>0.75491300711378373</v>
          </cell>
          <cell r="BP673">
            <v>0.77848009926632666</v>
          </cell>
          <cell r="BQ673">
            <v>0.7595779809592329</v>
          </cell>
          <cell r="BR673">
            <v>0.74909715104866503</v>
          </cell>
          <cell r="BS673">
            <v>0.73860021864501613</v>
          </cell>
          <cell r="BT673">
            <v>0.69639146398532359</v>
          </cell>
          <cell r="BU673">
            <v>0.82150793974154435</v>
          </cell>
          <cell r="BV673">
            <v>0.80550298863246195</v>
          </cell>
          <cell r="BY673" t="str">
            <v>750/0.7/3750</v>
          </cell>
          <cell r="BZ673">
            <v>2.2876259543593291E-2</v>
          </cell>
          <cell r="CA673">
            <v>2.2512205143298658E-2</v>
          </cell>
        </row>
        <row r="674">
          <cell r="BN674" t="str">
            <v>750/0.9/4250</v>
          </cell>
          <cell r="BO674">
            <v>0.75193551769905187</v>
          </cell>
          <cell r="BP674">
            <v>0.77655218610369658</v>
          </cell>
          <cell r="BQ674">
            <v>0.75648899344903797</v>
          </cell>
          <cell r="BR674">
            <v>0.74593256754453596</v>
          </cell>
          <cell r="BS674">
            <v>0.73546649221769467</v>
          </cell>
          <cell r="BT674">
            <v>0.69450149313025522</v>
          </cell>
          <cell r="BU674">
            <v>0.81926533969353099</v>
          </cell>
          <cell r="BV674">
            <v>0.80351919110418013</v>
          </cell>
          <cell r="BY674" t="str">
            <v>750/0.7/4000</v>
          </cell>
          <cell r="BZ674">
            <v>2.2751641404806344E-2</v>
          </cell>
          <cell r="CA674">
            <v>2.2377717289562948E-2</v>
          </cell>
        </row>
        <row r="675">
          <cell r="BN675" t="str">
            <v>750/0.9/4500</v>
          </cell>
          <cell r="BO675">
            <v>0.7489580282843199</v>
          </cell>
          <cell r="BP675">
            <v>0.77462427294106651</v>
          </cell>
          <cell r="BQ675">
            <v>0.75340000593884315</v>
          </cell>
          <cell r="BR675">
            <v>0.74276798404040689</v>
          </cell>
          <cell r="BS675">
            <v>0.73233276579037321</v>
          </cell>
          <cell r="BT675">
            <v>0.69261152227518685</v>
          </cell>
          <cell r="BU675">
            <v>0.81702273964551775</v>
          </cell>
          <cell r="BV675">
            <v>0.80153539357589831</v>
          </cell>
          <cell r="BY675" t="str">
            <v>750/0.7/4250</v>
          </cell>
          <cell r="BZ675">
            <v>2.2628620283144718E-2</v>
          </cell>
          <cell r="CA675">
            <v>2.226507393680377E-2</v>
          </cell>
        </row>
        <row r="676">
          <cell r="BN676" t="str">
            <v>750/0.9/4750</v>
          </cell>
          <cell r="BO676">
            <v>0.74692107642887362</v>
          </cell>
          <cell r="BP676">
            <v>0.77332260830677568</v>
          </cell>
          <cell r="BQ676">
            <v>0.751358884276353</v>
          </cell>
          <cell r="BR676">
            <v>0.74008979791888319</v>
          </cell>
          <cell r="BS676">
            <v>0.72959226646762687</v>
          </cell>
          <cell r="BT676">
            <v>0.69117363404832577</v>
          </cell>
          <cell r="BU676">
            <v>0.81542658815562519</v>
          </cell>
          <cell r="BV676">
            <v>0.79959060244617741</v>
          </cell>
          <cell r="BY676" t="str">
            <v>750/0.7/4500</v>
          </cell>
          <cell r="BZ676">
            <v>2.2505599161483092E-2</v>
          </cell>
          <cell r="CA676">
            <v>2.2152430584044591E-2</v>
          </cell>
        </row>
        <row r="677">
          <cell r="BN677" t="str">
            <v>750/0.9/5000</v>
          </cell>
          <cell r="BO677">
            <v>0.74488412457342734</v>
          </cell>
          <cell r="BP677">
            <v>0.77202094367248486</v>
          </cell>
          <cell r="BQ677">
            <v>0.74931776261386274</v>
          </cell>
          <cell r="BR677">
            <v>0.73741161179735937</v>
          </cell>
          <cell r="BS677">
            <v>0.72685176714488064</v>
          </cell>
          <cell r="BT677">
            <v>0.68973574582146469</v>
          </cell>
          <cell r="BU677">
            <v>0.81383043666573263</v>
          </cell>
          <cell r="BV677">
            <v>0.79764581131645651</v>
          </cell>
          <cell r="BY677" t="str">
            <v>750/0.7/4750</v>
          </cell>
          <cell r="BZ677">
            <v>2.2416881374763942E-2</v>
          </cell>
          <cell r="CA677">
            <v>2.2060652502788214E-2</v>
          </cell>
        </row>
        <row r="678">
          <cell r="BN678" t="str">
            <v>750/0.9/5250</v>
          </cell>
          <cell r="BO678">
            <v>0.74315417662954875</v>
          </cell>
          <cell r="BP678">
            <v>0.77126518628221308</v>
          </cell>
          <cell r="BQ678">
            <v>0.74758818378817582</v>
          </cell>
          <cell r="BR678">
            <v>0.73568316897897534</v>
          </cell>
          <cell r="BS678">
            <v>0.72535199861336674</v>
          </cell>
          <cell r="BT678">
            <v>0.68860937463338923</v>
          </cell>
          <cell r="BU678">
            <v>0.81228597626235355</v>
          </cell>
          <cell r="BV678">
            <v>0.79645368204104328</v>
          </cell>
          <cell r="BY678" t="str">
            <v>750/0.7/5000</v>
          </cell>
          <cell r="BZ678">
            <v>2.2328163588044792E-2</v>
          </cell>
          <cell r="CA678">
            <v>2.1968874421531837E-2</v>
          </cell>
        </row>
        <row r="679">
          <cell r="BN679" t="str">
            <v>750/0.9/5500</v>
          </cell>
          <cell r="BO679">
            <v>0.74142422868567015</v>
          </cell>
          <cell r="BP679">
            <v>0.77050942889194129</v>
          </cell>
          <cell r="BQ679">
            <v>0.7458586049624889</v>
          </cell>
          <cell r="BR679">
            <v>0.73395472616059121</v>
          </cell>
          <cell r="BS679">
            <v>0.72385223008185295</v>
          </cell>
          <cell r="BT679">
            <v>0.68748300344531366</v>
          </cell>
          <cell r="BU679">
            <v>0.81074151585897458</v>
          </cell>
          <cell r="BV679">
            <v>0.79526155276562993</v>
          </cell>
          <cell r="BY679" t="str">
            <v>750/0.7/5250</v>
          </cell>
          <cell r="BZ679">
            <v>2.224718945414994E-2</v>
          </cell>
          <cell r="CA679">
            <v>2.1885894806463413E-2</v>
          </cell>
        </row>
        <row r="680">
          <cell r="BN680" t="str">
            <v>750/0.9/5750</v>
          </cell>
          <cell r="BO680">
            <v>0.7401047422278868</v>
          </cell>
          <cell r="BP680">
            <v>0.76975367150166929</v>
          </cell>
          <cell r="BQ680">
            <v>0.74446519747974693</v>
          </cell>
          <cell r="BR680">
            <v>0.73222436808349056</v>
          </cell>
          <cell r="BS680">
            <v>0.72280829819338899</v>
          </cell>
          <cell r="BT680">
            <v>0.6865430493558291</v>
          </cell>
          <cell r="BU680">
            <v>0.8094882764725666</v>
          </cell>
          <cell r="BV680">
            <v>0.79413349967645286</v>
          </cell>
          <cell r="BY680" t="str">
            <v>750/0.7/5500</v>
          </cell>
          <cell r="BZ680">
            <v>2.2166215320255089E-2</v>
          </cell>
          <cell r="CA680">
            <v>2.1802915191394989E-2</v>
          </cell>
        </row>
        <row r="681">
          <cell r="BN681" t="str">
            <v>750/0.9/6000</v>
          </cell>
          <cell r="BO681">
            <v>0.73878525577010346</v>
          </cell>
          <cell r="BP681">
            <v>0.76899791411139717</v>
          </cell>
          <cell r="BQ681">
            <v>0.74307178999700485</v>
          </cell>
          <cell r="BR681">
            <v>0.73049401000638992</v>
          </cell>
          <cell r="BS681">
            <v>0.72176436630492513</v>
          </cell>
          <cell r="BT681">
            <v>0.68560309526634444</v>
          </cell>
          <cell r="BU681">
            <v>0.80823503708615863</v>
          </cell>
          <cell r="BV681">
            <v>0.79300544658727579</v>
          </cell>
          <cell r="BY681" t="str">
            <v>750/0.7/5750</v>
          </cell>
          <cell r="BZ681">
            <v>2.2085026025005172E-2</v>
          </cell>
          <cell r="CA681">
            <v>2.1726330245014358E-2</v>
          </cell>
        </row>
        <row r="682">
          <cell r="BN682" t="str">
            <v>750/0.9/6250</v>
          </cell>
          <cell r="BO682">
            <v>0.73748492089850159</v>
          </cell>
          <cell r="BP682">
            <v>0.76824215672112539</v>
          </cell>
          <cell r="BQ682">
            <v>0.74177178582955106</v>
          </cell>
          <cell r="BR682">
            <v>0.7288866597373056</v>
          </cell>
          <cell r="BS682">
            <v>0.72081560174633375</v>
          </cell>
          <cell r="BT682">
            <v>0.684665365586553</v>
          </cell>
          <cell r="BU682">
            <v>0.80709377554134432</v>
          </cell>
          <cell r="BV682">
            <v>0.79192151603843119</v>
          </cell>
          <cell r="BY682" t="str">
            <v>750/0.7/6000</v>
          </cell>
          <cell r="BZ682">
            <v>2.2003836729755255E-2</v>
          </cell>
          <cell r="CA682">
            <v>2.1649745298633727E-2</v>
          </cell>
        </row>
        <row r="683">
          <cell r="BN683" t="str">
            <v>750/0.9/6350</v>
          </cell>
          <cell r="BO683">
            <v>0.73696456826424594</v>
          </cell>
          <cell r="BP683">
            <v>0.76798144531565093</v>
          </cell>
          <cell r="BQ683">
            <v>0.74125156978379969</v>
          </cell>
          <cell r="BR683">
            <v>0.72836686405972184</v>
          </cell>
          <cell r="BS683">
            <v>0.72043586422986794</v>
          </cell>
          <cell r="BT683">
            <v>0.68429027371463746</v>
          </cell>
          <cell r="BU683">
            <v>0.80663694411910647</v>
          </cell>
          <cell r="BV683">
            <v>0.79155811243557317</v>
          </cell>
          <cell r="BY683" t="str">
            <v>750/0.7/6250</v>
          </cell>
          <cell r="BZ683">
            <v>2.1922707811570463E-2</v>
          </cell>
          <cell r="CA683">
            <v>2.1573452786245007E-2</v>
          </cell>
        </row>
        <row r="684">
          <cell r="BN684" t="str">
            <v>750/0.9/6600</v>
          </cell>
          <cell r="BO684">
            <v>0.73566783102375255</v>
          </cell>
          <cell r="BP684">
            <v>0.7674811676459079</v>
          </cell>
          <cell r="BQ684">
            <v>0.73995091099020904</v>
          </cell>
          <cell r="BR684">
            <v>0.72706687205596621</v>
          </cell>
          <cell r="BS684">
            <v>0.71948594120612863</v>
          </cell>
          <cell r="BT684">
            <v>0.68335254403484424</v>
          </cell>
          <cell r="BU684">
            <v>0.80549535240510228</v>
          </cell>
          <cell r="BV684">
            <v>0.79065060134194154</v>
          </cell>
          <cell r="BY684" t="str">
            <v>750/0.7/6350</v>
          </cell>
          <cell r="BZ684">
            <v>2.1892850670337083E-2</v>
          </cell>
          <cell r="CA684">
            <v>2.1548332441259088E-2</v>
          </cell>
        </row>
        <row r="685">
          <cell r="BN685" t="str">
            <v>750/0.9/6850</v>
          </cell>
          <cell r="BO685">
            <v>0.73437548382654116</v>
          </cell>
          <cell r="BP685">
            <v>0.76698088997616454</v>
          </cell>
          <cell r="BQ685">
            <v>0.73865856379299777</v>
          </cell>
          <cell r="BR685">
            <v>0.72576616175250497</v>
          </cell>
          <cell r="BS685">
            <v>0.71853519070728522</v>
          </cell>
          <cell r="BT685">
            <v>0.6824148143550528</v>
          </cell>
          <cell r="BU685">
            <v>0.80436181775863325</v>
          </cell>
          <cell r="BV685">
            <v>0.78974661440352723</v>
          </cell>
          <cell r="BY685" t="str">
            <v>750/0.7/6600</v>
          </cell>
          <cell r="BZ685">
            <v>2.1835265836321005E-2</v>
          </cell>
          <cell r="CA685">
            <v>2.14877208137918E-2</v>
          </cell>
        </row>
        <row r="686">
          <cell r="BN686" t="str">
            <v>750/0.9/7500</v>
          </cell>
          <cell r="BO686">
            <v>0.73150367217429235</v>
          </cell>
          <cell r="BP686">
            <v>0.76568025102602821</v>
          </cell>
          <cell r="BQ686">
            <v>0.73557518685751133</v>
          </cell>
          <cell r="BR686">
            <v>0.72311327986496199</v>
          </cell>
          <cell r="BS686">
            <v>0.71647975110701922</v>
          </cell>
          <cell r="BT686">
            <v>0.6808285332240307</v>
          </cell>
          <cell r="BU686">
            <v>0.80156514475027285</v>
          </cell>
          <cell r="BV686">
            <v>0.78780733827010074</v>
          </cell>
          <cell r="BY686" t="str">
            <v>750/0.7/6850</v>
          </cell>
          <cell r="BZ686">
            <v>2.1777639322938525E-2</v>
          </cell>
          <cell r="CA686">
            <v>2.1426696276296342E-2</v>
          </cell>
        </row>
        <row r="687">
          <cell r="BN687" t="str">
            <v>750/0.9/10000</v>
          </cell>
          <cell r="BO687">
            <v>0.72423473373676139</v>
          </cell>
          <cell r="BP687">
            <v>0.76196833197700509</v>
          </cell>
          <cell r="BQ687">
            <v>0.72801774776123374</v>
          </cell>
          <cell r="BR687">
            <v>0.71665622157412512</v>
          </cell>
          <cell r="BS687">
            <v>0.71070109032512419</v>
          </cell>
          <cell r="BT687">
            <v>0.67563761503862885</v>
          </cell>
          <cell r="BU687">
            <v>0.79513760184302007</v>
          </cell>
          <cell r="BV687">
            <v>0.78183217339321631</v>
          </cell>
          <cell r="BY687" t="str">
            <v>750/0.7/7500</v>
          </cell>
          <cell r="BZ687">
            <v>2.1627615328711158E-2</v>
          </cell>
          <cell r="CA687">
            <v>2.1266259952973599E-2</v>
          </cell>
        </row>
        <row r="688">
          <cell r="BN688" t="str">
            <v>750/0.9/99999</v>
          </cell>
          <cell r="BO688">
            <v>0.70576867657330289</v>
          </cell>
          <cell r="BP688">
            <v>0.75318625552195362</v>
          </cell>
          <cell r="BQ688">
            <v>0.70835659439555232</v>
          </cell>
          <cell r="BR688">
            <v>0.69390912831520279</v>
          </cell>
          <cell r="BS688">
            <v>0.69454634145518135</v>
          </cell>
          <cell r="BT688">
            <v>0.65814640069279295</v>
          </cell>
          <cell r="BU688">
            <v>0.77381663356229591</v>
          </cell>
          <cell r="BV688">
            <v>0.76674173700307247</v>
          </cell>
          <cell r="BY688" t="str">
            <v>750/0.7/8000</v>
          </cell>
          <cell r="BZ688">
            <v>2.1512747852493463E-2</v>
          </cell>
          <cell r="CA688">
            <v>2.1164802758597778E-2</v>
          </cell>
        </row>
        <row r="689">
          <cell r="BY689" t="str">
            <v>750/0.7/9000</v>
          </cell>
          <cell r="BZ689">
            <v>2.1336556252001815E-2</v>
          </cell>
          <cell r="CA689">
            <v>2.0983822290216336E-2</v>
          </cell>
        </row>
        <row r="690">
          <cell r="BN690" t="str">
            <v>1000/0.9/1500</v>
          </cell>
          <cell r="BO690">
            <v>0.8372639563157791</v>
          </cell>
          <cell r="BP690">
            <v>0.84402684352929414</v>
          </cell>
          <cell r="BQ690">
            <v>0.847248892511414</v>
          </cell>
          <cell r="BR690">
            <v>0.83777217100880352</v>
          </cell>
          <cell r="BS690">
            <v>0.82868065099373067</v>
          </cell>
          <cell r="BT690">
            <v>0.73373848328358959</v>
          </cell>
          <cell r="BU690">
            <v>0.85755730612382386</v>
          </cell>
          <cell r="BV690">
            <v>0.84071519694328289</v>
          </cell>
          <cell r="BY690" t="str">
            <v>750/0.7/10000</v>
          </cell>
          <cell r="BZ690">
            <v>2.117022277337588E-2</v>
          </cell>
          <cell r="CA690">
            <v>2.0819170337464499E-2</v>
          </cell>
        </row>
        <row r="691">
          <cell r="BN691" t="str">
            <v>1000/0.9/1750</v>
          </cell>
          <cell r="BO691">
            <v>0.81566392262246068</v>
          </cell>
          <cell r="BP691">
            <v>0.8237644898441171</v>
          </cell>
          <cell r="BQ691">
            <v>0.82505457469774512</v>
          </cell>
          <cell r="BR691">
            <v>0.81583010802125</v>
          </cell>
          <cell r="BS691">
            <v>0.80511321846605921</v>
          </cell>
          <cell r="BT691">
            <v>0.71949675038148841</v>
          </cell>
          <cell r="BU691">
            <v>0.84416989946039278</v>
          </cell>
          <cell r="BV691">
            <v>0.82611508059804306</v>
          </cell>
          <cell r="BY691" t="str">
            <v>750/0.7/99999</v>
          </cell>
          <cell r="BZ691">
            <v>1.8808954672205447E-2</v>
          </cell>
          <cell r="CA691">
            <v>1.885291836935421E-2</v>
          </cell>
        </row>
        <row r="692">
          <cell r="BN692" t="str">
            <v>1000/0.9/2000</v>
          </cell>
          <cell r="BO692">
            <v>0.79406388892914226</v>
          </cell>
          <cell r="BP692">
            <v>0.80350213615894006</v>
          </cell>
          <cell r="BQ692">
            <v>0.80286025688407614</v>
          </cell>
          <cell r="BR692">
            <v>0.79388804503369648</v>
          </cell>
          <cell r="BS692">
            <v>0.78154578593838786</v>
          </cell>
          <cell r="BT692">
            <v>0.70525501747938713</v>
          </cell>
          <cell r="BU692">
            <v>0.83078249279696159</v>
          </cell>
          <cell r="BV692">
            <v>0.81151496425280312</v>
          </cell>
          <cell r="BY692" t="str">
            <v>1000/0.7/1000</v>
          </cell>
          <cell r="BZ692">
            <v>2.5085534951506672E-2</v>
          </cell>
          <cell r="CA692">
            <v>2.5060374216841597E-2</v>
          </cell>
        </row>
        <row r="693">
          <cell r="BN693" t="str">
            <v>1000/0.9/2250</v>
          </cell>
          <cell r="BO693">
            <v>0.78149075779157118</v>
          </cell>
          <cell r="BP693">
            <v>0.79387174579783359</v>
          </cell>
          <cell r="BQ693">
            <v>0.79008191606118594</v>
          </cell>
          <cell r="BR693">
            <v>0.78099410469167119</v>
          </cell>
          <cell r="BS693">
            <v>0.76833363643156649</v>
          </cell>
          <cell r="BT693">
            <v>0.69772981064339656</v>
          </cell>
          <cell r="BU693">
            <v>0.82155212134868794</v>
          </cell>
          <cell r="BV693">
            <v>0.80317485135350131</v>
          </cell>
          <cell r="BY693" t="str">
            <v>1000/0.7/1250</v>
          </cell>
          <cell r="BZ693">
            <v>2.4683335768777681E-2</v>
          </cell>
          <cell r="CA693">
            <v>2.4511892579518468E-2</v>
          </cell>
        </row>
        <row r="694">
          <cell r="BN694" t="str">
            <v>1000/0.9/2500</v>
          </cell>
          <cell r="BO694">
            <v>0.77103714610166418</v>
          </cell>
          <cell r="BP694">
            <v>0.78588492047414571</v>
          </cell>
          <cell r="BQ694">
            <v>0.77907078601350688</v>
          </cell>
          <cell r="BR694">
            <v>0.76908070522655447</v>
          </cell>
          <cell r="BS694">
            <v>0.7566754235754688</v>
          </cell>
          <cell r="BT694">
            <v>0.69179145913014173</v>
          </cell>
          <cell r="BU694">
            <v>0.8155682876526672</v>
          </cell>
          <cell r="BV694">
            <v>0.79725228106875079</v>
          </cell>
          <cell r="BY694" t="str">
            <v>1000/0.7/1500</v>
          </cell>
          <cell r="BZ694">
            <v>2.4322502515761846E-2</v>
          </cell>
          <cell r="CA694">
            <v>2.4092515600830033E-2</v>
          </cell>
        </row>
        <row r="695">
          <cell r="BN695" t="str">
            <v>1000/0.9/2750</v>
          </cell>
          <cell r="BO695">
            <v>0.76340334762789219</v>
          </cell>
          <cell r="BP695">
            <v>0.78061713453691772</v>
          </cell>
          <cell r="BQ695">
            <v>0.7714103990759027</v>
          </cell>
          <cell r="BR695">
            <v>0.76139198783267159</v>
          </cell>
          <cell r="BS695">
            <v>0.74878509607025623</v>
          </cell>
          <cell r="BT695">
            <v>0.6864846758145674</v>
          </cell>
          <cell r="BU695">
            <v>0.81023761742076728</v>
          </cell>
          <cell r="BV695">
            <v>0.79192093106316708</v>
          </cell>
          <cell r="BY695" t="str">
            <v>1000/0.7/1750</v>
          </cell>
          <cell r="BZ695">
            <v>2.4047020419790233E-2</v>
          </cell>
          <cell r="CA695">
            <v>2.377820741942438E-2</v>
          </cell>
        </row>
        <row r="696">
          <cell r="BN696" t="str">
            <v>1000/0.9/3000</v>
          </cell>
          <cell r="BO696">
            <v>0.75693491493927545</v>
          </cell>
          <cell r="BP696">
            <v>0.77594737274738601</v>
          </cell>
          <cell r="BQ696">
            <v>0.76458981689748295</v>
          </cell>
          <cell r="BR696">
            <v>0.75383707997881666</v>
          </cell>
          <cell r="BS696">
            <v>0.74170521116280796</v>
          </cell>
          <cell r="BT696">
            <v>0.68215499186507778</v>
          </cell>
          <cell r="BU696">
            <v>0.80591105947578023</v>
          </cell>
          <cell r="BV696">
            <v>0.78757519678739618</v>
          </cell>
          <cell r="BY696" t="str">
            <v>1000/0.7/2000</v>
          </cell>
          <cell r="BZ696">
            <v>2.377153832381862E-2</v>
          </cell>
          <cell r="CA696">
            <v>2.3463899238018726E-2</v>
          </cell>
        </row>
        <row r="697">
          <cell r="BN697" t="str">
            <v>1000/0.9/3250</v>
          </cell>
          <cell r="BO697">
            <v>0.75192260916213671</v>
          </cell>
          <cell r="BP697">
            <v>0.77251595714488686</v>
          </cell>
          <cell r="BQ697">
            <v>0.75945127817028701</v>
          </cell>
          <cell r="BR697">
            <v>0.74833693455261474</v>
          </cell>
          <cell r="BS697">
            <v>0.73614833362051202</v>
          </cell>
          <cell r="BT697">
            <v>0.67886417310636826</v>
          </cell>
          <cell r="BU697">
            <v>0.80234966504667038</v>
          </cell>
          <cell r="BV697">
            <v>0.7838655904067835</v>
          </cell>
          <cell r="BY697" t="str">
            <v>1000/0.7/2250</v>
          </cell>
          <cell r="BZ697">
            <v>2.354706233121262E-2</v>
          </cell>
          <cell r="CA697">
            <v>2.3208921088884615E-2</v>
          </cell>
        </row>
        <row r="698">
          <cell r="BN698" t="str">
            <v>1000/0.9/3500</v>
          </cell>
          <cell r="BO698">
            <v>0.74691030338499786</v>
          </cell>
          <cell r="BP698">
            <v>0.7690845415423877</v>
          </cell>
          <cell r="BQ698">
            <v>0.75431273944309107</v>
          </cell>
          <cell r="BR698">
            <v>0.74283678912641282</v>
          </cell>
          <cell r="BS698">
            <v>0.73059145607821607</v>
          </cell>
          <cell r="BT698">
            <v>0.67557335434765864</v>
          </cell>
          <cell r="BU698">
            <v>0.79878827061756053</v>
          </cell>
          <cell r="BV698">
            <v>0.78015598402617081</v>
          </cell>
          <cell r="BY698" t="str">
            <v>1000/0.7/2500</v>
          </cell>
          <cell r="BZ698">
            <v>2.3348390950326037E-2</v>
          </cell>
          <cell r="CA698">
            <v>2.2980300875738324E-2</v>
          </cell>
        </row>
        <row r="699">
          <cell r="BN699" t="str">
            <v>1000/0.9/3750</v>
          </cell>
          <cell r="BO699">
            <v>0.74324574570692348</v>
          </cell>
          <cell r="BP699">
            <v>0.76671321863776798</v>
          </cell>
          <cell r="BQ699">
            <v>0.75055856728955317</v>
          </cell>
          <cell r="BR699">
            <v>0.73869142079771821</v>
          </cell>
          <cell r="BS699">
            <v>0.72688842684270871</v>
          </cell>
          <cell r="BT699">
            <v>0.67321570876669057</v>
          </cell>
          <cell r="BU699">
            <v>0.79600123111198884</v>
          </cell>
          <cell r="BV699">
            <v>0.77742089915598056</v>
          </cell>
          <cell r="BY699" t="str">
            <v>1000/0.7/2750</v>
          </cell>
          <cell r="BZ699">
            <v>2.3166831768374863E-2</v>
          </cell>
          <cell r="CA699">
            <v>2.276810044177946E-2</v>
          </cell>
        </row>
        <row r="700">
          <cell r="BN700" t="str">
            <v>1000/0.9/4000</v>
          </cell>
          <cell r="BO700">
            <v>0.7395811880288492</v>
          </cell>
          <cell r="BP700">
            <v>0.76434189573314826</v>
          </cell>
          <cell r="BQ700">
            <v>0.74680439513601526</v>
          </cell>
          <cell r="BR700">
            <v>0.7345460524690236</v>
          </cell>
          <cell r="BS700">
            <v>0.72318539760720124</v>
          </cell>
          <cell r="BT700">
            <v>0.67085806318572239</v>
          </cell>
          <cell r="BU700">
            <v>0.79321419160641704</v>
          </cell>
          <cell r="BV700">
            <v>0.77468581428579042</v>
          </cell>
          <cell r="BY700" t="str">
            <v>1000/0.7/3000</v>
          </cell>
          <cell r="BZ700">
            <v>2.3001086699194095E-2</v>
          </cell>
          <cell r="CA700">
            <v>2.2580243750993434E-2</v>
          </cell>
        </row>
        <row r="701">
          <cell r="BN701" t="str">
            <v>1000/0.9/4250</v>
          </cell>
          <cell r="BO701">
            <v>0.73650007613271429</v>
          </cell>
          <cell r="BP701">
            <v>0.76242007802707912</v>
          </cell>
          <cell r="BQ701">
            <v>0.74372090153961912</v>
          </cell>
          <cell r="BR701">
            <v>0.73109890614149142</v>
          </cell>
          <cell r="BS701">
            <v>0.7206890089117326</v>
          </cell>
          <cell r="BT701">
            <v>0.66873461815246305</v>
          </cell>
          <cell r="BU701">
            <v>0.79097346445492189</v>
          </cell>
          <cell r="BV701">
            <v>0.77241218597216721</v>
          </cell>
          <cell r="BY701" t="str">
            <v>1000/0.7/3250</v>
          </cell>
          <cell r="BZ701">
            <v>2.2853251343861292E-2</v>
          </cell>
          <cell r="CA701">
            <v>2.2407824206101989E-2</v>
          </cell>
        </row>
        <row r="702">
          <cell r="BN702" t="str">
            <v>1000/0.9/4500</v>
          </cell>
          <cell r="BO702">
            <v>0.73341896423657937</v>
          </cell>
          <cell r="BP702">
            <v>0.76049826032100987</v>
          </cell>
          <cell r="BQ702">
            <v>0.74063740794322308</v>
          </cell>
          <cell r="BR702">
            <v>0.72765175981395924</v>
          </cell>
          <cell r="BS702">
            <v>0.71819262021626395</v>
          </cell>
          <cell r="BT702">
            <v>0.6666111731192037</v>
          </cell>
          <cell r="BU702">
            <v>0.78873273730342675</v>
          </cell>
          <cell r="BV702">
            <v>0.770138557658544</v>
          </cell>
          <cell r="BY702" t="str">
            <v>1000/0.7/3500</v>
          </cell>
          <cell r="BZ702">
            <v>2.2705415988528488E-2</v>
          </cell>
          <cell r="CA702">
            <v>2.2235404661210545E-2</v>
          </cell>
        </row>
        <row r="703">
          <cell r="BN703" t="str">
            <v>1000/0.9/4750</v>
          </cell>
          <cell r="BO703">
            <v>0.73085384512265394</v>
          </cell>
          <cell r="BP703">
            <v>0.75864255302593864</v>
          </cell>
          <cell r="BQ703">
            <v>0.73795470388483775</v>
          </cell>
          <cell r="BR703">
            <v>0.72505489467541095</v>
          </cell>
          <cell r="BS703">
            <v>0.71595711357151726</v>
          </cell>
          <cell r="BT703">
            <v>0.66500044080308052</v>
          </cell>
          <cell r="BU703">
            <v>0.78679654641009544</v>
          </cell>
          <cell r="BV703">
            <v>0.76820489292772043</v>
          </cell>
          <cell r="BY703" t="str">
            <v>1000/0.7/3750</v>
          </cell>
          <cell r="BZ703">
            <v>2.2576631168145345E-2</v>
          </cell>
          <cell r="CA703">
            <v>2.210128687305557E-2</v>
          </cell>
        </row>
        <row r="704">
          <cell r="BN704" t="str">
            <v>1000/0.9/5000</v>
          </cell>
          <cell r="BO704">
            <v>0.72828872600872852</v>
          </cell>
          <cell r="BP704">
            <v>0.75678684573086741</v>
          </cell>
          <cell r="BQ704">
            <v>0.7352719998264523</v>
          </cell>
          <cell r="BR704">
            <v>0.72245802953686267</v>
          </cell>
          <cell r="BS704">
            <v>0.71372160692677045</v>
          </cell>
          <cell r="BT704">
            <v>0.66338970848695733</v>
          </cell>
          <cell r="BU704">
            <v>0.78486035551676403</v>
          </cell>
          <cell r="BV704">
            <v>0.76627122819689686</v>
          </cell>
          <cell r="BY704" t="str">
            <v>1000/0.7/4000</v>
          </cell>
          <cell r="BZ704">
            <v>2.2447846347762201E-2</v>
          </cell>
          <cell r="CA704">
            <v>2.1967169084900595E-2</v>
          </cell>
        </row>
        <row r="705">
          <cell r="BN705" t="str">
            <v>1000/0.9/5250</v>
          </cell>
          <cell r="BO705">
            <v>0.72658279938394943</v>
          </cell>
          <cell r="BP705">
            <v>0.75602930020094639</v>
          </cell>
          <cell r="BQ705">
            <v>0.73354334890219908</v>
          </cell>
          <cell r="BR705">
            <v>0.72102599476254214</v>
          </cell>
          <cell r="BS705">
            <v>0.71219596800484208</v>
          </cell>
          <cell r="BT705">
            <v>0.66213304002613549</v>
          </cell>
          <cell r="BU705">
            <v>0.78331714478022718</v>
          </cell>
          <cell r="BV705">
            <v>0.76468590398386782</v>
          </cell>
          <cell r="BY705" t="str">
            <v>1000/0.7/4250</v>
          </cell>
          <cell r="BZ705">
            <v>2.2325256471154686E-2</v>
          </cell>
          <cell r="CA705">
            <v>2.1842885541031754E-2</v>
          </cell>
        </row>
        <row r="706">
          <cell r="BN706" t="str">
            <v>1000/0.9/5500</v>
          </cell>
          <cell r="BO706">
            <v>0.72487687275917034</v>
          </cell>
          <cell r="BP706">
            <v>0.75527175467102547</v>
          </cell>
          <cell r="BQ706">
            <v>0.73181469797794585</v>
          </cell>
          <cell r="BR706">
            <v>0.71959395998822173</v>
          </cell>
          <cell r="BS706">
            <v>0.71067032908291372</v>
          </cell>
          <cell r="BT706">
            <v>0.66087637156531365</v>
          </cell>
          <cell r="BU706">
            <v>0.78177393404369044</v>
          </cell>
          <cell r="BV706">
            <v>0.76310057977083878</v>
          </cell>
          <cell r="BY706" t="str">
            <v>1000/0.7/4500</v>
          </cell>
          <cell r="BZ706">
            <v>2.2202666594547171E-2</v>
          </cell>
          <cell r="CA706">
            <v>2.1718601997162912E-2</v>
          </cell>
        </row>
        <row r="707">
          <cell r="BN707" t="str">
            <v>1000/0.9/5750</v>
          </cell>
          <cell r="BO707">
            <v>0.72377705795061642</v>
          </cell>
          <cell r="BP707">
            <v>0.75451599728075336</v>
          </cell>
          <cell r="BQ707">
            <v>0.7302252148457582</v>
          </cell>
          <cell r="BR707">
            <v>0.7183382934475111</v>
          </cell>
          <cell r="BS707">
            <v>0.70958571965118988</v>
          </cell>
          <cell r="BT707">
            <v>0.65992340961045215</v>
          </cell>
          <cell r="BU707">
            <v>0.78031957017572173</v>
          </cell>
          <cell r="BV707">
            <v>0.7619754332200791</v>
          </cell>
          <cell r="BY707" t="str">
            <v>1000/0.7/4750</v>
          </cell>
          <cell r="BZ707">
            <v>2.2098519491042468E-2</v>
          </cell>
          <cell r="CA707">
            <v>2.1623102839401942E-2</v>
          </cell>
        </row>
        <row r="708">
          <cell r="BN708" t="str">
            <v>1000/0.9/6000</v>
          </cell>
          <cell r="BO708">
            <v>0.72267724314206261</v>
          </cell>
          <cell r="BP708">
            <v>0.75376023989048135</v>
          </cell>
          <cell r="BQ708">
            <v>0.72863573171357043</v>
          </cell>
          <cell r="BR708">
            <v>0.71708262690680047</v>
          </cell>
          <cell r="BS708">
            <v>0.70850111021946593</v>
          </cell>
          <cell r="BT708">
            <v>0.65897044765559065</v>
          </cell>
          <cell r="BU708">
            <v>0.77886520630775313</v>
          </cell>
          <cell r="BV708">
            <v>0.76085028666931942</v>
          </cell>
          <cell r="BY708" t="str">
            <v>1000/0.7/5000</v>
          </cell>
          <cell r="BZ708">
            <v>2.1994372387537764E-2</v>
          </cell>
          <cell r="CA708">
            <v>2.1527603681640972E-2</v>
          </cell>
        </row>
        <row r="709">
          <cell r="BN709" t="str">
            <v>1000/0.9/6250</v>
          </cell>
          <cell r="BO709">
            <v>0.7217336702932402</v>
          </cell>
          <cell r="BP709">
            <v>0.7530044825002099</v>
          </cell>
          <cell r="BQ709">
            <v>0.72733642789743813</v>
          </cell>
          <cell r="BR709">
            <v>0.71582592008240553</v>
          </cell>
          <cell r="BS709">
            <v>0.70747963174473116</v>
          </cell>
          <cell r="BT709">
            <v>0.65803271797579888</v>
          </cell>
          <cell r="BU709">
            <v>0.77772484240902129</v>
          </cell>
          <cell r="BV709">
            <v>0.75971951023128104</v>
          </cell>
          <cell r="BY709" t="str">
            <v>1000/0.7/5250</v>
          </cell>
          <cell r="BZ709">
            <v>2.1913472779647281E-2</v>
          </cell>
          <cell r="CA709">
            <v>2.143936492330567E-2</v>
          </cell>
        </row>
        <row r="710">
          <cell r="BN710" t="str">
            <v>1000/0.9/6350</v>
          </cell>
          <cell r="BO710">
            <v>0.72135608264857476</v>
          </cell>
          <cell r="BP710">
            <v>0.75270217954410079</v>
          </cell>
          <cell r="BQ710">
            <v>0.72681649234021273</v>
          </cell>
          <cell r="BR710">
            <v>0.71532304316635942</v>
          </cell>
          <cell r="BS710">
            <v>0.70710019078156117</v>
          </cell>
          <cell r="BT710">
            <v>0.65765762610388234</v>
          </cell>
          <cell r="BU710">
            <v>0.77726836824715706</v>
          </cell>
          <cell r="BV710">
            <v>0.75926614874377385</v>
          </cell>
          <cell r="BY710" t="str">
            <v>1000/0.7/5500</v>
          </cell>
          <cell r="BZ710">
            <v>2.1832573171756797E-2</v>
          </cell>
          <cell r="CA710">
            <v>2.1351126164970369E-2</v>
          </cell>
        </row>
        <row r="711">
          <cell r="BN711" t="str">
            <v>1000/0.9/6600</v>
          </cell>
          <cell r="BO711">
            <v>0.72041171727407438</v>
          </cell>
          <cell r="BP711">
            <v>0.75201000220337522</v>
          </cell>
          <cell r="BQ711">
            <v>0.72551611837021823</v>
          </cell>
          <cell r="BR711">
            <v>0.71430259976115162</v>
          </cell>
          <cell r="BS711">
            <v>0.70615100975452405</v>
          </cell>
          <cell r="BT711">
            <v>0.65671989642409034</v>
          </cell>
          <cell r="BU711">
            <v>0.7761263613365631</v>
          </cell>
          <cell r="BV711">
            <v>0.7582799054156304</v>
          </cell>
          <cell r="BY711" t="str">
            <v>1000/0.7/5750</v>
          </cell>
          <cell r="BZ711">
            <v>2.1751458064798723E-2</v>
          </cell>
          <cell r="CA711">
            <v>2.127488217619522E-2</v>
          </cell>
        </row>
        <row r="712">
          <cell r="BN712" t="str">
            <v>1000/0.9/6850</v>
          </cell>
          <cell r="BO712">
            <v>0.71947072645926502</v>
          </cell>
          <cell r="BP712">
            <v>0.7515097245336313</v>
          </cell>
          <cell r="BQ712">
            <v>0.72443065294994657</v>
          </cell>
          <cell r="BR712">
            <v>0.7133587192159857</v>
          </cell>
          <cell r="BS712">
            <v>0.70520100212876025</v>
          </cell>
          <cell r="BT712">
            <v>0.65578216674429846</v>
          </cell>
          <cell r="BU712">
            <v>0.77498698416487277</v>
          </cell>
          <cell r="BV712">
            <v>0.75737339255737723</v>
          </cell>
          <cell r="BY712" t="str">
            <v>1000/0.7/6000</v>
          </cell>
          <cell r="BZ712">
            <v>2.1670342957840649E-2</v>
          </cell>
          <cell r="CA712">
            <v>2.1198638187420071E-2</v>
          </cell>
        </row>
        <row r="713">
          <cell r="BN713" t="str">
            <v>1000/0.9/7500</v>
          </cell>
          <cell r="BO713">
            <v>0.71703308003284405</v>
          </cell>
          <cell r="BP713">
            <v>0.75020904049239268</v>
          </cell>
          <cell r="BQ713">
            <v>0.72199108766031528</v>
          </cell>
          <cell r="BR713">
            <v>0.71091026506201638</v>
          </cell>
          <cell r="BS713">
            <v>0.70295540524099054</v>
          </cell>
          <cell r="BT713">
            <v>0.65384547005154903</v>
          </cell>
          <cell r="BU713">
            <v>0.77203891442711203</v>
          </cell>
          <cell r="BV713">
            <v>0.75519747700180218</v>
          </cell>
          <cell r="BY713" t="str">
            <v>1000/0.7/6250</v>
          </cell>
          <cell r="BZ713">
            <v>2.1589066226582077E-2</v>
          </cell>
          <cell r="CA713">
            <v>2.1121669904316187E-2</v>
          </cell>
        </row>
        <row r="714">
          <cell r="BN714" t="str">
            <v>1000/0.9/10000</v>
          </cell>
          <cell r="BO714">
            <v>0.71154607114448698</v>
          </cell>
          <cell r="BP714">
            <v>0.74628336449516985</v>
          </cell>
          <cell r="BQ714">
            <v>0.7163511449701111</v>
          </cell>
          <cell r="BR714">
            <v>0.70408498302697153</v>
          </cell>
          <cell r="BS714">
            <v>0.69680899363409476</v>
          </cell>
          <cell r="BT714">
            <v>0.64848766781122835</v>
          </cell>
          <cell r="BU714">
            <v>0.76525354830152836</v>
          </cell>
          <cell r="BV714">
            <v>0.74906523750346887</v>
          </cell>
          <cell r="BY714" t="str">
            <v>1000/0.7/6350</v>
          </cell>
          <cell r="BZ714">
            <v>2.1556586168584468E-2</v>
          </cell>
          <cell r="CA714">
            <v>2.1090507361988919E-2</v>
          </cell>
        </row>
        <row r="715">
          <cell r="BN715" t="str">
            <v>1000/0.9/99999</v>
          </cell>
          <cell r="BO715">
            <v>0.69259103270136269</v>
          </cell>
          <cell r="BP715">
            <v>0.73725184490274709</v>
          </cell>
          <cell r="BQ715">
            <v>0.69702782759368065</v>
          </cell>
          <cell r="BR715">
            <v>0.68079140532449867</v>
          </cell>
          <cell r="BS715">
            <v>0.68029503569878247</v>
          </cell>
          <cell r="BT715">
            <v>0.6306724177541525</v>
          </cell>
          <cell r="BU715">
            <v>0.74312372883238975</v>
          </cell>
          <cell r="BV715">
            <v>0.733286302489641</v>
          </cell>
          <cell r="BY715" t="str">
            <v>1000/0.7/6600</v>
          </cell>
          <cell r="BZ715">
            <v>2.1484373505364474E-2</v>
          </cell>
          <cell r="CA715">
            <v>2.1025680910874645E-2</v>
          </cell>
        </row>
        <row r="716">
          <cell r="BY716" t="str">
            <v>1000/0.7/6850</v>
          </cell>
          <cell r="BZ716">
            <v>2.1426775479193472E-2</v>
          </cell>
          <cell r="CA716">
            <v>2.096495534862286E-2</v>
          </cell>
        </row>
        <row r="717">
          <cell r="BN717" t="str">
            <v>1250/0.9/2000</v>
          </cell>
          <cell r="BO717">
            <v>0.79098333060122872</v>
          </cell>
          <cell r="BP717">
            <v>0.80169444990163474</v>
          </cell>
          <cell r="BQ717">
            <v>0.80261350358700223</v>
          </cell>
          <cell r="BR717">
            <v>0.79142686904277426</v>
          </cell>
          <cell r="BS717">
            <v>0.77857818579053006</v>
          </cell>
          <cell r="BT717">
            <v>0.68955610101123554</v>
          </cell>
          <cell r="BU717">
            <v>0.8134524936195332</v>
          </cell>
          <cell r="BV717">
            <v>0.79208046071236626</v>
          </cell>
          <cell r="BY717" t="str">
            <v>1000/0.7/7500</v>
          </cell>
          <cell r="BZ717">
            <v>2.1276825245553965E-2</v>
          </cell>
          <cell r="CA717">
            <v>2.0805136467834995E-2</v>
          </cell>
        </row>
        <row r="718">
          <cell r="BN718" t="str">
            <v>1250/0.9/2250</v>
          </cell>
          <cell r="BO718">
            <v>0.77459571320632858</v>
          </cell>
          <cell r="BP718">
            <v>0.78697497225791258</v>
          </cell>
          <cell r="BQ718">
            <v>0.78571800290501337</v>
          </cell>
          <cell r="BR718">
            <v>0.77458753398368785</v>
          </cell>
          <cell r="BS718">
            <v>0.76043721807239018</v>
          </cell>
          <cell r="BT718">
            <v>0.67859704864311954</v>
          </cell>
          <cell r="BU718">
            <v>0.80220842454422625</v>
          </cell>
          <cell r="BV718">
            <v>0.78029906364033175</v>
          </cell>
          <cell r="BY718" t="str">
            <v>1000/0.7/8000</v>
          </cell>
          <cell r="BZ718">
            <v>2.1161727977006439E-2</v>
          </cell>
          <cell r="CA718">
            <v>2.069357336126898E-2</v>
          </cell>
        </row>
        <row r="719">
          <cell r="BN719" t="str">
            <v>1250/0.9/2500</v>
          </cell>
          <cell r="BO719">
            <v>0.76278294927599255</v>
          </cell>
          <cell r="BP719">
            <v>0.77804575407688525</v>
          </cell>
          <cell r="BQ719">
            <v>0.77373346117725561</v>
          </cell>
          <cell r="BR719">
            <v>0.76250627985116926</v>
          </cell>
          <cell r="BS719">
            <v>0.74792846736048502</v>
          </cell>
          <cell r="BT719">
            <v>0.67162381861115394</v>
          </cell>
          <cell r="BU719">
            <v>0.79321020390535224</v>
          </cell>
          <cell r="BV719">
            <v>0.77215982553700413</v>
          </cell>
          <cell r="BY719" t="str">
            <v>1000/0.7/9000</v>
          </cell>
          <cell r="BZ719">
            <v>2.0975217214434183E-2</v>
          </cell>
          <cell r="CA719">
            <v>2.0511967037111001E-2</v>
          </cell>
        </row>
        <row r="720">
          <cell r="BN720" t="str">
            <v>1250/0.9/2750</v>
          </cell>
          <cell r="BO720">
            <v>0.75326264450414981</v>
          </cell>
          <cell r="BP720">
            <v>0.77088113711070394</v>
          </cell>
          <cell r="BQ720">
            <v>0.76364178867349697</v>
          </cell>
          <cell r="BR720">
            <v>0.75154843009101813</v>
          </cell>
          <cell r="BS720">
            <v>0.73726490076943174</v>
          </cell>
          <cell r="BT720">
            <v>0.66604049020839862</v>
          </cell>
          <cell r="BU720">
            <v>0.78749357355584182</v>
          </cell>
          <cell r="BV720">
            <v>0.76639638641486763</v>
          </cell>
          <cell r="BY720" t="str">
            <v>1000/0.7/10000</v>
          </cell>
          <cell r="BZ720">
            <v>2.0802258218327596E-2</v>
          </cell>
          <cell r="CA720">
            <v>2.0340950659648582E-2</v>
          </cell>
        </row>
        <row r="721">
          <cell r="BN721" t="str">
            <v>1250/0.9/3000</v>
          </cell>
          <cell r="BO721">
            <v>0.74587302940141031</v>
          </cell>
          <cell r="BP721">
            <v>0.76593456469744114</v>
          </cell>
          <cell r="BQ721">
            <v>0.75622409594404261</v>
          </cell>
          <cell r="BR721">
            <v>0.74408413966047238</v>
          </cell>
          <cell r="BS721">
            <v>0.72970964210270206</v>
          </cell>
          <cell r="BT721">
            <v>0.66134896504922336</v>
          </cell>
          <cell r="BU721">
            <v>0.7821898441298315</v>
          </cell>
          <cell r="BV721">
            <v>0.76114707339210974</v>
          </cell>
          <cell r="BY721" t="str">
            <v>1000/0.7/99999</v>
          </cell>
          <cell r="BZ721">
            <v>1.841307137750281E-2</v>
          </cell>
          <cell r="CA721">
            <v>1.8356010979322601E-2</v>
          </cell>
        </row>
        <row r="722">
          <cell r="BN722" t="str">
            <v>1250/0.9/3250</v>
          </cell>
          <cell r="BO722">
            <v>0.74018351636912227</v>
          </cell>
          <cell r="BP722">
            <v>0.76191074889592758</v>
          </cell>
          <cell r="BQ722">
            <v>0.75034944563236416</v>
          </cell>
          <cell r="BR722">
            <v>0.73765828271439737</v>
          </cell>
          <cell r="BS722">
            <v>0.7245424578822548</v>
          </cell>
          <cell r="BT722">
            <v>0.65767228567978631</v>
          </cell>
          <cell r="BU722">
            <v>0.77821422828901643</v>
          </cell>
          <cell r="BV722">
            <v>0.7570789400456055</v>
          </cell>
          <cell r="BY722" t="str">
            <v>1250/0.7/1250</v>
          </cell>
          <cell r="BZ722">
            <v>2.4586828176848208E-2</v>
          </cell>
          <cell r="CA722">
            <v>2.444118258482586E-2</v>
          </cell>
        </row>
        <row r="723">
          <cell r="BN723" t="str">
            <v>1250/0.9/3500</v>
          </cell>
          <cell r="BO723">
            <v>0.73449400333683423</v>
          </cell>
          <cell r="BP723">
            <v>0.75788693309441402</v>
          </cell>
          <cell r="BQ723">
            <v>0.74447479532068572</v>
          </cell>
          <cell r="BR723">
            <v>0.73123242576832248</v>
          </cell>
          <cell r="BS723">
            <v>0.71937527366180753</v>
          </cell>
          <cell r="BT723">
            <v>0.65399560631034936</v>
          </cell>
          <cell r="BU723">
            <v>0.77423861244820136</v>
          </cell>
          <cell r="BV723">
            <v>0.75301080669910125</v>
          </cell>
          <cell r="BY723" t="str">
            <v>1250/0.7/1500</v>
          </cell>
          <cell r="BZ723">
            <v>2.4228441596788608E-2</v>
          </cell>
          <cell r="CA723">
            <v>2.393206205496079E-2</v>
          </cell>
        </row>
        <row r="724">
          <cell r="BN724" t="str">
            <v>1250/0.9/3750</v>
          </cell>
          <cell r="BO724">
            <v>0.73028556745924222</v>
          </cell>
          <cell r="BP724">
            <v>0.75511783891502493</v>
          </cell>
          <cell r="BQ724">
            <v>0.74014004945808876</v>
          </cell>
          <cell r="BR724">
            <v>0.72686828506054746</v>
          </cell>
          <cell r="BS724">
            <v>0.71590823500167733</v>
          </cell>
          <cell r="BT724">
            <v>0.65125621187131377</v>
          </cell>
          <cell r="BU724">
            <v>0.77116283562912025</v>
          </cell>
          <cell r="BV724">
            <v>0.7498094137632656</v>
          </cell>
          <cell r="BY724" t="str">
            <v>1250/0.7/1750</v>
          </cell>
          <cell r="BZ724">
            <v>2.391950943741894E-2</v>
          </cell>
          <cell r="CA724">
            <v>2.357090638447934E-2</v>
          </cell>
        </row>
        <row r="725">
          <cell r="BN725" t="str">
            <v>1250/0.9/4000</v>
          </cell>
          <cell r="BO725">
            <v>0.72607713158165021</v>
          </cell>
          <cell r="BP725">
            <v>0.75234874473563584</v>
          </cell>
          <cell r="BQ725">
            <v>0.7358053035954919</v>
          </cell>
          <cell r="BR725">
            <v>0.72250414435277244</v>
          </cell>
          <cell r="BS725">
            <v>0.71244119634154712</v>
          </cell>
          <cell r="BT725">
            <v>0.64851681743227818</v>
          </cell>
          <cell r="BU725">
            <v>0.76808705881003914</v>
          </cell>
          <cell r="BV725">
            <v>0.74660802082743005</v>
          </cell>
          <cell r="BY725" t="str">
            <v>1250/0.7/2000</v>
          </cell>
          <cell r="BZ725">
            <v>2.3610577278049272E-2</v>
          </cell>
          <cell r="CA725">
            <v>2.320975071399789E-2</v>
          </cell>
        </row>
        <row r="726">
          <cell r="BN726" t="str">
            <v>1250/0.9/4250</v>
          </cell>
          <cell r="BO726">
            <v>0.72355862210196586</v>
          </cell>
          <cell r="BP726">
            <v>0.75025864328643865</v>
          </cell>
          <cell r="BQ726">
            <v>0.73244797807060391</v>
          </cell>
          <cell r="BR726">
            <v>0.71978352341754337</v>
          </cell>
          <cell r="BS726">
            <v>0.70970443331406252</v>
          </cell>
          <cell r="BT726">
            <v>0.64637844520769372</v>
          </cell>
          <cell r="BU726">
            <v>0.76561867765779335</v>
          </cell>
          <cell r="BV726">
            <v>0.74408026526078896</v>
          </cell>
          <cell r="BY726" t="str">
            <v>1250/0.7/2250</v>
          </cell>
          <cell r="BZ726">
            <v>2.3363506996577188E-2</v>
          </cell>
          <cell r="CA726">
            <v>2.2929217469177088E-2</v>
          </cell>
        </row>
        <row r="727">
          <cell r="BN727" t="str">
            <v>1250/0.9/4500</v>
          </cell>
          <cell r="BO727">
            <v>0.7210401126222814</v>
          </cell>
          <cell r="BP727">
            <v>0.74816854183724157</v>
          </cell>
          <cell r="BQ727">
            <v>0.72909065254571581</v>
          </cell>
          <cell r="BR727">
            <v>0.71706290248231419</v>
          </cell>
          <cell r="BS727">
            <v>0.70696767028657781</v>
          </cell>
          <cell r="BT727">
            <v>0.64424007298310915</v>
          </cell>
          <cell r="BU727">
            <v>0.76315029650554755</v>
          </cell>
          <cell r="BV727">
            <v>0.74155250969414788</v>
          </cell>
          <cell r="BY727" t="str">
            <v>1250/0.7/2500</v>
          </cell>
          <cell r="BZ727">
            <v>2.3148096792546591E-2</v>
          </cell>
          <cell r="CA727">
            <v>2.2682704006409926E-2</v>
          </cell>
        </row>
        <row r="728">
          <cell r="BN728" t="str">
            <v>1250/0.9/4750</v>
          </cell>
          <cell r="BO728">
            <v>0.7189379052761935</v>
          </cell>
          <cell r="BP728">
            <v>0.74625198600724629</v>
          </cell>
          <cell r="BQ728">
            <v>0.72634106016063826</v>
          </cell>
          <cell r="BR728">
            <v>0.7148133171914568</v>
          </cell>
          <cell r="BS728">
            <v>0.70474288017629072</v>
          </cell>
          <cell r="BT728">
            <v>0.64242065378062807</v>
          </cell>
          <cell r="BU728">
            <v>0.76090679882933632</v>
          </cell>
          <cell r="BV728">
            <v>0.73957599464116663</v>
          </cell>
          <cell r="BY728" t="str">
            <v>1250/0.7/2750</v>
          </cell>
          <cell r="BZ728">
            <v>2.2955185445448389E-2</v>
          </cell>
          <cell r="CA728">
            <v>2.2458392077815637E-2</v>
          </cell>
        </row>
        <row r="729">
          <cell r="BN729" t="str">
            <v>1250/0.9/5000</v>
          </cell>
          <cell r="BO729">
            <v>0.71683569793010571</v>
          </cell>
          <cell r="BP729">
            <v>0.74433543017725112</v>
          </cell>
          <cell r="BQ729">
            <v>0.72359146777556071</v>
          </cell>
          <cell r="BR729">
            <v>0.71256373190059941</v>
          </cell>
          <cell r="BS729">
            <v>0.70251809006600374</v>
          </cell>
          <cell r="BT729">
            <v>0.64060123457814699</v>
          </cell>
          <cell r="BU729">
            <v>0.75866330115312508</v>
          </cell>
          <cell r="BV729">
            <v>0.73759947958818539</v>
          </cell>
          <cell r="BY729" t="str">
            <v>1250/0.7/3000</v>
          </cell>
          <cell r="BZ729">
            <v>2.2777246418776542E-2</v>
          </cell>
          <cell r="CA729">
            <v>2.2252165002252022E-2</v>
          </cell>
        </row>
        <row r="730">
          <cell r="BN730" t="str">
            <v>1250/0.9/5250</v>
          </cell>
          <cell r="BO730">
            <v>0.71536154606176439</v>
          </cell>
          <cell r="BP730">
            <v>0.74308795471662636</v>
          </cell>
          <cell r="BQ730">
            <v>0.72211625901292487</v>
          </cell>
          <cell r="BR730">
            <v>0.71066574913337965</v>
          </cell>
          <cell r="BS730">
            <v>0.70054473839733444</v>
          </cell>
          <cell r="BT730">
            <v>0.63917160813760021</v>
          </cell>
          <cell r="BU730">
            <v>0.75709612220718348</v>
          </cell>
          <cell r="BV730">
            <v>0.73566461935182659</v>
          </cell>
          <cell r="BY730" t="str">
            <v>1250/0.7/3250</v>
          </cell>
          <cell r="BZ730">
            <v>2.2621951946702024E-2</v>
          </cell>
          <cell r="CA730">
            <v>2.2067757990217429E-2</v>
          </cell>
        </row>
        <row r="731">
          <cell r="BN731" t="str">
            <v>1250/0.9/5500</v>
          </cell>
          <cell r="BO731">
            <v>0.71388739419342295</v>
          </cell>
          <cell r="BP731">
            <v>0.74184047925600161</v>
          </cell>
          <cell r="BQ731">
            <v>0.72064105025028891</v>
          </cell>
          <cell r="BR731">
            <v>0.70876776636615979</v>
          </cell>
          <cell r="BS731">
            <v>0.69857138672866514</v>
          </cell>
          <cell r="BT731">
            <v>0.63774198169705343</v>
          </cell>
          <cell r="BU731">
            <v>0.75552894326124176</v>
          </cell>
          <cell r="BV731">
            <v>0.73372975911546778</v>
          </cell>
          <cell r="BY731" t="str">
            <v>1250/0.7/3500</v>
          </cell>
          <cell r="BZ731">
            <v>2.2466657474627505E-2</v>
          </cell>
          <cell r="CA731">
            <v>2.1883350978182836E-2</v>
          </cell>
        </row>
        <row r="732">
          <cell r="BN732" t="str">
            <v>1250/0.9/5750</v>
          </cell>
          <cell r="BO732">
            <v>0.71264584657096441</v>
          </cell>
          <cell r="BP732">
            <v>0.74108472186572916</v>
          </cell>
          <cell r="BQ732">
            <v>0.71938517497351051</v>
          </cell>
          <cell r="BR732">
            <v>0.70751273499351464</v>
          </cell>
          <cell r="BS732">
            <v>0.69737266492365968</v>
          </cell>
          <cell r="BT732">
            <v>0.63664688530636737</v>
          </cell>
          <cell r="BU732">
            <v>0.75398379830422269</v>
          </cell>
          <cell r="BV732">
            <v>0.73256858488307564</v>
          </cell>
          <cell r="BY732" t="str">
            <v>1250/0.7/3750</v>
          </cell>
          <cell r="BZ732">
            <v>2.233148363271642E-2</v>
          </cell>
          <cell r="CA732">
            <v>2.1743244465131317E-2</v>
          </cell>
        </row>
        <row r="733">
          <cell r="BN733" t="str">
            <v>1250/0.9/6000</v>
          </cell>
          <cell r="BO733">
            <v>0.71140429894850576</v>
          </cell>
          <cell r="BP733">
            <v>0.74032896447545671</v>
          </cell>
          <cell r="BQ733">
            <v>0.71812929969673223</v>
          </cell>
          <cell r="BR733">
            <v>0.70625770362086948</v>
          </cell>
          <cell r="BS733">
            <v>0.69617394311865421</v>
          </cell>
          <cell r="BT733">
            <v>0.6355517889156812</v>
          </cell>
          <cell r="BU733">
            <v>0.75243865334720361</v>
          </cell>
          <cell r="BV733">
            <v>0.7314074106506836</v>
          </cell>
          <cell r="BY733" t="str">
            <v>1250/0.7/4000</v>
          </cell>
          <cell r="BZ733">
            <v>2.2196309790805335E-2</v>
          </cell>
          <cell r="CA733">
            <v>2.1603137952079798E-2</v>
          </cell>
        </row>
        <row r="734">
          <cell r="BN734" t="str">
            <v>1250/0.9/6250</v>
          </cell>
          <cell r="BO734">
            <v>0.71046124388128251</v>
          </cell>
          <cell r="BP734">
            <v>0.73957320708518504</v>
          </cell>
          <cell r="BQ734">
            <v>0.71710576742224375</v>
          </cell>
          <cell r="BR734">
            <v>0.70500163442302688</v>
          </cell>
          <cell r="BS734">
            <v>0.69511503953128972</v>
          </cell>
          <cell r="BT734">
            <v>0.63461084857793215</v>
          </cell>
          <cell r="BU734">
            <v>0.75108957727510806</v>
          </cell>
          <cell r="BV734">
            <v>0.73027956456877963</v>
          </cell>
          <cell r="BY734" t="str">
            <v>1250/0.7/4250</v>
          </cell>
          <cell r="BZ734">
            <v>2.2073336554998546E-2</v>
          </cell>
          <cell r="CA734">
            <v>2.1470466427709334E-2</v>
          </cell>
        </row>
        <row r="735">
          <cell r="BN735" t="str">
            <v>1250/0.9/6350</v>
          </cell>
          <cell r="BO735">
            <v>0.71008386360184783</v>
          </cell>
          <cell r="BP735">
            <v>0.73927090412907626</v>
          </cell>
          <cell r="BQ735">
            <v>0.7167284764466475</v>
          </cell>
          <cell r="BR735">
            <v>0.70449901301651985</v>
          </cell>
          <cell r="BS735">
            <v>0.69469084975184259</v>
          </cell>
          <cell r="BT735">
            <v>0.6342357567060154</v>
          </cell>
          <cell r="BU735">
            <v>0.75063346680533627</v>
          </cell>
          <cell r="BV735">
            <v>0.7298273697218548</v>
          </cell>
          <cell r="BY735" t="str">
            <v>1250/0.7/4500</v>
          </cell>
          <cell r="BZ735">
            <v>2.1950363319191757E-2</v>
          </cell>
          <cell r="CA735">
            <v>2.1337794903338869E-2</v>
          </cell>
        </row>
        <row r="736">
          <cell r="BN736" t="str">
            <v>1250/0.9/6600</v>
          </cell>
          <cell r="BO736">
            <v>0.70914001727190068</v>
          </cell>
          <cell r="BP736">
            <v>0.73851514673880403</v>
          </cell>
          <cell r="BQ736">
            <v>0.71578486111301642</v>
          </cell>
          <cell r="BR736">
            <v>0.70324197518182685</v>
          </cell>
          <cell r="BS736">
            <v>0.69372217507774614</v>
          </cell>
          <cell r="BT736">
            <v>0.63329802702622295</v>
          </cell>
          <cell r="BU736">
            <v>0.74949236474196268</v>
          </cell>
          <cell r="BV736">
            <v>0.72869424156913765</v>
          </cell>
          <cell r="BY736" t="str">
            <v>1250/0.7/4750</v>
          </cell>
          <cell r="BZ736">
            <v>2.1831448083741378E-2</v>
          </cell>
          <cell r="CA736">
            <v>2.1235620685392975E-2</v>
          </cell>
        </row>
        <row r="737">
          <cell r="BN737" t="str">
            <v>1250/0.9/6850</v>
          </cell>
          <cell r="BO737">
            <v>0.70819560575429408</v>
          </cell>
          <cell r="BP737">
            <v>0.73784493536317108</v>
          </cell>
          <cell r="BQ737">
            <v>0.7148406916441804</v>
          </cell>
          <cell r="BR737">
            <v>0.70224317009633586</v>
          </cell>
          <cell r="BS737">
            <v>0.69277290130070512</v>
          </cell>
          <cell r="BT737">
            <v>0.63236029734643084</v>
          </cell>
          <cell r="BU737">
            <v>0.74835008283723881</v>
          </cell>
          <cell r="BV737">
            <v>0.72772198944418998</v>
          </cell>
          <cell r="BY737" t="str">
            <v>1250/0.7/5000</v>
          </cell>
          <cell r="BZ737">
            <v>2.1712532848291E-2</v>
          </cell>
          <cell r="CA737">
            <v>2.1133446467447081E-2</v>
          </cell>
        </row>
        <row r="738">
          <cell r="BN738" t="str">
            <v>1250/0.9/7500</v>
          </cell>
          <cell r="BO738">
            <v>0.70575385522432532</v>
          </cell>
          <cell r="BP738">
            <v>0.73654421342183984</v>
          </cell>
          <cell r="BQ738">
            <v>0.71239609356286271</v>
          </cell>
          <cell r="BR738">
            <v>0.69978949056379147</v>
          </cell>
          <cell r="BS738">
            <v>0.69033854418263707</v>
          </cell>
          <cell r="BT738">
            <v>0.63007318509195587</v>
          </cell>
          <cell r="BU738">
            <v>0.74539884920994204</v>
          </cell>
          <cell r="BV738">
            <v>0.7253710160690271</v>
          </cell>
          <cell r="BY738" t="str">
            <v>1250/0.7/5250</v>
          </cell>
          <cell r="BZ738">
            <v>2.1631223184159332E-2</v>
          </cell>
          <cell r="CA738">
            <v>2.1042132146571468E-2</v>
          </cell>
        </row>
        <row r="739">
          <cell r="BN739" t="str">
            <v>1250/0.9/10000</v>
          </cell>
          <cell r="BO739">
            <v>0.69991586220489399</v>
          </cell>
          <cell r="BP739">
            <v>0.7324047321642978</v>
          </cell>
          <cell r="BQ739">
            <v>0.70640221966416705</v>
          </cell>
          <cell r="BR739">
            <v>0.69259648533242124</v>
          </cell>
          <cell r="BS739">
            <v>0.68404906173667923</v>
          </cell>
          <cell r="BT739">
            <v>0.62458973294695463</v>
          </cell>
          <cell r="BU739">
            <v>0.73812169790090409</v>
          </cell>
          <cell r="BV739">
            <v>0.71909539530891176</v>
          </cell>
          <cell r="BY739" t="str">
            <v>1250/0.7/5500</v>
          </cell>
          <cell r="BZ739">
            <v>2.1549913520027664E-2</v>
          </cell>
          <cell r="CA739">
            <v>2.0950817825695855E-2</v>
          </cell>
        </row>
        <row r="740">
          <cell r="BN740" t="str">
            <v>1250/0.9/99999</v>
          </cell>
          <cell r="BO740">
            <v>0.68046918146858071</v>
          </cell>
          <cell r="BP740">
            <v>0.72363722398761277</v>
          </cell>
          <cell r="BQ740">
            <v>0.68658709642391502</v>
          </cell>
          <cell r="BR740">
            <v>0.66875568424351839</v>
          </cell>
          <cell r="BS740">
            <v>0.6669473688133446</v>
          </cell>
          <cell r="BT740">
            <v>0.60640921302839834</v>
          </cell>
          <cell r="BU740">
            <v>0.71524407952692448</v>
          </cell>
          <cell r="BV740">
            <v>0.70261543120317371</v>
          </cell>
          <cell r="BY740" t="str">
            <v>1250/0.7/5750</v>
          </cell>
          <cell r="BZ740">
            <v>2.1468873213506434E-2</v>
          </cell>
          <cell r="CA740">
            <v>2.0872773901316477E-2</v>
          </cell>
        </row>
        <row r="741">
          <cell r="BY741" t="str">
            <v>1250/0.7/6000</v>
          </cell>
          <cell r="BZ741">
            <v>2.1387832906985205E-2</v>
          </cell>
          <cell r="CA741">
            <v>2.0794729976937099E-2</v>
          </cell>
        </row>
        <row r="742">
          <cell r="BN742" t="str">
            <v>1500/0.9/2000</v>
          </cell>
          <cell r="BO742">
            <v>0.79355881848795107</v>
          </cell>
          <cell r="BP742">
            <v>0.80594419493419234</v>
          </cell>
          <cell r="BQ742">
            <v>0.80795838601518188</v>
          </cell>
          <cell r="BR742">
            <v>0.79427149731250235</v>
          </cell>
          <cell r="BS742">
            <v>0.78122410453373203</v>
          </cell>
          <cell r="BT742">
            <v>0.6790240308636174</v>
          </cell>
          <cell r="BU742">
            <v>0.80031077472792456</v>
          </cell>
          <cell r="BV742">
            <v>0.77822602094890225</v>
          </cell>
          <cell r="BY742" t="str">
            <v>1250/0.7/6250</v>
          </cell>
          <cell r="BZ742">
            <v>2.1306630745748345E-2</v>
          </cell>
          <cell r="CA742">
            <v>2.0718120608950841E-2</v>
          </cell>
        </row>
        <row r="743">
          <cell r="BN743" t="str">
            <v>1500/0.9/2250</v>
          </cell>
          <cell r="BO743">
            <v>0.77403830836821774</v>
          </cell>
          <cell r="BP743">
            <v>0.78771971206321323</v>
          </cell>
          <cell r="BQ743">
            <v>0.78781169679869112</v>
          </cell>
          <cell r="BR743">
            <v>0.7745344946480206</v>
          </cell>
          <cell r="BS743">
            <v>0.75983877560991342</v>
          </cell>
          <cell r="BT743">
            <v>0.66654448429275892</v>
          </cell>
          <cell r="BU743">
            <v>0.78630894209298574</v>
          </cell>
          <cell r="BV743">
            <v>0.76259640220978164</v>
          </cell>
          <cell r="BY743" t="str">
            <v>1250/0.7/6350</v>
          </cell>
          <cell r="BZ743">
            <v>2.1274119668373226E-2</v>
          </cell>
          <cell r="CA743">
            <v>2.0687345012217584E-2</v>
          </cell>
        </row>
        <row r="744">
          <cell r="BN744" t="str">
            <v>1500/0.9/2500</v>
          </cell>
          <cell r="BO744">
            <v>0.75792255105857298</v>
          </cell>
          <cell r="BP744">
            <v>0.77345119402692541</v>
          </cell>
          <cell r="BQ744">
            <v>0.77118635808886138</v>
          </cell>
          <cell r="BR744">
            <v>0.75802350304027311</v>
          </cell>
          <cell r="BS744">
            <v>0.74221776966570541</v>
          </cell>
          <cell r="BT744">
            <v>0.65576719324890254</v>
          </cell>
          <cell r="BU744">
            <v>0.77539608598519083</v>
          </cell>
          <cell r="BV744">
            <v>0.75144197026205373</v>
          </cell>
          <cell r="BY744" t="str">
            <v>1250/0.7/6600</v>
          </cell>
          <cell r="BZ744">
            <v>2.1193001908619724E-2</v>
          </cell>
          <cell r="CA744">
            <v>2.061165014405586E-2</v>
          </cell>
        </row>
        <row r="745">
          <cell r="BN745" t="str">
            <v>1500/0.9/2750</v>
          </cell>
          <cell r="BO745">
            <v>0.74618259893317318</v>
          </cell>
          <cell r="BP745">
            <v>0.76471289230003947</v>
          </cell>
          <cell r="BQ745">
            <v>0.75929999449144037</v>
          </cell>
          <cell r="BR745">
            <v>0.74608169409242076</v>
          </cell>
          <cell r="BS745">
            <v>0.7297612827603428</v>
          </cell>
          <cell r="BT745">
            <v>0.64902349613534971</v>
          </cell>
          <cell r="BU745">
            <v>0.76663437489505271</v>
          </cell>
          <cell r="BV745">
            <v>0.74347875919591</v>
          </cell>
          <cell r="BY745" t="str">
            <v>1250/0.7/6850</v>
          </cell>
          <cell r="BZ745">
            <v>2.1127015994142573E-2</v>
          </cell>
          <cell r="CA745">
            <v>2.0550476934602324E-2</v>
          </cell>
        </row>
        <row r="746">
          <cell r="BN746" t="str">
            <v>1500/0.9/3000</v>
          </cell>
          <cell r="BO746">
            <v>0.7369503269217631</v>
          </cell>
          <cell r="BP746">
            <v>0.75757126479547343</v>
          </cell>
          <cell r="BQ746">
            <v>0.74948132287986613</v>
          </cell>
          <cell r="BR746">
            <v>0.73543644040045897</v>
          </cell>
          <cell r="BS746">
            <v>0.72097519584823178</v>
          </cell>
          <cell r="BT746">
            <v>0.64347744894425152</v>
          </cell>
          <cell r="BU746">
            <v>0.76116136034331594</v>
          </cell>
          <cell r="BV746">
            <v>0.73789241444312159</v>
          </cell>
          <cell r="BY746" t="str">
            <v>1250/0.7/7500</v>
          </cell>
          <cell r="BZ746">
            <v>2.0977140225244995E-2</v>
          </cell>
          <cell r="CA746">
            <v>2.039143538944832E-2</v>
          </cell>
        </row>
        <row r="747">
          <cell r="BN747" t="str">
            <v>1500/0.9/3250</v>
          </cell>
          <cell r="BO747">
            <v>0.73049245293664877</v>
          </cell>
          <cell r="BP747">
            <v>0.7529941613897323</v>
          </cell>
          <cell r="BQ747">
            <v>0.74264232464926772</v>
          </cell>
          <cell r="BR747">
            <v>0.7286579543335967</v>
          </cell>
          <cell r="BS747">
            <v>0.71579159185665331</v>
          </cell>
          <cell r="BT747">
            <v>0.63929150437833493</v>
          </cell>
          <cell r="BU747">
            <v>0.75648332334896939</v>
          </cell>
          <cell r="BV747">
            <v>0.7331807110226104</v>
          </cell>
          <cell r="BY747" t="str">
            <v>1250/0.7/8000</v>
          </cell>
          <cell r="BZ747">
            <v>2.086182433421202E-2</v>
          </cell>
          <cell r="CA747">
            <v>2.0271401789774268E-2</v>
          </cell>
        </row>
        <row r="748">
          <cell r="BN748" t="str">
            <v>1500/0.9/3500</v>
          </cell>
          <cell r="BO748">
            <v>0.72403457895153445</v>
          </cell>
          <cell r="BP748">
            <v>0.74841705798399116</v>
          </cell>
          <cell r="BQ748">
            <v>0.7358033264186693</v>
          </cell>
          <cell r="BR748">
            <v>0.72187946826673433</v>
          </cell>
          <cell r="BS748">
            <v>0.71060798786507495</v>
          </cell>
          <cell r="BT748">
            <v>0.63510555981241823</v>
          </cell>
          <cell r="BU748">
            <v>0.75180528635462285</v>
          </cell>
          <cell r="BV748">
            <v>0.72846900760209921</v>
          </cell>
          <cell r="BY748" t="str">
            <v>1250/0.7/9000</v>
          </cell>
          <cell r="BZ748">
            <v>2.0665065495767854E-2</v>
          </cell>
          <cell r="CA748">
            <v>2.0087506970744462E-2</v>
          </cell>
        </row>
        <row r="749">
          <cell r="BN749" t="str">
            <v>1500/0.9/3750</v>
          </cell>
          <cell r="BO749">
            <v>0.72048058707193996</v>
          </cell>
          <cell r="BP749">
            <v>0.74507491759242606</v>
          </cell>
          <cell r="BQ749">
            <v>0.73077524595715126</v>
          </cell>
          <cell r="BR749">
            <v>0.71802021736357524</v>
          </cell>
          <cell r="BS749">
            <v>0.70666888774178205</v>
          </cell>
          <cell r="BT749">
            <v>0.63191810396693238</v>
          </cell>
          <cell r="BU749">
            <v>0.74831400899563694</v>
          </cell>
          <cell r="BV749">
            <v>0.72482271543591104</v>
          </cell>
          <cell r="BY749" t="str">
            <v>1250/0.7/10000</v>
          </cell>
          <cell r="BZ749">
            <v>2.0490816168822423E-2</v>
          </cell>
          <cell r="CA749">
            <v>1.9910202119332698E-2</v>
          </cell>
        </row>
        <row r="750">
          <cell r="BN750" t="str">
            <v>1500/0.9/4000</v>
          </cell>
          <cell r="BO750">
            <v>0.71692659519234558</v>
          </cell>
          <cell r="BP750">
            <v>0.74173277720086084</v>
          </cell>
          <cell r="BQ750">
            <v>0.72574716549563334</v>
          </cell>
          <cell r="BR750">
            <v>0.71416096646041605</v>
          </cell>
          <cell r="BS750">
            <v>0.70272978761848914</v>
          </cell>
          <cell r="BT750">
            <v>0.62873064812144663</v>
          </cell>
          <cell r="BU750">
            <v>0.74482273163665103</v>
          </cell>
          <cell r="BV750">
            <v>0.72117642326972298</v>
          </cell>
          <cell r="BY750" t="str">
            <v>1250/0.7/99999</v>
          </cell>
          <cell r="BZ750">
            <v>1.8068959863630996E-2</v>
          </cell>
          <cell r="CA750">
            <v>1.7907058058493686E-2</v>
          </cell>
        </row>
        <row r="751">
          <cell r="BN751" t="str">
            <v>1500/0.9/4250</v>
          </cell>
          <cell r="BO751">
            <v>0.71431951799249527</v>
          </cell>
          <cell r="BP751">
            <v>0.73941227567038115</v>
          </cell>
          <cell r="BQ751">
            <v>0.72296962270223775</v>
          </cell>
          <cell r="BR751">
            <v>0.71122692082659567</v>
          </cell>
          <cell r="BS751">
            <v>0.69988032185560334</v>
          </cell>
          <cell r="BT751">
            <v>0.6264331429727521</v>
          </cell>
          <cell r="BU751">
            <v>0.74207844498955544</v>
          </cell>
          <cell r="BV751">
            <v>0.71850247464160766</v>
          </cell>
          <cell r="BY751" t="str">
            <v>1500/0.7/1500</v>
          </cell>
          <cell r="BZ751">
            <v>2.41389550731268E-2</v>
          </cell>
          <cell r="CA751">
            <v>2.3880778692960014E-2</v>
          </cell>
        </row>
        <row r="752">
          <cell r="BN752" t="str">
            <v>1500/0.9/4500</v>
          </cell>
          <cell r="BO752">
            <v>0.71171244079264495</v>
          </cell>
          <cell r="BP752">
            <v>0.73709177413990146</v>
          </cell>
          <cell r="BQ752">
            <v>0.72019207990884226</v>
          </cell>
          <cell r="BR752">
            <v>0.70829287519277528</v>
          </cell>
          <cell r="BS752">
            <v>0.69703085609271764</v>
          </cell>
          <cell r="BT752">
            <v>0.62413563782405745</v>
          </cell>
          <cell r="BU752">
            <v>0.73933415834245997</v>
          </cell>
          <cell r="BV752">
            <v>0.71582852601349234</v>
          </cell>
          <cell r="BY752" t="str">
            <v>1500/0.7/1750</v>
          </cell>
          <cell r="BZ752">
            <v>2.3819138264034256E-2</v>
          </cell>
          <cell r="CA752">
            <v>2.3453204332517186E-2</v>
          </cell>
        </row>
        <row r="753">
          <cell r="BN753" t="str">
            <v>1500/0.9/4750</v>
          </cell>
          <cell r="BO753">
            <v>0.70948435169450819</v>
          </cell>
          <cell r="BP753">
            <v>0.73518014666841114</v>
          </cell>
          <cell r="BQ753">
            <v>0.71796102220904656</v>
          </cell>
          <cell r="BR753">
            <v>0.70583947283026727</v>
          </cell>
          <cell r="BS753">
            <v>0.69458887056780716</v>
          </cell>
          <cell r="BT753">
            <v>0.62208096269845592</v>
          </cell>
          <cell r="BU753">
            <v>0.73709256748593444</v>
          </cell>
          <cell r="BV753">
            <v>0.71360454879023594</v>
          </cell>
          <cell r="BY753" t="str">
            <v>1500/0.7/2000</v>
          </cell>
          <cell r="BZ753">
            <v>2.3499321454941713E-2</v>
          </cell>
          <cell r="CA753">
            <v>2.3025629972074357E-2</v>
          </cell>
        </row>
        <row r="754">
          <cell r="BN754" t="str">
            <v>1500/0.9/5000</v>
          </cell>
          <cell r="BO754">
            <v>0.70725626259637142</v>
          </cell>
          <cell r="BP754">
            <v>0.73326851919692071</v>
          </cell>
          <cell r="BQ754">
            <v>0.71572996450925086</v>
          </cell>
          <cell r="BR754">
            <v>0.70338607046775925</v>
          </cell>
          <cell r="BS754">
            <v>0.69214688504289668</v>
          </cell>
          <cell r="BT754">
            <v>0.62002628757285438</v>
          </cell>
          <cell r="BU754">
            <v>0.7348509766294089</v>
          </cell>
          <cell r="BV754">
            <v>0.71138057156697954</v>
          </cell>
          <cell r="BY754" t="str">
            <v>1500/0.7/2250</v>
          </cell>
          <cell r="BZ754">
            <v>2.3229750560799234E-2</v>
          </cell>
          <cell r="CA754">
            <v>2.271169611662005E-2</v>
          </cell>
        </row>
        <row r="755">
          <cell r="BN755" t="str">
            <v>1500/0.9/5250</v>
          </cell>
          <cell r="BO755">
            <v>0.70545299424083074</v>
          </cell>
          <cell r="BP755">
            <v>0.7314711923860826</v>
          </cell>
          <cell r="BQ755">
            <v>0.71383840010283239</v>
          </cell>
          <cell r="BR755">
            <v>0.70116138245916482</v>
          </cell>
          <cell r="BS755">
            <v>0.68991736914283952</v>
          </cell>
          <cell r="BT755">
            <v>0.61843048925701116</v>
          </cell>
          <cell r="BU755">
            <v>0.73295554242508398</v>
          </cell>
          <cell r="BV755">
            <v>0.7094354961889856</v>
          </cell>
          <cell r="BY755" t="str">
            <v>1500/0.7/2500</v>
          </cell>
          <cell r="BZ755">
            <v>2.2991620665613333E-2</v>
          </cell>
          <cell r="CA755">
            <v>2.2439354941694134E-2</v>
          </cell>
        </row>
        <row r="756">
          <cell r="BN756" t="str">
            <v>1500/0.9/5500</v>
          </cell>
          <cell r="BO756">
            <v>0.70364972588528996</v>
          </cell>
          <cell r="BP756">
            <v>0.7296738655752445</v>
          </cell>
          <cell r="BQ756">
            <v>0.71194683569641382</v>
          </cell>
          <cell r="BR756">
            <v>0.69893669445057038</v>
          </cell>
          <cell r="BS756">
            <v>0.68768785324278248</v>
          </cell>
          <cell r="BT756">
            <v>0.61683469094116794</v>
          </cell>
          <cell r="BU756">
            <v>0.73106010822075895</v>
          </cell>
          <cell r="BV756">
            <v>0.70749042081099167</v>
          </cell>
          <cell r="BY756" t="str">
            <v>1500/0.7/2750</v>
          </cell>
          <cell r="BZ756">
            <v>2.2784509889720361E-2</v>
          </cell>
          <cell r="CA756">
            <v>2.2200399978344665E-2</v>
          </cell>
        </row>
        <row r="757">
          <cell r="BN757" t="str">
            <v>1500/0.9/5750</v>
          </cell>
          <cell r="BO757">
            <v>0.70239427056915404</v>
          </cell>
          <cell r="BP757">
            <v>0.72891687110996939</v>
          </cell>
          <cell r="BQ757">
            <v>0.71069162966548394</v>
          </cell>
          <cell r="BR757">
            <v>0.69754724170010896</v>
          </cell>
          <cell r="BS757">
            <v>0.68621521766368221</v>
          </cell>
          <cell r="BT757">
            <v>0.61559889252358757</v>
          </cell>
          <cell r="BU757">
            <v>0.72951623805607901</v>
          </cell>
          <cell r="BV757">
            <v>0.70598313882514185</v>
          </cell>
          <cell r="BY757" t="str">
            <v>1500/0.7/3000</v>
          </cell>
          <cell r="BZ757">
            <v>2.2596350602324344E-2</v>
          </cell>
          <cell r="CA757">
            <v>2.1980437692222798E-2</v>
          </cell>
        </row>
        <row r="758">
          <cell r="BN758" t="str">
            <v>1500/0.9/6000</v>
          </cell>
          <cell r="BO758">
            <v>0.70113881525301813</v>
          </cell>
          <cell r="BP758">
            <v>0.72815987664469439</v>
          </cell>
          <cell r="BQ758">
            <v>0.70943642363455395</v>
          </cell>
          <cell r="BR758">
            <v>0.69615778894964764</v>
          </cell>
          <cell r="BS758">
            <v>0.68474258208458194</v>
          </cell>
          <cell r="BT758">
            <v>0.61436309410600731</v>
          </cell>
          <cell r="BU758">
            <v>0.72797236789139907</v>
          </cell>
          <cell r="BV758">
            <v>0.70447585683929204</v>
          </cell>
          <cell r="BY758" t="str">
            <v>1500/0.7/3250</v>
          </cell>
          <cell r="BZ758">
            <v>2.2431279960803185E-2</v>
          </cell>
          <cell r="CA758">
            <v>2.1789163165461756E-2</v>
          </cell>
        </row>
        <row r="759">
          <cell r="BN759" t="str">
            <v>1500/0.9/6250</v>
          </cell>
          <cell r="BO759">
            <v>0.69994078248854408</v>
          </cell>
          <cell r="BP759">
            <v>0.7274041192544225</v>
          </cell>
          <cell r="BQ759">
            <v>0.70818011107088175</v>
          </cell>
          <cell r="BR759">
            <v>0.69490235277048407</v>
          </cell>
          <cell r="BS759">
            <v>0.68364823245752926</v>
          </cell>
          <cell r="BT759">
            <v>0.61341937119802947</v>
          </cell>
          <cell r="BU759">
            <v>0.72642608173264134</v>
          </cell>
          <cell r="BV759">
            <v>0.70335082397355431</v>
          </cell>
          <cell r="BY759" t="str">
            <v>1500/0.7/3500</v>
          </cell>
          <cell r="BZ759">
            <v>2.2266209319282027E-2</v>
          </cell>
          <cell r="CA759">
            <v>2.1597888638700713E-2</v>
          </cell>
        </row>
        <row r="760">
          <cell r="BN760" t="str">
            <v>1500/0.9/6350</v>
          </cell>
          <cell r="BO760">
            <v>0.69956360854749933</v>
          </cell>
          <cell r="BP760">
            <v>0.72710181629831461</v>
          </cell>
          <cell r="BQ760">
            <v>0.70775085554952277</v>
          </cell>
          <cell r="BR760">
            <v>0.69439998501023803</v>
          </cell>
          <cell r="BS760">
            <v>0.68322485471590266</v>
          </cell>
          <cell r="BT760">
            <v>0.61304169762781724</v>
          </cell>
          <cell r="BU760">
            <v>0.72580711628357741</v>
          </cell>
          <cell r="BV760">
            <v>0.70289974654349907</v>
          </cell>
          <cell r="BY760" t="str">
            <v>1500/0.7/3750</v>
          </cell>
          <cell r="BZ760">
            <v>2.2124254057848125E-2</v>
          </cell>
          <cell r="CA760">
            <v>2.1439815152213049E-2</v>
          </cell>
        </row>
        <row r="761">
          <cell r="BN761" t="str">
            <v>1500/0.9/6600</v>
          </cell>
          <cell r="BO761">
            <v>0.69862027866718956</v>
          </cell>
          <cell r="BP761">
            <v>0.72634605890804205</v>
          </cell>
          <cell r="BQ761">
            <v>0.70680774455063289</v>
          </cell>
          <cell r="BR761">
            <v>0.69314358238817075</v>
          </cell>
          <cell r="BS761">
            <v>0.68216484207908379</v>
          </cell>
          <cell r="BT761">
            <v>0.61210396794802513</v>
          </cell>
          <cell r="BU761">
            <v>0.72464181581544795</v>
          </cell>
          <cell r="BV761">
            <v>0.7017693922589654</v>
          </cell>
          <cell r="BY761" t="str">
            <v>1500/0.7/4000</v>
          </cell>
          <cell r="BZ761">
            <v>2.1982298796414224E-2</v>
          </cell>
          <cell r="CA761">
            <v>2.1281741665725384E-2</v>
          </cell>
        </row>
        <row r="762">
          <cell r="BN762" t="str">
            <v>1500/0.9/6850</v>
          </cell>
          <cell r="BO762">
            <v>0.69767638446159708</v>
          </cell>
          <cell r="BP762">
            <v>0.72559030151777093</v>
          </cell>
          <cell r="BQ762">
            <v>0.70586408022552594</v>
          </cell>
          <cell r="BR762">
            <v>0.6918864894497444</v>
          </cell>
          <cell r="BS762">
            <v>0.68120447996260214</v>
          </cell>
          <cell r="BT762">
            <v>0.61116623826823402</v>
          </cell>
          <cell r="BU762">
            <v>0.72350044882230391</v>
          </cell>
          <cell r="BV762">
            <v>0.70063523696100483</v>
          </cell>
          <cell r="BY762" t="str">
            <v>1500/0.7/4250</v>
          </cell>
          <cell r="BZ762">
            <v>2.1856883358649548E-2</v>
          </cell>
          <cell r="CA762">
            <v>2.1147338570247198E-2</v>
          </cell>
        </row>
        <row r="763">
          <cell r="BN763" t="str">
            <v>1500/0.9/7500</v>
          </cell>
          <cell r="BO763">
            <v>0.69522899659335125</v>
          </cell>
          <cell r="BP763">
            <v>0.7243766836507447</v>
          </cell>
          <cell r="BQ763">
            <v>0.70341408476242429</v>
          </cell>
          <cell r="BR763">
            <v>0.6893991079634888</v>
          </cell>
          <cell r="BS763">
            <v>0.67873440815390329</v>
          </cell>
          <cell r="BT763">
            <v>0.60872814110077478</v>
          </cell>
          <cell r="BU763">
            <v>0.72054270388057196</v>
          </cell>
          <cell r="BV763">
            <v>0.69824616174728593</v>
          </cell>
          <cell r="BY763" t="str">
            <v>1500/0.7/4500</v>
          </cell>
          <cell r="BZ763">
            <v>2.1731467920884873E-2</v>
          </cell>
          <cell r="CA763">
            <v>2.1012935474769012E-2</v>
          </cell>
        </row>
        <row r="764">
          <cell r="BN764" t="str">
            <v>1500/0.9/10000</v>
          </cell>
          <cell r="BO764">
            <v>0.68903791930280323</v>
          </cell>
          <cell r="BP764">
            <v>0.7212161549343914</v>
          </cell>
          <cell r="BQ764">
            <v>0.69706623025271097</v>
          </cell>
          <cell r="BR764">
            <v>0.6818341838823534</v>
          </cell>
          <cell r="BS764">
            <v>0.6721559049947482</v>
          </cell>
          <cell r="BT764">
            <v>0.60304519575506377</v>
          </cell>
          <cell r="BU764">
            <v>0.71278664926815605</v>
          </cell>
          <cell r="BV764">
            <v>0.69168152910605918</v>
          </cell>
          <cell r="BY764" t="str">
            <v>1500/0.7/4750</v>
          </cell>
          <cell r="BZ764">
            <v>2.1608509725022151E-2</v>
          </cell>
          <cell r="CA764">
            <v>2.0898687017439355E-2</v>
          </cell>
        </row>
        <row r="765">
          <cell r="BN765" t="str">
            <v>1500/0.9/99999</v>
          </cell>
          <cell r="BO765">
            <v>0.66909751074016499</v>
          </cell>
          <cell r="BP765">
            <v>0.71429612969299738</v>
          </cell>
          <cell r="BQ765">
            <v>0.67675691226313994</v>
          </cell>
          <cell r="BR765">
            <v>0.65744475012620629</v>
          </cell>
          <cell r="BS765">
            <v>0.65445925266256255</v>
          </cell>
          <cell r="BT765">
            <v>0.5843738186223133</v>
          </cell>
          <cell r="BU765">
            <v>0.68920087344494863</v>
          </cell>
          <cell r="BV765">
            <v>0.67462313647905936</v>
          </cell>
          <cell r="BY765" t="str">
            <v>1500/0.7/5000</v>
          </cell>
          <cell r="BZ765">
            <v>2.148555152915943E-2</v>
          </cell>
          <cell r="CA765">
            <v>2.0784438560109697E-2</v>
          </cell>
        </row>
        <row r="766">
          <cell r="BY766" t="str">
            <v>1500/0.7/5250</v>
          </cell>
          <cell r="BZ766">
            <v>2.1393369177677979E-2</v>
          </cell>
          <cell r="CA766">
            <v>2.0692105601322175E-2</v>
          </cell>
        </row>
        <row r="767">
          <cell r="BN767" t="str">
            <v>1750/0.9/2250</v>
          </cell>
          <cell r="BO767">
            <v>0.77703163270619702</v>
          </cell>
          <cell r="BP767">
            <v>0.79264159303695103</v>
          </cell>
          <cell r="BQ767">
            <v>0.79330657290193596</v>
          </cell>
          <cell r="BR767">
            <v>0.7778601836213952</v>
          </cell>
          <cell r="BS767">
            <v>0.76265876371765451</v>
          </cell>
          <cell r="BT767">
            <v>0.65748188625133175</v>
          </cell>
          <cell r="BU767">
            <v>0.77414136789784893</v>
          </cell>
          <cell r="BV767">
            <v>0.74973918504574788</v>
          </cell>
          <cell r="BY767" t="str">
            <v>1500/0.7/5500</v>
          </cell>
          <cell r="BZ767">
            <v>2.1301186826196528E-2</v>
          </cell>
          <cell r="CA767">
            <v>2.0599772642534653E-2</v>
          </cell>
        </row>
        <row r="768">
          <cell r="BN768" t="str">
            <v>1750/0.9/2500</v>
          </cell>
          <cell r="BO768">
            <v>0.75793263354387663</v>
          </cell>
          <cell r="BP768">
            <v>0.77488965017124356</v>
          </cell>
          <cell r="BQ768">
            <v>0.7736586243135507</v>
          </cell>
          <cell r="BR768">
            <v>0.75855784137240756</v>
          </cell>
          <cell r="BS768">
            <v>0.74174938254229916</v>
          </cell>
          <cell r="BT768">
            <v>0.64530496960354222</v>
          </cell>
          <cell r="BU768">
            <v>0.76066488784472941</v>
          </cell>
          <cell r="BV768">
            <v>0.7346424930805372</v>
          </cell>
          <cell r="BY768" t="str">
            <v>1500/0.7/5750</v>
          </cell>
          <cell r="BZ768">
            <v>2.1220221802300099E-2</v>
          </cell>
          <cell r="CA768">
            <v>2.0516453871789686E-2</v>
          </cell>
        </row>
        <row r="769">
          <cell r="BN769" t="str">
            <v>1750/0.9/2750</v>
          </cell>
          <cell r="BO769">
            <v>0.74210007066373729</v>
          </cell>
          <cell r="BP769">
            <v>0.7610361730873404</v>
          </cell>
          <cell r="BQ769">
            <v>0.75731325174198316</v>
          </cell>
          <cell r="BR769">
            <v>0.74233633410443589</v>
          </cell>
          <cell r="BS769">
            <v>0.72471074229380794</v>
          </cell>
          <cell r="BT769">
            <v>0.63469798154158397</v>
          </cell>
          <cell r="BU769">
            <v>0.75008691992461862</v>
          </cell>
          <cell r="BV769">
            <v>0.72407628744835528</v>
          </cell>
          <cell r="BY769" t="str">
            <v>1500/0.7/6000</v>
          </cell>
          <cell r="BZ769">
            <v>2.113925677840367E-2</v>
          </cell>
          <cell r="CA769">
            <v>2.0433135101044719E-2</v>
          </cell>
        </row>
        <row r="770">
          <cell r="BN770" t="str">
            <v>1750/0.9/3000</v>
          </cell>
          <cell r="BO770">
            <v>0.73041325266230828</v>
          </cell>
          <cell r="BP770">
            <v>0.75248751872885777</v>
          </cell>
          <cell r="BQ770">
            <v>0.74551781341784151</v>
          </cell>
          <cell r="BR770">
            <v>0.73050845604243453</v>
          </cell>
          <cell r="BS770">
            <v>0.71573196831589581</v>
          </cell>
          <cell r="BT770">
            <v>0.62818197290203492</v>
          </cell>
          <cell r="BU770">
            <v>0.74168417870889003</v>
          </cell>
          <cell r="BV770">
            <v>0.7163747880586514</v>
          </cell>
          <cell r="BY770" t="str">
            <v>1500/0.7/6250</v>
          </cell>
          <cell r="BZ770">
            <v>2.105812968481513E-2</v>
          </cell>
          <cell r="CA770">
            <v>2.0356866690664166E-2</v>
          </cell>
        </row>
        <row r="771">
          <cell r="BN771" t="str">
            <v>1750/0.9/3250</v>
          </cell>
          <cell r="BO771">
            <v>0.72376560047318739</v>
          </cell>
          <cell r="BP771">
            <v>0.74656027448603934</v>
          </cell>
          <cell r="BQ771">
            <v>0.73706669137643122</v>
          </cell>
          <cell r="BR771">
            <v>0.72331557187672635</v>
          </cell>
          <cell r="BS771">
            <v>0.7094552329325825</v>
          </cell>
          <cell r="BT771">
            <v>0.62321742022241788</v>
          </cell>
          <cell r="BU771">
            <v>0.73636866115137067</v>
          </cell>
          <cell r="BV771">
            <v>0.71108107215948246</v>
          </cell>
          <cell r="BY771" t="str">
            <v>1500/0.7/6350</v>
          </cell>
          <cell r="BZ771">
            <v>2.1025648594370505E-2</v>
          </cell>
          <cell r="CA771">
            <v>2.0326227476972658E-2</v>
          </cell>
        </row>
        <row r="772">
          <cell r="BN772" t="str">
            <v>1750/0.9/3500</v>
          </cell>
          <cell r="BO772">
            <v>0.71711794828406661</v>
          </cell>
          <cell r="BP772">
            <v>0.74063303024322102</v>
          </cell>
          <cell r="BQ772">
            <v>0.72861556933502092</v>
          </cell>
          <cell r="BR772">
            <v>0.71612268771101828</v>
          </cell>
          <cell r="BS772">
            <v>0.70317849754926909</v>
          </cell>
          <cell r="BT772">
            <v>0.61825286754280095</v>
          </cell>
          <cell r="BU772">
            <v>0.73105314359385121</v>
          </cell>
          <cell r="BV772">
            <v>0.70578735626031353</v>
          </cell>
          <cell r="BY772" t="str">
            <v>1500/0.7/6600</v>
          </cell>
          <cell r="BZ772">
            <v>2.0944370235735921E-2</v>
          </cell>
          <cell r="CA772">
            <v>2.0249299818897004E-2</v>
          </cell>
        </row>
        <row r="773">
          <cell r="BN773" t="str">
            <v>1750/0.9/3750</v>
          </cell>
          <cell r="BO773">
            <v>0.71311924866190779</v>
          </cell>
          <cell r="BP773">
            <v>0.73668987728663815</v>
          </cell>
          <cell r="BQ773">
            <v>0.72398051273753872</v>
          </cell>
          <cell r="BR773">
            <v>0.71159251610511065</v>
          </cell>
          <cell r="BS773">
            <v>0.69875656491993854</v>
          </cell>
          <cell r="BT773">
            <v>0.61467983706056706</v>
          </cell>
          <cell r="BU773">
            <v>0.72721242741688819</v>
          </cell>
          <cell r="BV773">
            <v>0.70178074800991364</v>
          </cell>
          <cell r="BY773" t="str">
            <v>1500/0.7/6850</v>
          </cell>
          <cell r="BZ773">
            <v>2.0863397031708697E-2</v>
          </cell>
          <cell r="CA773">
            <v>2.0178330986771797E-2</v>
          </cell>
        </row>
        <row r="774">
          <cell r="BN774" t="str">
            <v>1750/0.9/4000</v>
          </cell>
          <cell r="BO774">
            <v>0.70912054903974897</v>
          </cell>
          <cell r="BP774">
            <v>0.73274672433005539</v>
          </cell>
          <cell r="BQ774">
            <v>0.71934545614005663</v>
          </cell>
          <cell r="BR774">
            <v>0.70706234449920313</v>
          </cell>
          <cell r="BS774">
            <v>0.69433463229060799</v>
          </cell>
          <cell r="BT774">
            <v>0.61110680657833327</v>
          </cell>
          <cell r="BU774">
            <v>0.72337171123992516</v>
          </cell>
          <cell r="BV774">
            <v>0.69777413975951363</v>
          </cell>
          <cell r="BY774" t="str">
            <v>1500/0.7/7500</v>
          </cell>
          <cell r="BZ774">
            <v>2.0711644019761444E-2</v>
          </cell>
          <cell r="CA774">
            <v>2.0020066777251877E-2</v>
          </cell>
        </row>
        <row r="775">
          <cell r="BN775" t="str">
            <v>1750/0.9/4250</v>
          </cell>
          <cell r="BO775">
            <v>0.70614567994646471</v>
          </cell>
          <cell r="BP775">
            <v>0.73006029646559578</v>
          </cell>
          <cell r="BQ775">
            <v>0.71627396550762001</v>
          </cell>
          <cell r="BR775">
            <v>0.70363336209963068</v>
          </cell>
          <cell r="BS775">
            <v>0.69095564971205259</v>
          </cell>
          <cell r="BT775">
            <v>0.60843481336500371</v>
          </cell>
          <cell r="BU775">
            <v>0.72037207746018361</v>
          </cell>
          <cell r="BV775">
            <v>0.69466564066028913</v>
          </cell>
          <cell r="BY775" t="str">
            <v>1500/0.7/8000</v>
          </cell>
          <cell r="BZ775">
            <v>2.0596220111231744E-2</v>
          </cell>
          <cell r="CA775">
            <v>1.9896467986869171E-2</v>
          </cell>
        </row>
        <row r="776">
          <cell r="BN776" t="str">
            <v>1750/0.9/4500</v>
          </cell>
          <cell r="BO776">
            <v>0.70317081085318045</v>
          </cell>
          <cell r="BP776">
            <v>0.72737386860113618</v>
          </cell>
          <cell r="BQ776">
            <v>0.7132024748751834</v>
          </cell>
          <cell r="BR776">
            <v>0.70020437970005822</v>
          </cell>
          <cell r="BS776">
            <v>0.6875766671334973</v>
          </cell>
          <cell r="BT776">
            <v>0.60576282015167404</v>
          </cell>
          <cell r="BU776">
            <v>0.71737244368044195</v>
          </cell>
          <cell r="BV776">
            <v>0.69155714156106451</v>
          </cell>
          <cell r="BY776" t="str">
            <v>1500/0.7/9000</v>
          </cell>
          <cell r="BZ776">
            <v>2.038928544523877E-2</v>
          </cell>
          <cell r="CA776">
            <v>1.9705450684394554E-2</v>
          </cell>
        </row>
        <row r="777">
          <cell r="BN777" t="str">
            <v>1750/0.9/4750</v>
          </cell>
          <cell r="BO777">
            <v>0.70085205020931607</v>
          </cell>
          <cell r="BP777">
            <v>0.72556694748143868</v>
          </cell>
          <cell r="BQ777">
            <v>0.71081537722594135</v>
          </cell>
          <cell r="BR777">
            <v>0.69751373435644759</v>
          </cell>
          <cell r="BS777">
            <v>0.68488074612312888</v>
          </cell>
          <cell r="BT777">
            <v>0.6036379309655685</v>
          </cell>
          <cell r="BU777">
            <v>0.71494902817266759</v>
          </cell>
          <cell r="BV777">
            <v>0.68905956906788846</v>
          </cell>
          <cell r="BY777" t="str">
            <v>1500/0.7/10000</v>
          </cell>
          <cell r="BZ777">
            <v>2.0215065722054781E-2</v>
          </cell>
          <cell r="CA777">
            <v>1.9523297566043318E-2</v>
          </cell>
        </row>
        <row r="778">
          <cell r="BN778" t="str">
            <v>1750/0.9/5000</v>
          </cell>
          <cell r="BO778">
            <v>0.6985332895654518</v>
          </cell>
          <cell r="BP778">
            <v>0.72376002636174119</v>
          </cell>
          <cell r="BQ778">
            <v>0.7084282795766994</v>
          </cell>
          <cell r="BR778">
            <v>0.69482308901283696</v>
          </cell>
          <cell r="BS778">
            <v>0.68218482511276046</v>
          </cell>
          <cell r="BT778">
            <v>0.60151304177946296</v>
          </cell>
          <cell r="BU778">
            <v>0.71252561266489334</v>
          </cell>
          <cell r="BV778">
            <v>0.68656199657471229</v>
          </cell>
          <cell r="BY778" t="str">
            <v>1500/0.7/99999</v>
          </cell>
          <cell r="BZ778">
            <v>1.7760606169976434E-2</v>
          </cell>
          <cell r="CA778">
            <v>1.7500663107428371E-2</v>
          </cell>
        </row>
        <row r="779">
          <cell r="BN779" t="str">
            <v>1750/0.9/5250</v>
          </cell>
          <cell r="BO779">
            <v>0.69648992143874988</v>
          </cell>
          <cell r="BP779">
            <v>0.72237527452625927</v>
          </cell>
          <cell r="BQ779">
            <v>0.70629534641908909</v>
          </cell>
          <cell r="BR779">
            <v>0.69260204718156404</v>
          </cell>
          <cell r="BS779">
            <v>0.67997869902383989</v>
          </cell>
          <cell r="BT779">
            <v>0.59976112601173504</v>
          </cell>
          <cell r="BU779">
            <v>0.71030532249756551</v>
          </cell>
          <cell r="BV779">
            <v>0.68460322949435959</v>
          </cell>
          <cell r="BY779" t="str">
            <v>1750/0.7/2000</v>
          </cell>
          <cell r="BZ779">
            <v>2.3434436924489654E-2</v>
          </cell>
          <cell r="CA779">
            <v>2.2900688493282084E-2</v>
          </cell>
        </row>
        <row r="780">
          <cell r="BN780" t="str">
            <v>1750/0.9/5500</v>
          </cell>
          <cell r="BO780">
            <v>0.69444655331204808</v>
          </cell>
          <cell r="BP780">
            <v>0.72099052269077746</v>
          </cell>
          <cell r="BQ780">
            <v>0.70416241326147866</v>
          </cell>
          <cell r="BR780">
            <v>0.69038100535029112</v>
          </cell>
          <cell r="BS780">
            <v>0.67777257293491944</v>
          </cell>
          <cell r="BT780">
            <v>0.59800921024400722</v>
          </cell>
          <cell r="BU780">
            <v>0.70808503233023756</v>
          </cell>
          <cell r="BV780">
            <v>0.682644462414007</v>
          </cell>
          <cell r="BY780" t="str">
            <v>1750/0.7/2250</v>
          </cell>
          <cell r="BZ780">
            <v>2.3136356334302999E-2</v>
          </cell>
          <cell r="CA780">
            <v>2.2542432161422932E-2</v>
          </cell>
        </row>
        <row r="781">
          <cell r="BN781" t="str">
            <v>1750/0.9/5750</v>
          </cell>
          <cell r="BO781">
            <v>0.69297654581767176</v>
          </cell>
          <cell r="BP781">
            <v>0.72012370810253323</v>
          </cell>
          <cell r="BQ781">
            <v>0.70269078028545751</v>
          </cell>
          <cell r="BR781">
            <v>0.68853064054678659</v>
          </cell>
          <cell r="BS781">
            <v>0.67581554081131345</v>
          </cell>
          <cell r="BT781">
            <v>0.59658631770763182</v>
          </cell>
          <cell r="BU781">
            <v>0.70654245968634743</v>
          </cell>
          <cell r="BV781">
            <v>0.68076407987586063</v>
          </cell>
          <cell r="BY781" t="str">
            <v>1750/0.7/2500</v>
          </cell>
          <cell r="BZ781">
            <v>2.2877560746507042E-2</v>
          </cell>
          <cell r="CA781">
            <v>2.2240236505860711E-2</v>
          </cell>
        </row>
        <row r="782">
          <cell r="BN782" t="str">
            <v>1750/0.9/6000</v>
          </cell>
          <cell r="BO782">
            <v>0.69150653832329545</v>
          </cell>
          <cell r="BP782">
            <v>0.71925689351428901</v>
          </cell>
          <cell r="BQ782">
            <v>0.70121914730943635</v>
          </cell>
          <cell r="BR782">
            <v>0.68668027574328194</v>
          </cell>
          <cell r="BS782">
            <v>0.67385850868770747</v>
          </cell>
          <cell r="BT782">
            <v>0.59516342517125653</v>
          </cell>
          <cell r="BU782">
            <v>0.7049998870424572</v>
          </cell>
          <cell r="BV782">
            <v>0.67888369733771425</v>
          </cell>
          <cell r="BY782" t="str">
            <v>1750/0.7/2750</v>
          </cell>
          <cell r="BZ782">
            <v>2.264938168684183E-2</v>
          </cell>
          <cell r="CA782">
            <v>2.1977594961567481E-2</v>
          </cell>
        </row>
        <row r="783">
          <cell r="BN783" t="str">
            <v>1750/0.9/6250</v>
          </cell>
          <cell r="BO783">
            <v>0.69025063837121214</v>
          </cell>
          <cell r="BP783">
            <v>0.71870818424724914</v>
          </cell>
          <cell r="BQ783">
            <v>0.69996350281241504</v>
          </cell>
          <cell r="BR783">
            <v>0.68542546836520091</v>
          </cell>
          <cell r="BS783">
            <v>0.67264356866981545</v>
          </cell>
          <cell r="BT783">
            <v>0.59397957952977809</v>
          </cell>
          <cell r="BU783">
            <v>0.70345488660179611</v>
          </cell>
          <cell r="BV783">
            <v>0.67773900636002604</v>
          </cell>
          <cell r="BY783" t="str">
            <v>1750/0.7/3000</v>
          </cell>
          <cell r="BZ783">
            <v>2.2448585446664948E-2</v>
          </cell>
          <cell r="CA783">
            <v>2.1743182368664682E-2</v>
          </cell>
        </row>
        <row r="784">
          <cell r="BN784" t="str">
            <v>1750/0.9/6350</v>
          </cell>
          <cell r="BO784">
            <v>0.68974806804207067</v>
          </cell>
          <cell r="BP784">
            <v>0.71848870054043346</v>
          </cell>
          <cell r="BQ784">
            <v>0.69946103875257759</v>
          </cell>
          <cell r="BR784">
            <v>0.68492335254684245</v>
          </cell>
          <cell r="BS784">
            <v>0.67219217334490722</v>
          </cell>
          <cell r="BT784">
            <v>0.59360214305430714</v>
          </cell>
          <cell r="BU784">
            <v>0.7028364332367999</v>
          </cell>
          <cell r="BV784">
            <v>0.67728914479797586</v>
          </cell>
          <cell r="BY784" t="str">
            <v>1750/0.7/3250</v>
          </cell>
          <cell r="BZ784">
            <v>2.2272880394480499E-2</v>
          </cell>
          <cell r="CA784">
            <v>2.1539783910838328E-2</v>
          </cell>
        </row>
        <row r="785">
          <cell r="BN785" t="str">
            <v>1750/0.9/6600</v>
          </cell>
          <cell r="BO785">
            <v>0.68870483875010546</v>
          </cell>
          <cell r="BP785">
            <v>0.71793999127339436</v>
          </cell>
          <cell r="BQ785">
            <v>0.69830656827040372</v>
          </cell>
          <cell r="BR785">
            <v>0.68366758083313561</v>
          </cell>
          <cell r="BS785">
            <v>0.67113417788879648</v>
          </cell>
          <cell r="BT785">
            <v>0.59265875273756308</v>
          </cell>
          <cell r="BU785">
            <v>0.70129008329704634</v>
          </cell>
          <cell r="BV785">
            <v>0.67616181781394002</v>
          </cell>
          <cell r="BY785" t="str">
            <v>1750/0.7/3500</v>
          </cell>
          <cell r="BZ785">
            <v>2.2097175342296049E-2</v>
          </cell>
          <cell r="CA785">
            <v>2.1336385453011975E-2</v>
          </cell>
        </row>
        <row r="786">
          <cell r="BN786" t="str">
            <v>1750/0.9/6850</v>
          </cell>
          <cell r="BO786">
            <v>0.6877614595146857</v>
          </cell>
          <cell r="BP786">
            <v>0.71739128200635505</v>
          </cell>
          <cell r="BQ786">
            <v>0.69736340692522436</v>
          </cell>
          <cell r="BR786">
            <v>0.68241112030826712</v>
          </cell>
          <cell r="BS786">
            <v>0.67007394528241293</v>
          </cell>
          <cell r="BT786">
            <v>0.59172102305777163</v>
          </cell>
          <cell r="BU786">
            <v>0.70014964906565713</v>
          </cell>
          <cell r="BV786">
            <v>0.67503067214574597</v>
          </cell>
          <cell r="BY786" t="str">
            <v>1750/0.7/3750</v>
          </cell>
          <cell r="BZ786">
            <v>2.1947937984129973E-2</v>
          </cell>
          <cell r="CA786">
            <v>2.1160774019995054E-2</v>
          </cell>
        </row>
        <row r="787">
          <cell r="BN787" t="str">
            <v>1750/0.9/7500</v>
          </cell>
          <cell r="BO787">
            <v>0.68530891594715215</v>
          </cell>
          <cell r="BP787">
            <v>0.7161701891765313</v>
          </cell>
          <cell r="BQ787">
            <v>0.69490860151875722</v>
          </cell>
          <cell r="BR787">
            <v>0.67963328544354573</v>
          </cell>
          <cell r="BS787">
            <v>0.66760255377816313</v>
          </cell>
          <cell r="BT787">
            <v>0.58928292589031328</v>
          </cell>
          <cell r="BU787">
            <v>0.6971858546134585</v>
          </cell>
          <cell r="BV787">
            <v>0.67243128157817744</v>
          </cell>
          <cell r="BY787" t="str">
            <v>1750/0.7/4000</v>
          </cell>
          <cell r="BZ787">
            <v>2.1798700625963896E-2</v>
          </cell>
          <cell r="CA787">
            <v>2.0985162586978134E-2</v>
          </cell>
        </row>
        <row r="788">
          <cell r="BN788" t="str">
            <v>1750/0.9/10000</v>
          </cell>
          <cell r="BO788">
            <v>0.67876479955176672</v>
          </cell>
          <cell r="BP788">
            <v>0.71285484825494372</v>
          </cell>
          <cell r="BQ788">
            <v>0.68820674377984237</v>
          </cell>
          <cell r="BR788">
            <v>0.67169574245930175</v>
          </cell>
          <cell r="BS788">
            <v>0.66069786462881086</v>
          </cell>
          <cell r="BT788">
            <v>0.58324950523872765</v>
          </cell>
          <cell r="BU788">
            <v>0.68896206239091151</v>
          </cell>
          <cell r="BV788">
            <v>0.66554880811782957</v>
          </cell>
          <cell r="BY788" t="str">
            <v>1750/0.7/4250</v>
          </cell>
          <cell r="BZ788">
            <v>2.1668660270537154E-2</v>
          </cell>
          <cell r="CA788">
            <v>2.0850980511337158E-2</v>
          </cell>
        </row>
        <row r="789">
          <cell r="BN789" t="str">
            <v>1750/0.9/99999</v>
          </cell>
          <cell r="BO789">
            <v>0.65832940767953718</v>
          </cell>
          <cell r="BP789">
            <v>0.70575302052726041</v>
          </cell>
          <cell r="BQ789">
            <v>0.66740213477117927</v>
          </cell>
          <cell r="BR789">
            <v>0.64675730794481479</v>
          </cell>
          <cell r="BS789">
            <v>0.64240407058712146</v>
          </cell>
          <cell r="BT789">
            <v>0.56408726808396503</v>
          </cell>
          <cell r="BU789">
            <v>0.66469294612274199</v>
          </cell>
          <cell r="BV789">
            <v>0.64786659041495609</v>
          </cell>
          <cell r="BY789" t="str">
            <v>1750/0.7/4500</v>
          </cell>
          <cell r="BZ789">
            <v>2.1538619915110413E-2</v>
          </cell>
          <cell r="CA789">
            <v>2.0716798435696182E-2</v>
          </cell>
        </row>
        <row r="790">
          <cell r="BY790" t="str">
            <v>1750/0.7/4750</v>
          </cell>
          <cell r="BZ790">
            <v>2.1416098916189341E-2</v>
          </cell>
          <cell r="CA790">
            <v>2.059086443381819E-2</v>
          </cell>
        </row>
        <row r="791">
          <cell r="BN791" t="str">
            <v>2000/0.9/2500</v>
          </cell>
          <cell r="BO791">
            <v>0.7613002252052391</v>
          </cell>
          <cell r="BP791">
            <v>0.78030223616855499</v>
          </cell>
          <cell r="BQ791">
            <v>0.77919517859945753</v>
          </cell>
          <cell r="BR791">
            <v>0.76222140083190371</v>
          </cell>
          <cell r="BS791">
            <v>0.74463350659448757</v>
          </cell>
          <cell r="BT791">
            <v>0.63756319890855218</v>
          </cell>
          <cell r="BU791">
            <v>0.74936738024957372</v>
          </cell>
          <cell r="BV791">
            <v>0.72263974497254946</v>
          </cell>
          <cell r="BY791" t="str">
            <v>1750/0.7/5000</v>
          </cell>
          <cell r="BZ791">
            <v>2.1293577917268269E-2</v>
          </cell>
          <cell r="CA791">
            <v>2.0464930431940198E-2</v>
          </cell>
        </row>
        <row r="792">
          <cell r="BN792" t="str">
            <v>2000/0.9/2750</v>
          </cell>
          <cell r="BO792">
            <v>0.74262799332261376</v>
          </cell>
          <cell r="BP792">
            <v>0.76302580977333301</v>
          </cell>
          <cell r="BQ792">
            <v>0.76014077086742637</v>
          </cell>
          <cell r="BR792">
            <v>0.74334647777274576</v>
          </cell>
          <cell r="BS792">
            <v>0.72441558610513868</v>
          </cell>
          <cell r="BT792">
            <v>0.62565972848792939</v>
          </cell>
          <cell r="BU792">
            <v>0.73640562469725312</v>
          </cell>
          <cell r="BV792">
            <v>0.70804764991931002</v>
          </cell>
          <cell r="BY792" t="str">
            <v>1750/0.7/5250</v>
          </cell>
          <cell r="BZ792">
            <v>2.1186290810535136E-2</v>
          </cell>
          <cell r="CA792">
            <v>2.0368863635690682E-2</v>
          </cell>
        </row>
        <row r="793">
          <cell r="BN793" t="str">
            <v>2000/0.9/3000</v>
          </cell>
          <cell r="BO793">
            <v>0.72706867720761659</v>
          </cell>
          <cell r="BP793">
            <v>0.74954838754856257</v>
          </cell>
          <cell r="BQ793">
            <v>0.74404801738045556</v>
          </cell>
          <cell r="BR793">
            <v>0.72738328830626287</v>
          </cell>
          <cell r="BS793">
            <v>0.71227807466994908</v>
          </cell>
          <cell r="BT793">
            <v>0.61519085710449983</v>
          </cell>
          <cell r="BU793">
            <v>0.72613657237735674</v>
          </cell>
          <cell r="BV793">
            <v>0.69803606491203019</v>
          </cell>
          <cell r="BY793" t="str">
            <v>1750/0.7/5500</v>
          </cell>
          <cell r="BZ793">
            <v>2.1079003703802002E-2</v>
          </cell>
          <cell r="CA793">
            <v>2.0272796839441165E-2</v>
          </cell>
        </row>
        <row r="794">
          <cell r="BN794" t="str">
            <v>2000/0.9/3250</v>
          </cell>
          <cell r="BO794">
            <v>0.71941030357685309</v>
          </cell>
          <cell r="BP794">
            <v>0.74182951425934474</v>
          </cell>
          <cell r="BQ794">
            <v>0.73381710069769523</v>
          </cell>
          <cell r="BR794">
            <v>0.71917093181326064</v>
          </cell>
          <cell r="BS794">
            <v>0.70431266502926282</v>
          </cell>
          <cell r="BT794">
            <v>0.60930773052242826</v>
          </cell>
          <cell r="BU794">
            <v>0.71945185967065606</v>
          </cell>
          <cell r="BV794">
            <v>0.6915226843811102</v>
          </cell>
          <cell r="BY794" t="str">
            <v>1750/0.7/5750</v>
          </cell>
          <cell r="BZ794">
            <v>2.0998114378233734E-2</v>
          </cell>
          <cell r="CA794">
            <v>2.0184235705958953E-2</v>
          </cell>
        </row>
        <row r="795">
          <cell r="BN795" t="str">
            <v>2000/0.9/3500</v>
          </cell>
          <cell r="BO795">
            <v>0.71175192994608949</v>
          </cell>
          <cell r="BP795">
            <v>0.7341106409701269</v>
          </cell>
          <cell r="BQ795">
            <v>0.72358618401493502</v>
          </cell>
          <cell r="BR795">
            <v>0.71095857532025841</v>
          </cell>
          <cell r="BS795">
            <v>0.69634725538857645</v>
          </cell>
          <cell r="BT795">
            <v>0.60342460394035669</v>
          </cell>
          <cell r="BU795">
            <v>0.71276714696395527</v>
          </cell>
          <cell r="BV795">
            <v>0.68500930385019032</v>
          </cell>
          <cell r="BY795" t="str">
            <v>1750/0.7/6000</v>
          </cell>
          <cell r="BZ795">
            <v>2.0917225052665467E-2</v>
          </cell>
          <cell r="CA795">
            <v>2.009567457247674E-2</v>
          </cell>
        </row>
        <row r="796">
          <cell r="BN796" t="str">
            <v>2000/0.9/3750</v>
          </cell>
          <cell r="BO796">
            <v>0.70707721265231482</v>
          </cell>
          <cell r="BP796">
            <v>0.72969803447262749</v>
          </cell>
          <cell r="BQ796">
            <v>0.71876039279768222</v>
          </cell>
          <cell r="BR796">
            <v>0.70572710379053216</v>
          </cell>
          <cell r="BS796">
            <v>0.69130399340784554</v>
          </cell>
          <cell r="BT796">
            <v>0.59939065672719227</v>
          </cell>
          <cell r="BU796">
            <v>0.70825498866633763</v>
          </cell>
          <cell r="BV796">
            <v>0.68046117478625801</v>
          </cell>
          <cell r="BY796" t="str">
            <v>1750/0.7/6250</v>
          </cell>
          <cell r="BZ796">
            <v>2.0836173454528373E-2</v>
          </cell>
          <cell r="CA796">
            <v>2.001974711970167E-2</v>
          </cell>
        </row>
        <row r="797">
          <cell r="BN797" t="str">
            <v>2000/0.9/4000</v>
          </cell>
          <cell r="BO797">
            <v>0.70240249535854016</v>
          </cell>
          <cell r="BP797">
            <v>0.72528542797512807</v>
          </cell>
          <cell r="BQ797">
            <v>0.71393460158042932</v>
          </cell>
          <cell r="BR797">
            <v>0.70049563226080602</v>
          </cell>
          <cell r="BS797">
            <v>0.68626073142711463</v>
          </cell>
          <cell r="BT797">
            <v>0.59535670951402786</v>
          </cell>
          <cell r="BU797">
            <v>0.70374283036871998</v>
          </cell>
          <cell r="BV797">
            <v>0.67591304572232569</v>
          </cell>
          <cell r="BY797" t="str">
            <v>1750/0.7/6350</v>
          </cell>
          <cell r="BZ797">
            <v>2.0803722524393997E-2</v>
          </cell>
          <cell r="CA797">
            <v>1.9989244289052577E-2</v>
          </cell>
        </row>
        <row r="798">
          <cell r="BN798" t="str">
            <v>2000/0.9/4250</v>
          </cell>
          <cell r="BO798">
            <v>0.69893332165505906</v>
          </cell>
          <cell r="BP798">
            <v>0.72288139053922607</v>
          </cell>
          <cell r="BQ798">
            <v>0.71036478358155364</v>
          </cell>
          <cell r="BR798">
            <v>0.69668612539059693</v>
          </cell>
          <cell r="BS798">
            <v>0.68241491070863347</v>
          </cell>
          <cell r="BT798">
            <v>0.59226794745933198</v>
          </cell>
          <cell r="BU798">
            <v>0.70033342568834911</v>
          </cell>
          <cell r="BV798">
            <v>0.67234242994227478</v>
          </cell>
          <cell r="BY798" t="str">
            <v>1750/0.7/6600</v>
          </cell>
          <cell r="BZ798">
            <v>2.0722519471859213E-2</v>
          </cell>
          <cell r="CA798">
            <v>1.9912657588582183E-2</v>
          </cell>
        </row>
        <row r="799">
          <cell r="BN799" t="str">
            <v>2000/0.9/4500</v>
          </cell>
          <cell r="BO799">
            <v>0.69546414795157807</v>
          </cell>
          <cell r="BP799">
            <v>0.72047735310332406</v>
          </cell>
          <cell r="BQ799">
            <v>0.70679496558267796</v>
          </cell>
          <cell r="BR799">
            <v>0.69287661852038795</v>
          </cell>
          <cell r="BS799">
            <v>0.6785690899901522</v>
          </cell>
          <cell r="BT799">
            <v>0.58917918540463599</v>
          </cell>
          <cell r="BU799">
            <v>0.69692402100797812</v>
          </cell>
          <cell r="BV799">
            <v>0.66877181416222387</v>
          </cell>
          <cell r="BY799" t="str">
            <v>1750/0.7/6850</v>
          </cell>
          <cell r="BZ799">
            <v>2.0641225896322002E-2</v>
          </cell>
          <cell r="CA799">
            <v>1.9835440438418672E-2</v>
          </cell>
        </row>
        <row r="800">
          <cell r="BN800" t="str">
            <v>2000/0.9/4750</v>
          </cell>
          <cell r="BO800">
            <v>0.69291037506268971</v>
          </cell>
          <cell r="BP800">
            <v>0.71882824508935439</v>
          </cell>
          <cell r="BQ800">
            <v>0.70417079386969972</v>
          </cell>
          <cell r="BR800">
            <v>0.69002113460885317</v>
          </cell>
          <cell r="BS800">
            <v>0.67577174390346539</v>
          </cell>
          <cell r="BT800">
            <v>0.58693950593764033</v>
          </cell>
          <cell r="BU800">
            <v>0.69423160395288042</v>
          </cell>
          <cell r="BV800">
            <v>0.66611934226126301</v>
          </cell>
          <cell r="BY800" t="str">
            <v>1750/0.7/7500</v>
          </cell>
          <cell r="BZ800">
            <v>2.0472912255984133E-2</v>
          </cell>
          <cell r="CA800">
            <v>1.9672845451682575E-2</v>
          </cell>
        </row>
        <row r="801">
          <cell r="BN801" t="str">
            <v>2000/0.9/5000</v>
          </cell>
          <cell r="BO801">
            <v>0.69035660217380146</v>
          </cell>
          <cell r="BP801">
            <v>0.71717913707538483</v>
          </cell>
          <cell r="BQ801">
            <v>0.70154662215672159</v>
          </cell>
          <cell r="BR801">
            <v>0.68716565069731839</v>
          </cell>
          <cell r="BS801">
            <v>0.6729743978167787</v>
          </cell>
          <cell r="BT801">
            <v>0.58469982647064478</v>
          </cell>
          <cell r="BU801">
            <v>0.69153918689778271</v>
          </cell>
          <cell r="BV801">
            <v>0.66346687036030205</v>
          </cell>
          <cell r="BY801" t="str">
            <v>1750/0.7/8000</v>
          </cell>
          <cell r="BZ801">
            <v>2.0357546163801699E-2</v>
          </cell>
          <cell r="CA801">
            <v>1.9549802316408682E-2</v>
          </cell>
        </row>
        <row r="802">
          <cell r="BN802" t="str">
            <v>2000/0.9/5250</v>
          </cell>
          <cell r="BO802">
            <v>0.688136465346469</v>
          </cell>
          <cell r="BP802">
            <v>0.7157974063822039</v>
          </cell>
          <cell r="BQ802">
            <v>0.69932247833907479</v>
          </cell>
          <cell r="BR802">
            <v>0.68476110277141988</v>
          </cell>
          <cell r="BS802">
            <v>0.67058534482350329</v>
          </cell>
          <cell r="BT802">
            <v>0.58271156694694515</v>
          </cell>
          <cell r="BU802">
            <v>0.68929675826459624</v>
          </cell>
          <cell r="BV802">
            <v>0.6612941592682855</v>
          </cell>
          <cell r="BY802" t="str">
            <v>1750/0.7/9000</v>
          </cell>
          <cell r="BZ802">
            <v>2.0140422255396029E-2</v>
          </cell>
          <cell r="CA802">
            <v>1.934760958270143E-2</v>
          </cell>
        </row>
        <row r="803">
          <cell r="BN803" t="str">
            <v>2000/0.9/5500</v>
          </cell>
          <cell r="BO803">
            <v>0.68591632851913664</v>
          </cell>
          <cell r="BP803">
            <v>0.71441567568902287</v>
          </cell>
          <cell r="BQ803">
            <v>0.697098334521428</v>
          </cell>
          <cell r="BR803">
            <v>0.68235655484552138</v>
          </cell>
          <cell r="BS803">
            <v>0.66819629183022777</v>
          </cell>
          <cell r="BT803">
            <v>0.58072330742324541</v>
          </cell>
          <cell r="BU803">
            <v>0.68705432963140978</v>
          </cell>
          <cell r="BV803">
            <v>0.65912144817626894</v>
          </cell>
          <cell r="BY803" t="str">
            <v>1750/0.7/10000</v>
          </cell>
          <cell r="BZ803">
            <v>1.9966232353228142E-2</v>
          </cell>
          <cell r="CA803">
            <v>1.9165473980218284E-2</v>
          </cell>
        </row>
        <row r="804">
          <cell r="BN804" t="str">
            <v>2000/0.9/5750</v>
          </cell>
          <cell r="BO804">
            <v>0.68417196076645603</v>
          </cell>
          <cell r="BP804">
            <v>0.71315205194206654</v>
          </cell>
          <cell r="BQ804">
            <v>0.69526332128494961</v>
          </cell>
          <cell r="BR804">
            <v>0.68013972360830577</v>
          </cell>
          <cell r="BS804">
            <v>0.6659718817544783</v>
          </cell>
          <cell r="BT804">
            <v>0.57914008125302452</v>
          </cell>
          <cell r="BU804">
            <v>0.68521332357336873</v>
          </cell>
          <cell r="BV804">
            <v>0.65716637065082883</v>
          </cell>
          <cell r="BY804" t="str">
            <v>1750/0.7/99999</v>
          </cell>
          <cell r="BZ804">
            <v>1.7480225784810344E-2</v>
          </cell>
          <cell r="CA804">
            <v>1.7118597950486425E-2</v>
          </cell>
        </row>
        <row r="805">
          <cell r="BN805" t="str">
            <v>2000/0.9/6000</v>
          </cell>
          <cell r="BO805">
            <v>0.68242759301377554</v>
          </cell>
          <cell r="BP805">
            <v>0.71188842819511022</v>
          </cell>
          <cell r="BQ805">
            <v>0.69342830804847122</v>
          </cell>
          <cell r="BR805">
            <v>0.67792289237109016</v>
          </cell>
          <cell r="BS805">
            <v>0.66374747167872883</v>
          </cell>
          <cell r="BT805">
            <v>0.57755685508280352</v>
          </cell>
          <cell r="BU805">
            <v>0.68337231751532768</v>
          </cell>
          <cell r="BV805">
            <v>0.65521129312538862</v>
          </cell>
          <cell r="BY805" t="str">
            <v>2000/0.7/2000</v>
          </cell>
          <cell r="BZ805">
            <v>2.3356554675297625E-2</v>
          </cell>
          <cell r="CA805">
            <v>2.2856575643096066E-2</v>
          </cell>
        </row>
        <row r="806">
          <cell r="BN806" t="str">
            <v>2000/0.9/6250</v>
          </cell>
          <cell r="BO806">
            <v>0.68117237409470388</v>
          </cell>
          <cell r="BP806">
            <v>0.71133871500391144</v>
          </cell>
          <cell r="BQ806">
            <v>0.69217332898410011</v>
          </cell>
          <cell r="BR806">
            <v>0.67648768411209059</v>
          </cell>
          <cell r="BS806">
            <v>0.66208484096859654</v>
          </cell>
          <cell r="BT806">
            <v>0.57630027442535103</v>
          </cell>
          <cell r="BU806">
            <v>0.68182862420547952</v>
          </cell>
          <cell r="BV806">
            <v>0.65347113332226769</v>
          </cell>
          <cell r="BY806" t="str">
            <v>2000/0.7/2250</v>
          </cell>
          <cell r="BZ806">
            <v>2.308239460508732E-2</v>
          </cell>
          <cell r="CA806">
            <v>2.2428901217602215E-2</v>
          </cell>
        </row>
        <row r="807">
          <cell r="BN807" t="str">
            <v>2000/0.9/6350</v>
          </cell>
          <cell r="BO807">
            <v>0.68067007647820177</v>
          </cell>
          <cell r="BP807">
            <v>0.71111923129709498</v>
          </cell>
          <cell r="BQ807">
            <v>0.69167113137973912</v>
          </cell>
          <cell r="BR807">
            <v>0.6759858186615918</v>
          </cell>
          <cell r="BS807">
            <v>0.66160723707236202</v>
          </cell>
          <cell r="BT807">
            <v>0.57579739631293458</v>
          </cell>
          <cell r="BU807">
            <v>0.68121069158595626</v>
          </cell>
          <cell r="BV807">
            <v>0.65302250670683692</v>
          </cell>
          <cell r="BY807" t="str">
            <v>2000/0.7/2500</v>
          </cell>
          <cell r="BZ807">
            <v>2.2798597270174303E-2</v>
          </cell>
          <cell r="CA807">
            <v>2.2084127445014534E-2</v>
          </cell>
        </row>
        <row r="808">
          <cell r="BN808" t="str">
            <v>2000/0.9/6600</v>
          </cell>
          <cell r="BO808">
            <v>0.67941380731476086</v>
          </cell>
          <cell r="BP808">
            <v>0.71057052203005522</v>
          </cell>
          <cell r="BQ808">
            <v>0.69041512242230663</v>
          </cell>
          <cell r="BR808">
            <v>0.67473067388353702</v>
          </cell>
          <cell r="BS808">
            <v>0.66046735765513942</v>
          </cell>
          <cell r="BT808">
            <v>0.57477031430188352</v>
          </cell>
          <cell r="BU808">
            <v>0.6796647217981876</v>
          </cell>
          <cell r="BV808">
            <v>0.65189825522265965</v>
          </cell>
          <cell r="BY808" t="str">
            <v>2000/0.7/2750</v>
          </cell>
          <cell r="BZ808">
            <v>2.254924634831168E-2</v>
          </cell>
          <cell r="CA808">
            <v>2.1793067656338927E-2</v>
          </cell>
        </row>
        <row r="809">
          <cell r="BN809" t="str">
            <v>2000/0.9/6850</v>
          </cell>
          <cell r="BO809">
            <v>0.67840036463688347</v>
          </cell>
          <cell r="BP809">
            <v>0.7100218127630149</v>
          </cell>
          <cell r="BQ809">
            <v>0.68928984580146913</v>
          </cell>
          <cell r="BR809">
            <v>0.67347484174575734</v>
          </cell>
          <cell r="BS809">
            <v>0.65940913058876338</v>
          </cell>
          <cell r="BT809">
            <v>0.57382752660094094</v>
          </cell>
          <cell r="BU809">
            <v>0.67814817006862016</v>
          </cell>
          <cell r="BV809">
            <v>0.65077016810190635</v>
          </cell>
          <cell r="BY809" t="str">
            <v>2000/0.7/3000</v>
          </cell>
          <cell r="BZ809">
            <v>2.2330541802781489E-2</v>
          </cell>
          <cell r="CA809">
            <v>2.1538649814514699E-2</v>
          </cell>
        </row>
        <row r="810">
          <cell r="BN810" t="str">
            <v>2000/0.9/7500</v>
          </cell>
          <cell r="BO810">
            <v>0.67594627839071209</v>
          </cell>
          <cell r="BP810">
            <v>0.70863129274091152</v>
          </cell>
          <cell r="BQ810">
            <v>0.68683634639058444</v>
          </cell>
          <cell r="BR810">
            <v>0.67040734987980277</v>
          </cell>
          <cell r="BS810">
            <v>0.65683590907243505</v>
          </cell>
          <cell r="BT810">
            <v>0.5713894294334827</v>
          </cell>
          <cell r="BU810">
            <v>0.67517990566838559</v>
          </cell>
          <cell r="BV810">
            <v>0.64796553130018775</v>
          </cell>
          <cell r="BY810" t="str">
            <v>2000/0.7/3250</v>
          </cell>
          <cell r="BZ810">
            <v>2.2143348947152641E-2</v>
          </cell>
          <cell r="CA810">
            <v>2.1318961274231718E-2</v>
          </cell>
        </row>
        <row r="811">
          <cell r="BN811" t="str">
            <v>2000/0.9/10000</v>
          </cell>
          <cell r="BO811">
            <v>0.66904638085906964</v>
          </cell>
          <cell r="BP811">
            <v>0.70516161151324996</v>
          </cell>
          <cell r="BQ811">
            <v>0.67977551007088188</v>
          </cell>
          <cell r="BR811">
            <v>0.66209839644215374</v>
          </cell>
          <cell r="BS811">
            <v>0.64960587109293</v>
          </cell>
          <cell r="BT811">
            <v>0.56500553628384254</v>
          </cell>
          <cell r="BU811">
            <v>0.6664942934986775</v>
          </cell>
          <cell r="BV811">
            <v>0.64076963381458174</v>
          </cell>
          <cell r="BY811" t="str">
            <v>2000/0.7/3500</v>
          </cell>
          <cell r="BZ811">
            <v>2.1956156091523793E-2</v>
          </cell>
          <cell r="CA811">
            <v>2.1099272733948737E-2</v>
          </cell>
        </row>
        <row r="812">
          <cell r="BN812" t="str">
            <v>2000/0.9/99999</v>
          </cell>
          <cell r="BO812">
            <v>0.6481161840569345</v>
          </cell>
          <cell r="BP812">
            <v>0.69787749192609994</v>
          </cell>
          <cell r="BQ812">
            <v>0.6584766893999876</v>
          </cell>
          <cell r="BR812">
            <v>0.63661157990051465</v>
          </cell>
          <cell r="BS812">
            <v>0.63071453751707074</v>
          </cell>
          <cell r="BT812">
            <v>0.54535243629924723</v>
          </cell>
          <cell r="BU812">
            <v>0.64156709668622913</v>
          </cell>
          <cell r="BV812">
            <v>0.62248366703556024</v>
          </cell>
          <cell r="BY812" t="str">
            <v>2000/0.7/3750</v>
          </cell>
          <cell r="BZ812">
            <v>2.1799206158606643E-2</v>
          </cell>
          <cell r="CA812">
            <v>2.0913999990048948E-2</v>
          </cell>
        </row>
        <row r="813">
          <cell r="BY813" t="str">
            <v>2000/0.7/4000</v>
          </cell>
          <cell r="BZ813">
            <v>2.1642256225689493E-2</v>
          </cell>
          <cell r="CA813">
            <v>2.0728727246149159E-2</v>
          </cell>
        </row>
        <row r="814">
          <cell r="BN814" t="str">
            <v>2250/0.9/3000</v>
          </cell>
          <cell r="BO814">
            <v>0.72665881570144886</v>
          </cell>
          <cell r="BP814">
            <v>0.75086689324579581</v>
          </cell>
          <cell r="BQ814">
            <v>0.74556630158385373</v>
          </cell>
          <cell r="BR814">
            <v>0.72737927786299195</v>
          </cell>
          <cell r="BS814">
            <v>0.71127255785758225</v>
          </cell>
          <cell r="BT814">
            <v>0.60707988472330077</v>
          </cell>
          <cell r="BU814">
            <v>0.71500408746008581</v>
          </cell>
          <cell r="BV814">
            <v>0.68501139643494646</v>
          </cell>
          <cell r="BY814" t="str">
            <v>2000/0.7/4250</v>
          </cell>
          <cell r="BZ814">
            <v>2.1505864777666028E-2</v>
          </cell>
          <cell r="CA814">
            <v>2.058511518200401E-2</v>
          </cell>
        </row>
        <row r="815">
          <cell r="BN815" t="str">
            <v>2250/0.9/3250</v>
          </cell>
          <cell r="BO815">
            <v>0.71399999999999997</v>
          </cell>
          <cell r="BP815">
            <v>0.74079591672261125</v>
          </cell>
          <cell r="BQ815">
            <v>0.73355887747976456</v>
          </cell>
          <cell r="BR815">
            <v>0.71776131108801011</v>
          </cell>
          <cell r="BS815">
            <v>0.70157236185557303</v>
          </cell>
          <cell r="BT815">
            <v>0.59904660213166694</v>
          </cell>
          <cell r="BU815">
            <v>0.7062275103986615</v>
          </cell>
          <cell r="BV815">
            <v>0.67607786105702661</v>
          </cell>
          <cell r="BY815" t="str">
            <v>2000/0.7/4500</v>
          </cell>
          <cell r="BZ815">
            <v>2.1369473329642563E-2</v>
          </cell>
          <cell r="CA815">
            <v>2.0441503117858861E-2</v>
          </cell>
        </row>
        <row r="816">
          <cell r="BN816" t="str">
            <v>2250/0.9/3500</v>
          </cell>
          <cell r="BO816">
            <v>0.70833074654334083</v>
          </cell>
          <cell r="BP816">
            <v>0.73072494019942669</v>
          </cell>
          <cell r="BQ816">
            <v>0.7215514533756755</v>
          </cell>
          <cell r="BR816">
            <v>0.70814334431302806</v>
          </cell>
          <cell r="BS816">
            <v>0.6918721658535637</v>
          </cell>
          <cell r="BT816">
            <v>0.591013319540033</v>
          </cell>
          <cell r="BU816">
            <v>0.69745093333723718</v>
          </cell>
          <cell r="BV816">
            <v>0.66714432567910686</v>
          </cell>
          <cell r="BY816" t="str">
            <v>2000/0.7/4750</v>
          </cell>
          <cell r="BZ816">
            <v>2.1246224093883215E-2</v>
          </cell>
          <cell r="CA816">
            <v>2.0308254938001924E-2</v>
          </cell>
        </row>
        <row r="817">
          <cell r="BN817" t="str">
            <v>2250/0.9/3750</v>
          </cell>
          <cell r="BO817">
            <v>0.7026387083924226</v>
          </cell>
          <cell r="BP817">
            <v>0.72588550501107996</v>
          </cell>
          <cell r="BQ817">
            <v>0.71566114601238473</v>
          </cell>
          <cell r="BR817">
            <v>0.70194051991953965</v>
          </cell>
          <cell r="BS817">
            <v>0.68572423714827258</v>
          </cell>
          <cell r="BT817">
            <v>0.58629315334081811</v>
          </cell>
          <cell r="BU817">
            <v>0.69206056322770015</v>
          </cell>
          <cell r="BV817">
            <v>0.66173433964125028</v>
          </cell>
          <cell r="BY817" t="str">
            <v>2000/0.7/5000</v>
          </cell>
          <cell r="BZ817">
            <v>2.1122974858123866E-2</v>
          </cell>
          <cell r="CA817">
            <v>2.0175006758144987E-2</v>
          </cell>
        </row>
        <row r="818">
          <cell r="BN818" t="str">
            <v>2250/0.9/4000</v>
          </cell>
          <cell r="BO818">
            <v>0.69694667024150436</v>
          </cell>
          <cell r="BP818">
            <v>0.72104606982273345</v>
          </cell>
          <cell r="BQ818">
            <v>0.70977083864909396</v>
          </cell>
          <cell r="BR818">
            <v>0.69573769552605125</v>
          </cell>
          <cell r="BS818">
            <v>0.67957630844298156</v>
          </cell>
          <cell r="BT818">
            <v>0.58157298714160321</v>
          </cell>
          <cell r="BU818">
            <v>0.68667019311816324</v>
          </cell>
          <cell r="BV818">
            <v>0.65632435360339358</v>
          </cell>
          <cell r="BY818" t="str">
            <v>2000/0.7/5250</v>
          </cell>
          <cell r="BZ818">
            <v>2.1001355680792533E-2</v>
          </cell>
          <cell r="CA818">
            <v>2.0071102199418211E-2</v>
          </cell>
        </row>
        <row r="819">
          <cell r="BN819" t="str">
            <v>2250/0.9/4250</v>
          </cell>
          <cell r="BO819">
            <v>0.69302241496345451</v>
          </cell>
          <cell r="BP819">
            <v>0.7183512495052069</v>
          </cell>
          <cell r="BQ819">
            <v>0.70572235726311194</v>
          </cell>
          <cell r="BR819">
            <v>0.69137252653891279</v>
          </cell>
          <cell r="BS819">
            <v>0.67529998328747809</v>
          </cell>
          <cell r="BT819">
            <v>0.5782590067111032</v>
          </cell>
          <cell r="BU819">
            <v>0.68278123697991555</v>
          </cell>
          <cell r="BV819">
            <v>0.65234876868133784</v>
          </cell>
          <cell r="BY819" t="str">
            <v>2000/0.7/5500</v>
          </cell>
          <cell r="BZ819">
            <v>2.0879736503461199E-2</v>
          </cell>
          <cell r="CA819">
            <v>1.9967197640691436E-2</v>
          </cell>
        </row>
        <row r="820">
          <cell r="BN820" t="str">
            <v>2250/0.9/4500</v>
          </cell>
          <cell r="BO820">
            <v>0.68909815968540467</v>
          </cell>
          <cell r="BP820">
            <v>0.71565642918768035</v>
          </cell>
          <cell r="BQ820">
            <v>0.70167387587713015</v>
          </cell>
          <cell r="BR820">
            <v>0.68700735755177422</v>
          </cell>
          <cell r="BS820">
            <v>0.67102365813197451</v>
          </cell>
          <cell r="BT820">
            <v>0.57494502628060318</v>
          </cell>
          <cell r="BU820">
            <v>0.67889228084166775</v>
          </cell>
          <cell r="BV820">
            <v>0.6483731837592821</v>
          </cell>
          <cell r="BY820" t="str">
            <v>2000/0.7/5750</v>
          </cell>
          <cell r="BZ820">
            <v>2.0798308608916516E-2</v>
          </cell>
          <cell r="CA820">
            <v>1.987597709307698E-2</v>
          </cell>
        </row>
        <row r="821">
          <cell r="BN821" t="str">
            <v>2250/0.9/4750</v>
          </cell>
          <cell r="BO821">
            <v>0.68612903065991926</v>
          </cell>
          <cell r="BP821">
            <v>0.71367961360382215</v>
          </cell>
          <cell r="BQ821">
            <v>0.69861718763617331</v>
          </cell>
          <cell r="BR821">
            <v>0.68368228900554784</v>
          </cell>
          <cell r="BS821">
            <v>0.66774128528365384</v>
          </cell>
          <cell r="BT821">
            <v>0.57232853401397532</v>
          </cell>
          <cell r="BU821">
            <v>0.67588588104714509</v>
          </cell>
          <cell r="BV821">
            <v>0.64529944346095536</v>
          </cell>
          <cell r="BY821" t="str">
            <v>2000/0.7/6000</v>
          </cell>
          <cell r="BZ821">
            <v>2.0716880714371833E-2</v>
          </cell>
          <cell r="CA821">
            <v>1.9784756545462523E-2</v>
          </cell>
        </row>
        <row r="822">
          <cell r="BN822" t="str">
            <v>2250/0.9/5000</v>
          </cell>
          <cell r="BO822">
            <v>0.68315990163443385</v>
          </cell>
          <cell r="BP822">
            <v>0.71170279801996394</v>
          </cell>
          <cell r="BQ822">
            <v>0.69556049939521647</v>
          </cell>
          <cell r="BR822">
            <v>0.68035722045932134</v>
          </cell>
          <cell r="BS822">
            <v>0.66445891243533328</v>
          </cell>
          <cell r="BT822">
            <v>0.56971204174734758</v>
          </cell>
          <cell r="BU822">
            <v>0.67287948125262254</v>
          </cell>
          <cell r="BV822">
            <v>0.64222570316262861</v>
          </cell>
          <cell r="BY822" t="str">
            <v>2000/0.7/6250</v>
          </cell>
          <cell r="BZ822">
            <v>2.0635904985295772E-2</v>
          </cell>
          <cell r="CA822">
            <v>1.9703998972223413E-2</v>
          </cell>
        </row>
        <row r="823">
          <cell r="BN823" t="str">
            <v>2250/0.9/5250</v>
          </cell>
          <cell r="BO823">
            <v>0.68079957393833479</v>
          </cell>
          <cell r="BP823">
            <v>0.71020479540084147</v>
          </cell>
          <cell r="BQ823">
            <v>0.69316174400210495</v>
          </cell>
          <cell r="BR823">
            <v>0.6777672560649457</v>
          </cell>
          <cell r="BS823">
            <v>0.66187908210351265</v>
          </cell>
          <cell r="BT823">
            <v>0.56762617705577467</v>
          </cell>
          <cell r="BU823">
            <v>0.67044080222351066</v>
          </cell>
          <cell r="BV823">
            <v>0.63982385839855627</v>
          </cell>
          <cell r="BY823" t="str">
            <v>2000/0.7/6350</v>
          </cell>
          <cell r="BZ823">
            <v>2.060348436666537E-2</v>
          </cell>
          <cell r="CA823">
            <v>1.9673632524616735E-2</v>
          </cell>
        </row>
        <row r="824">
          <cell r="BN824" t="str">
            <v>2250/0.9/5500</v>
          </cell>
          <cell r="BO824">
            <v>0.67843924624223584</v>
          </cell>
          <cell r="BP824">
            <v>0.70870679278171878</v>
          </cell>
          <cell r="BQ824">
            <v>0.69076298860899332</v>
          </cell>
          <cell r="BR824">
            <v>0.67517729167057006</v>
          </cell>
          <cell r="BS824">
            <v>0.65929925177169202</v>
          </cell>
          <cell r="BT824">
            <v>0.56554031236420177</v>
          </cell>
          <cell r="BU824">
            <v>0.66800212319439867</v>
          </cell>
          <cell r="BV824">
            <v>0.63742201363448392</v>
          </cell>
          <cell r="BY824" t="str">
            <v>2000/0.7/6600</v>
          </cell>
          <cell r="BZ824">
            <v>2.0522357002588754E-2</v>
          </cell>
          <cell r="CA824">
            <v>1.9597386781752046E-2</v>
          </cell>
        </row>
        <row r="825">
          <cell r="BN825" t="str">
            <v>2250/0.9/5750</v>
          </cell>
          <cell r="BO825">
            <v>0.67646059394204905</v>
          </cell>
          <cell r="BP825">
            <v>0.70738674759054487</v>
          </cell>
          <cell r="BQ825">
            <v>0.68873657418558798</v>
          </cell>
          <cell r="BR825">
            <v>0.67289138612474542</v>
          </cell>
          <cell r="BS825">
            <v>0.65701909808204262</v>
          </cell>
          <cell r="BT825">
            <v>0.56378695563034897</v>
          </cell>
          <cell r="BU825">
            <v>0.66596000038341341</v>
          </cell>
          <cell r="BV825">
            <v>0.63538310243913509</v>
          </cell>
          <cell r="BY825" t="str">
            <v>2000/0.7/6850</v>
          </cell>
          <cell r="BZ825">
            <v>2.044112132779774E-2</v>
          </cell>
          <cell r="CA825">
            <v>1.9520670147676E-2</v>
          </cell>
        </row>
        <row r="826">
          <cell r="BN826" t="str">
            <v>2250/0.9/6000</v>
          </cell>
          <cell r="BO826">
            <v>0.67448194164186237</v>
          </cell>
          <cell r="BP826">
            <v>0.70606670239937097</v>
          </cell>
          <cell r="BQ826">
            <v>0.68671015976218253</v>
          </cell>
          <cell r="BR826">
            <v>0.67060548057892089</v>
          </cell>
          <cell r="BS826">
            <v>0.65473894439239322</v>
          </cell>
          <cell r="BT826">
            <v>0.56203359889649607</v>
          </cell>
          <cell r="BU826">
            <v>0.66391787757242815</v>
          </cell>
          <cell r="BV826">
            <v>0.63334419124378627</v>
          </cell>
          <cell r="BY826" t="str">
            <v>2000/0.7/7500</v>
          </cell>
          <cell r="BZ826">
            <v>2.02559520852168E-2</v>
          </cell>
          <cell r="CA826">
            <v>1.9346985965306152E-2</v>
          </cell>
        </row>
        <row r="827">
          <cell r="BN827" t="str">
            <v>2250/0.9/6250</v>
          </cell>
          <cell r="BO827">
            <v>0.6730058101145473</v>
          </cell>
          <cell r="BP827">
            <v>0.70510356861768442</v>
          </cell>
          <cell r="BQ827">
            <v>0.6851434192784569</v>
          </cell>
          <cell r="BR827">
            <v>0.66878291384575794</v>
          </cell>
          <cell r="BS827">
            <v>0.65280284409681655</v>
          </cell>
          <cell r="BT827">
            <v>0.56061917194253508</v>
          </cell>
          <cell r="BU827">
            <v>0.66213917265322941</v>
          </cell>
          <cell r="BV827">
            <v>0.63149906555438573</v>
          </cell>
          <cell r="BY827" t="str">
            <v>2000/0.7/8000</v>
          </cell>
          <cell r="BZ827">
            <v>2.0140644130345775E-2</v>
          </cell>
          <cell r="CA827">
            <v>1.9224540780519606E-2</v>
          </cell>
        </row>
        <row r="828">
          <cell r="BN828" t="str">
            <v>2250/0.9/6350</v>
          </cell>
          <cell r="BO828">
            <v>0.67241989827270876</v>
          </cell>
          <cell r="BP828">
            <v>0.704754449185368</v>
          </cell>
          <cell r="BQ828">
            <v>0.68455658535474195</v>
          </cell>
          <cell r="BR828">
            <v>0.66809005102087426</v>
          </cell>
          <cell r="BS828">
            <v>0.65211922840478898</v>
          </cell>
          <cell r="BT828">
            <v>0.56005326933665467</v>
          </cell>
          <cell r="BU828">
            <v>0.66152177306855753</v>
          </cell>
          <cell r="BV828">
            <v>0.63088087068750498</v>
          </cell>
          <cell r="BY828" t="str">
            <v>2000/0.7/9000</v>
          </cell>
          <cell r="BZ828">
            <v>1.9913384110398669E-2</v>
          </cell>
          <cell r="CA828">
            <v>1.9011167961945796E-2</v>
          </cell>
        </row>
        <row r="829">
          <cell r="BN829" t="str">
            <v>2250/0.9/6600</v>
          </cell>
          <cell r="BO829">
            <v>0.67103862367911837</v>
          </cell>
          <cell r="BP829">
            <v>0.70407491176350112</v>
          </cell>
          <cell r="BQ829">
            <v>0.68317403162266044</v>
          </cell>
          <cell r="BR829">
            <v>0.66650458772645771</v>
          </cell>
          <cell r="BS829">
            <v>0.65056008226720163</v>
          </cell>
          <cell r="BT829">
            <v>0.55881672498603407</v>
          </cell>
          <cell r="BU829">
            <v>0.65997713097611488</v>
          </cell>
          <cell r="BV829">
            <v>0.62938352362580696</v>
          </cell>
          <cell r="BY829" t="str">
            <v>2000/0.7/10000</v>
          </cell>
          <cell r="BZ829">
            <v>1.9739224214630813E-2</v>
          </cell>
          <cell r="CA829">
            <v>1.8829790153714887E-2</v>
          </cell>
        </row>
        <row r="830">
          <cell r="BN830" t="str">
            <v>2250/0.9/6850</v>
          </cell>
          <cell r="BO830">
            <v>0.66990407222844595</v>
          </cell>
          <cell r="BP830">
            <v>0.70352620249646081</v>
          </cell>
          <cell r="BQ830">
            <v>0.68198368512880925</v>
          </cell>
          <cell r="BR830">
            <v>0.66524937840251441</v>
          </cell>
          <cell r="BS830">
            <v>0.64933512157808337</v>
          </cell>
          <cell r="BT830">
            <v>0.55771677739672754</v>
          </cell>
          <cell r="BU830">
            <v>0.65844637789665383</v>
          </cell>
          <cell r="BV830">
            <v>0.62813590379036321</v>
          </cell>
          <cell r="BY830" t="str">
            <v>2000/0.7/99999</v>
          </cell>
          <cell r="BZ830">
            <v>1.7221996773195913E-2</v>
          </cell>
          <cell r="CA830">
            <v>1.6757839411656317E-2</v>
          </cell>
        </row>
        <row r="831">
          <cell r="BN831" t="str">
            <v>2250/0.9/7500</v>
          </cell>
          <cell r="BO831">
            <v>0.66728914259767502</v>
          </cell>
          <cell r="BP831">
            <v>0.70211762043825776</v>
          </cell>
          <cell r="BQ831">
            <v>0.67931241181913227</v>
          </cell>
          <cell r="BR831">
            <v>0.66208306803981998</v>
          </cell>
          <cell r="BS831">
            <v>0.6466393008055924</v>
          </cell>
          <cell r="BT831">
            <v>0.55526344795419946</v>
          </cell>
          <cell r="BU831">
            <v>0.65512244143850473</v>
          </cell>
          <cell r="BV831">
            <v>0.62526635429363153</v>
          </cell>
          <cell r="BY831" t="str">
            <v>2250/0.7/2500</v>
          </cell>
          <cell r="BZ831">
            <v>2.2738888451646067E-2</v>
          </cell>
          <cell r="CA831">
            <v>2.2007766534834605E-2</v>
          </cell>
        </row>
        <row r="832">
          <cell r="BN832" t="str">
            <v>2250/0.9/10000</v>
          </cell>
          <cell r="BO832">
            <v>0.66003161042071579</v>
          </cell>
          <cell r="BP832">
            <v>0.69841555026309843</v>
          </cell>
          <cell r="BQ832">
            <v>0.67189309675682507</v>
          </cell>
          <cell r="BR832">
            <v>0.65321423565810244</v>
          </cell>
          <cell r="BS832">
            <v>0.63907411717791718</v>
          </cell>
          <cell r="BT832">
            <v>0.54852908651823284</v>
          </cell>
          <cell r="BU832">
            <v>0.64597605821579229</v>
          </cell>
          <cell r="BV832">
            <v>0.61801646123824017</v>
          </cell>
          <cell r="BY832" t="str">
            <v>2250/0.7/2750</v>
          </cell>
          <cell r="BZ832">
            <v>2.2496742174112017E-2</v>
          </cell>
          <cell r="CA832">
            <v>2.167102570704682E-2</v>
          </cell>
        </row>
        <row r="833">
          <cell r="BN833" t="str">
            <v>2250/0.9/99999</v>
          </cell>
          <cell r="BO833">
            <v>0.63860677779292596</v>
          </cell>
          <cell r="BP833">
            <v>0.69087629074521062</v>
          </cell>
          <cell r="BQ833">
            <v>0.65009861332840979</v>
          </cell>
          <cell r="BR833">
            <v>0.62718011978426513</v>
          </cell>
          <cell r="BS833">
            <v>0.61958428650385367</v>
          </cell>
          <cell r="BT833">
            <v>0.52838511949207734</v>
          </cell>
          <cell r="BU833">
            <v>0.62041579393567448</v>
          </cell>
          <cell r="BV833">
            <v>0.60389052437587831</v>
          </cell>
          <cell r="BY833" t="str">
            <v>2250/0.7/3000</v>
          </cell>
          <cell r="BZ833">
            <v>2.2257373548126735E-2</v>
          </cell>
          <cell r="CA833">
            <v>2.138503564431804E-2</v>
          </cell>
        </row>
        <row r="834">
          <cell r="BY834" t="str">
            <v>2250/0.7/3250</v>
          </cell>
          <cell r="BZ834">
            <v>2.2055421913387718E-2</v>
          </cell>
          <cell r="CA834">
            <v>2.1146987538052164E-2</v>
          </cell>
        </row>
        <row r="835">
          <cell r="BN835" t="str">
            <v>2500/0.9/3000</v>
          </cell>
          <cell r="BO835">
            <v>0.72624895419528113</v>
          </cell>
          <cell r="BP835">
            <v>0.75218539894302905</v>
          </cell>
          <cell r="BQ835">
            <v>0.7470845857872519</v>
          </cell>
          <cell r="BR835">
            <v>0.72737526741972114</v>
          </cell>
          <cell r="BS835">
            <v>0.71026704104521543</v>
          </cell>
          <cell r="BT835">
            <v>0.5989689123421017</v>
          </cell>
          <cell r="BU835">
            <v>0.70387160254281478</v>
          </cell>
          <cell r="BV835">
            <v>0.67198672795786285</v>
          </cell>
          <cell r="BY835" t="str">
            <v>2250/0.7/3500</v>
          </cell>
          <cell r="BZ835">
            <v>2.1853470278648701E-2</v>
          </cell>
          <cell r="CA835">
            <v>2.0908939431786289E-2</v>
          </cell>
        </row>
        <row r="836">
          <cell r="BN836" t="str">
            <v>2500/0.9/3250</v>
          </cell>
          <cell r="BO836">
            <v>0.7155792586679367</v>
          </cell>
          <cell r="BP836">
            <v>0.73976231918587776</v>
          </cell>
          <cell r="BQ836">
            <v>0.73330065426183388</v>
          </cell>
          <cell r="BR836">
            <v>0.71635169036275947</v>
          </cell>
          <cell r="BS836">
            <v>0.69883205868188325</v>
          </cell>
          <cell r="BT836">
            <v>0.58878547374090551</v>
          </cell>
          <cell r="BU836">
            <v>0.69300316112666693</v>
          </cell>
          <cell r="BV836">
            <v>0.66063303773294313</v>
          </cell>
          <cell r="BY836" t="str">
            <v>2250/0.7/3750</v>
          </cell>
          <cell r="BZ836">
            <v>2.1686303535124463E-2</v>
          </cell>
          <cell r="CA836">
            <v>2.0712301419477219E-2</v>
          </cell>
        </row>
        <row r="837">
          <cell r="BN837" t="str">
            <v>2500/0.9/3500</v>
          </cell>
          <cell r="BO837">
            <v>0.70704487595070309</v>
          </cell>
          <cell r="BP837">
            <v>0.72733923942872636</v>
          </cell>
          <cell r="BQ837">
            <v>0.71951672273641587</v>
          </cell>
          <cell r="BR837">
            <v>0.70532811330579781</v>
          </cell>
          <cell r="BS837">
            <v>0.68739707631855096</v>
          </cell>
          <cell r="BT837">
            <v>0.57860203513970931</v>
          </cell>
          <cell r="BU837">
            <v>0.68213471971051909</v>
          </cell>
          <cell r="BV837">
            <v>0.64927934750802341</v>
          </cell>
          <cell r="BY837" t="str">
            <v>2250/0.7/4000</v>
          </cell>
          <cell r="BZ837">
            <v>2.1519136791600224E-2</v>
          </cell>
          <cell r="CA837">
            <v>2.051566340716815E-2</v>
          </cell>
        </row>
        <row r="838">
          <cell r="BN838" t="str">
            <v>2500/0.9/3750</v>
          </cell>
          <cell r="BO838">
            <v>0.69820020413253048</v>
          </cell>
          <cell r="BP838">
            <v>0.72207297554953254</v>
          </cell>
          <cell r="BQ838">
            <v>0.71256189922708724</v>
          </cell>
          <cell r="BR838">
            <v>0.69815393604854714</v>
          </cell>
          <cell r="BS838">
            <v>0.68014448088869972</v>
          </cell>
          <cell r="BT838">
            <v>0.57319564995444394</v>
          </cell>
          <cell r="BU838">
            <v>0.67586613778906279</v>
          </cell>
          <cell r="BV838">
            <v>0.64300750449624244</v>
          </cell>
          <cell r="BY838" t="str">
            <v>2250/0.7/4250</v>
          </cell>
          <cell r="BZ838">
            <v>2.1375760186315484E-2</v>
          </cell>
          <cell r="CA838">
            <v>2.0354288433041934E-2</v>
          </cell>
        </row>
        <row r="839">
          <cell r="BN839" t="str">
            <v>2500/0.9/4000</v>
          </cell>
          <cell r="BO839">
            <v>0.69149084512446868</v>
          </cell>
          <cell r="BP839">
            <v>0.71680671167033871</v>
          </cell>
          <cell r="BQ839">
            <v>0.70560707571775849</v>
          </cell>
          <cell r="BR839">
            <v>0.69097975879129658</v>
          </cell>
          <cell r="BS839">
            <v>0.67289188545884848</v>
          </cell>
          <cell r="BT839">
            <v>0.56778926476917857</v>
          </cell>
          <cell r="BU839">
            <v>0.6695975558676065</v>
          </cell>
          <cell r="BV839">
            <v>0.63673566148446159</v>
          </cell>
          <cell r="BY839" t="str">
            <v>2250/0.7/4500</v>
          </cell>
          <cell r="BZ839">
            <v>2.1232383581030745E-2</v>
          </cell>
          <cell r="CA839">
            <v>2.0192913458915718E-2</v>
          </cell>
        </row>
        <row r="840">
          <cell r="BN840" t="str">
            <v>2500/0.9/4250</v>
          </cell>
          <cell r="BO840">
            <v>0.68711150827184997</v>
          </cell>
          <cell r="BP840">
            <v>0.71382110847118763</v>
          </cell>
          <cell r="BQ840">
            <v>0.70107993094467036</v>
          </cell>
          <cell r="BR840">
            <v>0.68605892768722854</v>
          </cell>
          <cell r="BS840">
            <v>0.66818505586632271</v>
          </cell>
          <cell r="BT840">
            <v>0.56425006596287441</v>
          </cell>
          <cell r="BU840">
            <v>0.66522904827148188</v>
          </cell>
          <cell r="BV840">
            <v>0.63235510742040102</v>
          </cell>
          <cell r="BY840" t="str">
            <v>2250/0.7/4750</v>
          </cell>
          <cell r="BZ840">
            <v>2.1105219962796018E-2</v>
          </cell>
          <cell r="CA840">
            <v>2.0059021374079333E-2</v>
          </cell>
        </row>
        <row r="841">
          <cell r="BN841" t="str">
            <v>2500/0.9/4500</v>
          </cell>
          <cell r="BO841">
            <v>0.68273217141923115</v>
          </cell>
          <cell r="BP841">
            <v>0.71083550527203665</v>
          </cell>
          <cell r="BQ841">
            <v>0.69655278617158223</v>
          </cell>
          <cell r="BR841">
            <v>0.68113809658316049</v>
          </cell>
          <cell r="BS841">
            <v>0.66347822627379682</v>
          </cell>
          <cell r="BT841">
            <v>0.56071086715657037</v>
          </cell>
          <cell r="BU841">
            <v>0.66086054067535727</v>
          </cell>
          <cell r="BV841">
            <v>0.62797455335634034</v>
          </cell>
          <cell r="BY841" t="str">
            <v>2250/0.7/5000</v>
          </cell>
          <cell r="BZ841">
            <v>2.0978056344561291E-2</v>
          </cell>
          <cell r="CA841">
            <v>1.9925129289242949E-2</v>
          </cell>
        </row>
        <row r="842">
          <cell r="BN842" t="str">
            <v>2500/0.9/4750</v>
          </cell>
          <cell r="BO842">
            <v>0.67934768625714881</v>
          </cell>
          <cell r="BP842">
            <v>0.70853098211828991</v>
          </cell>
          <cell r="BQ842">
            <v>0.6930635814026469</v>
          </cell>
          <cell r="BR842">
            <v>0.6773434434022424</v>
          </cell>
          <cell r="BS842">
            <v>0.65971082666384229</v>
          </cell>
          <cell r="BT842">
            <v>0.55771756209031031</v>
          </cell>
          <cell r="BU842">
            <v>0.65754015814140976</v>
          </cell>
          <cell r="BV842">
            <v>0.62447954466064781</v>
          </cell>
          <cell r="BY842" t="str">
            <v>2250/0.7/5250</v>
          </cell>
          <cell r="BZ842">
            <v>2.0856025074330042E-2</v>
          </cell>
          <cell r="CA842">
            <v>1.9809299325298235E-2</v>
          </cell>
        </row>
        <row r="843">
          <cell r="BN843" t="str">
            <v>2500/0.9/5000</v>
          </cell>
          <cell r="BO843">
            <v>0.67596320109506636</v>
          </cell>
          <cell r="BP843">
            <v>0.70622645896454317</v>
          </cell>
          <cell r="BQ843">
            <v>0.68957437663371146</v>
          </cell>
          <cell r="BR843">
            <v>0.6735487902213243</v>
          </cell>
          <cell r="BS843">
            <v>0.65594342705388786</v>
          </cell>
          <cell r="BT843">
            <v>0.55472425702405037</v>
          </cell>
          <cell r="BU843">
            <v>0.65421977560746236</v>
          </cell>
          <cell r="BV843">
            <v>0.62098453596495529</v>
          </cell>
          <cell r="BY843" t="str">
            <v>2250/0.7/5500</v>
          </cell>
          <cell r="BZ843">
            <v>2.0733993804098794E-2</v>
          </cell>
          <cell r="CA843">
            <v>1.9693469361353522E-2</v>
          </cell>
        </row>
        <row r="844">
          <cell r="BN844" t="str">
            <v>2500/0.9/5250</v>
          </cell>
          <cell r="BO844">
            <v>0.6734626825302007</v>
          </cell>
          <cell r="BP844">
            <v>0.70461218441947893</v>
          </cell>
          <cell r="BQ844">
            <v>0.68700100966513511</v>
          </cell>
          <cell r="BR844">
            <v>0.67077340935847152</v>
          </cell>
          <cell r="BS844">
            <v>0.65317281938352201</v>
          </cell>
          <cell r="BT844">
            <v>0.5525407871646042</v>
          </cell>
          <cell r="BU844">
            <v>0.65158484618242496</v>
          </cell>
          <cell r="BV844">
            <v>0.61835355752882704</v>
          </cell>
          <cell r="BY844" t="str">
            <v>2250/0.7/5750</v>
          </cell>
          <cell r="BZ844">
            <v>2.0638351470257499E-2</v>
          </cell>
          <cell r="CA844">
            <v>1.9599490200739089E-2</v>
          </cell>
        </row>
        <row r="845">
          <cell r="BN845" t="str">
            <v>2500/0.9/5500</v>
          </cell>
          <cell r="BO845">
            <v>0.67096216396533503</v>
          </cell>
          <cell r="BP845">
            <v>0.70299790987441468</v>
          </cell>
          <cell r="BQ845">
            <v>0.68442764269655865</v>
          </cell>
          <cell r="BR845">
            <v>0.66799802849561873</v>
          </cell>
          <cell r="BS845">
            <v>0.65040221171315615</v>
          </cell>
          <cell r="BT845">
            <v>0.55035731730515802</v>
          </cell>
          <cell r="BU845">
            <v>0.64894991675738756</v>
          </cell>
          <cell r="BV845">
            <v>0.61572257909269879</v>
          </cell>
          <cell r="BY845" t="str">
            <v>2250/0.7/6000</v>
          </cell>
          <cell r="BZ845">
            <v>2.0542709136416204E-2</v>
          </cell>
          <cell r="CA845">
            <v>1.9505511040124657E-2</v>
          </cell>
        </row>
        <row r="846">
          <cell r="BN846" t="str">
            <v>2500/0.9/5750</v>
          </cell>
          <cell r="BO846">
            <v>0.66874922711764206</v>
          </cell>
          <cell r="BP846">
            <v>0.70162144323902331</v>
          </cell>
          <cell r="BQ846">
            <v>0.68220982708622624</v>
          </cell>
          <cell r="BR846">
            <v>0.66564304864118518</v>
          </cell>
          <cell r="BS846">
            <v>0.64806631440960694</v>
          </cell>
          <cell r="BT846">
            <v>0.54843383000767332</v>
          </cell>
          <cell r="BU846">
            <v>0.64670667719345809</v>
          </cell>
          <cell r="BV846">
            <v>0.61359983422744135</v>
          </cell>
          <cell r="BY846" t="str">
            <v>2250/0.7/6250</v>
          </cell>
          <cell r="BZ846">
            <v>2.046180977281753E-2</v>
          </cell>
          <cell r="CA846">
            <v>1.9419518175250672E-2</v>
          </cell>
        </row>
        <row r="847">
          <cell r="BN847" t="str">
            <v>2500/0.9/6000</v>
          </cell>
          <cell r="BO847">
            <v>0.66653629026994909</v>
          </cell>
          <cell r="BP847">
            <v>0.70024497660363183</v>
          </cell>
          <cell r="BQ847">
            <v>0.67999201147589394</v>
          </cell>
          <cell r="BR847">
            <v>0.66328806878675162</v>
          </cell>
          <cell r="BS847">
            <v>0.64573041710605772</v>
          </cell>
          <cell r="BT847">
            <v>0.54651034271018861</v>
          </cell>
          <cell r="BU847">
            <v>0.64446343762952862</v>
          </cell>
          <cell r="BV847">
            <v>0.61147708936218392</v>
          </cell>
          <cell r="BY847" t="str">
            <v>2250/0.7/6350</v>
          </cell>
          <cell r="BZ847">
            <v>2.042941966637013E-2</v>
          </cell>
          <cell r="CA847">
            <v>1.9386003468642277E-2</v>
          </cell>
        </row>
        <row r="848">
          <cell r="BN848" t="str">
            <v>2500/0.9/6250</v>
          </cell>
          <cell r="BO848">
            <v>0.66483924613439083</v>
          </cell>
          <cell r="BP848">
            <v>0.6988684222314574</v>
          </cell>
          <cell r="BQ848">
            <v>0.6781135095728138</v>
          </cell>
          <cell r="BR848">
            <v>0.6610781435794254</v>
          </cell>
          <cell r="BS848">
            <v>0.64352084722503644</v>
          </cell>
          <cell r="BT848">
            <v>0.54493806945971901</v>
          </cell>
          <cell r="BU848">
            <v>0.64244972110097931</v>
          </cell>
          <cell r="BV848">
            <v>0.60952699778650365</v>
          </cell>
          <cell r="BY848" t="str">
            <v>2250/0.7/6600</v>
          </cell>
          <cell r="BZ848">
            <v>2.0348368497731806E-2</v>
          </cell>
          <cell r="CA848">
            <v>1.9307680743680722E-2</v>
          </cell>
        </row>
        <row r="849">
          <cell r="BN849" t="str">
            <v>2500/0.9/6350</v>
          </cell>
          <cell r="BO849">
            <v>0.66416972006721586</v>
          </cell>
          <cell r="BP849">
            <v>0.69838966707364103</v>
          </cell>
          <cell r="BQ849">
            <v>0.67744203932974467</v>
          </cell>
          <cell r="BR849">
            <v>0.66019428338015673</v>
          </cell>
          <cell r="BS849">
            <v>0.64263121973721582</v>
          </cell>
          <cell r="BT849">
            <v>0.54430914236037486</v>
          </cell>
          <cell r="BU849">
            <v>0.64183285455115879</v>
          </cell>
          <cell r="BV849">
            <v>0.60873923466817303</v>
          </cell>
          <cell r="BY849" t="str">
            <v>2250/0.7/6850</v>
          </cell>
          <cell r="BZ849">
            <v>2.0267208896922351E-2</v>
          </cell>
          <cell r="CA849">
            <v>1.9231305067210269E-2</v>
          </cell>
        </row>
        <row r="850">
          <cell r="BN850" t="str">
            <v>2500/0.9/6600</v>
          </cell>
          <cell r="BO850">
            <v>0.66266344004347588</v>
          </cell>
          <cell r="BP850">
            <v>0.69757930149694702</v>
          </cell>
          <cell r="BQ850">
            <v>0.67593294082301425</v>
          </cell>
          <cell r="BR850">
            <v>0.6582785015693785</v>
          </cell>
          <cell r="BS850">
            <v>0.64065280687926385</v>
          </cell>
          <cell r="BT850">
            <v>0.54286313567018474</v>
          </cell>
          <cell r="BU850">
            <v>0.64028954015404205</v>
          </cell>
          <cell r="BV850">
            <v>0.60686879202895416</v>
          </cell>
          <cell r="BY850" t="str">
            <v>2250/0.7/7500</v>
          </cell>
          <cell r="BZ850">
            <v>2.006911271246381E-2</v>
          </cell>
          <cell r="CA850">
            <v>1.904666104795516E-2</v>
          </cell>
        </row>
        <row r="851">
          <cell r="BN851" t="str">
            <v>2500/0.9/6850</v>
          </cell>
          <cell r="BO851">
            <v>0.66140777982000842</v>
          </cell>
          <cell r="BP851">
            <v>0.69703059222990671</v>
          </cell>
          <cell r="BQ851">
            <v>0.67467752445614948</v>
          </cell>
          <cell r="BR851">
            <v>0.65702391505927149</v>
          </cell>
          <cell r="BS851">
            <v>0.63926111256740326</v>
          </cell>
          <cell r="BT851">
            <v>0.54160602819251413</v>
          </cell>
          <cell r="BU851">
            <v>0.6387445857246874</v>
          </cell>
          <cell r="BV851">
            <v>0.60550163947882008</v>
          </cell>
          <cell r="BY851" t="str">
            <v>2250/0.7/8000</v>
          </cell>
          <cell r="BZ851">
            <v>1.9950031415636782E-2</v>
          </cell>
          <cell r="CA851">
            <v>1.8924813813656294E-2</v>
          </cell>
        </row>
        <row r="852">
          <cell r="BN852" t="str">
            <v>2500/0.9/7500</v>
          </cell>
          <cell r="BO852">
            <v>0.65863200680463796</v>
          </cell>
          <cell r="BP852">
            <v>0.695603948135604</v>
          </cell>
          <cell r="BQ852">
            <v>0.67178847724768009</v>
          </cell>
          <cell r="BR852">
            <v>0.65375878619983729</v>
          </cell>
          <cell r="BS852">
            <v>0.63644269253874985</v>
          </cell>
          <cell r="BT852">
            <v>0.53913746647491623</v>
          </cell>
          <cell r="BU852">
            <v>0.63506497720862387</v>
          </cell>
          <cell r="BV852">
            <v>0.60256717728707532</v>
          </cell>
          <cell r="BY852" t="str">
            <v>2250/0.7/9000</v>
          </cell>
          <cell r="BZ852">
            <v>1.9721151562576922E-2</v>
          </cell>
          <cell r="CA852">
            <v>1.8701104069525742E-2</v>
          </cell>
        </row>
        <row r="853">
          <cell r="BN853" t="str">
            <v>2500/0.9/10000</v>
          </cell>
          <cell r="BO853">
            <v>0.65101683998236193</v>
          </cell>
          <cell r="BP853">
            <v>0.69166948901294689</v>
          </cell>
          <cell r="BQ853">
            <v>0.66401068344276837</v>
          </cell>
          <cell r="BR853">
            <v>0.64433007487405114</v>
          </cell>
          <cell r="BS853">
            <v>0.62854236326290436</v>
          </cell>
          <cell r="BT853">
            <v>0.53205263675262326</v>
          </cell>
          <cell r="BU853">
            <v>0.62545782293290719</v>
          </cell>
          <cell r="BV853">
            <v>0.59526328866189859</v>
          </cell>
          <cell r="BY853" t="str">
            <v>2250/0.7/10000</v>
          </cell>
          <cell r="BZ853">
            <v>1.9538570047303971E-2</v>
          </cell>
          <cell r="CA853">
            <v>1.8519676499001214E-2</v>
          </cell>
        </row>
        <row r="854">
          <cell r="BN854" t="str">
            <v>2500/0.9/99999</v>
          </cell>
          <cell r="BO854">
            <v>0.62909737152891743</v>
          </cell>
          <cell r="BP854">
            <v>0.6838750895643213</v>
          </cell>
          <cell r="BQ854">
            <v>0.64172053725683198</v>
          </cell>
          <cell r="BR854">
            <v>0.61774865966801562</v>
          </cell>
          <cell r="BS854">
            <v>0.60845403549063659</v>
          </cell>
          <cell r="BT854">
            <v>0.51141780268490744</v>
          </cell>
          <cell r="BU854">
            <v>0.59926449118511971</v>
          </cell>
          <cell r="BV854">
            <v>0.58529738171619639</v>
          </cell>
          <cell r="BY854" t="str">
            <v>2250/0.7/99999</v>
          </cell>
          <cell r="BZ854">
            <v>1.6990334162478082E-2</v>
          </cell>
          <cell r="CA854">
            <v>1.6422360400552005E-2</v>
          </cell>
        </row>
        <row r="855">
          <cell r="BY855" t="str">
            <v>2500/0.7/2500</v>
          </cell>
          <cell r="BZ855">
            <v>2.267917963311783E-2</v>
          </cell>
          <cell r="CA855">
            <v>2.1931405624654676E-2</v>
          </cell>
        </row>
        <row r="856">
          <cell r="BN856" t="str">
            <v>2600/0.9/3000</v>
          </cell>
          <cell r="BO856">
            <v>0.72339287753143</v>
          </cell>
          <cell r="BP856">
            <v>0.7421450753700829</v>
          </cell>
          <cell r="BQ856">
            <v>0.73650994613335996</v>
          </cell>
          <cell r="BR856">
            <v>0.72214347957783243</v>
          </cell>
          <cell r="BS856">
            <v>0.70415350155398349</v>
          </cell>
          <cell r="BT856">
            <v>0.58866587511606216</v>
          </cell>
          <cell r="BU856">
            <v>0.69146205088275681</v>
          </cell>
          <cell r="BV856">
            <v>0.65762511932065448</v>
          </cell>
          <cell r="BY856" t="str">
            <v>2500/0.7/2750</v>
          </cell>
          <cell r="BZ856">
            <v>2.2444237999912353E-2</v>
          </cell>
          <cell r="CA856">
            <v>2.1548983757754714E-2</v>
          </cell>
        </row>
        <row r="857">
          <cell r="BN857" t="str">
            <v>2600/0.9/3250</v>
          </cell>
          <cell r="BO857">
            <v>0.714810196253157</v>
          </cell>
          <cell r="BP857">
            <v>0.73559164452769288</v>
          </cell>
          <cell r="BQ857">
            <v>0.72857277387372554</v>
          </cell>
          <cell r="BR857">
            <v>0.71404331492837114</v>
          </cell>
          <cell r="BS857">
            <v>0.6958052588187047</v>
          </cell>
          <cell r="BT857">
            <v>0.58192355004855956</v>
          </cell>
          <cell r="BU857">
            <v>0.68401342818294031</v>
          </cell>
          <cell r="BV857">
            <v>0.65008368401640382</v>
          </cell>
          <cell r="BY857" t="str">
            <v>2500/0.7/3000</v>
          </cell>
          <cell r="BZ857">
            <v>2.2184205293471981E-2</v>
          </cell>
          <cell r="CA857">
            <v>2.1231421474121381E-2</v>
          </cell>
        </row>
        <row r="858">
          <cell r="BN858" t="str">
            <v>2600/0.9/3500</v>
          </cell>
          <cell r="BO858">
            <v>0.70622751497488401</v>
          </cell>
          <cell r="BP858">
            <v>0.72903821368530286</v>
          </cell>
          <cell r="BQ858">
            <v>0.72063560161409113</v>
          </cell>
          <cell r="BR858">
            <v>0.70594315027890986</v>
          </cell>
          <cell r="BS858">
            <v>0.68745701608342591</v>
          </cell>
          <cell r="BT858">
            <v>0.57518122498105695</v>
          </cell>
          <cell r="BU858">
            <v>0.67656480548312381</v>
          </cell>
          <cell r="BV858">
            <v>0.64254224871215315</v>
          </cell>
          <cell r="BY858" t="str">
            <v>2500/0.7/3250</v>
          </cell>
          <cell r="BZ858">
            <v>2.1967494879622795E-2</v>
          </cell>
          <cell r="CA858">
            <v>2.0975013801872611E-2</v>
          </cell>
        </row>
        <row r="859">
          <cell r="BN859" t="str">
            <v>2600/0.9/3750</v>
          </cell>
          <cell r="BO859">
            <v>0.69764483369661101</v>
          </cell>
          <cell r="BP859">
            <v>0.72248478284291284</v>
          </cell>
          <cell r="BQ859">
            <v>0.71269842935445671</v>
          </cell>
          <cell r="BR859">
            <v>0.69784298562944858</v>
          </cell>
          <cell r="BS859">
            <v>0.67910877334814712</v>
          </cell>
          <cell r="BT859">
            <v>0.56843889991355434</v>
          </cell>
          <cell r="BU859">
            <v>0.66911618278330731</v>
          </cell>
          <cell r="BV859">
            <v>0.63500081340790249</v>
          </cell>
          <cell r="BY859" t="str">
            <v>2500/0.7/3500</v>
          </cell>
          <cell r="BZ859">
            <v>2.1750784465773609E-2</v>
          </cell>
          <cell r="CA859">
            <v>2.071860612962384E-2</v>
          </cell>
        </row>
        <row r="860">
          <cell r="BN860" t="str">
            <v>2600/0.9/4000</v>
          </cell>
          <cell r="BO860">
            <v>0.68991627754238227</v>
          </cell>
          <cell r="BP860">
            <v>0.71593135200052282</v>
          </cell>
          <cell r="BQ860">
            <v>0.70476125709482207</v>
          </cell>
          <cell r="BR860">
            <v>0.68974282097998751</v>
          </cell>
          <cell r="BS860">
            <v>0.67076053061286844</v>
          </cell>
          <cell r="BT860">
            <v>0.56169657484605162</v>
          </cell>
          <cell r="BU860">
            <v>0.66166756008349092</v>
          </cell>
          <cell r="BV860">
            <v>0.62745937810365193</v>
          </cell>
          <cell r="BY860" t="str">
            <v>2500/0.7/3750</v>
          </cell>
          <cell r="BZ860">
            <v>2.1573400911642282E-2</v>
          </cell>
          <cell r="CA860">
            <v>2.051060284890549E-2</v>
          </cell>
        </row>
        <row r="861">
          <cell r="BN861" t="str">
            <v>2600/0.9/4250</v>
          </cell>
          <cell r="BO861">
            <v>0.68490709443612763</v>
          </cell>
          <cell r="BP861">
            <v>0.71242103274884216</v>
          </cell>
          <cell r="BQ861">
            <v>0.69957237292029273</v>
          </cell>
          <cell r="BR861">
            <v>0.68421798730015571</v>
          </cell>
          <cell r="BS861">
            <v>0.66537976936633647</v>
          </cell>
          <cell r="BT861">
            <v>0.55765690561730796</v>
          </cell>
          <cell r="BU861">
            <v>0.65683688762293058</v>
          </cell>
          <cell r="BV861">
            <v>0.62276812318991748</v>
          </cell>
          <cell r="BY861" t="str">
            <v>2500/0.7/4000</v>
          </cell>
          <cell r="BZ861">
            <v>2.1396017357510955E-2</v>
          </cell>
          <cell r="CA861">
            <v>2.0302599568187141E-2</v>
          </cell>
        </row>
        <row r="862">
          <cell r="BN862" t="str">
            <v>2600/0.9/4500</v>
          </cell>
          <cell r="BO862">
            <v>0.67989791132987287</v>
          </cell>
          <cell r="BP862">
            <v>0.70891071349716162</v>
          </cell>
          <cell r="BQ862">
            <v>0.69438348874576361</v>
          </cell>
          <cell r="BR862">
            <v>0.6786931536203239</v>
          </cell>
          <cell r="BS862">
            <v>0.6599990081198045</v>
          </cell>
          <cell r="BT862">
            <v>0.55361723638856442</v>
          </cell>
          <cell r="BU862">
            <v>0.65200621516237034</v>
          </cell>
          <cell r="BV862">
            <v>0.61807686827618302</v>
          </cell>
          <cell r="BY862" t="str">
            <v>2500/0.7/4250</v>
          </cell>
          <cell r="BZ862">
            <v>2.1245655594964941E-2</v>
          </cell>
          <cell r="CA862">
            <v>2.0123461684079857E-2</v>
          </cell>
        </row>
        <row r="863">
          <cell r="BN863" t="str">
            <v>2600/0.9/4750</v>
          </cell>
          <cell r="BO863">
            <v>0.67625361901974512</v>
          </cell>
          <cell r="BP863">
            <v>0.70641786668649575</v>
          </cell>
          <cell r="BQ863">
            <v>0.69062028193328573</v>
          </cell>
          <cell r="BR863">
            <v>0.67460654574623802</v>
          </cell>
          <cell r="BS863">
            <v>0.65599674120328966</v>
          </cell>
          <cell r="BT863">
            <v>0.55050049783909227</v>
          </cell>
          <cell r="BU863">
            <v>0.64841685592742948</v>
          </cell>
          <cell r="BV863">
            <v>0.61498127880160047</v>
          </cell>
          <cell r="BY863" t="str">
            <v>2500/0.7/4500</v>
          </cell>
          <cell r="BZ863">
            <v>2.1095293832418927E-2</v>
          </cell>
          <cell r="CA863">
            <v>1.9944323799972574E-2</v>
          </cell>
        </row>
        <row r="864">
          <cell r="BN864" t="str">
            <v>2600/0.9/5000</v>
          </cell>
          <cell r="BO864">
            <v>0.67260932670961737</v>
          </cell>
          <cell r="BP864">
            <v>0.70392501987582978</v>
          </cell>
          <cell r="BQ864">
            <v>0.68685707512080785</v>
          </cell>
          <cell r="BR864">
            <v>0.67051993787215214</v>
          </cell>
          <cell r="BS864">
            <v>0.65199447428677493</v>
          </cell>
          <cell r="BT864">
            <v>0.54738375928962024</v>
          </cell>
          <cell r="BU864">
            <v>0.64482749669248862</v>
          </cell>
          <cell r="BV864">
            <v>0.61188568932701792</v>
          </cell>
          <cell r="BY864" t="str">
            <v>2500/0.7/4750</v>
          </cell>
          <cell r="BZ864">
            <v>2.0964215831708821E-2</v>
          </cell>
          <cell r="CA864">
            <v>1.9809787810156743E-2</v>
          </cell>
        </row>
        <row r="865">
          <cell r="BN865" t="str">
            <v>2600/0.9/5250</v>
          </cell>
          <cell r="BO865">
            <v>0.66986875085840891</v>
          </cell>
          <cell r="BP865">
            <v>0.70212130101007475</v>
          </cell>
          <cell r="BQ865">
            <v>0.68403323932906501</v>
          </cell>
          <cell r="BR865">
            <v>0.66745111478114838</v>
          </cell>
          <cell r="BS865">
            <v>0.64894571046402727</v>
          </cell>
          <cell r="BT865">
            <v>0.54498518326899248</v>
          </cell>
          <cell r="BU865">
            <v>0.64201280451013409</v>
          </cell>
          <cell r="BV865">
            <v>0.60952529349238327</v>
          </cell>
          <cell r="BY865" t="str">
            <v>2500/0.7/5000</v>
          </cell>
          <cell r="BZ865">
            <v>2.0833137830998716E-2</v>
          </cell>
          <cell r="CA865">
            <v>1.9675251820340911E-2</v>
          </cell>
        </row>
        <row r="866">
          <cell r="BN866" t="str">
            <v>2600/0.9/5500</v>
          </cell>
          <cell r="BO866">
            <v>0.66712817500720056</v>
          </cell>
          <cell r="BP866">
            <v>0.70031758214431961</v>
          </cell>
          <cell r="BQ866">
            <v>0.68120940353732196</v>
          </cell>
          <cell r="BR866">
            <v>0.66438229169014451</v>
          </cell>
          <cell r="BS866">
            <v>0.64589694664127961</v>
          </cell>
          <cell r="BT866">
            <v>0.54258660724836461</v>
          </cell>
          <cell r="BU866">
            <v>0.63919811232777934</v>
          </cell>
          <cell r="BV866">
            <v>0.60716489765774861</v>
          </cell>
          <cell r="BY866" t="str">
            <v>2500/0.7/5250</v>
          </cell>
          <cell r="BZ866">
            <v>2.0710694467867552E-2</v>
          </cell>
          <cell r="CA866">
            <v>1.9547496451178259E-2</v>
          </cell>
        </row>
        <row r="867">
          <cell r="BN867" t="str">
            <v>2600/0.9/5750</v>
          </cell>
          <cell r="BO867">
            <v>0.66484478146231063</v>
          </cell>
          <cell r="BP867">
            <v>0.69887995458155805</v>
          </cell>
          <cell r="BQ867">
            <v>0.67890024517842351</v>
          </cell>
          <cell r="BR867">
            <v>0.66191721199832432</v>
          </cell>
          <cell r="BS867">
            <v>0.64343853998365808</v>
          </cell>
          <cell r="BT867">
            <v>0.54060159023786247</v>
          </cell>
          <cell r="BU867">
            <v>0.63685491403603556</v>
          </cell>
          <cell r="BV867">
            <v>0.60527990221261629</v>
          </cell>
          <cell r="BY867" t="str">
            <v>2500/0.7/5500</v>
          </cell>
          <cell r="BZ867">
            <v>2.0588251104736388E-2</v>
          </cell>
          <cell r="CA867">
            <v>1.9419741082015607E-2</v>
          </cell>
        </row>
        <row r="868">
          <cell r="BN868" t="str">
            <v>2600/0.9/6000</v>
          </cell>
          <cell r="BO868">
            <v>0.6625613879174207</v>
          </cell>
          <cell r="BP868">
            <v>0.69744232701879638</v>
          </cell>
          <cell r="BQ868">
            <v>0.67659108681952507</v>
          </cell>
          <cell r="BR868">
            <v>0.65945213230650412</v>
          </cell>
          <cell r="BS868">
            <v>0.64098013332603654</v>
          </cell>
          <cell r="BT868">
            <v>0.53861657322736034</v>
          </cell>
          <cell r="BU868">
            <v>0.63451171574429155</v>
          </cell>
          <cell r="BV868">
            <v>0.60339490676748386</v>
          </cell>
          <cell r="BY868" t="str">
            <v>2500/0.7/5750</v>
          </cell>
          <cell r="BZ868">
            <v>2.0478394331598482E-2</v>
          </cell>
          <cell r="CA868">
            <v>1.9323003308401199E-2</v>
          </cell>
        </row>
        <row r="869">
          <cell r="BN869" t="str">
            <v>2600/0.9/6250</v>
          </cell>
          <cell r="BO869">
            <v>0.66071149264657592</v>
          </cell>
          <cell r="BP869">
            <v>0.69606714897248001</v>
          </cell>
          <cell r="BQ869">
            <v>0.67461248565549892</v>
          </cell>
          <cell r="BR869">
            <v>0.65718323012803992</v>
          </cell>
          <cell r="BS869">
            <v>0.63871959646643472</v>
          </cell>
          <cell r="BT869">
            <v>0.53688555856902243</v>
          </cell>
          <cell r="BU869">
            <v>0.63242927677665595</v>
          </cell>
          <cell r="BV869">
            <v>0.60169795982320673</v>
          </cell>
          <cell r="BY869" t="str">
            <v>2500/0.7/6000</v>
          </cell>
          <cell r="BZ869">
            <v>2.0368537558460575E-2</v>
          </cell>
          <cell r="CA869">
            <v>1.9226265534786791E-2</v>
          </cell>
        </row>
        <row r="870">
          <cell r="BN870" t="str">
            <v>2600/0.9/6350</v>
          </cell>
          <cell r="BO870">
            <v>0.65997806410676851</v>
          </cell>
          <cell r="BP870">
            <v>0.69556737925900647</v>
          </cell>
          <cell r="BQ870">
            <v>0.67387702371710834</v>
          </cell>
          <cell r="BR870">
            <v>0.65630005017097093</v>
          </cell>
          <cell r="BS870">
            <v>0.63783535336630681</v>
          </cell>
          <cell r="BT870">
            <v>0.53624097316662644</v>
          </cell>
          <cell r="BU870">
            <v>0.63172813301975494</v>
          </cell>
          <cell r="BV870">
            <v>0.60102869613794052</v>
          </cell>
          <cell r="BY870" t="str">
            <v>2500/0.7/6250</v>
          </cell>
          <cell r="BZ870">
            <v>2.0287714560339287E-2</v>
          </cell>
          <cell r="CA870">
            <v>1.913503737827793E-2</v>
          </cell>
        </row>
        <row r="871">
          <cell r="BN871" t="str">
            <v>2600/0.9/6600</v>
          </cell>
          <cell r="BO871">
            <v>0.65835068552869846</v>
          </cell>
          <cell r="BP871">
            <v>0.69458850797688865</v>
          </cell>
          <cell r="BQ871">
            <v>0.6721925097876752</v>
          </cell>
          <cell r="BR871">
            <v>0.65429789129753424</v>
          </cell>
          <cell r="BS871">
            <v>0.63579236998959809</v>
          </cell>
          <cell r="BT871">
            <v>0.53475996761562594</v>
          </cell>
          <cell r="BU871">
            <v>0.62997396447929044</v>
          </cell>
          <cell r="BV871">
            <v>0.59942182776038333</v>
          </cell>
          <cell r="BY871" t="str">
            <v>2500/0.7/6350</v>
          </cell>
          <cell r="BZ871">
            <v>2.025535496607489E-2</v>
          </cell>
          <cell r="CA871">
            <v>1.9098374412667818E-2</v>
          </cell>
        </row>
        <row r="872">
          <cell r="BN872" t="str">
            <v>2600/0.9/6850</v>
          </cell>
          <cell r="BO872">
            <v>0.65697153062972691</v>
          </cell>
          <cell r="BP872">
            <v>0.69383556929650014</v>
          </cell>
          <cell r="BQ872">
            <v>0.67081184768591884</v>
          </cell>
          <cell r="BR872">
            <v>0.65275868788620706</v>
          </cell>
          <cell r="BS872">
            <v>0.63415390318443476</v>
          </cell>
          <cell r="BT872">
            <v>0.53341117237447222</v>
          </cell>
          <cell r="BU872">
            <v>0.62841192201502605</v>
          </cell>
          <cell r="BV872">
            <v>0.59816299848230414</v>
          </cell>
          <cell r="BY872" t="str">
            <v>2500/0.7/6600</v>
          </cell>
          <cell r="BZ872">
            <v>2.0174379992874858E-2</v>
          </cell>
          <cell r="CA872">
            <v>1.9017974705609397E-2</v>
          </cell>
        </row>
        <row r="873">
          <cell r="BN873" t="str">
            <v>2600/0.9/7500</v>
          </cell>
          <cell r="BO873">
            <v>0.65397487777455288</v>
          </cell>
          <cell r="BP873">
            <v>0.69233147483801982</v>
          </cell>
          <cell r="BQ873">
            <v>0.66773504446127518</v>
          </cell>
          <cell r="BR873">
            <v>0.64932556106612704</v>
          </cell>
          <cell r="BS873">
            <v>0.63099993111345098</v>
          </cell>
          <cell r="BT873">
            <v>0.53071667392350108</v>
          </cell>
          <cell r="BU873">
            <v>0.624630951436149</v>
          </cell>
          <cell r="BV873">
            <v>0.59554133015136856</v>
          </cell>
          <cell r="BY873" t="str">
            <v>2500/0.7/6850</v>
          </cell>
          <cell r="BZ873">
            <v>2.0093296466046962E-2</v>
          </cell>
          <cell r="CA873">
            <v>1.8941939986744538E-2</v>
          </cell>
        </row>
        <row r="874">
          <cell r="BN874" t="str">
            <v>2600/0.9/10000</v>
          </cell>
          <cell r="BO874">
            <v>0.64612311804209399</v>
          </cell>
          <cell r="BP874">
            <v>0.68829542481127715</v>
          </cell>
          <cell r="BQ874">
            <v>0.65968615700293531</v>
          </cell>
          <cell r="BR874">
            <v>0.63961360608518514</v>
          </cell>
          <cell r="BS874">
            <v>0.62284465094226971</v>
          </cell>
          <cell r="BT874">
            <v>0.52342006133886643</v>
          </cell>
          <cell r="BU874">
            <v>0.61561937508265485</v>
          </cell>
          <cell r="BV874">
            <v>0.58904349317701687</v>
          </cell>
          <cell r="BY874" t="str">
            <v>2500/0.7/7500</v>
          </cell>
          <cell r="BZ874">
            <v>1.9882273339710821E-2</v>
          </cell>
          <cell r="CA874">
            <v>1.8746336130604169E-2</v>
          </cell>
        </row>
        <row r="875">
          <cell r="BN875" t="str">
            <v>2600/0.9/99999</v>
          </cell>
          <cell r="BO875">
            <v>0.62390703262440106</v>
          </cell>
          <cell r="BP875">
            <v>0.68029942514839425</v>
          </cell>
          <cell r="BQ875">
            <v>0.63709974196780794</v>
          </cell>
          <cell r="BR875">
            <v>0.61259338413097431</v>
          </cell>
          <cell r="BS875">
            <v>0.60239823890717814</v>
          </cell>
          <cell r="BT875">
            <v>0.50507073370682065</v>
          </cell>
          <cell r="BU875">
            <v>0.59308254294684126</v>
          </cell>
          <cell r="BV875">
            <v>0.57891033855294993</v>
          </cell>
          <cell r="BY875" t="str">
            <v>2500/0.7/8000</v>
          </cell>
          <cell r="BZ875">
            <v>1.9759418700927789E-2</v>
          </cell>
          <cell r="CA875">
            <v>1.8625086846792982E-2</v>
          </cell>
        </row>
        <row r="876">
          <cell r="BY876" t="str">
            <v>2500/0.7/9000</v>
          </cell>
          <cell r="BZ876">
            <v>1.9528919014755175E-2</v>
          </cell>
          <cell r="CA876">
            <v>1.8391040177105689E-2</v>
          </cell>
        </row>
        <row r="877">
          <cell r="BN877" t="str">
            <v>2750/0.9/3500</v>
          </cell>
          <cell r="BO877">
            <v>0.70568260765767121</v>
          </cell>
          <cell r="BP877">
            <v>0.73017086318968727</v>
          </cell>
          <cell r="BQ877">
            <v>0.7213815208658747</v>
          </cell>
          <cell r="BR877">
            <v>0.70635317492765126</v>
          </cell>
          <cell r="BS877">
            <v>0.6874969759266758</v>
          </cell>
          <cell r="BT877">
            <v>0.57290068487528867</v>
          </cell>
          <cell r="BU877">
            <v>0.67285152933152692</v>
          </cell>
          <cell r="BV877">
            <v>0.63805084951490632</v>
          </cell>
          <cell r="BY877" t="str">
            <v>2500/0.7/10000</v>
          </cell>
          <cell r="BZ877">
            <v>1.933791587997713E-2</v>
          </cell>
          <cell r="CA877">
            <v>1.8209562844287541E-2</v>
          </cell>
        </row>
        <row r="878">
          <cell r="BN878" t="str">
            <v>2750/0.9/3750</v>
          </cell>
          <cell r="BO878">
            <v>0.69727458673933129</v>
          </cell>
          <cell r="BP878">
            <v>0.72275932103849971</v>
          </cell>
          <cell r="BQ878">
            <v>0.71278944943936962</v>
          </cell>
          <cell r="BR878">
            <v>0.69763568535004961</v>
          </cell>
          <cell r="BS878">
            <v>0.67841830165444539</v>
          </cell>
          <cell r="BT878">
            <v>0.56526773321962787</v>
          </cell>
          <cell r="BU878">
            <v>0.66461621277947036</v>
          </cell>
          <cell r="BV878">
            <v>0.62966301934900915</v>
          </cell>
          <cell r="BY878" t="str">
            <v>2500/0.7/99999</v>
          </cell>
          <cell r="BZ878">
            <v>1.6758671551760251E-2</v>
          </cell>
          <cell r="CA878">
            <v>1.6086881389447694E-2</v>
          </cell>
        </row>
        <row r="879">
          <cell r="BN879" t="str">
            <v>2750/0.9/4000</v>
          </cell>
          <cell r="BO879">
            <v>0.68886656582099137</v>
          </cell>
          <cell r="BP879">
            <v>0.71534777888731216</v>
          </cell>
          <cell r="BQ879">
            <v>0.70419737801286453</v>
          </cell>
          <cell r="BR879">
            <v>0.68891819577244806</v>
          </cell>
          <cell r="BS879">
            <v>0.66933962738221509</v>
          </cell>
          <cell r="BT879">
            <v>0.55763478156396695</v>
          </cell>
          <cell r="BU879">
            <v>0.6563808962274138</v>
          </cell>
          <cell r="BV879">
            <v>0.62127518918311209</v>
          </cell>
          <cell r="BY879" t="str">
            <v>2750/0.7/3000</v>
          </cell>
          <cell r="BZ879">
            <v>2.2133428849290371E-2</v>
          </cell>
          <cell r="CA879">
            <v>2.1177573751711809E-2</v>
          </cell>
        </row>
        <row r="880">
          <cell r="BN880" t="str">
            <v>2750/0.9/4250</v>
          </cell>
          <cell r="BO880">
            <v>0.68343748521231273</v>
          </cell>
          <cell r="BP880">
            <v>0.71148764893394523</v>
          </cell>
          <cell r="BQ880">
            <v>0.69856733423737438</v>
          </cell>
          <cell r="BR880">
            <v>0.68299069370877374</v>
          </cell>
          <cell r="BS880">
            <v>0.66350957836634572</v>
          </cell>
          <cell r="BT880">
            <v>0.55326146538693033</v>
          </cell>
          <cell r="BU880">
            <v>0.65124211385722974</v>
          </cell>
          <cell r="BV880">
            <v>0.61637680036959508</v>
          </cell>
          <cell r="BY880" t="str">
            <v>2750/0.7/3250</v>
          </cell>
          <cell r="BZ880">
            <v>2.1912564694896053E-2</v>
          </cell>
          <cell r="CA880">
            <v>2.0887586685615023E-2</v>
          </cell>
        </row>
        <row r="881">
          <cell r="BN881" t="str">
            <v>2750/0.9/4500</v>
          </cell>
          <cell r="BO881">
            <v>0.6780084046036341</v>
          </cell>
          <cell r="BP881">
            <v>0.7076275189805783</v>
          </cell>
          <cell r="BQ881">
            <v>0.69293729046188446</v>
          </cell>
          <cell r="BR881">
            <v>0.67706319164509954</v>
          </cell>
          <cell r="BS881">
            <v>0.65767952935047624</v>
          </cell>
          <cell r="BT881">
            <v>0.54888814920989382</v>
          </cell>
          <cell r="BU881">
            <v>0.64610333148704568</v>
          </cell>
          <cell r="BV881">
            <v>0.61147841155607807</v>
          </cell>
          <cell r="BY881" t="str">
            <v>2750/0.7/3500</v>
          </cell>
          <cell r="BZ881">
            <v>2.1691700540501735E-2</v>
          </cell>
          <cell r="CA881">
            <v>2.0597599619518236E-2</v>
          </cell>
        </row>
        <row r="882">
          <cell r="BN882" t="str">
            <v>2750/0.9/4750</v>
          </cell>
          <cell r="BO882">
            <v>0.6741909075281427</v>
          </cell>
          <cell r="BP882">
            <v>0.70500912306529961</v>
          </cell>
          <cell r="BQ882">
            <v>0.68899141562037824</v>
          </cell>
          <cell r="BR882">
            <v>0.67278194730890184</v>
          </cell>
          <cell r="BS882">
            <v>0.65352068422958798</v>
          </cell>
          <cell r="BT882">
            <v>0.54568912167161365</v>
          </cell>
          <cell r="BU882">
            <v>0.64233465445144255</v>
          </cell>
          <cell r="BV882">
            <v>0.60864910156223551</v>
          </cell>
          <cell r="BY882" t="str">
            <v>2750/0.7/3750</v>
          </cell>
          <cell r="BZ882">
            <v>2.1502246427591909E-2</v>
          </cell>
          <cell r="CA882">
            <v>2.0372574625125595E-2</v>
          </cell>
        </row>
        <row r="883">
          <cell r="BN883" t="str">
            <v>2750/0.9/5000</v>
          </cell>
          <cell r="BO883">
            <v>0.67037341045265131</v>
          </cell>
          <cell r="BP883">
            <v>0.70239072715002093</v>
          </cell>
          <cell r="BQ883">
            <v>0.68504554077887203</v>
          </cell>
          <cell r="BR883">
            <v>0.66850070297270403</v>
          </cell>
          <cell r="BS883">
            <v>0.64936183910869971</v>
          </cell>
          <cell r="BT883">
            <v>0.54249009413333349</v>
          </cell>
          <cell r="BU883">
            <v>0.63856597741583943</v>
          </cell>
          <cell r="BV883">
            <v>0.60581979156839305</v>
          </cell>
          <cell r="BY883" t="str">
            <v>2750/0.7/4000</v>
          </cell>
          <cell r="BZ883">
            <v>2.1312792314682083E-2</v>
          </cell>
          <cell r="CA883">
            <v>2.0147549630732953E-2</v>
          </cell>
        </row>
        <row r="884">
          <cell r="BN884" t="str">
            <v>2750/0.9/5250</v>
          </cell>
          <cell r="BO884">
            <v>0.6674727964105478</v>
          </cell>
          <cell r="BP884">
            <v>0.70046071207047189</v>
          </cell>
          <cell r="BQ884">
            <v>0.68205472577168491</v>
          </cell>
          <cell r="BR884">
            <v>0.66523625172959955</v>
          </cell>
          <cell r="BS884">
            <v>0.64612763785103078</v>
          </cell>
          <cell r="BT884">
            <v>0.53994811400525133</v>
          </cell>
          <cell r="BU884">
            <v>0.63563144339527344</v>
          </cell>
          <cell r="BV884">
            <v>0.60363978413475416</v>
          </cell>
          <cell r="BY884" t="str">
            <v>2750/0.7/4250</v>
          </cell>
          <cell r="BZ884">
            <v>2.1153524244555411E-2</v>
          </cell>
          <cell r="CA884">
            <v>1.9959212347535005E-2</v>
          </cell>
        </row>
        <row r="885">
          <cell r="BN885" t="str">
            <v>2750/0.9/5500</v>
          </cell>
          <cell r="BO885">
            <v>0.66457218236844429</v>
          </cell>
          <cell r="BP885">
            <v>0.69853069699092285</v>
          </cell>
          <cell r="BQ885">
            <v>0.67906391076449757</v>
          </cell>
          <cell r="BR885">
            <v>0.66197180048649495</v>
          </cell>
          <cell r="BS885">
            <v>0.64289343659336184</v>
          </cell>
          <cell r="BT885">
            <v>0.53740613387716907</v>
          </cell>
          <cell r="BU885">
            <v>0.63269690937470724</v>
          </cell>
          <cell r="BV885">
            <v>0.60145977670111517</v>
          </cell>
          <cell r="BY885" t="str">
            <v>2750/0.7/4500</v>
          </cell>
          <cell r="BZ885">
            <v>2.0994256174428738E-2</v>
          </cell>
          <cell r="CA885">
            <v>1.9770875064337057E-2</v>
          </cell>
        </row>
        <row r="886">
          <cell r="BN886" t="str">
            <v>2750/0.9/5750</v>
          </cell>
          <cell r="BO886">
            <v>0.66224181769208967</v>
          </cell>
          <cell r="BP886">
            <v>0.69705229547658121</v>
          </cell>
          <cell r="BQ886">
            <v>0.6766938572398884</v>
          </cell>
          <cell r="BR886">
            <v>0.65943332090308371</v>
          </cell>
          <cell r="BS886">
            <v>0.64035335703302554</v>
          </cell>
          <cell r="BT886">
            <v>0.53538009705798861</v>
          </cell>
          <cell r="BU886">
            <v>0.63028707193108713</v>
          </cell>
          <cell r="BV886">
            <v>0.59973328086939959</v>
          </cell>
          <cell r="BY886" t="str">
            <v>2750/0.7/4750</v>
          </cell>
          <cell r="BZ886">
            <v>2.0856608236939578E-2</v>
          </cell>
          <cell r="CA886">
            <v>1.9620696991054121E-2</v>
          </cell>
        </row>
        <row r="887">
          <cell r="BN887" t="str">
            <v>2750/0.9/6000</v>
          </cell>
          <cell r="BO887">
            <v>0.65991145301573506</v>
          </cell>
          <cell r="BP887">
            <v>0.69557389396223934</v>
          </cell>
          <cell r="BQ887">
            <v>0.67432380371527922</v>
          </cell>
          <cell r="BR887">
            <v>0.65689484131967246</v>
          </cell>
          <cell r="BS887">
            <v>0.63781327747268901</v>
          </cell>
          <cell r="BT887">
            <v>0.53335406023880816</v>
          </cell>
          <cell r="BU887">
            <v>0.6278772344874668</v>
          </cell>
          <cell r="BV887">
            <v>0.59800678503768379</v>
          </cell>
          <cell r="BY887" t="str">
            <v>2750/0.7/5000</v>
          </cell>
          <cell r="BZ887">
            <v>2.0718960299450417E-2</v>
          </cell>
          <cell r="CA887">
            <v>1.9470518917771185E-2</v>
          </cell>
        </row>
        <row r="888">
          <cell r="BN888" t="str">
            <v>2750/0.9/6250</v>
          </cell>
          <cell r="BO888">
            <v>0.65795965698803272</v>
          </cell>
          <cell r="BP888">
            <v>0.69419963346649505</v>
          </cell>
          <cell r="BQ888">
            <v>0.67227846971062233</v>
          </cell>
          <cell r="BR888">
            <v>0.65458662116044952</v>
          </cell>
          <cell r="BS888">
            <v>0.63551876262736684</v>
          </cell>
          <cell r="BT888">
            <v>0.53151721797522478</v>
          </cell>
          <cell r="BU888">
            <v>0.62574898056044037</v>
          </cell>
          <cell r="BV888">
            <v>0.59647860118100871</v>
          </cell>
          <cell r="BY888" t="str">
            <v>2750/0.7/5250</v>
          </cell>
          <cell r="BZ888">
            <v>2.0594472953638532E-2</v>
          </cell>
          <cell r="CA888">
            <v>1.9339519066720878E-2</v>
          </cell>
        </row>
        <row r="889">
          <cell r="BN889" t="str">
            <v>2750/0.9/6350</v>
          </cell>
          <cell r="BO889">
            <v>0.65718362679980369</v>
          </cell>
          <cell r="BP889">
            <v>0.69368585404925009</v>
          </cell>
          <cell r="BQ889">
            <v>0.67150034664201752</v>
          </cell>
          <cell r="BR889">
            <v>0.65370389469818035</v>
          </cell>
          <cell r="BS889">
            <v>0.63463810911903418</v>
          </cell>
          <cell r="BT889">
            <v>0.53086219370412757</v>
          </cell>
          <cell r="BU889">
            <v>0.62499165199881901</v>
          </cell>
          <cell r="BV889">
            <v>0.59588833711778555</v>
          </cell>
          <cell r="BY889" t="str">
            <v>2750/0.7/5500</v>
          </cell>
          <cell r="BZ889">
            <v>2.0469985607826646E-2</v>
          </cell>
          <cell r="CA889">
            <v>1.9208519215670572E-2</v>
          </cell>
        </row>
        <row r="890">
          <cell r="BN890" t="str">
            <v>2750/0.9/6600</v>
          </cell>
          <cell r="BO890">
            <v>0.65547551585218022</v>
          </cell>
          <cell r="BP890">
            <v>0.69259464563018303</v>
          </cell>
          <cell r="BQ890">
            <v>0.66969888909744912</v>
          </cell>
          <cell r="BR890">
            <v>0.65164415111630469</v>
          </cell>
          <cell r="BS890">
            <v>0.63255207872982089</v>
          </cell>
          <cell r="BT890">
            <v>0.52935785557925341</v>
          </cell>
          <cell r="BU890">
            <v>0.62309691402945599</v>
          </cell>
          <cell r="BV890">
            <v>0.59445718491466948</v>
          </cell>
          <cell r="BY890" t="str">
            <v>2750/0.7/5750</v>
          </cell>
          <cell r="BZ890">
            <v>2.035365527700872E-2</v>
          </cell>
          <cell r="CA890">
            <v>1.9101051396456459E-2</v>
          </cell>
        </row>
        <row r="891">
          <cell r="BN891" t="str">
            <v>2750/0.9/6850</v>
          </cell>
          <cell r="BO891">
            <v>0.65401403116953927</v>
          </cell>
          <cell r="BP891">
            <v>0.69170555400756251</v>
          </cell>
          <cell r="BQ891">
            <v>0.66823472983909848</v>
          </cell>
          <cell r="BR891">
            <v>0.64991520310416417</v>
          </cell>
          <cell r="BS891">
            <v>0.63074909692912251</v>
          </cell>
          <cell r="BT891">
            <v>0.5279479351624442</v>
          </cell>
          <cell r="BU891">
            <v>0.62152347954191844</v>
          </cell>
          <cell r="BV891">
            <v>0.59327057115129356</v>
          </cell>
          <cell r="BY891" t="str">
            <v>2750/0.7/6000</v>
          </cell>
          <cell r="BZ891">
            <v>2.0237324946190793E-2</v>
          </cell>
          <cell r="CA891">
            <v>1.8993583577242346E-2</v>
          </cell>
        </row>
        <row r="892">
          <cell r="BN892" t="str">
            <v>2750/0.9/7500</v>
          </cell>
          <cell r="BO892">
            <v>0.65087012508782949</v>
          </cell>
          <cell r="BP892">
            <v>0.6901498259729637</v>
          </cell>
          <cell r="BQ892">
            <v>0.66503275593700528</v>
          </cell>
          <cell r="BR892">
            <v>0.64637007764365351</v>
          </cell>
          <cell r="BS892">
            <v>0.62737142349658515</v>
          </cell>
          <cell r="BT892">
            <v>0.52510281222255772</v>
          </cell>
          <cell r="BU892">
            <v>0.61767493425449904</v>
          </cell>
          <cell r="BV892">
            <v>0.59085743206089747</v>
          </cell>
          <cell r="BY892" t="str">
            <v>2750/0.7/6250</v>
          </cell>
          <cell r="BZ892">
            <v>2.0140441194329117E-2</v>
          </cell>
          <cell r="CA892">
            <v>1.8899742770478789E-2</v>
          </cell>
        </row>
        <row r="893">
          <cell r="BN893" t="str">
            <v>2750/0.9/10000</v>
          </cell>
          <cell r="BO893">
            <v>0.64286063674858207</v>
          </cell>
          <cell r="BP893">
            <v>0.68604604867683072</v>
          </cell>
          <cell r="BQ893">
            <v>0.65680313937637991</v>
          </cell>
          <cell r="BR893">
            <v>0.6364692935592744</v>
          </cell>
          <cell r="BS893">
            <v>0.61904617606184653</v>
          </cell>
          <cell r="BT893">
            <v>0.51766501106302854</v>
          </cell>
          <cell r="BU893">
            <v>0.60906040984915322</v>
          </cell>
          <cell r="BV893">
            <v>0.58489696285376247</v>
          </cell>
          <cell r="BY893" t="str">
            <v>2750/0.7/6350</v>
          </cell>
          <cell r="BZ893">
            <v>2.0107709333211266E-2</v>
          </cell>
          <cell r="CA893">
            <v>1.8863240311066565E-2</v>
          </cell>
        </row>
        <row r="894">
          <cell r="BN894" t="str">
            <v>2750/0.9/99999</v>
          </cell>
          <cell r="BO894">
            <v>0.62044680668805685</v>
          </cell>
          <cell r="BP894">
            <v>0.67791564887110956</v>
          </cell>
          <cell r="BQ894">
            <v>0.63401921177512532</v>
          </cell>
          <cell r="BR894">
            <v>0.60915653377294676</v>
          </cell>
          <cell r="BS894">
            <v>0.59836104118487254</v>
          </cell>
          <cell r="BT894">
            <v>0.50083935438809613</v>
          </cell>
          <cell r="BU894">
            <v>0.58896124412132234</v>
          </cell>
          <cell r="BV894">
            <v>0.5746523097774523</v>
          </cell>
          <cell r="BY894" t="str">
            <v>2750/0.7/6600</v>
          </cell>
          <cell r="BZ894">
            <v>2.0026811149378765E-2</v>
          </cell>
          <cell r="CA894">
            <v>1.8777441138836171E-2</v>
          </cell>
        </row>
        <row r="895">
          <cell r="BY895" t="str">
            <v>2750/0.7/6850</v>
          </cell>
          <cell r="BZ895">
            <v>1.9945804298239223E-2</v>
          </cell>
          <cell r="CA895">
            <v>1.8696094167172439E-2</v>
          </cell>
        </row>
        <row r="896">
          <cell r="BN896" t="str">
            <v>3000/0.9/3500</v>
          </cell>
          <cell r="BO896">
            <v>0.70645565217475004</v>
          </cell>
          <cell r="BP896">
            <v>0.72900248695064795</v>
          </cell>
          <cell r="BQ896">
            <v>0.71924631899533398</v>
          </cell>
          <cell r="BR896">
            <v>0.70437823654950504</v>
          </cell>
          <cell r="BS896">
            <v>0.68659687553480098</v>
          </cell>
          <cell r="BT896">
            <v>0.56719933461086802</v>
          </cell>
          <cell r="BU896">
            <v>0.66356833895253486</v>
          </cell>
          <cell r="BV896">
            <v>0.62682235152178922</v>
          </cell>
          <cell r="BY896" t="str">
            <v>2750/0.7/7500</v>
          </cell>
          <cell r="BZ896">
            <v>1.9734828959475981E-2</v>
          </cell>
          <cell r="CA896">
            <v>1.8499231708918762E-2</v>
          </cell>
        </row>
        <row r="897">
          <cell r="BN897" t="str">
            <v>3000/0.9/3750</v>
          </cell>
          <cell r="BO897">
            <v>0.69634896934613211</v>
          </cell>
          <cell r="BP897">
            <v>0.719445666527467</v>
          </cell>
          <cell r="BQ897">
            <v>0.71101699965165199</v>
          </cell>
          <cell r="BR897">
            <v>0.69711743465155218</v>
          </cell>
          <cell r="BS897">
            <v>0.67669212242019117</v>
          </cell>
          <cell r="BT897">
            <v>0.55733981648481168</v>
          </cell>
          <cell r="BU897">
            <v>0.65336628776987804</v>
          </cell>
          <cell r="BV897">
            <v>0.61631853420177585</v>
          </cell>
          <cell r="BY897" t="str">
            <v>2750/0.7/8000</v>
          </cell>
          <cell r="BZ897">
            <v>1.9595394868110683E-2</v>
          </cell>
          <cell r="CA897">
            <v>1.8368806808444771E-2</v>
          </cell>
        </row>
        <row r="898">
          <cell r="BN898" t="str">
            <v>3000/0.9/4000</v>
          </cell>
          <cell r="BO898">
            <v>0.68624228651751418</v>
          </cell>
          <cell r="BP898">
            <v>0.71388884610428571</v>
          </cell>
          <cell r="BQ898">
            <v>0.70278768030797056</v>
          </cell>
          <cell r="BR898">
            <v>0.68685663275359954</v>
          </cell>
          <cell r="BS898">
            <v>0.66578736930558169</v>
          </cell>
          <cell r="BT898">
            <v>0.54748029835875534</v>
          </cell>
          <cell r="BU898">
            <v>0.64316423658722111</v>
          </cell>
          <cell r="BV898">
            <v>0.60581471688176247</v>
          </cell>
          <cell r="BY898" t="str">
            <v>2750/0.7/9000</v>
          </cell>
          <cell r="BZ898">
            <v>1.9364819425507829E-2</v>
          </cell>
          <cell r="CA898">
            <v>1.8129252630594284E-2</v>
          </cell>
        </row>
        <row r="899">
          <cell r="BN899" t="str">
            <v>3000/0.9/4250</v>
          </cell>
          <cell r="BO899">
            <v>0.6797634621527755</v>
          </cell>
          <cell r="BP899">
            <v>0.70915418939670283</v>
          </cell>
          <cell r="BQ899">
            <v>0.69605473753007852</v>
          </cell>
          <cell r="BR899">
            <v>0.67992245973031906</v>
          </cell>
          <cell r="BS899">
            <v>0.65883410086636873</v>
          </cell>
          <cell r="BT899">
            <v>0.54227286481098635</v>
          </cell>
          <cell r="BU899">
            <v>0.63725517944297749</v>
          </cell>
          <cell r="BV899">
            <v>0.60039849331878914</v>
          </cell>
          <cell r="BY899" t="str">
            <v>2750/0.7/10000</v>
          </cell>
          <cell r="BZ899">
            <v>1.9163957025321032E-2</v>
          </cell>
          <cell r="CA899">
            <v>1.7942891068507216E-2</v>
          </cell>
        </row>
        <row r="900">
          <cell r="BN900" t="str">
            <v>3000/0.9/4500</v>
          </cell>
          <cell r="BO900">
            <v>0.67328463778803693</v>
          </cell>
          <cell r="BP900">
            <v>0.70441953268911994</v>
          </cell>
          <cell r="BQ900">
            <v>0.68932179475218658</v>
          </cell>
          <cell r="BR900">
            <v>0.67298828670703847</v>
          </cell>
          <cell r="BS900">
            <v>0.65188083242715567</v>
          </cell>
          <cell r="BT900">
            <v>0.53706543126321737</v>
          </cell>
          <cell r="BU900">
            <v>0.63134612229873399</v>
          </cell>
          <cell r="BV900">
            <v>0.5949822697558157</v>
          </cell>
          <cell r="BY900" t="str">
            <v>2750/0.7/99999</v>
          </cell>
          <cell r="BZ900">
            <v>1.6554318008674684E-2</v>
          </cell>
          <cell r="CA900">
            <v>1.5794089607667705E-2</v>
          </cell>
        </row>
        <row r="901">
          <cell r="BN901" t="str">
            <v>3000/0.9/4750</v>
          </cell>
          <cell r="BO901">
            <v>0.6690341287991366</v>
          </cell>
          <cell r="BP901">
            <v>0.70148726401230932</v>
          </cell>
          <cell r="BQ901">
            <v>0.68491924983810959</v>
          </cell>
          <cell r="BR901">
            <v>0.66822045121556117</v>
          </cell>
          <cell r="BS901">
            <v>0.64733054179533367</v>
          </cell>
          <cell r="BT901">
            <v>0.53366068125291699</v>
          </cell>
          <cell r="BU901">
            <v>0.62712915076147535</v>
          </cell>
          <cell r="BV901">
            <v>0.59281865846382331</v>
          </cell>
          <cell r="BY901" t="str">
            <v>3000/0.7/3000</v>
          </cell>
          <cell r="BZ901">
            <v>2.208265240510876E-2</v>
          </cell>
          <cell r="CA901">
            <v>2.1123726029302237E-2</v>
          </cell>
        </row>
        <row r="902">
          <cell r="BN902" t="str">
            <v>3000/0.9/5000</v>
          </cell>
          <cell r="BO902">
            <v>0.66478361981023637</v>
          </cell>
          <cell r="BP902">
            <v>0.6985549953354987</v>
          </cell>
          <cell r="BQ902">
            <v>0.68051670492403271</v>
          </cell>
          <cell r="BR902">
            <v>0.66345261572408376</v>
          </cell>
          <cell r="BS902">
            <v>0.64278025116351167</v>
          </cell>
          <cell r="BT902">
            <v>0.53025593124261672</v>
          </cell>
          <cell r="BU902">
            <v>0.6229121792242166</v>
          </cell>
          <cell r="BV902">
            <v>0.59065504717183082</v>
          </cell>
          <cell r="BY902" t="str">
            <v>3000/0.7/3250</v>
          </cell>
          <cell r="BZ902">
            <v>2.185763451016931E-2</v>
          </cell>
          <cell r="CA902">
            <v>2.0800159569357435E-2</v>
          </cell>
        </row>
        <row r="903">
          <cell r="BN903" t="str">
            <v>3000/0.9/5250</v>
          </cell>
          <cell r="BO903">
            <v>0.66148291029089501</v>
          </cell>
          <cell r="BP903">
            <v>0.69630923972146486</v>
          </cell>
          <cell r="BQ903">
            <v>0.67710844187823471</v>
          </cell>
          <cell r="BR903">
            <v>0.65969909410072747</v>
          </cell>
          <cell r="BS903">
            <v>0.63908245631853966</v>
          </cell>
          <cell r="BT903">
            <v>0.52735544084589847</v>
          </cell>
          <cell r="BU903">
            <v>0.61967804060812182</v>
          </cell>
          <cell r="BV903">
            <v>0.58892601074068129</v>
          </cell>
          <cell r="BY903" t="str">
            <v>3000/0.7/3500</v>
          </cell>
          <cell r="BZ903">
            <v>2.163261661522986E-2</v>
          </cell>
          <cell r="CA903">
            <v>2.0476593109412633E-2</v>
          </cell>
        </row>
        <row r="904">
          <cell r="BN904" t="str">
            <v>3000/0.9/5500</v>
          </cell>
          <cell r="BO904">
            <v>0.65818220077155365</v>
          </cell>
          <cell r="BP904">
            <v>0.69406348410743102</v>
          </cell>
          <cell r="BQ904">
            <v>0.6737001788324366</v>
          </cell>
          <cell r="BR904">
            <v>0.65594557247737129</v>
          </cell>
          <cell r="BS904">
            <v>0.63538466147356765</v>
          </cell>
          <cell r="BT904">
            <v>0.52445495044918011</v>
          </cell>
          <cell r="BU904">
            <v>0.61644390199202703</v>
          </cell>
          <cell r="BV904">
            <v>0.58719697430953166</v>
          </cell>
          <cell r="BY904" t="str">
            <v>3000/0.7/3750</v>
          </cell>
          <cell r="BZ904">
            <v>2.1431091943541536E-2</v>
          </cell>
          <cell r="CA904">
            <v>2.0234546401345699E-2</v>
          </cell>
        </row>
        <row r="905">
          <cell r="BN905" t="str">
            <v>3000/0.9/5750</v>
          </cell>
          <cell r="BO905">
            <v>0.65573440826653739</v>
          </cell>
          <cell r="BP905">
            <v>0.69248314771413899</v>
          </cell>
          <cell r="BQ905">
            <v>0.67117788739355055</v>
          </cell>
          <cell r="BR905">
            <v>0.65322359316498224</v>
          </cell>
          <cell r="BS905">
            <v>0.63264039965644403</v>
          </cell>
          <cell r="BT905">
            <v>0.52232636410830391</v>
          </cell>
          <cell r="BU905">
            <v>0.61386746666871606</v>
          </cell>
          <cell r="BV905">
            <v>0.58586672751135771</v>
          </cell>
          <cell r="BY905" t="str">
            <v>3000/0.7/4000</v>
          </cell>
          <cell r="BZ905">
            <v>2.1229567271853211E-2</v>
          </cell>
          <cell r="CA905">
            <v>1.9992499693278765E-2</v>
          </cell>
        </row>
        <row r="906">
          <cell r="BN906" t="str">
            <v>3000/0.9/6000</v>
          </cell>
          <cell r="BO906">
            <v>0.65328661576152114</v>
          </cell>
          <cell r="BP906">
            <v>0.69090281132084697</v>
          </cell>
          <cell r="BQ906">
            <v>0.66865559595466439</v>
          </cell>
          <cell r="BR906">
            <v>0.6505016138525932</v>
          </cell>
          <cell r="BS906">
            <v>0.62989613783932041</v>
          </cell>
          <cell r="BT906">
            <v>0.5201977777674277</v>
          </cell>
          <cell r="BU906">
            <v>0.61129103134540508</v>
          </cell>
          <cell r="BV906">
            <v>0.58453648071318376</v>
          </cell>
          <cell r="BY906" t="str">
            <v>3000/0.7/4250</v>
          </cell>
          <cell r="BZ906">
            <v>2.1061392894145881E-2</v>
          </cell>
          <cell r="CA906">
            <v>1.9794963010990152E-2</v>
          </cell>
        </row>
        <row r="907">
          <cell r="BN907" t="str">
            <v>3000/0.9/6250</v>
          </cell>
          <cell r="BO907">
            <v>0.6510800678416746</v>
          </cell>
          <cell r="BP907">
            <v>0.68953084470153259</v>
          </cell>
          <cell r="BQ907">
            <v>0.66644342984843075</v>
          </cell>
          <cell r="BR907">
            <v>0.64809509874147364</v>
          </cell>
          <cell r="BS907">
            <v>0.62751667802969735</v>
          </cell>
          <cell r="BT907">
            <v>0.51809636649073054</v>
          </cell>
          <cell r="BU907">
            <v>0.60904824001990154</v>
          </cell>
          <cell r="BV907">
            <v>0.58343020457551376</v>
          </cell>
          <cell r="BY907" t="str">
            <v>3000/0.7/4500</v>
          </cell>
          <cell r="BZ907">
            <v>2.089321851643855E-2</v>
          </cell>
          <cell r="CA907">
            <v>1.9597426328701539E-2</v>
          </cell>
        </row>
        <row r="908">
          <cell r="BN908" t="str">
            <v>3000/0.9/6350</v>
          </cell>
          <cell r="BO908">
            <v>0.65019753353239162</v>
          </cell>
          <cell r="BP908">
            <v>0.68898204102485905</v>
          </cell>
          <cell r="BQ908">
            <v>0.66555865395429026</v>
          </cell>
          <cell r="BR908">
            <v>0.64721350601620387</v>
          </cell>
          <cell r="BS908">
            <v>0.62664499850085253</v>
          </cell>
          <cell r="BT908">
            <v>0.51741524504788017</v>
          </cell>
          <cell r="BU908">
            <v>0.60815044944647934</v>
          </cell>
          <cell r="BV908">
            <v>0.58303743956739806</v>
          </cell>
          <cell r="BY908" t="str">
            <v>3000/0.7/4750</v>
          </cell>
          <cell r="BZ908">
            <v>2.0749000642170334E-2</v>
          </cell>
          <cell r="CA908">
            <v>1.9431606171951499E-2</v>
          </cell>
        </row>
        <row r="909">
          <cell r="BN909" t="str">
            <v>3000/0.9/6600</v>
          </cell>
          <cell r="BO909">
            <v>0.64828759166088457</v>
          </cell>
          <cell r="BP909">
            <v>0.68760998976341914</v>
          </cell>
          <cell r="BQ909">
            <v>0.66346483737188389</v>
          </cell>
          <cell r="BR909">
            <v>0.64500980066323088</v>
          </cell>
          <cell r="BS909">
            <v>0.62445135058037782</v>
          </cell>
          <cell r="BT909">
            <v>0.51585257548832208</v>
          </cell>
          <cell r="BU909">
            <v>0.60590428790486983</v>
          </cell>
          <cell r="BV909">
            <v>0.58204557780038479</v>
          </cell>
          <cell r="BY909" t="str">
            <v>3000/0.7/5000</v>
          </cell>
          <cell r="BZ909">
            <v>2.0604782767902119E-2</v>
          </cell>
          <cell r="CA909">
            <v>1.9265786015201458E-2</v>
          </cell>
        </row>
        <row r="910">
          <cell r="BN910" t="str">
            <v>3000/0.9/6850</v>
          </cell>
          <cell r="BO910">
            <v>0.64662028251907022</v>
          </cell>
          <cell r="BP910">
            <v>0.6863805157852183</v>
          </cell>
          <cell r="BQ910">
            <v>0.66179193522204749</v>
          </cell>
          <cell r="BR910">
            <v>0.64280649114905697</v>
          </cell>
          <cell r="BS910">
            <v>0.62223708129084165</v>
          </cell>
          <cell r="BT910">
            <v>0.51428984213237428</v>
          </cell>
          <cell r="BU910">
            <v>0.6043023733591496</v>
          </cell>
          <cell r="BV910">
            <v>0.58103950282376693</v>
          </cell>
          <cell r="BY910" t="str">
            <v>3000/0.7/5250</v>
          </cell>
          <cell r="BZ910">
            <v>2.0478251439409512E-2</v>
          </cell>
          <cell r="CA910">
            <v>1.9131541682263498E-2</v>
          </cell>
        </row>
        <row r="911">
          <cell r="BN911" t="str">
            <v>3000/0.9/7500</v>
          </cell>
          <cell r="BO911">
            <v>0.64310824337102113</v>
          </cell>
          <cell r="BP911">
            <v>0.6846957038103233</v>
          </cell>
          <cell r="BQ911">
            <v>0.65827703462633047</v>
          </cell>
          <cell r="BR911">
            <v>0.63898136908746972</v>
          </cell>
          <cell r="BS911">
            <v>0.61830015445442044</v>
          </cell>
          <cell r="BT911">
            <v>0.51106815797019922</v>
          </cell>
          <cell r="BU911">
            <v>0.60028489130037421</v>
          </cell>
          <cell r="BV911">
            <v>0.57914768683471962</v>
          </cell>
          <cell r="BY911" t="str">
            <v>3000/0.7/5500</v>
          </cell>
          <cell r="BZ911">
            <v>2.0351720110916904E-2</v>
          </cell>
          <cell r="CA911">
            <v>1.8997297349325537E-2</v>
          </cell>
        </row>
        <row r="912">
          <cell r="BN912" t="str">
            <v>3000/0.9/10000</v>
          </cell>
          <cell r="BO912">
            <v>0.63470443351480232</v>
          </cell>
          <cell r="BP912">
            <v>0.68042260834071466</v>
          </cell>
          <cell r="BQ912">
            <v>0.64959559530999145</v>
          </cell>
          <cell r="BR912">
            <v>0.62860851224449765</v>
          </cell>
          <cell r="BS912">
            <v>0.60954998886078871</v>
          </cell>
          <cell r="BT912">
            <v>0.50327738537343369</v>
          </cell>
          <cell r="BU912">
            <v>0.59266299676539924</v>
          </cell>
          <cell r="BV912">
            <v>0.57453063704562635</v>
          </cell>
          <cell r="BY912" t="str">
            <v>3000/0.7/5750</v>
          </cell>
          <cell r="BZ912">
            <v>2.0228916222418958E-2</v>
          </cell>
          <cell r="CA912">
            <v>1.8879099484511719E-2</v>
          </cell>
        </row>
        <row r="913">
          <cell r="BN913" t="str">
            <v>3000/0.9/99999</v>
          </cell>
          <cell r="BO913">
            <v>0.61179624184719628</v>
          </cell>
          <cell r="BP913">
            <v>0.67195620817789792</v>
          </cell>
          <cell r="BQ913">
            <v>0.62631788629341867</v>
          </cell>
          <cell r="BR913">
            <v>0.60056440787787779</v>
          </cell>
          <cell r="BS913">
            <v>0.58826804687910839</v>
          </cell>
          <cell r="BT913">
            <v>0.49026090609128486</v>
          </cell>
          <cell r="BU913">
            <v>0.57865799705752496</v>
          </cell>
          <cell r="BV913">
            <v>0.56400723783870821</v>
          </cell>
          <cell r="BY913" t="str">
            <v>3000/0.7/6000</v>
          </cell>
          <cell r="BZ913">
            <v>2.0106112333921011E-2</v>
          </cell>
          <cell r="CA913">
            <v>1.8760901619697901E-2</v>
          </cell>
        </row>
        <row r="914">
          <cell r="BY914" t="str">
            <v>3000/0.7/6250</v>
          </cell>
          <cell r="BZ914">
            <v>1.9993167828318947E-2</v>
          </cell>
          <cell r="CA914">
            <v>1.8664448162679648E-2</v>
          </cell>
        </row>
        <row r="915">
          <cell r="BN915" t="str">
            <v>3250/0.9/4000</v>
          </cell>
          <cell r="BO915">
            <v>0.68608915281249527</v>
          </cell>
          <cell r="BP915">
            <v>0.71507282134816874</v>
          </cell>
          <cell r="BQ915">
            <v>0.70357329536712365</v>
          </cell>
          <cell r="BR915">
            <v>0.68690362616734379</v>
          </cell>
          <cell r="BS915">
            <v>0.66475870771908352</v>
          </cell>
          <cell r="BT915">
            <v>0.54222080993349553</v>
          </cell>
          <cell r="BU915">
            <v>0.63489076301866043</v>
          </cell>
          <cell r="BV915">
            <v>0.59815755062220255</v>
          </cell>
          <cell r="BY915" t="str">
            <v>3000/0.7/6350</v>
          </cell>
          <cell r="BZ915">
            <v>1.9960063700347641E-2</v>
          </cell>
          <cell r="CA915">
            <v>1.8628106209465312E-2</v>
          </cell>
        </row>
        <row r="916">
          <cell r="BN916" t="str">
            <v>3250/0.9/4250</v>
          </cell>
          <cell r="BO916">
            <v>0.67600000000000005</v>
          </cell>
          <cell r="BP916">
            <v>0.70902820917723175</v>
          </cell>
          <cell r="BQ916">
            <v>0.69558870993102329</v>
          </cell>
          <cell r="BR916">
            <v>0.67882190475860904</v>
          </cell>
          <cell r="BS916">
            <v>0.65637057489618966</v>
          </cell>
          <cell r="BT916">
            <v>0.5352147319176499</v>
          </cell>
          <cell r="BU916">
            <v>0.62712517694199965</v>
          </cell>
          <cell r="BV916">
            <v>0.59295762427779353</v>
          </cell>
          <cell r="BY916" t="str">
            <v>3000/0.7/6600</v>
          </cell>
          <cell r="BZ916">
            <v>1.9879242305882672E-2</v>
          </cell>
          <cell r="CA916">
            <v>1.8536907572062944E-2</v>
          </cell>
        </row>
        <row r="917">
          <cell r="BN917" t="str">
            <v>3250/0.9/4500</v>
          </cell>
          <cell r="BO917">
            <v>0.67048346893579658</v>
          </cell>
          <cell r="BP917">
            <v>0.70298359700629465</v>
          </cell>
          <cell r="BQ917">
            <v>0.68760412449492292</v>
          </cell>
          <cell r="BR917">
            <v>0.67074018334987418</v>
          </cell>
          <cell r="BS917">
            <v>0.64798244207329581</v>
          </cell>
          <cell r="BT917">
            <v>0.52820865390180427</v>
          </cell>
          <cell r="BU917">
            <v>0.61935959086533909</v>
          </cell>
          <cell r="BV917">
            <v>0.5877576979333845</v>
          </cell>
          <cell r="BY917" t="str">
            <v>3000/0.7/6850</v>
          </cell>
          <cell r="BZ917">
            <v>1.9798312130431484E-2</v>
          </cell>
          <cell r="CA917">
            <v>1.845024834760034E-2</v>
          </cell>
        </row>
        <row r="918">
          <cell r="BN918" t="str">
            <v>3250/0.9/4750</v>
          </cell>
          <cell r="BO918">
            <v>0.66538302497859303</v>
          </cell>
          <cell r="BP918">
            <v>0.69940365372230129</v>
          </cell>
          <cell r="BQ918">
            <v>0.68229872113366863</v>
          </cell>
          <cell r="BR918">
            <v>0.66516074138619052</v>
          </cell>
          <cell r="BS918">
            <v>0.64255697012420943</v>
          </cell>
          <cell r="BT918">
            <v>0.52399824822604701</v>
          </cell>
          <cell r="BU918">
            <v>0.6144612112567005</v>
          </cell>
          <cell r="BV918">
            <v>0.58524124573295111</v>
          </cell>
          <cell r="BY918" t="str">
            <v>3000/0.7/7500</v>
          </cell>
          <cell r="BZ918">
            <v>1.9587384579241141E-2</v>
          </cell>
          <cell r="CA918">
            <v>1.8252127287233355E-2</v>
          </cell>
        </row>
        <row r="919">
          <cell r="BN919" t="str">
            <v>3250/0.9/5000</v>
          </cell>
          <cell r="BO919">
            <v>0.66028258102138948</v>
          </cell>
          <cell r="BP919">
            <v>0.69582371043830804</v>
          </cell>
          <cell r="BQ919">
            <v>0.67699331777241456</v>
          </cell>
          <cell r="BR919">
            <v>0.65958129942250676</v>
          </cell>
          <cell r="BS919">
            <v>0.63713149817512305</v>
          </cell>
          <cell r="BT919">
            <v>0.51978784255028987</v>
          </cell>
          <cell r="BU919">
            <v>0.60956283164806191</v>
          </cell>
          <cell r="BV919">
            <v>0.58272479353251772</v>
          </cell>
          <cell r="BY919" t="str">
            <v>3000/0.7/8000</v>
          </cell>
          <cell r="BZ919">
            <v>1.9431371035293576E-2</v>
          </cell>
          <cell r="CA919">
            <v>1.811252677009656E-2</v>
          </cell>
        </row>
        <row r="920">
          <cell r="BN920" t="str">
            <v>3250/0.9/5250</v>
          </cell>
          <cell r="BO920">
            <v>0.65671453477530761</v>
          </cell>
          <cell r="BP920">
            <v>0.69340798321220887</v>
          </cell>
          <cell r="BQ920">
            <v>0.67329483478582808</v>
          </cell>
          <cell r="BR920">
            <v>0.65553864973799425</v>
          </cell>
          <cell r="BS920">
            <v>0.6331968756379931</v>
          </cell>
          <cell r="BT920">
            <v>0.51672725681221754</v>
          </cell>
          <cell r="BU920">
            <v>0.60689888289518523</v>
          </cell>
          <cell r="BV920">
            <v>0.5808033909800967</v>
          </cell>
          <cell r="BY920" t="str">
            <v>3000/0.7/9000</v>
          </cell>
          <cell r="BZ920">
            <v>1.9200719836260483E-2</v>
          </cell>
          <cell r="CA920">
            <v>1.7867465084082879E-2</v>
          </cell>
        </row>
        <row r="921">
          <cell r="BN921" t="str">
            <v>3250/0.9/5500</v>
          </cell>
          <cell r="BO921">
            <v>0.65314648852922574</v>
          </cell>
          <cell r="BP921">
            <v>0.69099225598610958</v>
          </cell>
          <cell r="BQ921">
            <v>0.6695963517992416</v>
          </cell>
          <cell r="BR921">
            <v>0.65149600005348185</v>
          </cell>
          <cell r="BS921">
            <v>0.62926225310086314</v>
          </cell>
          <cell r="BT921">
            <v>0.5136666710741451</v>
          </cell>
          <cell r="BU921">
            <v>0.60423493414230856</v>
          </cell>
          <cell r="BV921">
            <v>0.57888198842767569</v>
          </cell>
          <cell r="BY921" t="str">
            <v>3000/0.7/10000</v>
          </cell>
          <cell r="BZ921">
            <v>1.8989998170664935E-2</v>
          </cell>
          <cell r="CA921">
            <v>1.7676219292726891E-2</v>
          </cell>
        </row>
        <row r="922">
          <cell r="BN922" t="str">
            <v>3250/0.9/5750</v>
          </cell>
          <cell r="BO922">
            <v>0.65031276167065566</v>
          </cell>
          <cell r="BP922">
            <v>0.68910799308804038</v>
          </cell>
          <cell r="BQ922">
            <v>0.66667095463830006</v>
          </cell>
          <cell r="BR922">
            <v>0.64830143198145596</v>
          </cell>
          <cell r="BS922">
            <v>0.62608001185958762</v>
          </cell>
          <cell r="BT922">
            <v>0.51142914976097709</v>
          </cell>
          <cell r="BU922">
            <v>0.60214782865968575</v>
          </cell>
          <cell r="BV922">
            <v>0.57738551247376169</v>
          </cell>
          <cell r="BY922" t="str">
            <v>3000/0.7/99999</v>
          </cell>
          <cell r="BZ922">
            <v>1.6349964465589117E-2</v>
          </cell>
          <cell r="CA922">
            <v>1.5501297825887717E-2</v>
          </cell>
        </row>
        <row r="923">
          <cell r="BN923" t="str">
            <v>3250/0.9/6000</v>
          </cell>
          <cell r="BO923">
            <v>0.64747903481208569</v>
          </cell>
          <cell r="BP923">
            <v>0.68722373018997107</v>
          </cell>
          <cell r="BQ923">
            <v>0.66374555747735842</v>
          </cell>
          <cell r="BR923">
            <v>0.64510686390943017</v>
          </cell>
          <cell r="BS923">
            <v>0.62289777061831209</v>
          </cell>
          <cell r="BT923">
            <v>0.50919162844780907</v>
          </cell>
          <cell r="BU923">
            <v>0.60006072317706272</v>
          </cell>
          <cell r="BV923">
            <v>0.5758890365198478</v>
          </cell>
          <cell r="BY923" t="str">
            <v>3250/0.7/3500</v>
          </cell>
          <cell r="BZ923">
            <v>2.1587574760080996E-2</v>
          </cell>
          <cell r="CA923">
            <v>2.0428022787889133E-2</v>
          </cell>
        </row>
        <row r="924">
          <cell r="BN924" t="str">
            <v>3250/0.9/6250</v>
          </cell>
          <cell r="BO924">
            <v>0.6451067855351319</v>
          </cell>
          <cell r="BP924">
            <v>0.68570169304038986</v>
          </cell>
          <cell r="BQ924">
            <v>0.66129783030071287</v>
          </cell>
          <cell r="BR924">
            <v>0.64254350418071082</v>
          </cell>
          <cell r="BS924">
            <v>0.62034836589011944</v>
          </cell>
          <cell r="BT924">
            <v>0.50760821068335238</v>
          </cell>
          <cell r="BU924">
            <v>0.59822903789837345</v>
          </cell>
          <cell r="BV924">
            <v>0.57467724436473233</v>
          </cell>
          <cell r="BY924" t="str">
            <v>3250/0.7/3750</v>
          </cell>
          <cell r="BZ924">
            <v>2.1383420998626335E-2</v>
          </cell>
          <cell r="CA924">
            <v>2.0157178461806313E-2</v>
          </cell>
        </row>
        <row r="925">
          <cell r="BN925" t="str">
            <v>3250/0.9/6350</v>
          </cell>
          <cell r="BO925">
            <v>0.64421493066294899</v>
          </cell>
          <cell r="BP925">
            <v>0.68514286332247942</v>
          </cell>
          <cell r="BQ925">
            <v>0.66040343442004523</v>
          </cell>
          <cell r="BR925">
            <v>0.64156060227037637</v>
          </cell>
          <cell r="BS925">
            <v>0.61936584876547274</v>
          </cell>
          <cell r="BT925">
            <v>0.50705455686306522</v>
          </cell>
          <cell r="BU925">
            <v>0.59755144323365872</v>
          </cell>
          <cell r="BV925">
            <v>0.574214577946497</v>
          </cell>
          <cell r="BY925" t="str">
            <v>3250/0.7/4000</v>
          </cell>
          <cell r="BZ925">
            <v>2.1179267237171673E-2</v>
          </cell>
          <cell r="CA925">
            <v>1.9886334135723494E-2</v>
          </cell>
        </row>
        <row r="926">
          <cell r="BN926" t="str">
            <v>3250/0.9/6600</v>
          </cell>
          <cell r="BO926">
            <v>0.64214403245961504</v>
          </cell>
          <cell r="BP926">
            <v>0.68375657953943625</v>
          </cell>
          <cell r="BQ926">
            <v>0.65823722086614145</v>
          </cell>
          <cell r="BR926">
            <v>0.63915029968435366</v>
          </cell>
          <cell r="BS926">
            <v>0.61696161947110661</v>
          </cell>
          <cell r="BT926">
            <v>0.50573994266600708</v>
          </cell>
          <cell r="BU926">
            <v>0.59585618029716048</v>
          </cell>
          <cell r="BV926">
            <v>0.57310436071014459</v>
          </cell>
          <cell r="BY926" t="str">
            <v>3250/0.7/4250</v>
          </cell>
          <cell r="BZ926">
            <v>2.1000399441126139E-2</v>
          </cell>
          <cell r="CA926">
            <v>1.9672563859645109E-2</v>
          </cell>
        </row>
        <row r="927">
          <cell r="BN927" t="str">
            <v>3250/0.9/6850</v>
          </cell>
          <cell r="BO927">
            <v>0.64021019118242828</v>
          </cell>
          <cell r="BP927">
            <v>0.68245776926867885</v>
          </cell>
          <cell r="BQ927">
            <v>0.65629746340034434</v>
          </cell>
          <cell r="BR927">
            <v>0.63694957447460498</v>
          </cell>
          <cell r="BS927">
            <v>0.61476945822986984</v>
          </cell>
          <cell r="BT927">
            <v>0.50449268484908305</v>
          </cell>
          <cell r="BU927">
            <v>0.59448242125762985</v>
          </cell>
          <cell r="BV927">
            <v>0.57210324962750936</v>
          </cell>
          <cell r="BY927" t="str">
            <v>3250/0.7/4500</v>
          </cell>
          <cell r="BZ927">
            <v>2.0821531645080604E-2</v>
          </cell>
          <cell r="CA927">
            <v>1.9458793583566725E-2</v>
          </cell>
        </row>
        <row r="928">
          <cell r="BN928" t="str">
            <v>3250/0.9/7500</v>
          </cell>
          <cell r="BO928">
            <v>0.63622544032023831</v>
          </cell>
          <cell r="BP928">
            <v>0.68006163370200767</v>
          </cell>
          <cell r="BQ928">
            <v>0.65221294324621304</v>
          </cell>
          <cell r="BR928">
            <v>0.63223177607081005</v>
          </cell>
          <cell r="BS928">
            <v>0.60997677467306799</v>
          </cell>
          <cell r="BT928">
            <v>0.50185067465002819</v>
          </cell>
          <cell r="BU928">
            <v>0.59129642411846062</v>
          </cell>
          <cell r="BV928">
            <v>0.56990008373354928</v>
          </cell>
          <cell r="BY928" t="str">
            <v>3250/0.7/4750</v>
          </cell>
          <cell r="BZ928">
            <v>2.0669597424823605E-2</v>
          </cell>
          <cell r="CA928">
            <v>1.9280998769281021E-2</v>
          </cell>
        </row>
        <row r="929">
          <cell r="BN929" t="str">
            <v>3250/0.9/10000</v>
          </cell>
          <cell r="BO929">
            <v>0.62718265082056912</v>
          </cell>
          <cell r="BP929">
            <v>0.67561919124719405</v>
          </cell>
          <cell r="BQ929">
            <v>0.64289142139050381</v>
          </cell>
          <cell r="BR929">
            <v>0.62156758741404572</v>
          </cell>
          <cell r="BS929">
            <v>0.60060069817026418</v>
          </cell>
          <cell r="BT929">
            <v>0.49570028802534372</v>
          </cell>
          <cell r="BU929">
            <v>0.58429751462034818</v>
          </cell>
          <cell r="BV929">
            <v>0.56501918273712215</v>
          </cell>
          <cell r="BY929" t="str">
            <v>3250/0.7/5000</v>
          </cell>
          <cell r="BZ929">
            <v>2.0517663204566605E-2</v>
          </cell>
          <cell r="CA929">
            <v>1.9103203954995318E-2</v>
          </cell>
        </row>
        <row r="930">
          <cell r="BN930" t="str">
            <v>3250/0.9/99999</v>
          </cell>
          <cell r="BO930">
            <v>0.60378057908139349</v>
          </cell>
          <cell r="BP930">
            <v>0.66681666411384932</v>
          </cell>
          <cell r="BQ930">
            <v>0.61911907716949699</v>
          </cell>
          <cell r="BR930">
            <v>0.59261515970436629</v>
          </cell>
          <cell r="BS930">
            <v>0.57870467356136546</v>
          </cell>
          <cell r="BT930">
            <v>0.48342503893934863</v>
          </cell>
          <cell r="BU930">
            <v>0.5700064987897786</v>
          </cell>
          <cell r="BV930">
            <v>0.55418521745649407</v>
          </cell>
          <cell r="BY930" t="str">
            <v>3250/0.7/5250</v>
          </cell>
          <cell r="BZ930">
            <v>2.0385216686237329E-2</v>
          </cell>
          <cell r="CA930">
            <v>1.8960037067677737E-2</v>
          </cell>
        </row>
        <row r="931">
          <cell r="BY931" t="str">
            <v>3250/0.7/5500</v>
          </cell>
          <cell r="BZ931">
            <v>2.0252770167908052E-2</v>
          </cell>
          <cell r="CA931">
            <v>1.8816870180360157E-2</v>
          </cell>
        </row>
        <row r="932">
          <cell r="BN932" t="str">
            <v>3500/0.9/4000</v>
          </cell>
          <cell r="BO932">
            <v>0.68593601910747648</v>
          </cell>
          <cell r="BP932">
            <v>0.71625679659205188</v>
          </cell>
          <cell r="BQ932">
            <v>0.70435891042627674</v>
          </cell>
          <cell r="BR932">
            <v>0.68695061958108794</v>
          </cell>
          <cell r="BS932">
            <v>0.66373004613258535</v>
          </cell>
          <cell r="BT932">
            <v>0.53696132150823572</v>
          </cell>
          <cell r="BU932">
            <v>0.62661728945009965</v>
          </cell>
          <cell r="BV932">
            <v>0.59050038436264263</v>
          </cell>
          <cell r="BY932" t="str">
            <v>3250/0.7/5750</v>
          </cell>
          <cell r="BZ932">
            <v>2.0129543452910958E-2</v>
          </cell>
          <cell r="CA932">
            <v>1.8690579678711794E-2</v>
          </cell>
        </row>
        <row r="933">
          <cell r="BN933" t="str">
            <v>3500/0.9/4250</v>
          </cell>
          <cell r="BO933">
            <v>0.67680915959551635</v>
          </cell>
          <cell r="BP933">
            <v>0.70890222895776067</v>
          </cell>
          <cell r="BQ933">
            <v>0.69512268233196806</v>
          </cell>
          <cell r="BR933">
            <v>0.67772134978689891</v>
          </cell>
          <cell r="BS933">
            <v>0.6539070489260107</v>
          </cell>
          <cell r="BT933">
            <v>0.52815659902431356</v>
          </cell>
          <cell r="BU933">
            <v>0.61699517444102181</v>
          </cell>
          <cell r="BV933">
            <v>0.58551675523679791</v>
          </cell>
          <cell r="BY933" t="str">
            <v>3250/0.7/6000</v>
          </cell>
          <cell r="BZ933">
            <v>2.0006316737913865E-2</v>
          </cell>
          <cell r="CA933">
            <v>1.8564289177063431E-2</v>
          </cell>
        </row>
        <row r="934">
          <cell r="BN934" t="str">
            <v>3500/0.9/4500</v>
          </cell>
          <cell r="BO934">
            <v>0.66768230008355622</v>
          </cell>
          <cell r="BP934">
            <v>0.70154766132346935</v>
          </cell>
          <cell r="BQ934">
            <v>0.68588645423765926</v>
          </cell>
          <cell r="BR934">
            <v>0.66849207999270988</v>
          </cell>
          <cell r="BS934">
            <v>0.64408405171943606</v>
          </cell>
          <cell r="BT934">
            <v>0.51935187654039128</v>
          </cell>
          <cell r="BU934">
            <v>0.60737305943194408</v>
          </cell>
          <cell r="BV934">
            <v>0.5805331261109532</v>
          </cell>
          <cell r="BY934" t="str">
            <v>3250/0.7/6250</v>
          </cell>
          <cell r="BZ934">
            <v>1.988841883797221E-2</v>
          </cell>
          <cell r="CA934">
            <v>1.8458188901073647E-2</v>
          </cell>
        </row>
        <row r="935">
          <cell r="BN935" t="str">
            <v>3500/0.9/4750</v>
          </cell>
          <cell r="BO935">
            <v>0.66173192115804946</v>
          </cell>
          <cell r="BP935">
            <v>0.69732004343229326</v>
          </cell>
          <cell r="BQ935">
            <v>0.67967819242922778</v>
          </cell>
          <cell r="BR935">
            <v>0.66210103155681987</v>
          </cell>
          <cell r="BS935">
            <v>0.63778339845308518</v>
          </cell>
          <cell r="BT935">
            <v>0.51433581519917715</v>
          </cell>
          <cell r="BU935">
            <v>0.60179327175192565</v>
          </cell>
          <cell r="BV935">
            <v>0.57766383300207891</v>
          </cell>
          <cell r="BY935" t="str">
            <v>3250/0.7/6350</v>
          </cell>
          <cell r="BZ935">
            <v>1.9847209006976785E-2</v>
          </cell>
          <cell r="CA935">
            <v>1.8419676397851359E-2</v>
          </cell>
        </row>
        <row r="936">
          <cell r="BN936" t="str">
            <v>3500/0.9/5000</v>
          </cell>
          <cell r="BO936">
            <v>0.65578154223254259</v>
          </cell>
          <cell r="BP936">
            <v>0.69309242554111727</v>
          </cell>
          <cell r="BQ936">
            <v>0.6734699306207963</v>
          </cell>
          <cell r="BR936">
            <v>0.65570998312092987</v>
          </cell>
          <cell r="BS936">
            <v>0.63148274518673431</v>
          </cell>
          <cell r="BT936">
            <v>0.50931975385796302</v>
          </cell>
          <cell r="BU936">
            <v>0.59621348407190711</v>
          </cell>
          <cell r="BV936">
            <v>0.5747945398932045</v>
          </cell>
          <cell r="BY936" t="str">
            <v>3250/0.7/6600</v>
          </cell>
          <cell r="BZ936">
            <v>1.9750316434445025E-2</v>
          </cell>
          <cell r="CA936">
            <v>1.832563176474411E-2</v>
          </cell>
        </row>
        <row r="937">
          <cell r="BN937" t="str">
            <v>3500/0.9/5250</v>
          </cell>
          <cell r="BO937">
            <v>0.65194615925972021</v>
          </cell>
          <cell r="BP937">
            <v>0.69050672670295277</v>
          </cell>
          <cell r="BQ937">
            <v>0.66948122769342144</v>
          </cell>
          <cell r="BR937">
            <v>0.65137820537526114</v>
          </cell>
          <cell r="BS937">
            <v>0.62731129495744642</v>
          </cell>
          <cell r="BT937">
            <v>0.50609907277853661</v>
          </cell>
          <cell r="BU937">
            <v>0.59411972518224865</v>
          </cell>
          <cell r="BV937">
            <v>0.57268077121951211</v>
          </cell>
          <cell r="BY937" t="str">
            <v>3250/0.7/6850</v>
          </cell>
          <cell r="BZ937">
            <v>1.9669036291643072E-2</v>
          </cell>
          <cell r="CA937">
            <v>1.8236819834099305E-2</v>
          </cell>
        </row>
        <row r="938">
          <cell r="BN938" t="str">
            <v>3500/0.9/5500</v>
          </cell>
          <cell r="BO938">
            <v>0.64811077628689784</v>
          </cell>
          <cell r="BP938">
            <v>0.68792102786478815</v>
          </cell>
          <cell r="BQ938">
            <v>0.66549252476604648</v>
          </cell>
          <cell r="BR938">
            <v>0.64704642762959241</v>
          </cell>
          <cell r="BS938">
            <v>0.62313984472815864</v>
          </cell>
          <cell r="BT938">
            <v>0.50287839169911019</v>
          </cell>
          <cell r="BU938">
            <v>0.59202596629259019</v>
          </cell>
          <cell r="BV938">
            <v>0.5705670025458196</v>
          </cell>
          <cell r="BY938" t="str">
            <v>3250/0.7/7500</v>
          </cell>
          <cell r="BZ938">
            <v>1.9458308926368795E-2</v>
          </cell>
          <cell r="CA938">
            <v>1.8030626988652876E-2</v>
          </cell>
        </row>
        <row r="939">
          <cell r="BN939" t="str">
            <v>3500/0.9/5750</v>
          </cell>
          <cell r="BO939">
            <v>0.64489111507477404</v>
          </cell>
          <cell r="BP939">
            <v>0.68573283846194166</v>
          </cell>
          <cell r="BQ939">
            <v>0.66216402188304946</v>
          </cell>
          <cell r="BR939">
            <v>0.64337927079792978</v>
          </cell>
          <cell r="BS939">
            <v>0.6195196240627312</v>
          </cell>
          <cell r="BT939">
            <v>0.50053193541365038</v>
          </cell>
          <cell r="BU939">
            <v>0.59042819065065533</v>
          </cell>
          <cell r="BV939">
            <v>0.56890429743616577</v>
          </cell>
          <cell r="BY939" t="str">
            <v>3250/0.7/8000</v>
          </cell>
          <cell r="BZ939">
            <v>1.9299079464669577E-2</v>
          </cell>
          <cell r="CA939">
            <v>1.7884225187676961E-2</v>
          </cell>
        </row>
        <row r="940">
          <cell r="BN940" t="str">
            <v>3500/0.9/6000</v>
          </cell>
          <cell r="BO940">
            <v>0.64167145386265023</v>
          </cell>
          <cell r="BP940">
            <v>0.68354464905909529</v>
          </cell>
          <cell r="BQ940">
            <v>0.65883551900005244</v>
          </cell>
          <cell r="BR940">
            <v>0.63971211396626715</v>
          </cell>
          <cell r="BS940">
            <v>0.61589940339730387</v>
          </cell>
          <cell r="BT940">
            <v>0.49818547912819044</v>
          </cell>
          <cell r="BU940">
            <v>0.58883041500872046</v>
          </cell>
          <cell r="BV940">
            <v>0.56724159232651183</v>
          </cell>
          <cell r="BY940" t="str">
            <v>3250/0.7/9000</v>
          </cell>
          <cell r="BZ940">
            <v>1.9055176984668853E-2</v>
          </cell>
          <cell r="CA940">
            <v>1.7635804469238847E-2</v>
          </cell>
        </row>
        <row r="941">
          <cell r="BN941" t="str">
            <v>3500/0.9/6250</v>
          </cell>
          <cell r="BO941">
            <v>0.63913350322858919</v>
          </cell>
          <cell r="BP941">
            <v>0.68187254137924724</v>
          </cell>
          <cell r="BQ941">
            <v>0.65615223075299489</v>
          </cell>
          <cell r="BR941">
            <v>0.63699190961994789</v>
          </cell>
          <cell r="BS941">
            <v>0.61318005375054163</v>
          </cell>
          <cell r="BT941">
            <v>0.49712005487597433</v>
          </cell>
          <cell r="BU941">
            <v>0.58740983577684525</v>
          </cell>
          <cell r="BV941">
            <v>0.5659242841539508</v>
          </cell>
          <cell r="BY941" t="str">
            <v>3250/0.7/10000</v>
          </cell>
          <cell r="BZ941">
            <v>1.8834722774640156E-2</v>
          </cell>
          <cell r="CA941">
            <v>1.7433016885863628E-2</v>
          </cell>
        </row>
        <row r="942">
          <cell r="BN942" t="str">
            <v>3500/0.9/6350</v>
          </cell>
          <cell r="BO942">
            <v>0.63823232779350647</v>
          </cell>
          <cell r="BP942">
            <v>0.68130368562009991</v>
          </cell>
          <cell r="BQ942">
            <v>0.65524821488580021</v>
          </cell>
          <cell r="BR942">
            <v>0.63590769852454876</v>
          </cell>
          <cell r="BS942">
            <v>0.61208669903009305</v>
          </cell>
          <cell r="BT942">
            <v>0.49669386867825027</v>
          </cell>
          <cell r="BU942">
            <v>0.5869524370208381</v>
          </cell>
          <cell r="BV942">
            <v>0.56539171632559593</v>
          </cell>
          <cell r="BY942" t="str">
            <v>3250/0.7/99999</v>
          </cell>
          <cell r="BZ942">
            <v>1.6164440146434034E-2</v>
          </cell>
          <cell r="CA942">
            <v>1.5231559037822362E-2</v>
          </cell>
        </row>
        <row r="943">
          <cell r="BN943" t="str">
            <v>3500/0.9/6600</v>
          </cell>
          <cell r="BO943">
            <v>0.63600047325834541</v>
          </cell>
          <cell r="BP943">
            <v>0.67990316931545325</v>
          </cell>
          <cell r="BQ943">
            <v>0.65300960436039901</v>
          </cell>
          <cell r="BR943">
            <v>0.63329079870547644</v>
          </cell>
          <cell r="BS943">
            <v>0.60947188836183541</v>
          </cell>
          <cell r="BT943">
            <v>0.49562730984369208</v>
          </cell>
          <cell r="BU943">
            <v>0.58580807268945112</v>
          </cell>
          <cell r="BV943">
            <v>0.56416314361990438</v>
          </cell>
          <cell r="BY943" t="str">
            <v>3500/0.7/3500</v>
          </cell>
          <cell r="BZ943">
            <v>2.1542532904932132E-2</v>
          </cell>
          <cell r="CA943">
            <v>2.0379452466365633E-2</v>
          </cell>
        </row>
        <row r="944">
          <cell r="BN944" t="str">
            <v>3500/0.9/6850</v>
          </cell>
          <cell r="BO944">
            <v>0.63380009984578645</v>
          </cell>
          <cell r="BP944">
            <v>0.67853502275213939</v>
          </cell>
          <cell r="BQ944">
            <v>0.65080299157864119</v>
          </cell>
          <cell r="BR944">
            <v>0.63109265780015289</v>
          </cell>
          <cell r="BS944">
            <v>0.60730183516889802</v>
          </cell>
          <cell r="BT944">
            <v>0.49469552756579183</v>
          </cell>
          <cell r="BU944">
            <v>0.58466246915610998</v>
          </cell>
          <cell r="BV944">
            <v>0.56316699643125179</v>
          </cell>
          <cell r="BY944" t="str">
            <v>3500/0.7/3750</v>
          </cell>
          <cell r="BZ944">
            <v>2.1335750053711133E-2</v>
          </cell>
          <cell r="CA944">
            <v>2.0079810522266928E-2</v>
          </cell>
        </row>
        <row r="945">
          <cell r="BN945" t="str">
            <v>3500/0.9/7500</v>
          </cell>
          <cell r="BO945">
            <v>0.6293426372694555</v>
          </cell>
          <cell r="BP945">
            <v>0.67542756359369205</v>
          </cell>
          <cell r="BQ945">
            <v>0.64614885186609561</v>
          </cell>
          <cell r="BR945">
            <v>0.62548218305415049</v>
          </cell>
          <cell r="BS945">
            <v>0.60165339489171554</v>
          </cell>
          <cell r="BT945">
            <v>0.49263319132985722</v>
          </cell>
          <cell r="BU945">
            <v>0.58230795693654691</v>
          </cell>
          <cell r="BV945">
            <v>0.56065248063237882</v>
          </cell>
          <cell r="BY945" t="str">
            <v>3500/0.7/4000</v>
          </cell>
          <cell r="BZ945">
            <v>2.1128967202490134E-2</v>
          </cell>
          <cell r="CA945">
            <v>1.9780168578168222E-2</v>
          </cell>
        </row>
        <row r="946">
          <cell r="BN946" t="str">
            <v>3500/0.9/10000</v>
          </cell>
          <cell r="BO946">
            <v>0.61966086812633581</v>
          </cell>
          <cell r="BP946">
            <v>0.67081577415367333</v>
          </cell>
          <cell r="BQ946">
            <v>0.63618724747101618</v>
          </cell>
          <cell r="BR946">
            <v>0.61452666258359379</v>
          </cell>
          <cell r="BS946">
            <v>0.59165140747973965</v>
          </cell>
          <cell r="BT946">
            <v>0.48812319067725368</v>
          </cell>
          <cell r="BU946">
            <v>0.57593203247529701</v>
          </cell>
          <cell r="BV946">
            <v>0.55550772842861795</v>
          </cell>
          <cell r="BY946" t="str">
            <v>3500/0.7/4250</v>
          </cell>
          <cell r="BZ946">
            <v>2.0939405988106397E-2</v>
          </cell>
          <cell r="CA946">
            <v>1.9550164708300066E-2</v>
          </cell>
        </row>
        <row r="947">
          <cell r="BN947" t="str">
            <v>3500/0.9/99999</v>
          </cell>
          <cell r="BO947">
            <v>0.59576491631559081</v>
          </cell>
          <cell r="BP947">
            <v>0.66167712004980084</v>
          </cell>
          <cell r="BQ947">
            <v>0.61192026804557531</v>
          </cell>
          <cell r="BR947">
            <v>0.58466591153085468</v>
          </cell>
          <cell r="BS947">
            <v>0.56914130024362242</v>
          </cell>
          <cell r="BT947">
            <v>0.47658917178741234</v>
          </cell>
          <cell r="BU947">
            <v>0.56135500052203213</v>
          </cell>
          <cell r="BV947">
            <v>0.54436319707427994</v>
          </cell>
          <cell r="BY947" t="str">
            <v>3500/0.7/4500</v>
          </cell>
          <cell r="BZ947">
            <v>2.0749844773722659E-2</v>
          </cell>
          <cell r="CA947">
            <v>1.932016083843191E-2</v>
          </cell>
        </row>
        <row r="948">
          <cell r="BY948" t="str">
            <v>3500/0.7/4750</v>
          </cell>
          <cell r="BZ948">
            <v>2.0590194207476875E-2</v>
          </cell>
          <cell r="CA948">
            <v>1.9130391366610544E-2</v>
          </cell>
        </row>
        <row r="949">
          <cell r="BN949" t="str">
            <v>3750/0.9/4500</v>
          </cell>
          <cell r="BO949">
            <v>0.66836726569997973</v>
          </cell>
          <cell r="BP949">
            <v>0.70333560528624361</v>
          </cell>
          <cell r="BQ949">
            <v>0.68737208451477905</v>
          </cell>
          <cell r="BR949">
            <v>0.66932871216836443</v>
          </cell>
          <cell r="BS949">
            <v>0.64380658811084923</v>
          </cell>
          <cell r="BT949">
            <v>0.51509166819942942</v>
          </cell>
          <cell r="BU949">
            <v>0.60081032368824139</v>
          </cell>
          <cell r="BV949">
            <v>0.5757170956328882</v>
          </cell>
          <cell r="BY949" t="str">
            <v>3500/0.7/5000</v>
          </cell>
          <cell r="BZ949">
            <v>2.0430543641231091E-2</v>
          </cell>
          <cell r="CA949">
            <v>1.8940621894789178E-2</v>
          </cell>
        </row>
        <row r="950">
          <cell r="BN950" t="str">
            <v>3750/0.9/4750</v>
          </cell>
          <cell r="BO950">
            <v>0.66</v>
          </cell>
          <cell r="BP950">
            <v>0.69788523687427118</v>
          </cell>
          <cell r="BQ950">
            <v>0.67980700580474496</v>
          </cell>
          <cell r="BR950">
            <v>0.66167499759253257</v>
          </cell>
          <cell r="BS950">
            <v>0.63593517555895418</v>
          </cell>
          <cell r="BT950">
            <v>0.50901259311096436</v>
          </cell>
          <cell r="BU950">
            <v>0.59569550103127589</v>
          </cell>
          <cell r="BV950">
            <v>0.5719818190700835</v>
          </cell>
          <cell r="BY950" t="str">
            <v>3500/0.7/5250</v>
          </cell>
          <cell r="BZ950">
            <v>2.0292181933065145E-2</v>
          </cell>
          <cell r="CA950">
            <v>1.8788532453091977E-2</v>
          </cell>
        </row>
        <row r="951">
          <cell r="BN951" t="str">
            <v>3750/0.9/5000</v>
          </cell>
          <cell r="BO951">
            <v>0.65355948192497282</v>
          </cell>
          <cell r="BP951">
            <v>0.69243486846229874</v>
          </cell>
          <cell r="BQ951">
            <v>0.67224192709471087</v>
          </cell>
          <cell r="BR951">
            <v>0.65402128301670071</v>
          </cell>
          <cell r="BS951">
            <v>0.62806376300705935</v>
          </cell>
          <cell r="BT951">
            <v>0.5029335180224993</v>
          </cell>
          <cell r="BU951">
            <v>0.59058067837431039</v>
          </cell>
          <cell r="BV951">
            <v>0.56824654250727868</v>
          </cell>
          <cell r="BY951" t="str">
            <v>3500/0.7/5500</v>
          </cell>
          <cell r="BZ951">
            <v>2.0153820224899199E-2</v>
          </cell>
          <cell r="CA951">
            <v>1.8636443011394777E-2</v>
          </cell>
        </row>
        <row r="952">
          <cell r="BN952" t="str">
            <v>3750/0.9/5250</v>
          </cell>
          <cell r="BO952">
            <v>0.64878034584546662</v>
          </cell>
          <cell r="BP952">
            <v>0.68911345699610183</v>
          </cell>
          <cell r="BQ952">
            <v>0.66725312177673735</v>
          </cell>
          <cell r="BR952">
            <v>0.64878798021575201</v>
          </cell>
          <cell r="BS952">
            <v>0.6230016904493676</v>
          </cell>
          <cell r="BT952">
            <v>0.50008226289006485</v>
          </cell>
          <cell r="BU952">
            <v>0.58818064213403187</v>
          </cell>
          <cell r="BV952">
            <v>0.56582146735097671</v>
          </cell>
          <cell r="BY952" t="str">
            <v>3500/0.7/5750</v>
          </cell>
          <cell r="BZ952">
            <v>2.0030170683402959E-2</v>
          </cell>
          <cell r="CA952">
            <v>1.8502059872911869E-2</v>
          </cell>
        </row>
        <row r="953">
          <cell r="BN953" t="str">
            <v>3750/0.9/5500</v>
          </cell>
          <cell r="BO953">
            <v>0.64400120976596043</v>
          </cell>
          <cell r="BP953">
            <v>0.68579204552990491</v>
          </cell>
          <cell r="BQ953">
            <v>0.66226431645876371</v>
          </cell>
          <cell r="BR953">
            <v>0.64355467741480332</v>
          </cell>
          <cell r="BS953">
            <v>0.61793961789167584</v>
          </cell>
          <cell r="BT953">
            <v>0.49723100775763035</v>
          </cell>
          <cell r="BU953">
            <v>0.58578060589375336</v>
          </cell>
          <cell r="BV953">
            <v>0.56339639219467474</v>
          </cell>
          <cell r="BY953" t="str">
            <v>3500/0.7/6000</v>
          </cell>
          <cell r="BZ953">
            <v>1.9906521141906719E-2</v>
          </cell>
          <cell r="CA953">
            <v>1.8367676734428962E-2</v>
          </cell>
        </row>
        <row r="954">
          <cell r="BN954" t="str">
            <v>3750/0.9/5750</v>
          </cell>
          <cell r="BO954">
            <v>0.64053695212423067</v>
          </cell>
          <cell r="BP954">
            <v>0.68342976664883015</v>
          </cell>
          <cell r="BQ954">
            <v>0.65866709851142713</v>
          </cell>
          <cell r="BR954">
            <v>0.63962362784648374</v>
          </cell>
          <cell r="BS954">
            <v>0.6140916072694379</v>
          </cell>
          <cell r="BT954">
            <v>0.49525640630335549</v>
          </cell>
          <cell r="BU954">
            <v>0.58399134113024864</v>
          </cell>
          <cell r="BV954">
            <v>0.56152876129710816</v>
          </cell>
          <cell r="BY954" t="str">
            <v>3500/0.7/6250</v>
          </cell>
          <cell r="BZ954">
            <v>1.9783669847625474E-2</v>
          </cell>
          <cell r="CA954">
            <v>1.8251929639467646E-2</v>
          </cell>
        </row>
        <row r="955">
          <cell r="BN955" t="str">
            <v>3750/0.9/6000</v>
          </cell>
          <cell r="BO955">
            <v>0.63707269448250092</v>
          </cell>
          <cell r="BP955">
            <v>0.6810674877677555</v>
          </cell>
          <cell r="BQ955">
            <v>0.65506988056409043</v>
          </cell>
          <cell r="BR955">
            <v>0.63569257827816417</v>
          </cell>
          <cell r="BS955">
            <v>0.61024359664719996</v>
          </cell>
          <cell r="BT955">
            <v>0.49328180484908057</v>
          </cell>
          <cell r="BU955">
            <v>0.58220207636674393</v>
          </cell>
          <cell r="BV955">
            <v>0.55966113039954146</v>
          </cell>
          <cell r="BY955" t="str">
            <v>3500/0.7/6350</v>
          </cell>
          <cell r="BZ955">
            <v>1.9734354313605929E-2</v>
          </cell>
          <cell r="CA955">
            <v>1.8211246586237406E-2</v>
          </cell>
        </row>
        <row r="956">
          <cell r="BN956" t="str">
            <v>3750/0.9/6250</v>
          </cell>
          <cell r="BO956">
            <v>0.63418289311891463</v>
          </cell>
          <cell r="BP956">
            <v>0.67913398451635998</v>
          </cell>
          <cell r="BQ956">
            <v>0.65200236697286929</v>
          </cell>
          <cell r="BR956">
            <v>0.63245323947564036</v>
          </cell>
          <cell r="BS956">
            <v>0.60696369793209948</v>
          </cell>
          <cell r="BT956">
            <v>0.49202313166833866</v>
          </cell>
          <cell r="BU956">
            <v>0.5806674158000763</v>
          </cell>
          <cell r="BV956">
            <v>0.55809740813516506</v>
          </cell>
          <cell r="BY956" t="str">
            <v>3500/0.7/6600</v>
          </cell>
          <cell r="BZ956">
            <v>1.9621390563007379E-2</v>
          </cell>
          <cell r="CA956">
            <v>1.8114355957425277E-2</v>
          </cell>
        </row>
        <row r="957">
          <cell r="BN957" t="str">
            <v>3750/0.9/6350</v>
          </cell>
          <cell r="BO957">
            <v>0.63312513737730591</v>
          </cell>
          <cell r="BP957">
            <v>0.67843630737767735</v>
          </cell>
          <cell r="BQ957">
            <v>0.65094060348544946</v>
          </cell>
          <cell r="BR957">
            <v>0.63116058846230172</v>
          </cell>
          <cell r="BS957">
            <v>0.60574590172155607</v>
          </cell>
          <cell r="BT957">
            <v>0.49152033935489969</v>
          </cell>
          <cell r="BU957">
            <v>0.58014890951478071</v>
          </cell>
          <cell r="BV957">
            <v>0.55754155938740224</v>
          </cell>
          <cell r="BY957" t="str">
            <v>3500/0.7/6850</v>
          </cell>
          <cell r="BZ957">
            <v>1.953976045285466E-2</v>
          </cell>
          <cell r="CA957">
            <v>1.802339132059827E-2</v>
          </cell>
        </row>
        <row r="958">
          <cell r="BN958" t="str">
            <v>3750/0.9/6600</v>
          </cell>
          <cell r="BO958">
            <v>0.6305583456203302</v>
          </cell>
          <cell r="BP958">
            <v>0.67676977399820826</v>
          </cell>
          <cell r="BQ958">
            <v>0.64836356843368526</v>
          </cell>
          <cell r="BR958">
            <v>0.62835919215504343</v>
          </cell>
          <cell r="BS958">
            <v>0.60296028591193296</v>
          </cell>
          <cell r="BT958">
            <v>0.49037013360507986</v>
          </cell>
          <cell r="BU958">
            <v>0.57885916547885641</v>
          </cell>
          <cell r="BV958">
            <v>0.55625546686704674</v>
          </cell>
          <cell r="BY958" t="str">
            <v>3500/0.7/7500</v>
          </cell>
          <cell r="BZ958">
            <v>1.9329233273496449E-2</v>
          </cell>
          <cell r="CA958">
            <v>1.7809126690072397E-2</v>
          </cell>
        </row>
        <row r="959">
          <cell r="BN959" t="str">
            <v>3750/0.9/6850</v>
          </cell>
          <cell r="BO959">
            <v>0.62832913895906262</v>
          </cell>
          <cell r="BP959">
            <v>0.67534408868331008</v>
          </cell>
          <cell r="BQ959">
            <v>0.64605873477817011</v>
          </cell>
          <cell r="BR959">
            <v>0.625906496628169</v>
          </cell>
          <cell r="BS959">
            <v>0.60051366144922369</v>
          </cell>
          <cell r="BT959">
            <v>0.48937346760949541</v>
          </cell>
          <cell r="BU959">
            <v>0.57766754706122914</v>
          </cell>
          <cell r="BV959">
            <v>0.55509165242406344</v>
          </cell>
          <cell r="BY959" t="str">
            <v>3500/0.7/8000</v>
          </cell>
          <cell r="BZ959">
            <v>1.9166787894045578E-2</v>
          </cell>
          <cell r="CA959">
            <v>1.7655923605257362E-2</v>
          </cell>
        </row>
        <row r="960">
          <cell r="BN960" t="str">
            <v>3750/0.9/7500</v>
          </cell>
          <cell r="BO960">
            <v>0.62337697489258526</v>
          </cell>
          <cell r="BP960">
            <v>0.67200005503594762</v>
          </cell>
          <cell r="BQ960">
            <v>0.64090780142301351</v>
          </cell>
          <cell r="BR960">
            <v>0.62008688986475557</v>
          </cell>
          <cell r="BS960">
            <v>0.5946957781940152</v>
          </cell>
          <cell r="BT960">
            <v>0.48713783253141452</v>
          </cell>
          <cell r="BU960">
            <v>0.57500081014715199</v>
          </cell>
          <cell r="BV960">
            <v>0.55246127515786636</v>
          </cell>
          <cell r="BY960" t="str">
            <v>3500/0.7/9000</v>
          </cell>
          <cell r="BZ960">
            <v>1.8909634133077224E-2</v>
          </cell>
          <cell r="CA960">
            <v>1.7404143854394816E-2</v>
          </cell>
        </row>
        <row r="961">
          <cell r="BN961" t="str">
            <v>3750/0.9/10000</v>
          </cell>
          <cell r="BO961">
            <v>0.61282235349005409</v>
          </cell>
          <cell r="BP961">
            <v>0.66666584506161053</v>
          </cell>
          <cell r="BQ961">
            <v>0.63014721775306348</v>
          </cell>
          <cell r="BR961">
            <v>0.60800467046105977</v>
          </cell>
          <cell r="BS961">
            <v>0.58337682320603956</v>
          </cell>
          <cell r="BT961">
            <v>0.48215464741785102</v>
          </cell>
          <cell r="BU961">
            <v>0.56843706003892014</v>
          </cell>
          <cell r="BV961">
            <v>0.54681709180707572</v>
          </cell>
          <cell r="BY961" t="str">
            <v>3500/0.7/10000</v>
          </cell>
          <cell r="BZ961">
            <v>1.8679447378615377E-2</v>
          </cell>
          <cell r="CA961">
            <v>1.7189814479000365E-2</v>
          </cell>
        </row>
        <row r="962">
          <cell r="BN962" t="str">
            <v>3750/0.9/99999</v>
          </cell>
          <cell r="BO962">
            <v>0.58826856237946101</v>
          </cell>
          <cell r="BP962">
            <v>0.65719577431036846</v>
          </cell>
          <cell r="BQ962">
            <v>0.60513973297623114</v>
          </cell>
          <cell r="BR962">
            <v>0.57723802114499523</v>
          </cell>
          <cell r="BS962">
            <v>0.56012482893010063</v>
          </cell>
          <cell r="BT962">
            <v>0.47037006817982641</v>
          </cell>
          <cell r="BU962">
            <v>0.55336085758298093</v>
          </cell>
          <cell r="BV962">
            <v>0.53533517231705563</v>
          </cell>
          <cell r="BY962" t="str">
            <v>3500/0.7/99999</v>
          </cell>
          <cell r="BZ962">
            <v>1.597891582727895E-2</v>
          </cell>
          <cell r="CA962">
            <v>1.4961820249757007E-2</v>
          </cell>
        </row>
        <row r="963">
          <cell r="BY963" t="str">
            <v>3750/0.7/4000</v>
          </cell>
          <cell r="BZ963">
            <v>2.1090006080016321E-2</v>
          </cell>
          <cell r="CA963">
            <v>1.9739612786078609E-2</v>
          </cell>
        </row>
        <row r="964">
          <cell r="BN964" t="str">
            <v>4000/0.9/4500</v>
          </cell>
          <cell r="BO964">
            <v>0.66905223131640312</v>
          </cell>
          <cell r="BP964">
            <v>0.70512354924901788</v>
          </cell>
          <cell r="BQ964">
            <v>0.68885771479189883</v>
          </cell>
          <cell r="BR964">
            <v>0.67016534434401909</v>
          </cell>
          <cell r="BS964">
            <v>0.6435291245022623</v>
          </cell>
          <cell r="BT964">
            <v>0.51083145985846756</v>
          </cell>
          <cell r="BU964">
            <v>0.5942475879445388</v>
          </cell>
          <cell r="BV964">
            <v>0.5709010651548232</v>
          </cell>
          <cell r="BY964" t="str">
            <v>3750/0.7/4250</v>
          </cell>
          <cell r="BZ964">
            <v>2.0899641482075071E-2</v>
          </cell>
          <cell r="CA964">
            <v>1.948529562878254E-2</v>
          </cell>
        </row>
        <row r="965">
          <cell r="BN965" t="str">
            <v>4000/0.9/4750</v>
          </cell>
          <cell r="BO965">
            <v>0.66019482646690308</v>
          </cell>
          <cell r="BP965">
            <v>0.69845043031624909</v>
          </cell>
          <cell r="BQ965">
            <v>0.67993581918026225</v>
          </cell>
          <cell r="BR965">
            <v>0.66124896362824526</v>
          </cell>
          <cell r="BS965">
            <v>0.63408695266482329</v>
          </cell>
          <cell r="BT965">
            <v>0.50368937102275158</v>
          </cell>
          <cell r="BU965">
            <v>0.58959773031062623</v>
          </cell>
          <cell r="BV965">
            <v>0.56629980513808809</v>
          </cell>
          <cell r="BY965" t="str">
            <v>3750/0.7/4500</v>
          </cell>
          <cell r="BZ965">
            <v>2.070927688413382E-2</v>
          </cell>
          <cell r="CA965">
            <v>1.9230978471486471E-2</v>
          </cell>
        </row>
        <row r="966">
          <cell r="BN966" t="str">
            <v>4000/0.9/5000</v>
          </cell>
          <cell r="BO966">
            <v>0.65133742161740293</v>
          </cell>
          <cell r="BP966">
            <v>0.69177731138348031</v>
          </cell>
          <cell r="BQ966">
            <v>0.67101392356862555</v>
          </cell>
          <cell r="BR966">
            <v>0.65233258291247154</v>
          </cell>
          <cell r="BS966">
            <v>0.62464478082738428</v>
          </cell>
          <cell r="BT966">
            <v>0.49654728218703564</v>
          </cell>
          <cell r="BU966">
            <v>0.58494787267671366</v>
          </cell>
          <cell r="BV966">
            <v>0.56169854512135287</v>
          </cell>
          <cell r="BY966" t="str">
            <v>3750/0.7/4750</v>
          </cell>
          <cell r="BZ966">
            <v>2.0539491307548563E-2</v>
          </cell>
          <cell r="CA966">
            <v>1.9026384344443426E-2</v>
          </cell>
        </row>
        <row r="967">
          <cell r="BN967" t="str">
            <v>4000/0.9/5250</v>
          </cell>
          <cell r="BO967">
            <v>0.64561453243121292</v>
          </cell>
          <cell r="BP967">
            <v>0.68772018728925088</v>
          </cell>
          <cell r="BQ967">
            <v>0.66502501586005325</v>
          </cell>
          <cell r="BR967">
            <v>0.64619775505624288</v>
          </cell>
          <cell r="BS967">
            <v>0.61869208594128877</v>
          </cell>
          <cell r="BT967">
            <v>0.4940654530015931</v>
          </cell>
          <cell r="BU967">
            <v>0.58224155908581521</v>
          </cell>
          <cell r="BV967">
            <v>0.55896216348244143</v>
          </cell>
          <cell r="BY967" t="str">
            <v>3750/0.7/5000</v>
          </cell>
          <cell r="BZ967">
            <v>2.0369705730963306E-2</v>
          </cell>
          <cell r="CA967">
            <v>1.882179021740038E-2</v>
          </cell>
        </row>
        <row r="968">
          <cell r="BN968" t="str">
            <v>4000/0.9/5500</v>
          </cell>
          <cell r="BO968">
            <v>0.6398916432450229</v>
          </cell>
          <cell r="BP968">
            <v>0.68366306319502157</v>
          </cell>
          <cell r="BQ968">
            <v>0.65903610815148095</v>
          </cell>
          <cell r="BR968">
            <v>0.64006292720001423</v>
          </cell>
          <cell r="BS968">
            <v>0.61273939105519315</v>
          </cell>
          <cell r="BT968">
            <v>0.49158362381615051</v>
          </cell>
          <cell r="BU968">
            <v>0.57953524549491664</v>
          </cell>
          <cell r="BV968">
            <v>0.55622578184353</v>
          </cell>
          <cell r="BY968" t="str">
            <v>3750/0.7/5250</v>
          </cell>
          <cell r="BZ968">
            <v>2.0224442628450801E-2</v>
          </cell>
          <cell r="CA968">
            <v>1.8653134522419956E-2</v>
          </cell>
        </row>
        <row r="969">
          <cell r="BN969" t="str">
            <v>4000/0.9/5750</v>
          </cell>
          <cell r="BO969">
            <v>0.63618278917368731</v>
          </cell>
          <cell r="BP969">
            <v>0.68112669483571864</v>
          </cell>
          <cell r="BQ969">
            <v>0.65517017513980469</v>
          </cell>
          <cell r="BR969">
            <v>0.63586798489503771</v>
          </cell>
          <cell r="BS969">
            <v>0.6086635904761446</v>
          </cell>
          <cell r="BT969">
            <v>0.4899808771930606</v>
          </cell>
          <cell r="BU969">
            <v>0.57755449160984207</v>
          </cell>
          <cell r="BV969">
            <v>0.55415322515805054</v>
          </cell>
          <cell r="BY969" t="str">
            <v>3750/0.7/5500</v>
          </cell>
          <cell r="BZ969">
            <v>2.0079179525938295E-2</v>
          </cell>
          <cell r="CA969">
            <v>1.8484478827439532E-2</v>
          </cell>
        </row>
        <row r="970">
          <cell r="BN970" t="str">
            <v>4000/0.9/6000</v>
          </cell>
          <cell r="BO970">
            <v>0.63247393510235161</v>
          </cell>
          <cell r="BP970">
            <v>0.67859032647641571</v>
          </cell>
          <cell r="BQ970">
            <v>0.65130424212812854</v>
          </cell>
          <cell r="BR970">
            <v>0.6316730425900613</v>
          </cell>
          <cell r="BS970">
            <v>0.60458778989709605</v>
          </cell>
          <cell r="BT970">
            <v>0.48837813056997076</v>
          </cell>
          <cell r="BU970">
            <v>0.57557373772476739</v>
          </cell>
          <cell r="BV970">
            <v>0.55208066847257109</v>
          </cell>
          <cell r="BY970" t="str">
            <v>3750/0.7/5750</v>
          </cell>
          <cell r="BZ970">
            <v>1.9950987010830312E-2</v>
          </cell>
          <cell r="CA970">
            <v>1.8348144376443609E-2</v>
          </cell>
        </row>
        <row r="971">
          <cell r="BN971" t="str">
            <v>4000/0.9/6250</v>
          </cell>
          <cell r="BO971">
            <v>0.62923228300924017</v>
          </cell>
          <cell r="BP971">
            <v>0.67639542765347271</v>
          </cell>
          <cell r="BQ971">
            <v>0.64785250319274368</v>
          </cell>
          <cell r="BR971">
            <v>0.62791456933133294</v>
          </cell>
          <cell r="BS971">
            <v>0.60074734211365732</v>
          </cell>
          <cell r="BT971">
            <v>0.48692620846070306</v>
          </cell>
          <cell r="BU971">
            <v>0.57392499582330736</v>
          </cell>
          <cell r="BV971">
            <v>0.55027053211637933</v>
          </cell>
          <cell r="BY971" t="str">
            <v>3750/0.7/6000</v>
          </cell>
          <cell r="BZ971">
            <v>1.9822794495722329E-2</v>
          </cell>
          <cell r="CA971">
            <v>1.8211809925447686E-2</v>
          </cell>
        </row>
        <row r="972">
          <cell r="BN972" t="str">
            <v>4000/0.9/6350</v>
          </cell>
          <cell r="BO972">
            <v>0.62801794696110536</v>
          </cell>
          <cell r="BP972">
            <v>0.6755689291352549</v>
          </cell>
          <cell r="BQ972">
            <v>0.64663299208509872</v>
          </cell>
          <cell r="BR972">
            <v>0.62641347840005457</v>
          </cell>
          <cell r="BS972">
            <v>0.5994051044130192</v>
          </cell>
          <cell r="BT972">
            <v>0.48634681003154911</v>
          </cell>
          <cell r="BU972">
            <v>0.5733453820087232</v>
          </cell>
          <cell r="BV972">
            <v>0.54969140244920844</v>
          </cell>
          <cell r="BY972" t="str">
            <v>3750/0.7/6250</v>
          </cell>
          <cell r="BZ972">
            <v>1.9700280935124992E-2</v>
          </cell>
          <cell r="CA972">
            <v>1.8086742166741887E-2</v>
          </cell>
        </row>
        <row r="973">
          <cell r="BN973" t="str">
            <v>4000/0.9/6600</v>
          </cell>
          <cell r="BO973">
            <v>0.62511621798231498</v>
          </cell>
          <cell r="BP973">
            <v>0.67363637868096327</v>
          </cell>
          <cell r="BQ973">
            <v>0.6437175325069715</v>
          </cell>
          <cell r="BR973">
            <v>0.62342758560461042</v>
          </cell>
          <cell r="BS973">
            <v>0.59644868346203062</v>
          </cell>
          <cell r="BT973">
            <v>0.48511295736646759</v>
          </cell>
          <cell r="BU973">
            <v>0.57191025826826158</v>
          </cell>
          <cell r="BV973">
            <v>0.54834779011418899</v>
          </cell>
          <cell r="BY973" t="str">
            <v>3750/0.7/6350</v>
          </cell>
          <cell r="BZ973">
            <v>1.96511439807876E-2</v>
          </cell>
          <cell r="CA973">
            <v>1.8039302865850204E-2</v>
          </cell>
        </row>
        <row r="974">
          <cell r="BN974" t="str">
            <v>4000/0.9/6850</v>
          </cell>
          <cell r="BO974">
            <v>0.6228581780723389</v>
          </cell>
          <cell r="BP974">
            <v>0.67215315461448077</v>
          </cell>
          <cell r="BQ974">
            <v>0.64131447797769914</v>
          </cell>
          <cell r="BR974">
            <v>0.6207203354561851</v>
          </cell>
          <cell r="BS974">
            <v>0.59372548772954936</v>
          </cell>
          <cell r="BT974">
            <v>0.48405140765319898</v>
          </cell>
          <cell r="BU974">
            <v>0.5706726249663483</v>
          </cell>
          <cell r="BV974">
            <v>0.54701630841687499</v>
          </cell>
          <cell r="BY974" t="str">
            <v>3750/0.7/6600</v>
          </cell>
          <cell r="BZ974">
            <v>1.9533244946996597E-2</v>
          </cell>
          <cell r="CA974">
            <v>1.7932595622130232E-2</v>
          </cell>
        </row>
        <row r="975">
          <cell r="BN975" t="str">
            <v>4000/0.9/7500</v>
          </cell>
          <cell r="BO975">
            <v>0.61741131251571502</v>
          </cell>
          <cell r="BP975">
            <v>0.66857254647820319</v>
          </cell>
          <cell r="BQ975">
            <v>0.63566675097993142</v>
          </cell>
          <cell r="BR975">
            <v>0.61469159667536077</v>
          </cell>
          <cell r="BS975">
            <v>0.58773816149631475</v>
          </cell>
          <cell r="BT975">
            <v>0.48164247373297187</v>
          </cell>
          <cell r="BU975">
            <v>0.56769366335775695</v>
          </cell>
          <cell r="BV975">
            <v>0.5442700696833539</v>
          </cell>
          <cell r="BY975" t="str">
            <v>3750/0.7/6850</v>
          </cell>
          <cell r="BZ975">
            <v>1.9430699604609858E-2</v>
          </cell>
          <cell r="CA975">
            <v>1.7836191017931435E-2</v>
          </cell>
        </row>
        <row r="976">
          <cell r="BN976" t="str">
            <v>4000/0.9/10000</v>
          </cell>
          <cell r="BO976">
            <v>0.60598383885377227</v>
          </cell>
          <cell r="BP976">
            <v>0.66251591596954773</v>
          </cell>
          <cell r="BQ976">
            <v>0.62410718803511078</v>
          </cell>
          <cell r="BR976">
            <v>0.60148267833852576</v>
          </cell>
          <cell r="BS976">
            <v>0.57510223893233947</v>
          </cell>
          <cell r="BT976">
            <v>0.47618610415844836</v>
          </cell>
          <cell r="BU976">
            <v>0.56094208760254316</v>
          </cell>
          <cell r="BV976">
            <v>0.53812645518553348</v>
          </cell>
          <cell r="BY976" t="str">
            <v>3750/0.7/7500</v>
          </cell>
          <cell r="BZ976">
            <v>1.921663194118417E-2</v>
          </cell>
          <cell r="CA976">
            <v>1.7611294622496332E-2</v>
          </cell>
        </row>
        <row r="977">
          <cell r="BN977" t="str">
            <v>4000/0.9/99999</v>
          </cell>
          <cell r="BO977">
            <v>0.58077220844333122</v>
          </cell>
          <cell r="BP977">
            <v>0.6527144285709362</v>
          </cell>
          <cell r="BQ977">
            <v>0.59835919790688707</v>
          </cell>
          <cell r="BR977">
            <v>0.56981013075913578</v>
          </cell>
          <cell r="BS977">
            <v>0.55110835761657884</v>
          </cell>
          <cell r="BT977">
            <v>0.46415096457224048</v>
          </cell>
          <cell r="BU977">
            <v>0.54536671464392983</v>
          </cell>
          <cell r="BV977">
            <v>0.52630714755983132</v>
          </cell>
          <cell r="BY977" t="str">
            <v>3750/0.7/8000</v>
          </cell>
          <cell r="BZ977">
            <v>1.9054341054166146E-2</v>
          </cell>
          <cell r="CA977">
            <v>1.7458773452892262E-2</v>
          </cell>
        </row>
        <row r="978">
          <cell r="BY978" t="str">
            <v>3750/0.7/9000</v>
          </cell>
          <cell r="BZ978">
            <v>1.8780618844326025E-2</v>
          </cell>
          <cell r="CA978">
            <v>1.7196116637125614E-2</v>
          </cell>
        </row>
        <row r="979">
          <cell r="BN979" t="str">
            <v>4250/0.9/5250</v>
          </cell>
          <cell r="BO979">
            <v>0.64200000000000002</v>
          </cell>
          <cell r="BP979">
            <v>0.68899999999999995</v>
          </cell>
          <cell r="BQ979">
            <v>0.6643</v>
          </cell>
          <cell r="BR979">
            <v>0.64500000000000002</v>
          </cell>
          <cell r="BS979">
            <v>0.61599999999999999</v>
          </cell>
          <cell r="BT979">
            <v>0.49099999999999999</v>
          </cell>
          <cell r="BU979">
            <v>0.57699999999999996</v>
          </cell>
          <cell r="BV979">
            <v>0.55300000000000005</v>
          </cell>
          <cell r="BY979" t="str">
            <v>3750/0.7/10000</v>
          </cell>
          <cell r="BZ979">
            <v>1.855025334223015E-2</v>
          </cell>
          <cell r="CA979">
            <v>1.6971460342350642E-2</v>
          </cell>
        </row>
        <row r="980">
          <cell r="BN980" t="str">
            <v>4250/0.9/5500</v>
          </cell>
          <cell r="BO980">
            <v>0.63942796208365427</v>
          </cell>
          <cell r="BP980">
            <v>0.68462712375761248</v>
          </cell>
          <cell r="BQ980">
            <v>0.65929755737368256</v>
          </cell>
          <cell r="BR980">
            <v>0.6398901890598645</v>
          </cell>
          <cell r="BS980">
            <v>0.6110200956774019</v>
          </cell>
          <cell r="BT980">
            <v>0.48905531500407928</v>
          </cell>
          <cell r="BU980">
            <v>0.57536854871941334</v>
          </cell>
          <cell r="BV980">
            <v>0.55108650332087361</v>
          </cell>
          <cell r="BY980" t="str">
            <v>3750/0.7/99999</v>
          </cell>
          <cell r="BZ980">
            <v>1.5809851994463053E-2</v>
          </cell>
          <cell r="CA980">
            <v>1.471531138442761E-2</v>
          </cell>
        </row>
        <row r="981">
          <cell r="BN981" t="str">
            <v>4250/0.9/5750</v>
          </cell>
          <cell r="BO981">
            <v>0.63458795464741402</v>
          </cell>
          <cell r="BP981">
            <v>0.68123733751344517</v>
          </cell>
          <cell r="BQ981">
            <v>0.65429551115786144</v>
          </cell>
          <cell r="BR981">
            <v>0.63462455781452798</v>
          </cell>
          <cell r="BS981">
            <v>0.60585071009328806</v>
          </cell>
          <cell r="BT981">
            <v>0.48686047735156202</v>
          </cell>
          <cell r="BU981">
            <v>0.57287923595427248</v>
          </cell>
          <cell r="BV981">
            <v>0.54857361719279052</v>
          </cell>
          <cell r="BY981" t="str">
            <v>4000/0.7/4000</v>
          </cell>
          <cell r="BZ981">
            <v>2.1051044957542508E-2</v>
          </cell>
          <cell r="CA981">
            <v>1.9699056993988995E-2</v>
          </cell>
        </row>
        <row r="982">
          <cell r="BN982" t="str">
            <v>4250/0.9/6000</v>
          </cell>
          <cell r="BO982">
            <v>0.62974794721117378</v>
          </cell>
          <cell r="BP982">
            <v>0.67784755126927798</v>
          </cell>
          <cell r="BQ982">
            <v>0.64929346494204054</v>
          </cell>
          <cell r="BR982">
            <v>0.62935892656919168</v>
          </cell>
          <cell r="BS982">
            <v>0.60068132450917422</v>
          </cell>
          <cell r="BT982">
            <v>0.48466563969904475</v>
          </cell>
          <cell r="BU982">
            <v>0.57038992318913173</v>
          </cell>
          <cell r="BV982">
            <v>0.54606073106470721</v>
          </cell>
          <cell r="BY982" t="str">
            <v>4000/0.7/4250</v>
          </cell>
          <cell r="BZ982">
            <v>2.0859876976043745E-2</v>
          </cell>
          <cell r="CA982">
            <v>1.9420426549265013E-2</v>
          </cell>
        </row>
        <row r="983">
          <cell r="BN983" t="str">
            <v>4250/0.9/6250</v>
          </cell>
          <cell r="BO983">
            <v>0.62593151467433228</v>
          </cell>
          <cell r="BP983">
            <v>0.6751508574336671</v>
          </cell>
          <cell r="BQ983">
            <v>0.64530070304238496</v>
          </cell>
          <cell r="BR983">
            <v>0.62510247399920638</v>
          </cell>
          <cell r="BS983">
            <v>0.59630376064247426</v>
          </cell>
          <cell r="BT983">
            <v>0.48293410460465791</v>
          </cell>
          <cell r="BU983">
            <v>0.5684768576267456</v>
          </cell>
          <cell r="BV983">
            <v>0.54397808986729168</v>
          </cell>
          <cell r="BY983" t="str">
            <v>4000/0.7/4500</v>
          </cell>
          <cell r="BZ983">
            <v>2.0668708994544982E-2</v>
          </cell>
          <cell r="CA983">
            <v>1.9141796104541031E-2</v>
          </cell>
        </row>
        <row r="984">
          <cell r="BN984" t="str">
            <v>4250/0.9/6350</v>
          </cell>
          <cell r="BO984">
            <v>0.62447548837871225</v>
          </cell>
          <cell r="BP984">
            <v>0.67417207167727877</v>
          </cell>
          <cell r="BQ984">
            <v>0.64383832417047715</v>
          </cell>
          <cell r="BR984">
            <v>0.62342466296583887</v>
          </cell>
          <cell r="BS984">
            <v>0.59478235771745891</v>
          </cell>
          <cell r="BT984">
            <v>0.48227246335265406</v>
          </cell>
          <cell r="BU984">
            <v>0.56777529234314894</v>
          </cell>
          <cell r="BV984">
            <v>0.54330229050759238</v>
          </cell>
          <cell r="BY984" t="str">
            <v>4000/0.7/4750</v>
          </cell>
          <cell r="BZ984">
            <v>2.0488788407620251E-2</v>
          </cell>
          <cell r="CA984">
            <v>1.8922377322276307E-2</v>
          </cell>
        </row>
        <row r="985">
          <cell r="BN985" t="str">
            <v>4250/0.9/6600</v>
          </cell>
          <cell r="BO985">
            <v>0.62117955160202531</v>
          </cell>
          <cell r="BP985">
            <v>0.67193045091826475</v>
          </cell>
          <cell r="BQ985">
            <v>0.64045203008967899</v>
          </cell>
          <cell r="BR985">
            <v>0.61989033235643354</v>
          </cell>
          <cell r="BS985">
            <v>0.59135704361281383</v>
          </cell>
          <cell r="BT985">
            <v>0.48088800660392339</v>
          </cell>
          <cell r="BU985">
            <v>0.56615255325863822</v>
          </cell>
          <cell r="BV985">
            <v>0.54173408665664446</v>
          </cell>
          <cell r="BY985" t="str">
            <v>4000/0.7/5000</v>
          </cell>
          <cell r="BZ985">
            <v>2.030886782069552E-2</v>
          </cell>
          <cell r="CA985">
            <v>1.8702958540011583E-2</v>
          </cell>
        </row>
        <row r="986">
          <cell r="BN986" t="str">
            <v>4250/0.9/6850</v>
          </cell>
          <cell r="BO986">
            <v>0.61859307836735433</v>
          </cell>
          <cell r="BP986">
            <v>0.67021500571776316</v>
          </cell>
          <cell r="BQ986">
            <v>0.63775339956069121</v>
          </cell>
          <cell r="BR986">
            <v>0.61691477303942499</v>
          </cell>
          <cell r="BS986">
            <v>0.58836139103960994</v>
          </cell>
          <cell r="BT986">
            <v>0.47969016206381176</v>
          </cell>
          <cell r="BU986">
            <v>0.56474818414960426</v>
          </cell>
          <cell r="BV986">
            <v>0.54024402918395276</v>
          </cell>
          <cell r="BY986" t="str">
            <v>4000/0.7/5250</v>
          </cell>
          <cell r="BZ986">
            <v>2.0156703323836456E-2</v>
          </cell>
          <cell r="CA986">
            <v>1.8517736591747935E-2</v>
          </cell>
        </row>
        <row r="987">
          <cell r="BN987" t="str">
            <v>4250/0.9/7500</v>
          </cell>
          <cell r="BO987">
            <v>0.61248646040739518</v>
          </cell>
          <cell r="BP987">
            <v>0.66616117620966442</v>
          </cell>
          <cell r="BQ987">
            <v>0.63143595343671266</v>
          </cell>
          <cell r="BR987">
            <v>0.6101547694949222</v>
          </cell>
          <cell r="BS987">
            <v>0.58165801170323361</v>
          </cell>
          <cell r="BT987">
            <v>0.47701102788447419</v>
          </cell>
          <cell r="BU987">
            <v>0.56150675502894432</v>
          </cell>
          <cell r="BV987">
            <v>0.53716723431149349</v>
          </cell>
          <cell r="BY987" t="str">
            <v>4000/0.7/5500</v>
          </cell>
          <cell r="BZ987">
            <v>2.0004538826977392E-2</v>
          </cell>
          <cell r="CA987">
            <v>1.8332514643484288E-2</v>
          </cell>
        </row>
        <row r="988">
          <cell r="BN988" t="str">
            <v>4250/0.9/10000</v>
          </cell>
          <cell r="BO988">
            <v>0.59994722136506873</v>
          </cell>
          <cell r="BP988">
            <v>0.65915642069207225</v>
          </cell>
          <cell r="BQ988">
            <v>0.61867484233270897</v>
          </cell>
          <cell r="BR988">
            <v>0.59560499066472938</v>
          </cell>
          <cell r="BS988">
            <v>0.56766327908753378</v>
          </cell>
          <cell r="BT988">
            <v>0.47108954797087399</v>
          </cell>
          <cell r="BU988">
            <v>0.55422807997065648</v>
          </cell>
          <cell r="BV988">
            <v>0.53043739538917278</v>
          </cell>
          <cell r="BY988" t="str">
            <v>4000/0.7/5750</v>
          </cell>
          <cell r="BZ988">
            <v>1.9871803338257665E-2</v>
          </cell>
          <cell r="CA988">
            <v>1.8194228879975349E-2</v>
          </cell>
        </row>
        <row r="989">
          <cell r="BN989" t="str">
            <v>4250/0.9/99999</v>
          </cell>
          <cell r="BO989">
            <v>0.57388862516908212</v>
          </cell>
          <cell r="BP989">
            <v>0.64898966289484461</v>
          </cell>
          <cell r="BQ989">
            <v>0.59207897734136905</v>
          </cell>
          <cell r="BR989">
            <v>0.56299170273957788</v>
          </cell>
          <cell r="BS989">
            <v>0.5427490132417554</v>
          </cell>
          <cell r="BT989">
            <v>0.45864923287002091</v>
          </cell>
          <cell r="BU989">
            <v>0.538137374506236</v>
          </cell>
          <cell r="BV989">
            <v>0.51822095185648331</v>
          </cell>
          <cell r="BY989" t="str">
            <v>4000/0.7/6000</v>
          </cell>
          <cell r="BZ989">
            <v>1.9739067849537939E-2</v>
          </cell>
          <cell r="CA989">
            <v>1.8055943116466411E-2</v>
          </cell>
        </row>
        <row r="990">
          <cell r="BY990" t="str">
            <v>4000/0.7/6250</v>
          </cell>
          <cell r="BZ990">
            <v>1.961689202262451E-2</v>
          </cell>
          <cell r="CA990">
            <v>1.7921554694016129E-2</v>
          </cell>
        </row>
        <row r="991">
          <cell r="BN991" t="str">
            <v>4500/0.9/5500</v>
          </cell>
          <cell r="BO991">
            <v>0.63896428092228574</v>
          </cell>
          <cell r="BP991">
            <v>0.68559118432020327</v>
          </cell>
          <cell r="BQ991">
            <v>0.65955900659588407</v>
          </cell>
          <cell r="BR991">
            <v>0.63971745091971477</v>
          </cell>
          <cell r="BS991">
            <v>0.60930080029961053</v>
          </cell>
          <cell r="BT991">
            <v>0.48652700619200806</v>
          </cell>
          <cell r="BU991">
            <v>0.57120185194390993</v>
          </cell>
          <cell r="BV991">
            <v>0.54594722479821733</v>
          </cell>
          <cell r="BY991" t="str">
            <v>4000/0.7/6350</v>
          </cell>
          <cell r="BZ991">
            <v>1.9567933647969271E-2</v>
          </cell>
          <cell r="CA991">
            <v>1.7867359145463002E-2</v>
          </cell>
        </row>
        <row r="992">
          <cell r="BN992" t="str">
            <v>4500/0.9/5750</v>
          </cell>
          <cell r="BO992">
            <v>0.63299312012114073</v>
          </cell>
          <cell r="BP992">
            <v>0.68134798019117171</v>
          </cell>
          <cell r="BQ992">
            <v>0.65342084717591831</v>
          </cell>
          <cell r="BR992">
            <v>0.63338113073401825</v>
          </cell>
          <cell r="BS992">
            <v>0.60303782971043152</v>
          </cell>
          <cell r="BT992">
            <v>0.48374007751006337</v>
          </cell>
          <cell r="BU992">
            <v>0.568203980298703</v>
          </cell>
          <cell r="BV992">
            <v>0.54299400922753049</v>
          </cell>
          <cell r="BY992" t="str">
            <v>4000/0.7/6600</v>
          </cell>
          <cell r="BZ992">
            <v>1.9445099330985816E-2</v>
          </cell>
          <cell r="CA992">
            <v>1.7750835286835187E-2</v>
          </cell>
        </row>
        <row r="993">
          <cell r="BN993" t="str">
            <v>4500/0.9/6000</v>
          </cell>
          <cell r="BO993">
            <v>0.62702195931999583</v>
          </cell>
          <cell r="BP993">
            <v>0.67710477606214026</v>
          </cell>
          <cell r="BQ993">
            <v>0.64728268775595266</v>
          </cell>
          <cell r="BR993">
            <v>0.62704481054832195</v>
          </cell>
          <cell r="BS993">
            <v>0.5967748591212525</v>
          </cell>
          <cell r="BT993">
            <v>0.48095314882811868</v>
          </cell>
          <cell r="BU993">
            <v>0.56520610865349608</v>
          </cell>
          <cell r="BV993">
            <v>0.54004079365684343</v>
          </cell>
          <cell r="BY993" t="str">
            <v>4000/0.7/6850</v>
          </cell>
          <cell r="BZ993">
            <v>1.9321638756365056E-2</v>
          </cell>
          <cell r="CA993">
            <v>1.7648990715264601E-2</v>
          </cell>
        </row>
        <row r="994">
          <cell r="BN994" t="str">
            <v>4500/0.9/6250</v>
          </cell>
          <cell r="BO994">
            <v>0.62263074633942428</v>
          </cell>
          <cell r="BP994">
            <v>0.67390628721386137</v>
          </cell>
          <cell r="BQ994">
            <v>0.64274890289202635</v>
          </cell>
          <cell r="BR994">
            <v>0.6222903786670797</v>
          </cell>
          <cell r="BS994">
            <v>0.59186017917129119</v>
          </cell>
          <cell r="BT994">
            <v>0.47894200074861282</v>
          </cell>
          <cell r="BU994">
            <v>0.56302871943018395</v>
          </cell>
          <cell r="BV994">
            <v>0.53768564761820392</v>
          </cell>
          <cell r="BY994" t="str">
            <v>4000/0.7/7500</v>
          </cell>
          <cell r="BZ994">
            <v>1.9104030608871891E-2</v>
          </cell>
          <cell r="CA994">
            <v>1.7413462554920267E-2</v>
          </cell>
        </row>
        <row r="995">
          <cell r="BN995" t="str">
            <v>4500/0.9/6350</v>
          </cell>
          <cell r="BO995">
            <v>0.62093302979631926</v>
          </cell>
          <cell r="BP995">
            <v>0.67277521421930264</v>
          </cell>
          <cell r="BQ995">
            <v>0.64104365625585558</v>
          </cell>
          <cell r="BR995">
            <v>0.62043584753162317</v>
          </cell>
          <cell r="BS995">
            <v>0.59015961102189851</v>
          </cell>
          <cell r="BT995">
            <v>0.47819811667375894</v>
          </cell>
          <cell r="BU995">
            <v>0.56220520267757457</v>
          </cell>
          <cell r="BV995">
            <v>0.53691317856597631</v>
          </cell>
          <cell r="BY995" t="str">
            <v>4000/0.7/8000</v>
          </cell>
          <cell r="BZ995">
            <v>1.8941894214286714E-2</v>
          </cell>
          <cell r="CA995">
            <v>1.7261623300527162E-2</v>
          </cell>
        </row>
        <row r="996">
          <cell r="BN996" t="str">
            <v>4500/0.9/6600</v>
          </cell>
          <cell r="BO996">
            <v>0.61724288522173576</v>
          </cell>
          <cell r="BP996">
            <v>0.67022452315556624</v>
          </cell>
          <cell r="BQ996">
            <v>0.63718652767238648</v>
          </cell>
          <cell r="BR996">
            <v>0.61635307910825654</v>
          </cell>
          <cell r="BS996">
            <v>0.58626540376359704</v>
          </cell>
          <cell r="BT996">
            <v>0.47666305584137919</v>
          </cell>
          <cell r="BU996">
            <v>0.56039484824901487</v>
          </cell>
          <cell r="BV996">
            <v>0.53512038319909982</v>
          </cell>
          <cell r="BY996" t="str">
            <v>4000/0.7/9000</v>
          </cell>
          <cell r="BZ996">
            <v>1.8651603555574825E-2</v>
          </cell>
          <cell r="CA996">
            <v>1.6988089419856411E-2</v>
          </cell>
        </row>
        <row r="997">
          <cell r="BN997" t="str">
            <v>4500/0.9/6850</v>
          </cell>
          <cell r="BO997">
            <v>0.61432797866236988</v>
          </cell>
          <cell r="BP997">
            <v>0.66827685682104565</v>
          </cell>
          <cell r="BQ997">
            <v>0.63419232114368329</v>
          </cell>
          <cell r="BR997">
            <v>0.61310921062266488</v>
          </cell>
          <cell r="BS997">
            <v>0.5829972943496704</v>
          </cell>
          <cell r="BT997">
            <v>0.47532891647442455</v>
          </cell>
          <cell r="BU997">
            <v>0.55882374333286022</v>
          </cell>
          <cell r="BV997">
            <v>0.53347174995103064</v>
          </cell>
          <cell r="BY997" t="str">
            <v>4000/0.7/10000</v>
          </cell>
          <cell r="BZ997">
            <v>1.8421059305844922E-2</v>
          </cell>
          <cell r="CA997">
            <v>1.6753106205700918E-2</v>
          </cell>
        </row>
        <row r="998">
          <cell r="BN998" t="str">
            <v>4500/0.9/7500</v>
          </cell>
          <cell r="BO998">
            <v>0.60756160829907524</v>
          </cell>
          <cell r="BP998">
            <v>0.66374980594112554</v>
          </cell>
          <cell r="BQ998">
            <v>0.6272051558934939</v>
          </cell>
          <cell r="BR998">
            <v>0.60561794231448363</v>
          </cell>
          <cell r="BS998">
            <v>0.57557786191015248</v>
          </cell>
          <cell r="BT998">
            <v>0.47237958203597652</v>
          </cell>
          <cell r="BU998">
            <v>0.55531984670013157</v>
          </cell>
          <cell r="BV998">
            <v>0.5300643989396332</v>
          </cell>
          <cell r="BY998" t="str">
            <v>4000/0.7/99999</v>
          </cell>
          <cell r="BZ998">
            <v>1.5640788161647157E-2</v>
          </cell>
          <cell r="CA998">
            <v>1.4468802519098212E-2</v>
          </cell>
        </row>
        <row r="999">
          <cell r="BN999" t="str">
            <v>4500/0.9/10000</v>
          </cell>
          <cell r="BO999">
            <v>0.59391060387636507</v>
          </cell>
          <cell r="BP999">
            <v>0.65579692541459678</v>
          </cell>
          <cell r="BQ999">
            <v>0.61324249663030717</v>
          </cell>
          <cell r="BR999">
            <v>0.58972730299093301</v>
          </cell>
          <cell r="BS999">
            <v>0.56022431924272809</v>
          </cell>
          <cell r="BT999">
            <v>0.46599299178329956</v>
          </cell>
          <cell r="BU999">
            <v>0.5475140723387697</v>
          </cell>
          <cell r="BV999">
            <v>0.52274833559281197</v>
          </cell>
          <cell r="BY999" t="str">
            <v>4250/0.7/5000</v>
          </cell>
          <cell r="BZ999">
            <v>2.02742388046106E-2</v>
          </cell>
          <cell r="CA999">
            <v>1.8648434081370735E-2</v>
          </cell>
        </row>
        <row r="1000">
          <cell r="BN1000" t="str">
            <v>4500/0.9/99999</v>
          </cell>
          <cell r="BO1000">
            <v>0.56700504189483303</v>
          </cell>
          <cell r="BP1000">
            <v>0.64526489721875313</v>
          </cell>
          <cell r="BQ1000">
            <v>0.58579875677585114</v>
          </cell>
          <cell r="BR1000">
            <v>0.55617327472002009</v>
          </cell>
          <cell r="BS1000">
            <v>0.53438966886693207</v>
          </cell>
          <cell r="BT1000">
            <v>0.45314750116780139</v>
          </cell>
          <cell r="BU1000">
            <v>0.53090803436854217</v>
          </cell>
          <cell r="BV1000">
            <v>0.51013475615313519</v>
          </cell>
          <cell r="BY1000" t="str">
            <v>4250/0.7/5250</v>
          </cell>
          <cell r="BZ1000">
            <v>2.0118040834268075E-2</v>
          </cell>
          <cell r="CA1000">
            <v>1.8448112365118452E-2</v>
          </cell>
        </row>
        <row r="1001">
          <cell r="BY1001" t="str">
            <v>4250/0.7/5500</v>
          </cell>
          <cell r="BZ1001">
            <v>1.996184286392555E-2</v>
          </cell>
          <cell r="CA1001">
            <v>1.8247790648866169E-2</v>
          </cell>
        </row>
        <row r="1002">
          <cell r="BN1002" t="str">
            <v>4750/0.9/5500</v>
          </cell>
          <cell r="BO1002">
            <v>0.63850059976091711</v>
          </cell>
          <cell r="BP1002">
            <v>0.68655524488279407</v>
          </cell>
          <cell r="BQ1002">
            <v>0.65982045581808557</v>
          </cell>
          <cell r="BR1002">
            <v>0.63954471277956504</v>
          </cell>
          <cell r="BS1002">
            <v>0.60758150492181917</v>
          </cell>
          <cell r="BT1002">
            <v>0.48399869737993684</v>
          </cell>
          <cell r="BU1002">
            <v>0.56703515516840652</v>
          </cell>
          <cell r="BV1002">
            <v>0.54080794627556106</v>
          </cell>
          <cell r="BY1002" t="str">
            <v>4250/0.7/5750</v>
          </cell>
          <cell r="BZ1002">
            <v>1.9821874467138206E-2</v>
          </cell>
          <cell r="CA1002">
            <v>1.8094878201147163E-2</v>
          </cell>
        </row>
        <row r="1003">
          <cell r="BN1003" t="str">
            <v>4750/0.9/5750</v>
          </cell>
          <cell r="BO1003">
            <v>0.63139828559486744</v>
          </cell>
          <cell r="BP1003">
            <v>0.68145862286889824</v>
          </cell>
          <cell r="BQ1003">
            <v>0.65254618319397517</v>
          </cell>
          <cell r="BR1003">
            <v>0.63213770365350852</v>
          </cell>
          <cell r="BS1003">
            <v>0.60022494932757497</v>
          </cell>
          <cell r="BT1003">
            <v>0.48061967766856473</v>
          </cell>
          <cell r="BU1003">
            <v>0.56352872464313353</v>
          </cell>
          <cell r="BV1003">
            <v>0.53741440126227036</v>
          </cell>
          <cell r="BY1003" t="str">
            <v>4250/0.7/6000</v>
          </cell>
          <cell r="BZ1003">
            <v>1.9681906070350863E-2</v>
          </cell>
          <cell r="CA1003">
            <v>1.7941965753428157E-2</v>
          </cell>
        </row>
        <row r="1004">
          <cell r="BN1004" t="str">
            <v>4750/0.9/6000</v>
          </cell>
          <cell r="BO1004">
            <v>0.62429597142881788</v>
          </cell>
          <cell r="BP1004">
            <v>0.67636200085500242</v>
          </cell>
          <cell r="BQ1004">
            <v>0.64527191056986477</v>
          </cell>
          <cell r="BR1004">
            <v>0.62473069452745222</v>
          </cell>
          <cell r="BS1004">
            <v>0.59286839373333078</v>
          </cell>
          <cell r="BT1004">
            <v>0.47724065795719262</v>
          </cell>
          <cell r="BU1004">
            <v>0.56002229411786042</v>
          </cell>
          <cell r="BV1004">
            <v>0.53402085624897966</v>
          </cell>
          <cell r="BY1004" t="str">
            <v>4250/0.7/6250</v>
          </cell>
          <cell r="BZ1004">
            <v>1.9554247783762801E-2</v>
          </cell>
          <cell r="CA1004">
            <v>1.7794780367123231E-2</v>
          </cell>
        </row>
        <row r="1005">
          <cell r="BN1005" t="str">
            <v>4750/0.9/6250</v>
          </cell>
          <cell r="BO1005">
            <v>0.61932997800451628</v>
          </cell>
          <cell r="BP1005">
            <v>0.67266171699405564</v>
          </cell>
          <cell r="BQ1005">
            <v>0.64019710274166763</v>
          </cell>
          <cell r="BR1005">
            <v>0.61947828333495303</v>
          </cell>
          <cell r="BS1005">
            <v>0.58741659770010823</v>
          </cell>
          <cell r="BT1005">
            <v>0.47494989689256772</v>
          </cell>
          <cell r="BU1005">
            <v>0.55758058123362231</v>
          </cell>
          <cell r="BV1005">
            <v>0.53139320536911616</v>
          </cell>
          <cell r="BY1005" t="str">
            <v>4250/0.7/6350</v>
          </cell>
          <cell r="BZ1005">
            <v>1.9503598219613283E-2</v>
          </cell>
          <cell r="CA1005">
            <v>1.773975121315513E-2</v>
          </cell>
        </row>
        <row r="1006">
          <cell r="BN1006" t="str">
            <v>4750/0.9/6350</v>
          </cell>
          <cell r="BO1006">
            <v>0.61739057121392626</v>
          </cell>
          <cell r="BP1006">
            <v>0.67137835676132651</v>
          </cell>
          <cell r="BQ1006">
            <v>0.638248988341234</v>
          </cell>
          <cell r="BR1006">
            <v>0.61744703209740748</v>
          </cell>
          <cell r="BS1006">
            <v>0.58553686432633822</v>
          </cell>
          <cell r="BT1006">
            <v>0.47412376999486383</v>
          </cell>
          <cell r="BU1006">
            <v>0.55663511301200019</v>
          </cell>
          <cell r="BV1006">
            <v>0.53052406662436025</v>
          </cell>
          <cell r="BY1006" t="str">
            <v>4250/0.7/6600</v>
          </cell>
          <cell r="BZ1006">
            <v>1.9378756858015322E-2</v>
          </cell>
          <cell r="CA1006">
            <v>1.7618601665507272E-2</v>
          </cell>
        </row>
        <row r="1007">
          <cell r="BN1007" t="str">
            <v>4750/0.9/6600</v>
          </cell>
          <cell r="BO1007">
            <v>0.6133062188414462</v>
          </cell>
          <cell r="BP1007">
            <v>0.66851859539286773</v>
          </cell>
          <cell r="BQ1007">
            <v>0.63392102525509397</v>
          </cell>
          <cell r="BR1007">
            <v>0.61281582586007954</v>
          </cell>
          <cell r="BS1007">
            <v>0.58117376391438036</v>
          </cell>
          <cell r="BT1007">
            <v>0.47243810507883499</v>
          </cell>
          <cell r="BU1007">
            <v>0.55463714323939151</v>
          </cell>
          <cell r="BV1007">
            <v>0.52850667974155519</v>
          </cell>
          <cell r="BY1007" t="str">
            <v>4250/0.7/6850</v>
          </cell>
          <cell r="BZ1007">
            <v>1.9255171305508523E-2</v>
          </cell>
          <cell r="CA1007">
            <v>1.7508674241817068E-2</v>
          </cell>
        </row>
        <row r="1008">
          <cell r="BN1008" t="str">
            <v>4750/0.9/6850</v>
          </cell>
          <cell r="BO1008">
            <v>0.61006287895738542</v>
          </cell>
          <cell r="BP1008">
            <v>0.66633870792432814</v>
          </cell>
          <cell r="BQ1008">
            <v>0.63063124272667537</v>
          </cell>
          <cell r="BR1008">
            <v>0.60930364820590477</v>
          </cell>
          <cell r="BS1008">
            <v>0.57763319765973098</v>
          </cell>
          <cell r="BT1008">
            <v>0.47096767088503733</v>
          </cell>
          <cell r="BU1008">
            <v>0.55289930251611619</v>
          </cell>
          <cell r="BV1008">
            <v>0.52669947071810852</v>
          </cell>
          <cell r="BY1008" t="str">
            <v>4250/0.7/7500</v>
          </cell>
          <cell r="BZ1008">
            <v>1.9012148274298812E-2</v>
          </cell>
          <cell r="CA1008">
            <v>1.7254796601235634E-2</v>
          </cell>
        </row>
        <row r="1009">
          <cell r="BN1009" t="str">
            <v>4750/0.9/7500</v>
          </cell>
          <cell r="BO1009">
            <v>0.6026367561907553</v>
          </cell>
          <cell r="BP1009">
            <v>0.66133843567258666</v>
          </cell>
          <cell r="BQ1009">
            <v>0.62297435835027515</v>
          </cell>
          <cell r="BR1009">
            <v>0.60108111513404505</v>
          </cell>
          <cell r="BS1009">
            <v>0.56949771211707134</v>
          </cell>
          <cell r="BT1009">
            <v>0.46774813618747885</v>
          </cell>
          <cell r="BU1009">
            <v>0.54913293837131882</v>
          </cell>
          <cell r="BV1009">
            <v>0.52296156356777279</v>
          </cell>
          <cell r="BY1009" t="str">
            <v>4250/0.7/8000</v>
          </cell>
          <cell r="BZ1009">
            <v>1.8846189487963738E-2</v>
          </cell>
          <cell r="CA1009">
            <v>1.7094592318548874E-2</v>
          </cell>
        </row>
        <row r="1010">
          <cell r="BN1010" t="str">
            <v>4750/0.9/10000</v>
          </cell>
          <cell r="BO1010">
            <v>0.58787398638766142</v>
          </cell>
          <cell r="BP1010">
            <v>0.65243743013712119</v>
          </cell>
          <cell r="BQ1010">
            <v>0.60781015092790547</v>
          </cell>
          <cell r="BR1010">
            <v>0.58384961531713664</v>
          </cell>
          <cell r="BS1010">
            <v>0.55278535939792239</v>
          </cell>
          <cell r="BT1010">
            <v>0.46089643559572518</v>
          </cell>
          <cell r="BU1010">
            <v>0.54080006470688291</v>
          </cell>
          <cell r="BV1010">
            <v>0.51505927579645117</v>
          </cell>
          <cell r="BY1010" t="str">
            <v>4250/0.7/9000</v>
          </cell>
          <cell r="BZ1010">
            <v>1.8547386131481769E-2</v>
          </cell>
          <cell r="CA1010">
            <v>1.6810353802500067E-2</v>
          </cell>
        </row>
        <row r="1011">
          <cell r="BN1011" t="str">
            <v>4750/0.9/99999</v>
          </cell>
          <cell r="BO1011">
            <v>0.56012145862058393</v>
          </cell>
          <cell r="BP1011">
            <v>0.64154013154266165</v>
          </cell>
          <cell r="BQ1011">
            <v>0.57951853621033322</v>
          </cell>
          <cell r="BR1011">
            <v>0.5493548467004622</v>
          </cell>
          <cell r="BS1011">
            <v>0.52603032449210874</v>
          </cell>
          <cell r="BT1011">
            <v>0.44764576946558188</v>
          </cell>
          <cell r="BU1011">
            <v>0.52367869423084845</v>
          </cell>
          <cell r="BV1011">
            <v>0.50204856044978718</v>
          </cell>
          <cell r="BY1011" t="str">
            <v>4250/0.7/10000</v>
          </cell>
          <cell r="BZ1011">
            <v>1.8308999625736511E-2</v>
          </cell>
          <cell r="CA1011">
            <v>1.6570278434248908E-2</v>
          </cell>
        </row>
        <row r="1012">
          <cell r="BY1012" t="str">
            <v>4250/0.7/99999</v>
          </cell>
          <cell r="BZ1012">
            <v>1.5489130147687158E-2</v>
          </cell>
          <cell r="CA1012">
            <v>1.4248951179425429E-2</v>
          </cell>
        </row>
        <row r="1013">
          <cell r="BN1013" t="str">
            <v>5000/0.9/5500</v>
          </cell>
          <cell r="BO1013">
            <v>0.63803691859954847</v>
          </cell>
          <cell r="BP1013">
            <v>0.68751930544538498</v>
          </cell>
          <cell r="BQ1013">
            <v>0.66008190504028719</v>
          </cell>
          <cell r="BR1013">
            <v>0.6393719746394152</v>
          </cell>
          <cell r="BS1013">
            <v>0.60586220954402792</v>
          </cell>
          <cell r="BT1013">
            <v>0.48147038856786561</v>
          </cell>
          <cell r="BU1013">
            <v>0.56286845839290311</v>
          </cell>
          <cell r="BV1013">
            <v>0.53566866775290478</v>
          </cell>
          <cell r="BY1013" t="str">
            <v>4500/0.7/5000</v>
          </cell>
          <cell r="BZ1013">
            <v>2.0239609788525681E-2</v>
          </cell>
          <cell r="CA1013">
            <v>1.8593909622729887E-2</v>
          </cell>
        </row>
        <row r="1014">
          <cell r="BN1014" t="str">
            <v>5000/0.9/5750</v>
          </cell>
          <cell r="BO1014">
            <v>0.62980345106859426</v>
          </cell>
          <cell r="BP1014">
            <v>0.68156926554662478</v>
          </cell>
          <cell r="BQ1014">
            <v>0.65167151921203192</v>
          </cell>
          <cell r="BR1014">
            <v>0.63089427657299879</v>
          </cell>
          <cell r="BS1014">
            <v>0.59741206894471843</v>
          </cell>
          <cell r="BT1014">
            <v>0.47749927782706614</v>
          </cell>
          <cell r="BU1014">
            <v>0.55885346898756394</v>
          </cell>
          <cell r="BV1014">
            <v>0.53183479329701033</v>
          </cell>
          <cell r="BY1014" t="str">
            <v>4500/0.7/5250</v>
          </cell>
          <cell r="BZ1014">
            <v>2.0079378344699694E-2</v>
          </cell>
          <cell r="CA1014">
            <v>1.8378488138488969E-2</v>
          </cell>
        </row>
        <row r="1015">
          <cell r="BN1015" t="str">
            <v>5000/0.9/6000</v>
          </cell>
          <cell r="BO1015">
            <v>0.62156998353764004</v>
          </cell>
          <cell r="BP1015">
            <v>0.6756192256478647</v>
          </cell>
          <cell r="BQ1015">
            <v>0.64326113338377677</v>
          </cell>
          <cell r="BR1015">
            <v>0.6224165785065825</v>
          </cell>
          <cell r="BS1015">
            <v>0.58896192834540906</v>
          </cell>
          <cell r="BT1015">
            <v>0.4735281670862666</v>
          </cell>
          <cell r="BU1015">
            <v>0.55483847958222476</v>
          </cell>
          <cell r="BV1015">
            <v>0.52800091884111588</v>
          </cell>
          <cell r="BY1015" t="str">
            <v>4500/0.7/5500</v>
          </cell>
          <cell r="BZ1015">
            <v>1.9919146900873708E-2</v>
          </cell>
          <cell r="CA1015">
            <v>1.816306665424805E-2</v>
          </cell>
        </row>
        <row r="1016">
          <cell r="BN1016" t="str">
            <v>5000/0.9/6250</v>
          </cell>
          <cell r="BO1016">
            <v>0.61602920966960839</v>
          </cell>
          <cell r="BP1016">
            <v>0.67141714677425002</v>
          </cell>
          <cell r="BQ1016">
            <v>0.63764530259130892</v>
          </cell>
          <cell r="BR1016">
            <v>0.61666618800282647</v>
          </cell>
          <cell r="BS1016">
            <v>0.58297301622892517</v>
          </cell>
          <cell r="BT1016">
            <v>0.47095779303652258</v>
          </cell>
          <cell r="BU1016">
            <v>0.55213244303706066</v>
          </cell>
          <cell r="BV1016">
            <v>0.5251007631200284</v>
          </cell>
          <cell r="BY1016" t="str">
            <v>4500/0.7/5750</v>
          </cell>
          <cell r="BZ1016">
            <v>1.9771945596018747E-2</v>
          </cell>
          <cell r="CA1016">
            <v>1.7995527522318977E-2</v>
          </cell>
        </row>
        <row r="1017">
          <cell r="BN1017" t="str">
            <v>5000/0.9/6350</v>
          </cell>
          <cell r="BO1017">
            <v>0.61384811263153316</v>
          </cell>
          <cell r="BP1017">
            <v>0.66998149930335049</v>
          </cell>
          <cell r="BQ1017">
            <v>0.63545432042661243</v>
          </cell>
          <cell r="BR1017">
            <v>0.61445821666319189</v>
          </cell>
          <cell r="BS1017">
            <v>0.58091411763077794</v>
          </cell>
          <cell r="BT1017">
            <v>0.47004942331596877</v>
          </cell>
          <cell r="BU1017">
            <v>0.55106502334642582</v>
          </cell>
          <cell r="BV1017">
            <v>0.52413495468274418</v>
          </cell>
          <cell r="BY1017" t="str">
            <v>4500/0.7/6000</v>
          </cell>
          <cell r="BZ1017">
            <v>1.9624744291163787E-2</v>
          </cell>
          <cell r="CA1017">
            <v>1.7827988390389904E-2</v>
          </cell>
        </row>
        <row r="1018">
          <cell r="BN1018" t="str">
            <v>5000/0.9/6600</v>
          </cell>
          <cell r="BO1018">
            <v>0.60936955246115654</v>
          </cell>
          <cell r="BP1018">
            <v>0.66681266763016922</v>
          </cell>
          <cell r="BQ1018">
            <v>0.63065552283780135</v>
          </cell>
          <cell r="BR1018">
            <v>0.60927857261190266</v>
          </cell>
          <cell r="BS1018">
            <v>0.57608212406516357</v>
          </cell>
          <cell r="BT1018">
            <v>0.46821315431629079</v>
          </cell>
          <cell r="BU1018">
            <v>0.54887943822976815</v>
          </cell>
          <cell r="BV1018">
            <v>0.52189297628401066</v>
          </cell>
          <cell r="BY1018" t="str">
            <v>4500/0.7/6250</v>
          </cell>
          <cell r="BZ1018">
            <v>1.9491603544901093E-2</v>
          </cell>
          <cell r="CA1018">
            <v>1.7668006040230333E-2</v>
          </cell>
        </row>
        <row r="1019">
          <cell r="BN1019" t="str">
            <v>5000/0.9/6850</v>
          </cell>
          <cell r="BO1019">
            <v>0.60579777925240086</v>
          </cell>
          <cell r="BP1019">
            <v>0.66440055902761053</v>
          </cell>
          <cell r="BQ1019">
            <v>0.62707016430966744</v>
          </cell>
          <cell r="BR1019">
            <v>0.60549808578914466</v>
          </cell>
          <cell r="BS1019">
            <v>0.57226910096979156</v>
          </cell>
          <cell r="BT1019">
            <v>0.46660642529565011</v>
          </cell>
          <cell r="BU1019">
            <v>0.54697486169937215</v>
          </cell>
          <cell r="BV1019">
            <v>0.5199271914851864</v>
          </cell>
          <cell r="BY1019" t="str">
            <v>4500/0.7/6350</v>
          </cell>
          <cell r="BZ1019">
            <v>1.9439262791257295E-2</v>
          </cell>
          <cell r="CA1019">
            <v>1.7612143280847259E-2</v>
          </cell>
        </row>
        <row r="1020">
          <cell r="BN1020" t="str">
            <v>5000/0.9/7500</v>
          </cell>
          <cell r="BO1020">
            <v>0.59771190408243546</v>
          </cell>
          <cell r="BP1020">
            <v>0.65892706540404777</v>
          </cell>
          <cell r="BQ1020">
            <v>0.61874356080705628</v>
          </cell>
          <cell r="BR1020">
            <v>0.59654428795360648</v>
          </cell>
          <cell r="BS1020">
            <v>0.56341756232399021</v>
          </cell>
          <cell r="BT1020">
            <v>0.46311669033898117</v>
          </cell>
          <cell r="BU1020">
            <v>0.54294603004250619</v>
          </cell>
          <cell r="BV1020">
            <v>0.51585872819591239</v>
          </cell>
          <cell r="BY1020" t="str">
            <v>4500/0.7/6600</v>
          </cell>
          <cell r="BZ1020">
            <v>1.9312414385044829E-2</v>
          </cell>
          <cell r="CA1020">
            <v>1.7486368044179357E-2</v>
          </cell>
        </row>
        <row r="1021">
          <cell r="BN1021" t="str">
            <v>5000/0.9/10000</v>
          </cell>
          <cell r="BO1021">
            <v>0.58183736889895787</v>
          </cell>
          <cell r="BP1021">
            <v>0.64907793485964571</v>
          </cell>
          <cell r="BQ1021">
            <v>0.60237780522550366</v>
          </cell>
          <cell r="BR1021">
            <v>0.57797192764334027</v>
          </cell>
          <cell r="BS1021">
            <v>0.54534639955311681</v>
          </cell>
          <cell r="BT1021">
            <v>0.45579987940815081</v>
          </cell>
          <cell r="BU1021">
            <v>0.53408605707499623</v>
          </cell>
          <cell r="BV1021">
            <v>0.50737021600009047</v>
          </cell>
          <cell r="BY1021" t="str">
            <v>4500/0.7/6850</v>
          </cell>
          <cell r="BZ1021">
            <v>1.9188703854651989E-2</v>
          </cell>
          <cell r="CA1021">
            <v>1.7368357768369536E-2</v>
          </cell>
        </row>
        <row r="1022">
          <cell r="BN1022" t="str">
            <v>5000/0.9/99999</v>
          </cell>
          <cell r="BO1022">
            <v>0.55323787534633484</v>
          </cell>
          <cell r="BP1022">
            <v>0.63781536586657006</v>
          </cell>
          <cell r="BQ1022">
            <v>0.5732383156448152</v>
          </cell>
          <cell r="BR1022">
            <v>0.5425364186809043</v>
          </cell>
          <cell r="BS1022">
            <v>0.5176709801172853</v>
          </cell>
          <cell r="BT1022">
            <v>0.44214403776336231</v>
          </cell>
          <cell r="BU1022">
            <v>0.51644935409315462</v>
          </cell>
          <cell r="BV1022">
            <v>0.49396236474643912</v>
          </cell>
          <cell r="BY1022" t="str">
            <v>4500/0.7/7500</v>
          </cell>
          <cell r="BZ1022">
            <v>1.8920265939725733E-2</v>
          </cell>
          <cell r="CA1022">
            <v>1.7096130647551E-2</v>
          </cell>
        </row>
        <row r="1023">
          <cell r="BY1023" t="str">
            <v>4500/0.7/8000</v>
          </cell>
          <cell r="BZ1023">
            <v>1.8750484761640762E-2</v>
          </cell>
          <cell r="CA1023">
            <v>1.6927561336570585E-2</v>
          </cell>
        </row>
        <row r="1024">
          <cell r="BN1024" t="str">
            <v>0/0.8/250</v>
          </cell>
          <cell r="BO1024">
            <v>0.97007445729004194</v>
          </cell>
          <cell r="BP1024">
            <v>0.9691448396097665</v>
          </cell>
          <cell r="BQ1024">
            <v>0.97006956270330225</v>
          </cell>
          <cell r="BR1024">
            <v>0.9701542724322918</v>
          </cell>
          <cell r="BS1024">
            <v>0.96576482212843517</v>
          </cell>
          <cell r="BT1024">
            <v>0.97576908315559696</v>
          </cell>
          <cell r="BU1024">
            <v>1.0938307796378548</v>
          </cell>
          <cell r="BV1024">
            <v>1.0893018263058609</v>
          </cell>
          <cell r="BY1024" t="str">
            <v>4500/0.7/9000</v>
          </cell>
          <cell r="BZ1024">
            <v>1.8443168707388713E-2</v>
          </cell>
          <cell r="CA1024">
            <v>1.6632618185143722E-2</v>
          </cell>
        </row>
        <row r="1025">
          <cell r="BN1025" t="str">
            <v>0/0.8/500</v>
          </cell>
          <cell r="BO1025">
            <v>0.9337978470472762</v>
          </cell>
          <cell r="BP1025">
            <v>0.93363411215988301</v>
          </cell>
          <cell r="BQ1025">
            <v>0.93396080154955252</v>
          </cell>
          <cell r="BR1025">
            <v>0.93380821376941803</v>
          </cell>
          <cell r="BS1025">
            <v>0.92638957784102161</v>
          </cell>
          <cell r="BT1025">
            <v>0.93291452389891061</v>
          </cell>
          <cell r="BU1025">
            <v>1.0513341403994478</v>
          </cell>
          <cell r="BV1025">
            <v>1.0427223511943922</v>
          </cell>
          <cell r="BY1025" t="str">
            <v>4500/0.7/10000</v>
          </cell>
          <cell r="BZ1025">
            <v>1.8196939945628099E-2</v>
          </cell>
          <cell r="CA1025">
            <v>1.6387450662796899E-2</v>
          </cell>
        </row>
        <row r="1026">
          <cell r="BN1026" t="str">
            <v>0/0.8/750</v>
          </cell>
          <cell r="BO1026">
            <v>0.90645910757680925</v>
          </cell>
          <cell r="BP1026">
            <v>0.90752447136347347</v>
          </cell>
          <cell r="BQ1026">
            <v>0.90685933359376325</v>
          </cell>
          <cell r="BR1026">
            <v>0.90640002220820182</v>
          </cell>
          <cell r="BS1026">
            <v>0.89615455828438739</v>
          </cell>
          <cell r="BT1026">
            <v>0.90333683498771411</v>
          </cell>
          <cell r="BU1026">
            <v>1.0198421159092008</v>
          </cell>
          <cell r="BV1026">
            <v>1.0075897993476008</v>
          </cell>
          <cell r="BY1026" t="str">
            <v>4500/0.7/99999</v>
          </cell>
          <cell r="BZ1026">
            <v>1.5337472133727159E-2</v>
          </cell>
          <cell r="CA1026">
            <v>1.4029099839752646E-2</v>
          </cell>
        </row>
        <row r="1027">
          <cell r="BN1027" t="str">
            <v>0/0.8/1000</v>
          </cell>
          <cell r="BO1027">
            <v>0.88325720688604537</v>
          </cell>
          <cell r="BP1027">
            <v>0.8861101112736911</v>
          </cell>
          <cell r="BQ1027">
            <v>0.8839334925677419</v>
          </cell>
          <cell r="BR1027">
            <v>0.88296262363393208</v>
          </cell>
          <cell r="BS1027">
            <v>0.87049992716369207</v>
          </cell>
          <cell r="BT1027">
            <v>0.87803433674600628</v>
          </cell>
          <cell r="BU1027">
            <v>0.99467818972343203</v>
          </cell>
          <cell r="BV1027">
            <v>0.97981796652787356</v>
          </cell>
          <cell r="BY1027" t="str">
            <v>4750/0.7/5000</v>
          </cell>
          <cell r="BZ1027">
            <v>2.0204980772440762E-2</v>
          </cell>
          <cell r="CA1027">
            <v>1.8539385164089039E-2</v>
          </cell>
        </row>
        <row r="1028">
          <cell r="BN1028" t="str">
            <v>0/0.8/1250</v>
          </cell>
          <cell r="BO1028">
            <v>0.86611224698233868</v>
          </cell>
          <cell r="BP1028">
            <v>0.87110288426893367</v>
          </cell>
          <cell r="BQ1028">
            <v>0.86706367813029439</v>
          </cell>
          <cell r="BR1028">
            <v>0.8656095827097825</v>
          </cell>
          <cell r="BS1028">
            <v>0.85099967913321228</v>
          </cell>
          <cell r="BT1028">
            <v>0.85911791192758091</v>
          </cell>
          <cell r="BU1028">
            <v>0.97444523682398709</v>
          </cell>
          <cell r="BV1028">
            <v>0.95740418310493391</v>
          </cell>
          <cell r="BY1028" t="str">
            <v>4750/0.7/5250</v>
          </cell>
          <cell r="BZ1028">
            <v>2.0040715855131314E-2</v>
          </cell>
          <cell r="CA1028">
            <v>1.8308863911859485E-2</v>
          </cell>
        </row>
        <row r="1029">
          <cell r="BN1029" t="str">
            <v>0/0.8/1500</v>
          </cell>
          <cell r="BO1029">
            <v>0.85073878269196934</v>
          </cell>
          <cell r="BP1029">
            <v>0.85815741727996553</v>
          </cell>
          <cell r="BQ1029">
            <v>0.85194454894182969</v>
          </cell>
          <cell r="BR1029">
            <v>0.84997189254928307</v>
          </cell>
          <cell r="BS1029">
            <v>0.83313262167392022</v>
          </cell>
          <cell r="BT1029">
            <v>0.84223124363725776</v>
          </cell>
          <cell r="BU1029">
            <v>0.95728766388871089</v>
          </cell>
          <cell r="BV1029">
            <v>0.9383136973126962</v>
          </cell>
          <cell r="BY1029" t="str">
            <v>4750/0.7/5500</v>
          </cell>
          <cell r="BZ1029">
            <v>1.9876450937821866E-2</v>
          </cell>
          <cell r="CA1029">
            <v>1.8078342659629931E-2</v>
          </cell>
        </row>
        <row r="1030">
          <cell r="BN1030" t="str">
            <v>0/0.8/1750</v>
          </cell>
          <cell r="BO1030">
            <v>0.83955892094265328</v>
          </cell>
          <cell r="BP1030">
            <v>0.85066212009499298</v>
          </cell>
          <cell r="BQ1030">
            <v>0.84086999985995681</v>
          </cell>
          <cell r="BR1030">
            <v>0.8385642230106124</v>
          </cell>
          <cell r="BS1030">
            <v>0.8206348756025228</v>
          </cell>
          <cell r="BT1030">
            <v>0.82914766859126121</v>
          </cell>
          <cell r="BU1030">
            <v>0.94363451475383076</v>
          </cell>
          <cell r="BV1030">
            <v>0.92379540533908777</v>
          </cell>
          <cell r="BY1030" t="str">
            <v>4750/0.7/5750</v>
          </cell>
          <cell r="BZ1030">
            <v>1.9722016724899288E-2</v>
          </cell>
          <cell r="CA1030">
            <v>1.7896176843490791E-2</v>
          </cell>
        </row>
        <row r="1031">
          <cell r="BN1031" t="str">
            <v>0/0.8/2000</v>
          </cell>
          <cell r="BO1031">
            <v>0.82837905919333732</v>
          </cell>
          <cell r="BP1031">
            <v>0.84316682291002043</v>
          </cell>
          <cell r="BQ1031">
            <v>0.82979545077808392</v>
          </cell>
          <cell r="BR1031">
            <v>0.82715655347194172</v>
          </cell>
          <cell r="BS1031">
            <v>0.80813712953112549</v>
          </cell>
          <cell r="BT1031">
            <v>0.81606409354526466</v>
          </cell>
          <cell r="BU1031">
            <v>0.92998136561895051</v>
          </cell>
          <cell r="BV1031">
            <v>0.90927711336547923</v>
          </cell>
          <cell r="BY1031" t="str">
            <v>4750/0.7/6000</v>
          </cell>
          <cell r="BZ1031">
            <v>1.9567582511976711E-2</v>
          </cell>
          <cell r="CA1031">
            <v>1.771401102735165E-2</v>
          </cell>
        </row>
        <row r="1032">
          <cell r="BN1032" t="str">
            <v>0/0.8/2250</v>
          </cell>
          <cell r="BO1032">
            <v>0.81833820528137513</v>
          </cell>
          <cell r="BP1032">
            <v>0.83768054552466853</v>
          </cell>
          <cell r="BQ1032">
            <v>0.81988623386834725</v>
          </cell>
          <cell r="BR1032">
            <v>0.81714185024789965</v>
          </cell>
          <cell r="BS1032">
            <v>0.79739155584950294</v>
          </cell>
          <cell r="BT1032">
            <v>0.80620878469604906</v>
          </cell>
          <cell r="BU1032">
            <v>0.91872631476251543</v>
          </cell>
          <cell r="BV1032">
            <v>0.89826249631293342</v>
          </cell>
          <cell r="BY1032" t="str">
            <v>4750/0.7/6250</v>
          </cell>
          <cell r="BZ1032">
            <v>1.9428959306039384E-2</v>
          </cell>
          <cell r="CA1032">
            <v>1.7541231713337435E-2</v>
          </cell>
        </row>
        <row r="1033">
          <cell r="BN1033" t="str">
            <v>0/0.8/2500</v>
          </cell>
          <cell r="BO1033">
            <v>0.81073132530812686</v>
          </cell>
          <cell r="BP1033">
            <v>0.832881182339683</v>
          </cell>
          <cell r="BQ1033">
            <v>0.81266601040352038</v>
          </cell>
          <cell r="BR1033">
            <v>0.808164083690878</v>
          </cell>
          <cell r="BS1033">
            <v>0.78855385822949287</v>
          </cell>
          <cell r="BT1033">
            <v>0.79640147845421738</v>
          </cell>
          <cell r="BU1033">
            <v>0.90958600336512052</v>
          </cell>
          <cell r="BV1033">
            <v>0.88895716867439689</v>
          </cell>
          <cell r="BY1033" t="str">
            <v>4750/0.7/6350</v>
          </cell>
          <cell r="BZ1033">
            <v>1.9374927362901306E-2</v>
          </cell>
          <cell r="CA1033">
            <v>1.7484535348539387E-2</v>
          </cell>
        </row>
        <row r="1034">
          <cell r="BN1034" t="str">
            <v>0/0.8/2750</v>
          </cell>
          <cell r="BO1034">
            <v>0.80422753386191881</v>
          </cell>
          <cell r="BP1034">
            <v>0.82916568574851024</v>
          </cell>
          <cell r="BQ1034">
            <v>0.80616206914516431</v>
          </cell>
          <cell r="BR1034">
            <v>0.80168203552164086</v>
          </cell>
          <cell r="BS1034">
            <v>0.78159353037275325</v>
          </cell>
          <cell r="BT1034">
            <v>0.78899093100794104</v>
          </cell>
          <cell r="BU1034">
            <v>0.9021988748738321</v>
          </cell>
          <cell r="BV1034">
            <v>0.88130700602660283</v>
          </cell>
          <cell r="BY1034" t="str">
            <v>4750/0.7/6600</v>
          </cell>
          <cell r="BZ1034">
            <v>1.9246071912074336E-2</v>
          </cell>
          <cell r="CA1034">
            <v>1.7354134422851442E-2</v>
          </cell>
        </row>
        <row r="1035">
          <cell r="BN1035" t="str">
            <v>0/0.8/3000</v>
          </cell>
          <cell r="BO1035">
            <v>0.79785875832410036</v>
          </cell>
          <cell r="BP1035">
            <v>0.82598769038273634</v>
          </cell>
          <cell r="BQ1035">
            <v>0.79981156167115386</v>
          </cell>
          <cell r="BR1035">
            <v>0.79523129306568585</v>
          </cell>
          <cell r="BS1035">
            <v>0.77500494317493629</v>
          </cell>
          <cell r="BT1035">
            <v>0.78243352552741263</v>
          </cell>
          <cell r="BU1035">
            <v>0.89474817109070437</v>
          </cell>
          <cell r="BV1035">
            <v>0.87355982029574686</v>
          </cell>
          <cell r="BY1035" t="str">
            <v>4750/0.7/6850</v>
          </cell>
          <cell r="BZ1035">
            <v>1.9122236403795456E-2</v>
          </cell>
          <cell r="CA1035">
            <v>1.7228041294922003E-2</v>
          </cell>
        </row>
        <row r="1036">
          <cell r="BN1036" t="str">
            <v>0/0.8/3250</v>
          </cell>
          <cell r="BO1036">
            <v>0.79220422502481669</v>
          </cell>
          <cell r="BP1036">
            <v>0.82289366882550086</v>
          </cell>
          <cell r="BQ1036">
            <v>0.79433266590598917</v>
          </cell>
          <cell r="BR1036">
            <v>0.78891808032811861</v>
          </cell>
          <cell r="BS1036">
            <v>0.76897756626106528</v>
          </cell>
          <cell r="BT1036">
            <v>0.77607632111685154</v>
          </cell>
          <cell r="BU1036">
            <v>0.88814440074422318</v>
          </cell>
          <cell r="BV1036">
            <v>0.86821082682780371</v>
          </cell>
          <cell r="BY1036" t="str">
            <v>4750/0.7/7500</v>
          </cell>
          <cell r="BZ1036">
            <v>1.8828383605152654E-2</v>
          </cell>
          <cell r="CA1036">
            <v>1.6937464693866366E-2</v>
          </cell>
        </row>
        <row r="1037">
          <cell r="BN1037" t="str">
            <v>0/0.8/3500</v>
          </cell>
          <cell r="BO1037">
            <v>0.78654969172553302</v>
          </cell>
          <cell r="BP1037">
            <v>0.81979964726826549</v>
          </cell>
          <cell r="BQ1037">
            <v>0.78885377014082447</v>
          </cell>
          <cell r="BR1037">
            <v>0.78260486759055148</v>
          </cell>
          <cell r="BS1037">
            <v>0.76295018934719427</v>
          </cell>
          <cell r="BT1037">
            <v>0.76971911670629056</v>
          </cell>
          <cell r="BU1037">
            <v>0.881540630397742</v>
          </cell>
          <cell r="BV1037">
            <v>0.86286183335986066</v>
          </cell>
          <cell r="BY1037" t="str">
            <v>4750/0.7/8000</v>
          </cell>
          <cell r="BZ1037">
            <v>1.8654780035317786E-2</v>
          </cell>
          <cell r="CA1037">
            <v>1.6760530354592296E-2</v>
          </cell>
        </row>
        <row r="1038">
          <cell r="BN1038" t="str">
            <v>0/0.8/3750</v>
          </cell>
          <cell r="BO1038">
            <v>0.78175957473533453</v>
          </cell>
          <cell r="BP1038">
            <v>0.81736893135003474</v>
          </cell>
          <cell r="BQ1038">
            <v>0.78406432546511107</v>
          </cell>
          <cell r="BR1038">
            <v>0.77781119894588557</v>
          </cell>
          <cell r="BS1038">
            <v>0.75798997205299878</v>
          </cell>
          <cell r="BT1038">
            <v>0.76467270462445092</v>
          </cell>
          <cell r="BU1038">
            <v>0.87638248155788712</v>
          </cell>
          <cell r="BV1038">
            <v>0.85888099970069931</v>
          </cell>
          <cell r="BY1038" t="str">
            <v>4750/0.7/9000</v>
          </cell>
          <cell r="BZ1038">
            <v>1.8338951283295657E-2</v>
          </cell>
          <cell r="CA1038">
            <v>1.6454882567787377E-2</v>
          </cell>
        </row>
        <row r="1039">
          <cell r="BN1039" t="str">
            <v>0/0.8/4000</v>
          </cell>
          <cell r="BO1039">
            <v>0.77696945774513615</v>
          </cell>
          <cell r="BP1039">
            <v>0.814938215431804</v>
          </cell>
          <cell r="BQ1039">
            <v>0.77927488078939766</v>
          </cell>
          <cell r="BR1039">
            <v>0.77301753030121956</v>
          </cell>
          <cell r="BS1039">
            <v>0.75302975475880318</v>
          </cell>
          <cell r="BT1039">
            <v>0.75962629254261127</v>
          </cell>
          <cell r="BU1039">
            <v>0.87122433271803212</v>
          </cell>
          <cell r="BV1039">
            <v>0.85490016604153796</v>
          </cell>
          <cell r="BY1039" t="str">
            <v>4750/0.7/10000</v>
          </cell>
          <cell r="BZ1039">
            <v>1.8084880265519687E-2</v>
          </cell>
          <cell r="CA1039">
            <v>1.6204622891344889E-2</v>
          </cell>
        </row>
        <row r="1040">
          <cell r="BN1040" t="str">
            <v>0/0.8/4250</v>
          </cell>
          <cell r="BO1040">
            <v>0.77342650374690314</v>
          </cell>
          <cell r="BP1040">
            <v>0.81333972637786345</v>
          </cell>
          <cell r="BQ1040">
            <v>0.77585445124939034</v>
          </cell>
          <cell r="BR1040">
            <v>0.7689300917962052</v>
          </cell>
          <cell r="BS1040">
            <v>0.74890387665295965</v>
          </cell>
          <cell r="BT1040">
            <v>0.75553254269745362</v>
          </cell>
          <cell r="BU1040">
            <v>0.86737253700925843</v>
          </cell>
          <cell r="BV1040">
            <v>0.85136938395251038</v>
          </cell>
          <cell r="BY1040" t="str">
            <v>4750/0.7/99999</v>
          </cell>
          <cell r="BZ1040">
            <v>1.518581411976716E-2</v>
          </cell>
          <cell r="CA1040">
            <v>1.3809248500079863E-2</v>
          </cell>
        </row>
        <row r="1041">
          <cell r="BN1041" t="str">
            <v>0/0.8/4500</v>
          </cell>
          <cell r="BO1041">
            <v>0.76988354974867013</v>
          </cell>
          <cell r="BP1041">
            <v>0.81174123732392289</v>
          </cell>
          <cell r="BQ1041">
            <v>0.77243402170938313</v>
          </cell>
          <cell r="BR1041">
            <v>0.76484265329119072</v>
          </cell>
          <cell r="BS1041">
            <v>0.74477799854711602</v>
          </cell>
          <cell r="BT1041">
            <v>0.75143879285229598</v>
          </cell>
          <cell r="BU1041">
            <v>0.86352074130048484</v>
          </cell>
          <cell r="BV1041">
            <v>0.84783860186348281</v>
          </cell>
          <cell r="BY1041" t="str">
            <v>5000/0.7/5000</v>
          </cell>
          <cell r="BZ1041">
            <v>2.0170351756355842E-2</v>
          </cell>
          <cell r="CA1041">
            <v>1.8484860705448192E-2</v>
          </cell>
        </row>
        <row r="1042">
          <cell r="BN1042" t="str">
            <v>0/0.8/4750</v>
          </cell>
          <cell r="BO1042">
            <v>0.76678550317314809</v>
          </cell>
          <cell r="BP1042">
            <v>0.8104414223944052</v>
          </cell>
          <cell r="BQ1042">
            <v>0.76933818517212571</v>
          </cell>
          <cell r="BR1042">
            <v>0.76173757117664564</v>
          </cell>
          <cell r="BS1042">
            <v>0.74160301953109642</v>
          </cell>
          <cell r="BT1042">
            <v>0.74806724487860909</v>
          </cell>
          <cell r="BU1042">
            <v>0.86068368836815212</v>
          </cell>
          <cell r="BV1042">
            <v>0.84506529895909288</v>
          </cell>
          <cell r="BY1042" t="str">
            <v>5000/0.7/5250</v>
          </cell>
          <cell r="BZ1042">
            <v>2.0002053365562933E-2</v>
          </cell>
          <cell r="CA1042">
            <v>1.8239239685230002E-2</v>
          </cell>
        </row>
        <row r="1043">
          <cell r="BN1043" t="str">
            <v>0/0.8/5000</v>
          </cell>
          <cell r="BO1043">
            <v>0.76368745659762594</v>
          </cell>
          <cell r="BP1043">
            <v>0.8091416074648875</v>
          </cell>
          <cell r="BQ1043">
            <v>0.76624234863486818</v>
          </cell>
          <cell r="BR1043">
            <v>0.75863248906210046</v>
          </cell>
          <cell r="BS1043">
            <v>0.73842804051507682</v>
          </cell>
          <cell r="BT1043">
            <v>0.74469569690492221</v>
          </cell>
          <cell r="BU1043">
            <v>0.8578466354358194</v>
          </cell>
          <cell r="BV1043">
            <v>0.84229199605470295</v>
          </cell>
          <cell r="BY1043" t="str">
            <v>5000/0.7/5500</v>
          </cell>
          <cell r="BZ1043">
            <v>1.9833754974770024E-2</v>
          </cell>
          <cell r="CA1043">
            <v>1.7993618665011812E-2</v>
          </cell>
        </row>
        <row r="1044">
          <cell r="BN1044" t="str">
            <v>0/0.8/5250</v>
          </cell>
          <cell r="BO1044">
            <v>0.76096418035758018</v>
          </cell>
          <cell r="BP1044">
            <v>0.80784021911434889</v>
          </cell>
          <cell r="BQ1044">
            <v>0.76361106619978025</v>
          </cell>
          <cell r="BR1044">
            <v>0.75553845229803951</v>
          </cell>
          <cell r="BS1044">
            <v>0.73526329656051215</v>
          </cell>
          <cell r="BT1044">
            <v>0.74160295887102157</v>
          </cell>
          <cell r="BU1044">
            <v>0.8552858520397375</v>
          </cell>
          <cell r="BV1044">
            <v>0.83972167537715758</v>
          </cell>
          <cell r="BY1044" t="str">
            <v>5000/0.7/5750</v>
          </cell>
          <cell r="BZ1044">
            <v>1.9672087853779829E-2</v>
          </cell>
          <cell r="CA1044">
            <v>1.7796826164662605E-2</v>
          </cell>
        </row>
        <row r="1045">
          <cell r="BN1045" t="str">
            <v>0/0.8/5500</v>
          </cell>
          <cell r="BO1045">
            <v>0.75824090411753431</v>
          </cell>
          <cell r="BP1045">
            <v>0.80653883076381028</v>
          </cell>
          <cell r="BQ1045">
            <v>0.76097978376469233</v>
          </cell>
          <cell r="BR1045">
            <v>0.75244441553397845</v>
          </cell>
          <cell r="BS1045">
            <v>0.73209855260594736</v>
          </cell>
          <cell r="BT1045">
            <v>0.73851022083712081</v>
          </cell>
          <cell r="BU1045">
            <v>0.8527250686436556</v>
          </cell>
          <cell r="BV1045">
            <v>0.83715135469961222</v>
          </cell>
          <cell r="BY1045" t="str">
            <v>5000/0.7/6000</v>
          </cell>
          <cell r="BZ1045">
            <v>1.9510420732789635E-2</v>
          </cell>
          <cell r="CA1045">
            <v>1.7600033664313397E-2</v>
          </cell>
        </row>
        <row r="1046">
          <cell r="BN1046" t="str">
            <v>0/0.8/5750</v>
          </cell>
          <cell r="BO1046">
            <v>0.75577102195630563</v>
          </cell>
          <cell r="BP1046">
            <v>0.80528213985292907</v>
          </cell>
          <cell r="BQ1046">
            <v>0.75850960145063384</v>
          </cell>
          <cell r="BR1046">
            <v>0.7499127987818639</v>
          </cell>
          <cell r="BS1046">
            <v>0.729460626334828</v>
          </cell>
          <cell r="BT1046">
            <v>0.73582709602808138</v>
          </cell>
          <cell r="BU1046">
            <v>0.85048414799600791</v>
          </cell>
          <cell r="BV1046">
            <v>0.83492365130194068</v>
          </cell>
          <cell r="BY1046" t="str">
            <v>5000/0.7/6250</v>
          </cell>
          <cell r="BZ1046">
            <v>1.9366315067177675E-2</v>
          </cell>
          <cell r="CA1046">
            <v>1.7414457386444537E-2</v>
          </cell>
        </row>
        <row r="1047">
          <cell r="BN1047" t="str">
            <v>0/0.8/6000</v>
          </cell>
          <cell r="BO1047">
            <v>0.75330113979507696</v>
          </cell>
          <cell r="BP1047">
            <v>0.80402544894204775</v>
          </cell>
          <cell r="BQ1047">
            <v>0.75603941913657546</v>
          </cell>
          <cell r="BR1047">
            <v>0.74738118202974924</v>
          </cell>
          <cell r="BS1047">
            <v>0.72682270006370875</v>
          </cell>
          <cell r="BT1047">
            <v>0.73314397121904196</v>
          </cell>
          <cell r="BU1047">
            <v>0.84824322734836011</v>
          </cell>
          <cell r="BV1047">
            <v>0.83269594790426926</v>
          </cell>
          <cell r="BY1047" t="str">
            <v>5000/0.7/6350</v>
          </cell>
          <cell r="BZ1047">
            <v>1.9310591934545318E-2</v>
          </cell>
          <cell r="CA1047">
            <v>1.7356927416231516E-2</v>
          </cell>
        </row>
        <row r="1048">
          <cell r="BN1048" t="str">
            <v>0/0.8/6250</v>
          </cell>
          <cell r="BO1048">
            <v>0.75082985536743485</v>
          </cell>
          <cell r="BP1048">
            <v>0.80326875115561969</v>
          </cell>
          <cell r="BQ1048">
            <v>0.75356781498091974</v>
          </cell>
          <cell r="BR1048">
            <v>0.74491091543920174</v>
          </cell>
          <cell r="BS1048">
            <v>0.72451347848001957</v>
          </cell>
          <cell r="BT1048">
            <v>0.73067483679351608</v>
          </cell>
          <cell r="BU1048">
            <v>0.8460002525724114</v>
          </cell>
          <cell r="BV1048">
            <v>0.83079100897693947</v>
          </cell>
          <cell r="BY1048" t="str">
            <v>5000/0.7/6600</v>
          </cell>
          <cell r="BZ1048">
            <v>1.9179729439103843E-2</v>
          </cell>
          <cell r="CA1048">
            <v>1.7221900801523526E-2</v>
          </cell>
        </row>
        <row r="1049">
          <cell r="BN1049" t="str">
            <v>0/0.8/6350</v>
          </cell>
          <cell r="BO1049">
            <v>0.74984107983998161</v>
          </cell>
          <cell r="BP1049">
            <v>0.80296607204104775</v>
          </cell>
          <cell r="BQ1049">
            <v>0.75257890790822435</v>
          </cell>
          <cell r="BR1049">
            <v>0.74392255867900947</v>
          </cell>
          <cell r="BS1049">
            <v>0.72378551639235378</v>
          </cell>
          <cell r="BT1049">
            <v>0.72968694062544537</v>
          </cell>
          <cell r="BU1049">
            <v>0.84510267922475069</v>
          </cell>
          <cell r="BV1049">
            <v>0.83002461726846688</v>
          </cell>
          <cell r="BY1049" t="str">
            <v>5000/0.7/6850</v>
          </cell>
          <cell r="BZ1049">
            <v>1.9055768952938923E-2</v>
          </cell>
          <cell r="CA1049">
            <v>1.708772482147447E-2</v>
          </cell>
        </row>
        <row r="1050">
          <cell r="BN1050" t="str">
            <v>0/0.8/6600</v>
          </cell>
          <cell r="BO1050">
            <v>0.74736848663035405</v>
          </cell>
          <cell r="BP1050">
            <v>0.8022093742546208</v>
          </cell>
          <cell r="BQ1050">
            <v>0.75027742026243471</v>
          </cell>
          <cell r="BR1050">
            <v>0.74145104146859608</v>
          </cell>
          <cell r="BS1050">
            <v>0.72195534755204671</v>
          </cell>
          <cell r="BT1050">
            <v>0.72721659421062368</v>
          </cell>
          <cell r="BU1050">
            <v>0.84297767151620284</v>
          </cell>
          <cell r="BV1050">
            <v>0.82809759765343482</v>
          </cell>
          <cell r="BY1050" t="str">
            <v>5000/0.7/7500</v>
          </cell>
          <cell r="BZ1050">
            <v>1.8736501270579575E-2</v>
          </cell>
          <cell r="CA1050">
            <v>1.6778798740181733E-2</v>
          </cell>
        </row>
        <row r="1051">
          <cell r="BN1051" t="str">
            <v>0/0.8/6850</v>
          </cell>
          <cell r="BO1051">
            <v>0.7455471340026244</v>
          </cell>
          <cell r="BP1051">
            <v>0.80145267646819351</v>
          </cell>
          <cell r="BQ1051">
            <v>0.74854660944948992</v>
          </cell>
          <cell r="BR1051">
            <v>0.73897863095827721</v>
          </cell>
          <cell r="BS1051">
            <v>0.7201105163958238</v>
          </cell>
          <cell r="BT1051">
            <v>0.72481490641332491</v>
          </cell>
          <cell r="BU1051">
            <v>0.84143704065546832</v>
          </cell>
          <cell r="BV1051">
            <v>0.82615480611861436</v>
          </cell>
          <cell r="BY1051" t="str">
            <v>5000/0.7/8000</v>
          </cell>
          <cell r="BZ1051">
            <v>1.855907530899481E-2</v>
          </cell>
          <cell r="CA1051">
            <v>1.6593499372614007E-2</v>
          </cell>
        </row>
        <row r="1052">
          <cell r="BN1052" t="str">
            <v>0/0.8/7500</v>
          </cell>
          <cell r="BO1052">
            <v>0.74104460351303048</v>
          </cell>
          <cell r="BP1052">
            <v>0.79948526222348149</v>
          </cell>
          <cell r="BQ1052">
            <v>0.74404339765583438</v>
          </cell>
          <cell r="BR1052">
            <v>0.73382552814150837</v>
          </cell>
          <cell r="BS1052">
            <v>0.71587924843512041</v>
          </cell>
          <cell r="BT1052">
            <v>0.72089779315121627</v>
          </cell>
          <cell r="BU1052">
            <v>0.83742700479429877</v>
          </cell>
          <cell r="BV1052">
            <v>0.82116052652281135</v>
          </cell>
          <cell r="BY1052" t="str">
            <v>5000/0.7/9000</v>
          </cell>
          <cell r="BZ1052">
            <v>1.8234733859202601E-2</v>
          </cell>
          <cell r="CA1052">
            <v>1.6277146950431032E-2</v>
          </cell>
        </row>
        <row r="1053">
          <cell r="BN1053" t="str">
            <v>0/0.8/10000</v>
          </cell>
          <cell r="BO1053">
            <v>0.72596428674871105</v>
          </cell>
          <cell r="BP1053">
            <v>0.79337006170727109</v>
          </cell>
          <cell r="BQ1053">
            <v>0.72914566126011926</v>
          </cell>
          <cell r="BR1053">
            <v>0.71974454260387855</v>
          </cell>
          <cell r="BS1053">
            <v>0.70570526378162335</v>
          </cell>
          <cell r="BT1053">
            <v>0.7092756956119044</v>
          </cell>
          <cell r="BU1053">
            <v>0.82437461998060779</v>
          </cell>
          <cell r="BV1053">
            <v>0.81012077989204456</v>
          </cell>
          <cell r="BY1053" t="str">
            <v>5000/0.7/10000</v>
          </cell>
          <cell r="BZ1053">
            <v>1.7972820585411275E-2</v>
          </cell>
          <cell r="CA1053">
            <v>1.6021795119892879E-2</v>
          </cell>
        </row>
        <row r="1054">
          <cell r="BN1054" t="str">
            <v>0/0.8/99999</v>
          </cell>
          <cell r="BO1054">
            <v>0.67398703429860785</v>
          </cell>
          <cell r="BP1054">
            <v>0.77116581200615175</v>
          </cell>
          <cell r="BQ1054">
            <v>0.67720582924978245</v>
          </cell>
          <cell r="BR1054">
            <v>0.66362274959166079</v>
          </cell>
          <cell r="BS1054">
            <v>0.66127190603947583</v>
          </cell>
          <cell r="BT1054">
            <v>0.65510239932125081</v>
          </cell>
          <cell r="BU1054">
            <v>0.76747519492890581</v>
          </cell>
          <cell r="BV1054">
            <v>0.76593065337159083</v>
          </cell>
          <cell r="BY1054" t="str">
            <v>5000/0.7/99999</v>
          </cell>
          <cell r="BZ1054">
            <v>1.5034156105807162E-2</v>
          </cell>
          <cell r="CA1054">
            <v>1.358939716040708E-2</v>
          </cell>
        </row>
        <row r="1055">
          <cell r="BY1055" t="str">
            <v>0/0.6/0</v>
          </cell>
          <cell r="BZ1055">
            <v>2.8206809685441092E-2</v>
          </cell>
          <cell r="CA1055">
            <v>2.8350139159793786E-2</v>
          </cell>
        </row>
        <row r="1056">
          <cell r="BN1056" t="str">
            <v>250/0.8/500</v>
          </cell>
          <cell r="BO1056">
            <v>0.93819149734638463</v>
          </cell>
          <cell r="BP1056">
            <v>0.9379150706854511</v>
          </cell>
          <cell r="BQ1056">
            <v>0.94024195940070621</v>
          </cell>
          <cell r="BR1056">
            <v>0.93840404161018598</v>
          </cell>
          <cell r="BS1056">
            <v>0.93531555297819324</v>
          </cell>
          <cell r="BT1056">
            <v>0.90680532675338144</v>
          </cell>
          <cell r="BU1056">
            <v>1.0314975373498509</v>
          </cell>
          <cell r="BV1056">
            <v>1.02365913263852</v>
          </cell>
          <cell r="BY1056" t="str">
            <v>0/0.6/250</v>
          </cell>
          <cell r="BZ1056">
            <v>2.7378767294532036E-2</v>
          </cell>
          <cell r="CA1056">
            <v>2.745513195672733E-2</v>
          </cell>
        </row>
        <row r="1057">
          <cell r="BN1057" t="str">
            <v>250/0.8/750</v>
          </cell>
          <cell r="BO1057">
            <v>0.90393236384067199</v>
          </cell>
          <cell r="BP1057">
            <v>0.90453310188890235</v>
          </cell>
          <cell r="BQ1057">
            <v>0.90617182968484156</v>
          </cell>
          <cell r="BR1057">
            <v>0.90409479357900446</v>
          </cell>
          <cell r="BS1057">
            <v>0.89797377642275045</v>
          </cell>
          <cell r="BT1057">
            <v>0.86646066069856253</v>
          </cell>
          <cell r="BU1057">
            <v>0.99222550828383593</v>
          </cell>
          <cell r="BV1057">
            <v>0.98030326679743407</v>
          </cell>
          <cell r="BY1057" t="str">
            <v>0/0.6/500</v>
          </cell>
          <cell r="BZ1057">
            <v>2.6797010455008818E-2</v>
          </cell>
          <cell r="CA1057">
            <v>2.680979651730242E-2</v>
          </cell>
        </row>
        <row r="1058">
          <cell r="BN1058" t="str">
            <v>250/0.8/1000</v>
          </cell>
          <cell r="BO1058">
            <v>0.87747467789072675</v>
          </cell>
          <cell r="BP1058">
            <v>0.87947858169262649</v>
          </cell>
          <cell r="BQ1058">
            <v>0.879926436272363</v>
          </cell>
          <cell r="BR1058">
            <v>0.87756563587703518</v>
          </cell>
          <cell r="BS1058">
            <v>0.8688063450997856</v>
          </cell>
          <cell r="BT1058">
            <v>0.8381592248582721</v>
          </cell>
          <cell r="BU1058">
            <v>0.9623528607788977</v>
          </cell>
          <cell r="BV1058">
            <v>0.94697995240972777</v>
          </cell>
          <cell r="BY1058" t="str">
            <v>0/0.6/750</v>
          </cell>
          <cell r="BZ1058">
            <v>2.6345069656376729E-2</v>
          </cell>
          <cell r="CA1058">
            <v>2.6325110205732027E-2</v>
          </cell>
        </row>
        <row r="1059">
          <cell r="BN1059" t="str">
            <v>250/0.8/1250</v>
          </cell>
          <cell r="BO1059">
            <v>0.85490670678445457</v>
          </cell>
          <cell r="BP1059">
            <v>0.8587433545079991</v>
          </cell>
          <cell r="BQ1059">
            <v>0.8576675181695631</v>
          </cell>
          <cell r="BR1059">
            <v>0.85479627689309745</v>
          </cell>
          <cell r="BS1059">
            <v>0.84380778568101067</v>
          </cell>
          <cell r="BT1059">
            <v>0.81385374265658683</v>
          </cell>
          <cell r="BU1059">
            <v>0.93830513281671479</v>
          </cell>
          <cell r="BV1059">
            <v>0.92033090851046373</v>
          </cell>
          <cell r="BY1059" t="str">
            <v>0/0.6/1000</v>
          </cell>
          <cell r="BZ1059">
            <v>2.59820519327012E-2</v>
          </cell>
          <cell r="CA1059">
            <v>2.5923162355546037E-2</v>
          </cell>
        </row>
        <row r="1060">
          <cell r="BN1060" t="str">
            <v>250/0.8/1500</v>
          </cell>
          <cell r="BO1060">
            <v>0.83814716572181502</v>
          </cell>
          <cell r="BP1060">
            <v>0.84422072452412067</v>
          </cell>
          <cell r="BQ1060">
            <v>0.84110356504044503</v>
          </cell>
          <cell r="BR1060">
            <v>0.8378328538090587</v>
          </cell>
          <cell r="BS1060">
            <v>0.82468688331707707</v>
          </cell>
          <cell r="BT1060">
            <v>0.79556282436715497</v>
          </cell>
          <cell r="BU1060">
            <v>0.91870368605461827</v>
          </cell>
          <cell r="BV1060">
            <v>0.89858138434596302</v>
          </cell>
          <cell r="BY1060" t="str">
            <v>0/0.6/1250</v>
          </cell>
          <cell r="BZ1060">
            <v>2.5675539042580686E-2</v>
          </cell>
          <cell r="CA1060">
            <v>2.5581419437549657E-2</v>
          </cell>
        </row>
        <row r="1061">
          <cell r="BN1061" t="str">
            <v>250/0.8/1750</v>
          </cell>
          <cell r="BO1061">
            <v>0.82491736373491742</v>
          </cell>
          <cell r="BP1061">
            <v>0.83406857924851141</v>
          </cell>
          <cell r="BQ1061">
            <v>0.82807956289619833</v>
          </cell>
          <cell r="BR1061">
            <v>0.82432819657668299</v>
          </cell>
          <cell r="BS1061">
            <v>0.80940514219251947</v>
          </cell>
          <cell r="BT1061">
            <v>0.78071375677494925</v>
          </cell>
          <cell r="BU1061">
            <v>0.90325762017182787</v>
          </cell>
          <cell r="BV1061">
            <v>0.88174671295375218</v>
          </cell>
          <cell r="BY1061" t="str">
            <v>0/0.6/1500</v>
          </cell>
          <cell r="BZ1061">
            <v>2.5402569047158652E-2</v>
          </cell>
          <cell r="CA1061">
            <v>2.5275946794217186E-2</v>
          </cell>
        </row>
        <row r="1062">
          <cell r="BN1062" t="str">
            <v>250/0.8/2000</v>
          </cell>
          <cell r="BO1062">
            <v>0.8116875617480197</v>
          </cell>
          <cell r="BP1062">
            <v>0.82391643397290226</v>
          </cell>
          <cell r="BQ1062">
            <v>0.81505556075195174</v>
          </cell>
          <cell r="BR1062">
            <v>0.81082353934430729</v>
          </cell>
          <cell r="BS1062">
            <v>0.79412340106796198</v>
          </cell>
          <cell r="BT1062">
            <v>0.76586468918274353</v>
          </cell>
          <cell r="BU1062">
            <v>0.88781155428903746</v>
          </cell>
          <cell r="BV1062">
            <v>0.86491204156154122</v>
          </cell>
          <cell r="BY1062" t="str">
            <v>0/0.6/1750</v>
          </cell>
          <cell r="BZ1062">
            <v>2.5167853006307417E-2</v>
          </cell>
          <cell r="CA1062">
            <v>2.5012394737589982E-2</v>
          </cell>
        </row>
        <row r="1063">
          <cell r="BN1063" t="str">
            <v>250/0.8/2250</v>
          </cell>
          <cell r="BO1063">
            <v>0.80101678547412924</v>
          </cell>
          <cell r="BP1063">
            <v>0.81718519015519153</v>
          </cell>
          <cell r="BQ1063">
            <v>0.80438437754462133</v>
          </cell>
          <cell r="BR1063">
            <v>0.80002326467324003</v>
          </cell>
          <cell r="BS1063">
            <v>0.78273948340549648</v>
          </cell>
          <cell r="BT1063">
            <v>0.75367549230098585</v>
          </cell>
          <cell r="BU1063">
            <v>0.87527151800336478</v>
          </cell>
          <cell r="BV1063">
            <v>0.85630673817482705</v>
          </cell>
          <cell r="BY1063" t="str">
            <v>0/0.6/2000</v>
          </cell>
          <cell r="BZ1063">
            <v>2.4933136965456182E-2</v>
          </cell>
          <cell r="CA1063">
            <v>2.4748842680962779E-2</v>
          </cell>
        </row>
        <row r="1064">
          <cell r="BN1064" t="str">
            <v>250/0.8/2500</v>
          </cell>
          <cell r="BO1064">
            <v>0.7910312685966614</v>
          </cell>
          <cell r="BP1064">
            <v>0.81171658276139791</v>
          </cell>
          <cell r="BQ1064">
            <v>0.79490744637208743</v>
          </cell>
          <cell r="BR1064">
            <v>0.79001755393365547</v>
          </cell>
          <cell r="BS1064">
            <v>0.77205377662651575</v>
          </cell>
          <cell r="BT1064">
            <v>0.74392584546981766</v>
          </cell>
          <cell r="BU1064">
            <v>0.86522483578343534</v>
          </cell>
          <cell r="BV1064">
            <v>0.84836576100823125</v>
          </cell>
          <cell r="BY1064" t="str">
            <v>0/0.6/2250</v>
          </cell>
          <cell r="BZ1064">
            <v>2.4731435810234625E-2</v>
          </cell>
          <cell r="CA1064">
            <v>2.4517320962217815E-2</v>
          </cell>
        </row>
        <row r="1065">
          <cell r="BN1065" t="str">
            <v>250/0.8/2750</v>
          </cell>
          <cell r="BO1065">
            <v>0.78383110936202061</v>
          </cell>
          <cell r="BP1065">
            <v>0.80709301767814989</v>
          </cell>
          <cell r="BQ1065">
            <v>0.78769819128203078</v>
          </cell>
          <cell r="BR1065">
            <v>0.78150184092985575</v>
          </cell>
          <cell r="BS1065">
            <v>0.76368930089865672</v>
          </cell>
          <cell r="BT1065">
            <v>0.73414751302835324</v>
          </cell>
          <cell r="BU1065">
            <v>0.85887731182539651</v>
          </cell>
          <cell r="BV1065">
            <v>0.84183797260690174</v>
          </cell>
          <cell r="BY1065" t="str">
            <v>0/0.6/2500</v>
          </cell>
          <cell r="BZ1065">
            <v>2.4543292907372338E-2</v>
          </cell>
          <cell r="CA1065">
            <v>2.4298772412237657E-2</v>
          </cell>
        </row>
        <row r="1066">
          <cell r="BN1066" t="str">
            <v>250/0.8/3000</v>
          </cell>
          <cell r="BO1066">
            <v>0.77734398899549229</v>
          </cell>
          <cell r="BP1066">
            <v>0.8033852431440508</v>
          </cell>
          <cell r="BQ1066">
            <v>0.78123179831922729</v>
          </cell>
          <cell r="BR1066">
            <v>0.77502070113708177</v>
          </cell>
          <cell r="BS1066">
            <v>0.75672509624837925</v>
          </cell>
          <cell r="BT1066">
            <v>0.72732801748438991</v>
          </cell>
          <cell r="BU1066">
            <v>0.85350215020563669</v>
          </cell>
          <cell r="BV1066">
            <v>0.83626888620795781</v>
          </cell>
          <cell r="BY1066" t="str">
            <v>0/0.6/2750</v>
          </cell>
          <cell r="BZ1066">
            <v>2.4366067439854477E-2</v>
          </cell>
          <cell r="CA1066">
            <v>2.409187572099869E-2</v>
          </cell>
        </row>
        <row r="1067">
          <cell r="BN1067" t="str">
            <v>250/0.8/3250</v>
          </cell>
          <cell r="BO1067">
            <v>0.77104678723465647</v>
          </cell>
          <cell r="BP1067">
            <v>0.80026681301785452</v>
          </cell>
          <cell r="BQ1067">
            <v>0.775103925816364</v>
          </cell>
          <cell r="BR1067">
            <v>0.76859520016721805</v>
          </cell>
          <cell r="BS1067">
            <v>0.75052115977769329</v>
          </cell>
          <cell r="BT1067">
            <v>0.7223485920077285</v>
          </cell>
          <cell r="BU1067">
            <v>0.84820855888924429</v>
          </cell>
          <cell r="BV1067">
            <v>0.83106906844720196</v>
          </cell>
          <cell r="BY1067" t="str">
            <v>0/0.6/3000</v>
          </cell>
          <cell r="BZ1067">
            <v>2.4201834804405076E-2</v>
          </cell>
          <cell r="CA1067">
            <v>2.3906145237794219E-2</v>
          </cell>
        </row>
        <row r="1068">
          <cell r="BN1068" t="str">
            <v>250/0.8/3500</v>
          </cell>
          <cell r="BO1068">
            <v>0.76474958547382077</v>
          </cell>
          <cell r="BP1068">
            <v>0.79714838289165835</v>
          </cell>
          <cell r="BQ1068">
            <v>0.76897605331350072</v>
          </cell>
          <cell r="BR1068">
            <v>0.76216969919735422</v>
          </cell>
          <cell r="BS1068">
            <v>0.74431722330700745</v>
          </cell>
          <cell r="BT1068">
            <v>0.71736916653106708</v>
          </cell>
          <cell r="BU1068">
            <v>0.842914967572852</v>
          </cell>
          <cell r="BV1068">
            <v>0.82586925068644601</v>
          </cell>
          <cell r="BY1068" t="str">
            <v>0/0.6/3250</v>
          </cell>
          <cell r="BZ1068">
            <v>2.4051161624050965E-2</v>
          </cell>
          <cell r="CA1068">
            <v>2.3722017753333935E-2</v>
          </cell>
        </row>
        <row r="1069">
          <cell r="BN1069" t="str">
            <v>250/0.8/3750</v>
          </cell>
          <cell r="BO1069">
            <v>0.75996145227796541</v>
          </cell>
          <cell r="BP1069">
            <v>0.79448735258124081</v>
          </cell>
          <cell r="BQ1069">
            <v>0.76418755437607955</v>
          </cell>
          <cell r="BR1069">
            <v>0.75681246658504064</v>
          </cell>
          <cell r="BS1069">
            <v>0.73887887149863274</v>
          </cell>
          <cell r="BT1069">
            <v>0.71324141729841173</v>
          </cell>
          <cell r="BU1069">
            <v>0.83891574905758226</v>
          </cell>
          <cell r="BV1069">
            <v>0.82163684672044335</v>
          </cell>
          <cell r="BY1069" t="str">
            <v>0/0.6/3500</v>
          </cell>
          <cell r="BZ1069">
            <v>2.3900488443696855E-2</v>
          </cell>
          <cell r="CA1069">
            <v>2.3537890268873651E-2</v>
          </cell>
        </row>
        <row r="1070">
          <cell r="BN1070" t="str">
            <v>250/0.8/4000</v>
          </cell>
          <cell r="BO1070">
            <v>0.75517331908211016</v>
          </cell>
          <cell r="BP1070">
            <v>0.79182632227082328</v>
          </cell>
          <cell r="BQ1070">
            <v>0.75939905543865838</v>
          </cell>
          <cell r="BR1070">
            <v>0.75145523397272718</v>
          </cell>
          <cell r="BS1070">
            <v>0.73344051969025814</v>
          </cell>
          <cell r="BT1070">
            <v>0.70911366806575638</v>
          </cell>
          <cell r="BU1070">
            <v>0.83491653054231252</v>
          </cell>
          <cell r="BV1070">
            <v>0.8174044427544408</v>
          </cell>
          <cell r="BY1070" t="str">
            <v>0/0.6/3750</v>
          </cell>
          <cell r="BZ1070">
            <v>2.3765082135980053E-2</v>
          </cell>
          <cell r="CA1070">
            <v>2.3398391596983426E-2</v>
          </cell>
        </row>
        <row r="1071">
          <cell r="BN1071" t="str">
            <v>250/0.8/4250</v>
          </cell>
          <cell r="BO1071">
            <v>0.75087115271765048</v>
          </cell>
          <cell r="BP1071">
            <v>0.78975089259140396</v>
          </cell>
          <cell r="BQ1071">
            <v>0.75521472942550671</v>
          </cell>
          <cell r="BR1071">
            <v>0.74702080604257604</v>
          </cell>
          <cell r="BS1071">
            <v>0.72894683181258579</v>
          </cell>
          <cell r="BT1071">
            <v>0.70592807685768832</v>
          </cell>
          <cell r="BU1071">
            <v>0.83118181657644263</v>
          </cell>
          <cell r="BV1071">
            <v>0.81369023805450502</v>
          </cell>
          <cell r="BY1071" t="str">
            <v>0/0.6/4000</v>
          </cell>
          <cell r="BZ1071">
            <v>2.3629675828263252E-2</v>
          </cell>
          <cell r="CA1071">
            <v>2.32588929250932E-2</v>
          </cell>
        </row>
        <row r="1072">
          <cell r="BN1072" t="str">
            <v>250/0.8/4500</v>
          </cell>
          <cell r="BO1072">
            <v>0.7465689863531908</v>
          </cell>
          <cell r="BP1072">
            <v>0.78767546291198465</v>
          </cell>
          <cell r="BQ1072">
            <v>0.75103040341235505</v>
          </cell>
          <cell r="BR1072">
            <v>0.74258637811242489</v>
          </cell>
          <cell r="BS1072">
            <v>0.72445314393491334</v>
          </cell>
          <cell r="BT1072">
            <v>0.70274248564962039</v>
          </cell>
          <cell r="BU1072">
            <v>0.82744710261057275</v>
          </cell>
          <cell r="BV1072">
            <v>0.80997603335456936</v>
          </cell>
          <cell r="BY1072" t="str">
            <v>0/0.6/4250</v>
          </cell>
          <cell r="BZ1072">
            <v>2.3505809511841114E-2</v>
          </cell>
          <cell r="CA1072">
            <v>2.3124464151521029E-2</v>
          </cell>
        </row>
        <row r="1073">
          <cell r="BN1073" t="str">
            <v>250/0.8/4750</v>
          </cell>
          <cell r="BO1073">
            <v>0.74346454260953698</v>
          </cell>
          <cell r="BP1073">
            <v>0.78631954452175123</v>
          </cell>
          <cell r="BQ1073">
            <v>0.74792796503548731</v>
          </cell>
          <cell r="BR1073">
            <v>0.73905795211186542</v>
          </cell>
          <cell r="BS1073">
            <v>0.72190656518771001</v>
          </cell>
          <cell r="BT1073">
            <v>0.70000849176189051</v>
          </cell>
          <cell r="BU1073">
            <v>0.82448989654652183</v>
          </cell>
          <cell r="BV1073">
            <v>0.80687338614746973</v>
          </cell>
          <cell r="BY1073" t="str">
            <v>0/0.6/4500</v>
          </cell>
          <cell r="BZ1073">
            <v>2.3381943195418975E-2</v>
          </cell>
          <cell r="CA1073">
            <v>2.2990035377948859E-2</v>
          </cell>
        </row>
        <row r="1074">
          <cell r="BN1074" t="str">
            <v>250/0.8/5000</v>
          </cell>
          <cell r="BO1074">
            <v>0.74036009886588328</v>
          </cell>
          <cell r="BP1074">
            <v>0.78496362613151771</v>
          </cell>
          <cell r="BQ1074">
            <v>0.74482552665861967</v>
          </cell>
          <cell r="BR1074">
            <v>0.73552952611130595</v>
          </cell>
          <cell r="BS1074">
            <v>0.71935998644050669</v>
          </cell>
          <cell r="BT1074">
            <v>0.69727449787416074</v>
          </cell>
          <cell r="BU1074">
            <v>0.82153269048247091</v>
          </cell>
          <cell r="BV1074">
            <v>0.80377073894036999</v>
          </cell>
          <cell r="BY1074" t="str">
            <v>0/0.6/4750</v>
          </cell>
          <cell r="BZ1074">
            <v>2.3259291944075611E-2</v>
          </cell>
          <cell r="CA1074">
            <v>2.2865657002389961E-2</v>
          </cell>
        </row>
        <row r="1075">
          <cell r="BN1075" t="str">
            <v>250/0.8/5250</v>
          </cell>
          <cell r="BO1075">
            <v>0.73736789596525121</v>
          </cell>
          <cell r="BP1075">
            <v>0.78366271884805583</v>
          </cell>
          <cell r="BQ1075">
            <v>0.74192268154499597</v>
          </cell>
          <cell r="BR1075">
            <v>0.73243453258317737</v>
          </cell>
          <cell r="BS1075">
            <v>0.71707549279576699</v>
          </cell>
          <cell r="BT1075">
            <v>0.69502392416244396</v>
          </cell>
          <cell r="BU1075">
            <v>0.81871084354876356</v>
          </cell>
          <cell r="BV1075">
            <v>0.80113090314893176</v>
          </cell>
          <cell r="BY1075" t="str">
            <v>0/0.6/5000</v>
          </cell>
          <cell r="BZ1075">
            <v>2.3136640692732247E-2</v>
          </cell>
          <cell r="CA1075">
            <v>2.2741278626831063E-2</v>
          </cell>
        </row>
        <row r="1076">
          <cell r="BN1076" t="str">
            <v>250/0.8/5500</v>
          </cell>
          <cell r="BO1076">
            <v>0.73437569306461903</v>
          </cell>
          <cell r="BP1076">
            <v>0.78236181156459383</v>
          </cell>
          <cell r="BQ1076">
            <v>0.73901983643137237</v>
          </cell>
          <cell r="BR1076">
            <v>0.72933953905504889</v>
          </cell>
          <cell r="BS1076">
            <v>0.7147909991510274</v>
          </cell>
          <cell r="BT1076">
            <v>0.69277335045072719</v>
          </cell>
          <cell r="BU1076">
            <v>0.81588899661505621</v>
          </cell>
          <cell r="BV1076">
            <v>0.79849106735749353</v>
          </cell>
          <cell r="BY1076" t="str">
            <v>0/0.6/5250</v>
          </cell>
          <cell r="BZ1076">
            <v>2.3025226366631957E-2</v>
          </cell>
          <cell r="CA1076">
            <v>2.2643062686949711E-2</v>
          </cell>
        </row>
        <row r="1077">
          <cell r="BN1077" t="str">
            <v>250/0.8/5750</v>
          </cell>
          <cell r="BO1077">
            <v>0.73190654157513824</v>
          </cell>
          <cell r="BP1077">
            <v>0.78106079159617015</v>
          </cell>
          <cell r="BQ1077">
            <v>0.73655039416998047</v>
          </cell>
          <cell r="BR1077">
            <v>0.72670851054864016</v>
          </cell>
          <cell r="BS1077">
            <v>0.71265457127755827</v>
          </cell>
          <cell r="BT1077">
            <v>0.69064377781155062</v>
          </cell>
          <cell r="BU1077">
            <v>0.81361821078029517</v>
          </cell>
          <cell r="BV1077">
            <v>0.79599229213542944</v>
          </cell>
          <cell r="BY1077" t="str">
            <v>0/0.6/5500</v>
          </cell>
          <cell r="BZ1077">
            <v>2.2913812040531667E-2</v>
          </cell>
          <cell r="CA1077">
            <v>2.2544846747068359E-2</v>
          </cell>
        </row>
        <row r="1078">
          <cell r="BN1078" t="str">
            <v>250/0.8/6000</v>
          </cell>
          <cell r="BO1078">
            <v>0.72943739008565744</v>
          </cell>
          <cell r="BP1078">
            <v>0.77975977162774646</v>
          </cell>
          <cell r="BQ1078">
            <v>0.73408095190858869</v>
          </cell>
          <cell r="BR1078">
            <v>0.72407748204223155</v>
          </cell>
          <cell r="BS1078">
            <v>0.71051814340408914</v>
          </cell>
          <cell r="BT1078">
            <v>0.68851420517237394</v>
          </cell>
          <cell r="BU1078">
            <v>0.81134742494553402</v>
          </cell>
          <cell r="BV1078">
            <v>0.79349351691336523</v>
          </cell>
          <cell r="BY1078" t="str">
            <v>0/0.6/5750</v>
          </cell>
          <cell r="BZ1078">
            <v>2.2832431899148853E-2</v>
          </cell>
          <cell r="CA1078">
            <v>2.2453619034599859E-2</v>
          </cell>
        </row>
        <row r="1079">
          <cell r="BN1079" t="str">
            <v>250/0.8/6250</v>
          </cell>
          <cell r="BO1079">
            <v>0.72696683421619923</v>
          </cell>
          <cell r="BP1079">
            <v>0.77860600431616456</v>
          </cell>
          <cell r="BQ1079">
            <v>0.73161008544186101</v>
          </cell>
          <cell r="BR1079">
            <v>0.72228448613407814</v>
          </cell>
          <cell r="BS1079">
            <v>0.70872013038531967</v>
          </cell>
          <cell r="BT1079">
            <v>0.6867220203505221</v>
          </cell>
          <cell r="BU1079">
            <v>0.8091055026456998</v>
          </cell>
          <cell r="BV1079">
            <v>0.79145113057075478</v>
          </cell>
          <cell r="BY1079" t="str">
            <v>0/0.6/6000</v>
          </cell>
          <cell r="BZ1079">
            <v>2.2751051757766039E-2</v>
          </cell>
          <cell r="CA1079">
            <v>2.2362391322131359E-2</v>
          </cell>
        </row>
        <row r="1080">
          <cell r="BN1080" t="str">
            <v>250/0.8/6350</v>
          </cell>
          <cell r="BO1080">
            <v>0.72597834971748698</v>
          </cell>
          <cell r="BP1080">
            <v>0.77830332520159295</v>
          </cell>
          <cell r="BQ1080">
            <v>0.7306214730035081</v>
          </cell>
          <cell r="BR1080">
            <v>0.72156710606264651</v>
          </cell>
          <cell r="BS1080">
            <v>0.70799681744973608</v>
          </cell>
          <cell r="BT1080">
            <v>0.68600497043150477</v>
          </cell>
          <cell r="BU1080">
            <v>0.80820834976500533</v>
          </cell>
          <cell r="BV1080">
            <v>0.79068958147943413</v>
          </cell>
          <cell r="BY1080" t="str">
            <v>0/0.6/6250</v>
          </cell>
          <cell r="BZ1080">
            <v>2.2670128918677257E-2</v>
          </cell>
          <cell r="CA1080">
            <v>2.2270478998194454E-2</v>
          </cell>
        </row>
        <row r="1081">
          <cell r="BN1081" t="str">
            <v>250/0.8/6600</v>
          </cell>
          <cell r="BO1081">
            <v>0.72391541754472577</v>
          </cell>
          <cell r="BP1081">
            <v>0.77754662741516578</v>
          </cell>
          <cell r="BQ1081">
            <v>0.72814927727846779</v>
          </cell>
          <cell r="BR1081">
            <v>0.71977320161364022</v>
          </cell>
          <cell r="BS1081">
            <v>0.70617826579058618</v>
          </cell>
          <cell r="BT1081">
            <v>0.68421190565827228</v>
          </cell>
          <cell r="BU1081">
            <v>0.80596450766137007</v>
          </cell>
          <cell r="BV1081">
            <v>0.78877465333475183</v>
          </cell>
          <cell r="BY1081" t="str">
            <v>0/0.6/6350</v>
          </cell>
          <cell r="BZ1081">
            <v>2.263773720350204E-2</v>
          </cell>
          <cell r="CA1081">
            <v>2.2239371698412391E-2</v>
          </cell>
        </row>
        <row r="1082">
          <cell r="BN1082" t="str">
            <v>250/0.8/6850</v>
          </cell>
          <cell r="BO1082">
            <v>0.72212637839897842</v>
          </cell>
          <cell r="BP1082">
            <v>0.77678992962873872</v>
          </cell>
          <cell r="BQ1082">
            <v>0.72594005486567692</v>
          </cell>
          <cell r="BR1082">
            <v>0.71797864820688206</v>
          </cell>
          <cell r="BS1082">
            <v>0.70434504367402306</v>
          </cell>
          <cell r="BT1082">
            <v>0.68241821234834055</v>
          </cell>
          <cell r="BU1082">
            <v>0.80382156050135434</v>
          </cell>
          <cell r="BV1082">
            <v>0.78684393173809686</v>
          </cell>
          <cell r="BY1082" t="str">
            <v>0/0.6/6600</v>
          </cell>
          <cell r="BZ1082">
            <v>2.2556701466713847E-2</v>
          </cell>
          <cell r="CA1082">
            <v>2.2163447315294293E-2</v>
          </cell>
        </row>
        <row r="1083">
          <cell r="BN1083" t="str">
            <v>250/0.8/7500</v>
          </cell>
          <cell r="BO1083">
            <v>0.718858320490113</v>
          </cell>
          <cell r="BP1083">
            <v>0.77482251538402669</v>
          </cell>
          <cell r="BQ1083">
            <v>0.72241374389790469</v>
          </cell>
          <cell r="BR1083">
            <v>0.71375988761364273</v>
          </cell>
          <cell r="BS1083">
            <v>0.69982073896454855</v>
          </cell>
          <cell r="BT1083">
            <v>0.67807086675156081</v>
          </cell>
          <cell r="BU1083">
            <v>0.79981338746335318</v>
          </cell>
          <cell r="BV1083">
            <v>0.78175014223155981</v>
          </cell>
          <cell r="BY1083" t="str">
            <v>0/0.6/6850</v>
          </cell>
          <cell r="BZ1083">
            <v>2.2475585088711725E-2</v>
          </cell>
          <cell r="CA1083">
            <v>2.2087169763768122E-2</v>
          </cell>
        </row>
        <row r="1084">
          <cell r="BN1084" t="str">
            <v>250/0.8/10000</v>
          </cell>
          <cell r="BO1084">
            <v>0.70763153423117153</v>
          </cell>
          <cell r="BP1084">
            <v>0.76846952282928449</v>
          </cell>
          <cell r="BQ1084">
            <v>0.71131588110116661</v>
          </cell>
          <cell r="BR1084">
            <v>0.70180984103674171</v>
          </cell>
          <cell r="BS1084">
            <v>0.68916668077227561</v>
          </cell>
          <cell r="BT1084">
            <v>0.66620019580360845</v>
          </cell>
          <cell r="BU1084">
            <v>0.78632225390253085</v>
          </cell>
          <cell r="BV1084">
            <v>0.76974305860175807</v>
          </cell>
          <cell r="BY1084" t="str">
            <v>0/0.6/7500</v>
          </cell>
          <cell r="BZ1084">
            <v>2.2264335919694123E-2</v>
          </cell>
          <cell r="CA1084">
            <v>2.1886840440799027E-2</v>
          </cell>
        </row>
        <row r="1085">
          <cell r="BN1085" t="str">
            <v>250/0.8/99999</v>
          </cell>
          <cell r="BO1085">
            <v>0.65506344385545145</v>
          </cell>
          <cell r="BP1085">
            <v>0.74572405992752933</v>
          </cell>
          <cell r="BQ1085">
            <v>0.65963733050782625</v>
          </cell>
          <cell r="BR1085">
            <v>0.64476583936654885</v>
          </cell>
          <cell r="BS1085">
            <v>0.64384193682864366</v>
          </cell>
          <cell r="BT1085">
            <v>0.61128323338542745</v>
          </cell>
          <cell r="BU1085">
            <v>0.72772812544243803</v>
          </cell>
          <cell r="BV1085">
            <v>0.72418077090051602</v>
          </cell>
          <cell r="BY1085" t="str">
            <v>0/0.6/8000</v>
          </cell>
          <cell r="BZ1085">
            <v>2.213434236144729E-2</v>
          </cell>
          <cell r="CA1085">
            <v>2.1756773094690596E-2</v>
          </cell>
        </row>
        <row r="1086">
          <cell r="BY1086" t="str">
            <v>0/0.6/9000</v>
          </cell>
          <cell r="BZ1086">
            <v>2.1903712222542282E-2</v>
          </cell>
          <cell r="CA1086">
            <v>2.1511399537942122E-2</v>
          </cell>
        </row>
        <row r="1087">
          <cell r="BN1087" t="str">
            <v>300/0.8/1000</v>
          </cell>
          <cell r="BO1087">
            <v>0.87751547586540557</v>
          </cell>
          <cell r="BP1087">
            <v>0.87943609643649578</v>
          </cell>
          <cell r="BQ1087">
            <v>0.88041717766054517</v>
          </cell>
          <cell r="BR1087">
            <v>0.87765702749145236</v>
          </cell>
          <cell r="BS1087">
            <v>0.86935111577420954</v>
          </cell>
          <cell r="BT1087">
            <v>0.83233506597815499</v>
          </cell>
          <cell r="BU1087">
            <v>0.95706566845329299</v>
          </cell>
          <cell r="BV1087">
            <v>0.94164436512730021</v>
          </cell>
          <cell r="BY1087" t="str">
            <v>0/0.6/10000</v>
          </cell>
          <cell r="BZ1087">
            <v>2.1677502951644945E-2</v>
          </cell>
          <cell r="CA1087">
            <v>2.1294886467790874E-2</v>
          </cell>
        </row>
        <row r="1088">
          <cell r="BN1088" t="str">
            <v>300/0.8/1250</v>
          </cell>
          <cell r="BO1088">
            <v>0.85442240251155788</v>
          </cell>
          <cell r="BP1088">
            <v>0.85811456237554751</v>
          </cell>
          <cell r="BQ1088">
            <v>0.8575782395340027</v>
          </cell>
          <cell r="BR1088">
            <v>0.85435480236950756</v>
          </cell>
          <cell r="BS1088">
            <v>0.84382002779419019</v>
          </cell>
          <cell r="BT1088">
            <v>0.80745599956347036</v>
          </cell>
          <cell r="BU1088">
            <v>0.93216023392736047</v>
          </cell>
          <cell r="BV1088">
            <v>0.91406015740079904</v>
          </cell>
          <cell r="BY1088" t="str">
            <v>0/0.6/99999</v>
          </cell>
          <cell r="BZ1088">
            <v>1.8307265000029549E-2</v>
          </cell>
          <cell r="CA1088">
            <v>1.8361081052080674E-2</v>
          </cell>
        </row>
        <row r="1089">
          <cell r="BN1089" t="str">
            <v>300/0.8/1500</v>
          </cell>
          <cell r="BO1089">
            <v>0.83667961595075502</v>
          </cell>
          <cell r="BP1089">
            <v>0.84250813357216936</v>
          </cell>
          <cell r="BQ1089">
            <v>0.84009228388929091</v>
          </cell>
          <cell r="BR1089">
            <v>0.83642084901167391</v>
          </cell>
          <cell r="BS1089">
            <v>0.82374500479912671</v>
          </cell>
          <cell r="BT1089">
            <v>0.78822791732905895</v>
          </cell>
          <cell r="BU1089">
            <v>0.91198793824099977</v>
          </cell>
          <cell r="BV1089">
            <v>0.89169931701584393</v>
          </cell>
          <cell r="BY1089" t="str">
            <v>250/0.6/250</v>
          </cell>
          <cell r="BZ1089">
            <v>2.7145315163161321E-2</v>
          </cell>
          <cell r="CA1089">
            <v>2.7349303420450832E-2</v>
          </cell>
        </row>
        <row r="1090">
          <cell r="BN1090" t="str">
            <v>300/0.8/1750</v>
          </cell>
          <cell r="BO1090">
            <v>0.82300609927383928</v>
          </cell>
          <cell r="BP1090">
            <v>0.83185949678473525</v>
          </cell>
          <cell r="BQ1090">
            <v>0.82660754844762208</v>
          </cell>
          <cell r="BR1090">
            <v>0.82248364135538932</v>
          </cell>
          <cell r="BS1090">
            <v>0.80786980287400556</v>
          </cell>
          <cell r="BT1090">
            <v>0.7730012905217043</v>
          </cell>
          <cell r="BU1090">
            <v>0.89614274755101386</v>
          </cell>
          <cell r="BV1090">
            <v>0.87550624335215366</v>
          </cell>
          <cell r="BY1090" t="str">
            <v>250/0.6/500</v>
          </cell>
          <cell r="BZ1090">
            <v>2.6494275658649258E-2</v>
          </cell>
          <cell r="CA1090">
            <v>2.6570273148413426E-2</v>
          </cell>
        </row>
        <row r="1091">
          <cell r="BN1091" t="str">
            <v>300/0.8/2000</v>
          </cell>
          <cell r="BO1091">
            <v>0.80933258259692353</v>
          </cell>
          <cell r="BP1091">
            <v>0.82121085999730126</v>
          </cell>
          <cell r="BQ1091">
            <v>0.81312281300595313</v>
          </cell>
          <cell r="BR1091">
            <v>0.80854643369910484</v>
          </cell>
          <cell r="BS1091">
            <v>0.79199460094888441</v>
          </cell>
          <cell r="BT1091">
            <v>0.75777466371434976</v>
          </cell>
          <cell r="BU1091">
            <v>0.88029755686102795</v>
          </cell>
          <cell r="BV1091">
            <v>0.8593131696884635</v>
          </cell>
          <cell r="BY1091" t="str">
            <v>250/0.6/750</v>
          </cell>
          <cell r="BZ1091">
            <v>2.597493267082851E-2</v>
          </cell>
          <cell r="CA1091">
            <v>2.5992796156570241E-2</v>
          </cell>
        </row>
        <row r="1092">
          <cell r="BN1092" t="str">
            <v>300/0.8/2250</v>
          </cell>
          <cell r="BO1092">
            <v>0.79859722838427227</v>
          </cell>
          <cell r="BP1092">
            <v>0.81420828582425375</v>
          </cell>
          <cell r="BQ1092">
            <v>0.80244624688223409</v>
          </cell>
          <cell r="BR1092">
            <v>0.79764398175100837</v>
          </cell>
          <cell r="BS1092">
            <v>0.78058205391291247</v>
          </cell>
          <cell r="BT1092">
            <v>0.74545302014946757</v>
          </cell>
          <cell r="BU1092">
            <v>0.86766696168866919</v>
          </cell>
          <cell r="BV1092">
            <v>0.85020196446081764</v>
          </cell>
          <cell r="BY1092" t="str">
            <v>250/0.6/1000</v>
          </cell>
          <cell r="BZ1092">
            <v>2.5563246352291236E-2</v>
          </cell>
          <cell r="CA1092">
            <v>2.5538629072948682E-2</v>
          </cell>
        </row>
        <row r="1093">
          <cell r="BN1093" t="str">
            <v>300/0.8/2500</v>
          </cell>
          <cell r="BO1093">
            <v>0.78844385773415371</v>
          </cell>
          <cell r="BP1093">
            <v>0.80860984288297011</v>
          </cell>
          <cell r="BQ1093">
            <v>0.79236494407194791</v>
          </cell>
          <cell r="BR1093">
            <v>0.78751663946372075</v>
          </cell>
          <cell r="BS1093">
            <v>0.76971760469191586</v>
          </cell>
          <cell r="BT1093">
            <v>0.73532755397629257</v>
          </cell>
          <cell r="BU1093">
            <v>0.85946812321821797</v>
          </cell>
          <cell r="BV1093">
            <v>0.84219179070089234</v>
          </cell>
          <cell r="BY1093" t="str">
            <v>250/0.6/1250</v>
          </cell>
          <cell r="BZ1093">
            <v>2.5225142032062386E-2</v>
          </cell>
          <cell r="CA1093">
            <v>2.5159981007951915E-2</v>
          </cell>
        </row>
        <row r="1094">
          <cell r="BN1094" t="str">
            <v>300/0.8/2750</v>
          </cell>
          <cell r="BO1094">
            <v>0.78081990905606757</v>
          </cell>
          <cell r="BP1094">
            <v>0.80381935044062802</v>
          </cell>
          <cell r="BQ1094">
            <v>0.78516429792566911</v>
          </cell>
          <cell r="BR1094">
            <v>0.77853377962296411</v>
          </cell>
          <cell r="BS1094">
            <v>0.7609126010583479</v>
          </cell>
          <cell r="BT1094">
            <v>0.7255637754572819</v>
          </cell>
          <cell r="BU1094">
            <v>0.85265750395801121</v>
          </cell>
          <cell r="BV1094">
            <v>0.83530707996698594</v>
          </cell>
          <cell r="BY1094" t="str">
            <v>250/0.6/1500</v>
          </cell>
          <cell r="BZ1094">
            <v>2.4933942396381248E-2</v>
          </cell>
          <cell r="CA1094">
            <v>2.4829405596795029E-2</v>
          </cell>
        </row>
        <row r="1095">
          <cell r="BN1095" t="str">
            <v>300/0.8/3000</v>
          </cell>
          <cell r="BO1095">
            <v>0.77417790540088405</v>
          </cell>
          <cell r="BP1095">
            <v>0.79996473599766793</v>
          </cell>
          <cell r="BQ1095">
            <v>0.77852834699515328</v>
          </cell>
          <cell r="BR1095">
            <v>0.77191373081862413</v>
          </cell>
          <cell r="BS1095">
            <v>0.75381431128760834</v>
          </cell>
          <cell r="BT1095">
            <v>0.72006743158146813</v>
          </cell>
          <cell r="BU1095">
            <v>0.84729121370831062</v>
          </cell>
          <cell r="BV1095">
            <v>0.82974863451351688</v>
          </cell>
          <cell r="BY1095" t="str">
            <v>250/0.6/1750</v>
          </cell>
          <cell r="BZ1095">
            <v>2.4683976785877526E-2</v>
          </cell>
          <cell r="CA1095">
            <v>2.4548499766962051E-2</v>
          </cell>
        </row>
        <row r="1096">
          <cell r="BN1096" t="str">
            <v>300/0.8/3250</v>
          </cell>
          <cell r="BO1096">
            <v>0.76778929731295298</v>
          </cell>
          <cell r="BP1096">
            <v>0.79680381186522409</v>
          </cell>
          <cell r="BQ1096">
            <v>0.77227267079434103</v>
          </cell>
          <cell r="BR1096">
            <v>0.76548742474418119</v>
          </cell>
          <cell r="BS1096">
            <v>0.74753302100998342</v>
          </cell>
          <cell r="BT1096">
            <v>0.71539849272636169</v>
          </cell>
          <cell r="BU1096">
            <v>0.84198371577437925</v>
          </cell>
          <cell r="BV1096">
            <v>0.82443475691305879</v>
          </cell>
          <cell r="BY1096" t="str">
            <v>250/0.6/2000</v>
          </cell>
          <cell r="BZ1096">
            <v>2.4434011175373804E-2</v>
          </cell>
          <cell r="CA1096">
            <v>2.4267593937129073E-2</v>
          </cell>
        </row>
        <row r="1097">
          <cell r="BN1097" t="str">
            <v>300/0.8/3500</v>
          </cell>
          <cell r="BO1097">
            <v>0.76140068922502191</v>
          </cell>
          <cell r="BP1097">
            <v>0.79364288773278024</v>
          </cell>
          <cell r="BQ1097">
            <v>0.7660169945935289</v>
          </cell>
          <cell r="BR1097">
            <v>0.75906111866973824</v>
          </cell>
          <cell r="BS1097">
            <v>0.7412517307323585</v>
          </cell>
          <cell r="BT1097">
            <v>0.71072955387125525</v>
          </cell>
          <cell r="BU1097">
            <v>0.83667621784044777</v>
          </cell>
          <cell r="BV1097">
            <v>0.81912087931260069</v>
          </cell>
          <cell r="BY1097" t="str">
            <v>250/0.6/2250</v>
          </cell>
          <cell r="BZ1097">
            <v>2.4221015070337026E-2</v>
          </cell>
          <cell r="CA1097">
            <v>2.4025291025718598E-2</v>
          </cell>
        </row>
        <row r="1098">
          <cell r="BN1098" t="str">
            <v>300/0.8/3750</v>
          </cell>
          <cell r="BO1098">
            <v>0.75657078436363701</v>
          </cell>
          <cell r="BP1098">
            <v>0.79092064476823754</v>
          </cell>
          <cell r="BQ1098">
            <v>0.7612283999210514</v>
          </cell>
          <cell r="BR1098">
            <v>0.75356685008103863</v>
          </cell>
          <cell r="BS1098">
            <v>0.73571757703904228</v>
          </cell>
          <cell r="BT1098">
            <v>0.70650857250161203</v>
          </cell>
          <cell r="BU1098">
            <v>0.83254160286835099</v>
          </cell>
          <cell r="BV1098">
            <v>0.81484074284697838</v>
          </cell>
          <cell r="BY1098" t="str">
            <v>250/0.6/2500</v>
          </cell>
          <cell r="BZ1098">
            <v>2.4024684319084555E-2</v>
          </cell>
          <cell r="CA1098">
            <v>2.3798139013877506E-2</v>
          </cell>
        </row>
        <row r="1099">
          <cell r="BN1099" t="str">
            <v>300/0.8/4000</v>
          </cell>
          <cell r="BO1099">
            <v>0.7517408795022521</v>
          </cell>
          <cell r="BP1099">
            <v>0.78819840180369471</v>
          </cell>
          <cell r="BQ1099">
            <v>0.75643980524857379</v>
          </cell>
          <cell r="BR1099">
            <v>0.74807258149233891</v>
          </cell>
          <cell r="BS1099">
            <v>0.73018342334572595</v>
          </cell>
          <cell r="BT1099">
            <v>0.7022875911319687</v>
          </cell>
          <cell r="BU1099">
            <v>0.82840698789625422</v>
          </cell>
          <cell r="BV1099">
            <v>0.81056060638135607</v>
          </cell>
          <cell r="BY1099" t="str">
            <v>250/0.6/2750</v>
          </cell>
          <cell r="BZ1099">
            <v>2.3840675033075964E-2</v>
          </cell>
          <cell r="CA1099">
            <v>2.3583629721927846E-2</v>
          </cell>
        </row>
        <row r="1100">
          <cell r="BN1100" t="str">
            <v>300/0.8/4250</v>
          </cell>
          <cell r="BO1100">
            <v>0.74728926338812673</v>
          </cell>
          <cell r="BP1100">
            <v>0.78605499856623373</v>
          </cell>
          <cell r="BQ1100">
            <v>0.7521050834341686</v>
          </cell>
          <cell r="BR1100">
            <v>0.74357021990294947</v>
          </cell>
          <cell r="BS1100">
            <v>0.72609465781847848</v>
          </cell>
          <cell r="BT1100">
            <v>0.69906093707092309</v>
          </cell>
          <cell r="BU1100">
            <v>0.8246707315664199</v>
          </cell>
          <cell r="BV1100">
            <v>0.80682730210307074</v>
          </cell>
          <cell r="BY1100" t="str">
            <v>250/0.6/3000</v>
          </cell>
          <cell r="BZ1100">
            <v>2.3668587854133838E-2</v>
          </cell>
          <cell r="CA1100">
            <v>2.3383875624481298E-2</v>
          </cell>
        </row>
        <row r="1101">
          <cell r="BN1101" t="str">
            <v>300/0.8/4500</v>
          </cell>
          <cell r="BO1101">
            <v>0.74283764727400137</v>
          </cell>
          <cell r="BP1101">
            <v>0.78391159532877286</v>
          </cell>
          <cell r="BQ1101">
            <v>0.7477703616197634</v>
          </cell>
          <cell r="BR1101">
            <v>0.73906785831356014</v>
          </cell>
          <cell r="BS1101">
            <v>0.72200589229123102</v>
          </cell>
          <cell r="BT1101">
            <v>0.69583428300987749</v>
          </cell>
          <cell r="BU1101">
            <v>0.82093447523658547</v>
          </cell>
          <cell r="BV1101">
            <v>0.80309399782478552</v>
          </cell>
          <cell r="BY1101" t="str">
            <v>250/0.6/3250</v>
          </cell>
          <cell r="BZ1101">
            <v>2.3513473906625615E-2</v>
          </cell>
          <cell r="CA1101">
            <v>2.3200159296288159E-2</v>
          </cell>
        </row>
        <row r="1102">
          <cell r="BN1102" t="str">
            <v>300/0.8/4750</v>
          </cell>
          <cell r="BO1102">
            <v>0.73973200042494813</v>
          </cell>
          <cell r="BP1102">
            <v>0.78251882749555057</v>
          </cell>
          <cell r="BQ1102">
            <v>0.74466667788377738</v>
          </cell>
          <cell r="BR1102">
            <v>0.73545588309539767</v>
          </cell>
          <cell r="BS1102">
            <v>0.7193881222796189</v>
          </cell>
          <cell r="BT1102">
            <v>0.69304309339234438</v>
          </cell>
          <cell r="BU1102">
            <v>0.81789309110088104</v>
          </cell>
          <cell r="BV1102">
            <v>0.79992468357044766</v>
          </cell>
          <cell r="BY1102" t="str">
            <v>250/0.6/3500</v>
          </cell>
          <cell r="BZ1102">
            <v>2.3358359959117392E-2</v>
          </cell>
          <cell r="CA1102">
            <v>2.3016442968095019E-2</v>
          </cell>
        </row>
        <row r="1103">
          <cell r="BN1103" t="str">
            <v>300/0.8/5000</v>
          </cell>
          <cell r="BO1103">
            <v>0.7366263535758949</v>
          </cell>
          <cell r="BP1103">
            <v>0.78112605966232829</v>
          </cell>
          <cell r="BQ1103">
            <v>0.74156299414779125</v>
          </cell>
          <cell r="BR1103">
            <v>0.73184390787723508</v>
          </cell>
          <cell r="BS1103">
            <v>0.71677035226800678</v>
          </cell>
          <cell r="BT1103">
            <v>0.69025190377481127</v>
          </cell>
          <cell r="BU1103">
            <v>0.8148517069651765</v>
          </cell>
          <cell r="BV1103">
            <v>0.7967553693161098</v>
          </cell>
          <cell r="BY1103" t="str">
            <v>250/0.6/3750</v>
          </cell>
          <cell r="BZ1103">
            <v>2.321839971371098E-2</v>
          </cell>
          <cell r="CA1103">
            <v>2.2860938304492762E-2</v>
          </cell>
        </row>
        <row r="1104">
          <cell r="BN1104" t="str">
            <v>300/0.8/5250</v>
          </cell>
          <cell r="BO1104">
            <v>0.73358134619026938</v>
          </cell>
          <cell r="BP1104">
            <v>0.77982525830956728</v>
          </cell>
          <cell r="BQ1104">
            <v>0.73860690578762545</v>
          </cell>
          <cell r="BR1104">
            <v>0.72874749187837085</v>
          </cell>
          <cell r="BS1104">
            <v>0.71448722563302514</v>
          </cell>
          <cell r="BT1104">
            <v>0.68800036250879693</v>
          </cell>
          <cell r="BU1104">
            <v>0.81202773491388835</v>
          </cell>
          <cell r="BV1104">
            <v>0.79409288767618635</v>
          </cell>
          <cell r="BY1104" t="str">
            <v>250/0.6/4000</v>
          </cell>
          <cell r="BZ1104">
            <v>2.3078439468304568E-2</v>
          </cell>
          <cell r="CA1104">
            <v>2.2705433640890504E-2</v>
          </cell>
        </row>
        <row r="1105">
          <cell r="BN1105" t="str">
            <v>300/0.8/5500</v>
          </cell>
          <cell r="BO1105">
            <v>0.73053633880464386</v>
          </cell>
          <cell r="BP1105">
            <v>0.77852445695680628</v>
          </cell>
          <cell r="BQ1105">
            <v>0.73565081742745975</v>
          </cell>
          <cell r="BR1105">
            <v>0.72565107587950661</v>
          </cell>
          <cell r="BS1105">
            <v>0.71220409899804349</v>
          </cell>
          <cell r="BT1105">
            <v>0.68574882124278247</v>
          </cell>
          <cell r="BU1105">
            <v>0.80920376286260021</v>
          </cell>
          <cell r="BV1105">
            <v>0.7914304060362628</v>
          </cell>
          <cell r="BY1105" t="str">
            <v>250/0.6/4250</v>
          </cell>
          <cell r="BZ1105">
            <v>2.2951747854873639E-2</v>
          </cell>
          <cell r="CA1105">
            <v>2.2571339490024989E-2</v>
          </cell>
        </row>
        <row r="1106">
          <cell r="BN1106" t="str">
            <v>300/0.8/5750</v>
          </cell>
          <cell r="BO1106">
            <v>0.72806733478039198</v>
          </cell>
          <cell r="BP1106">
            <v>0.77722295128445573</v>
          </cell>
          <cell r="BQ1106">
            <v>0.73318152490457855</v>
          </cell>
          <cell r="BR1106">
            <v>0.72348641496881783</v>
          </cell>
          <cell r="BS1106">
            <v>0.71002414723523355</v>
          </cell>
          <cell r="BT1106">
            <v>0.68358295080757414</v>
          </cell>
          <cell r="BU1106">
            <v>0.8068771677077371</v>
          </cell>
          <cell r="BV1106">
            <v>0.7888929353889822</v>
          </cell>
          <cell r="BY1106" t="str">
            <v>250/0.6/4500</v>
          </cell>
          <cell r="BZ1106">
            <v>2.2825056241442709E-2</v>
          </cell>
          <cell r="CA1106">
            <v>2.2437245339159473E-2</v>
          </cell>
        </row>
        <row r="1107">
          <cell r="BN1107" t="str">
            <v>300/0.8/6000</v>
          </cell>
          <cell r="BO1107">
            <v>0.72559833075614011</v>
          </cell>
          <cell r="BP1107">
            <v>0.77592144561210519</v>
          </cell>
          <cell r="BQ1107">
            <v>0.73071223238169725</v>
          </cell>
          <cell r="BR1107">
            <v>0.72132175405812893</v>
          </cell>
          <cell r="BS1107">
            <v>0.70784419547242361</v>
          </cell>
          <cell r="BT1107">
            <v>0.6814170803723657</v>
          </cell>
          <cell r="BU1107">
            <v>0.80455057255287399</v>
          </cell>
          <cell r="BV1107">
            <v>0.78635546474170159</v>
          </cell>
          <cell r="BY1107" t="str">
            <v>250/0.6/4750</v>
          </cell>
          <cell r="BZ1107">
            <v>2.2702671948112263E-2</v>
          </cell>
          <cell r="CA1107">
            <v>2.2305574557214713E-2</v>
          </cell>
        </row>
        <row r="1108">
          <cell r="BN1108" t="str">
            <v>300/0.8/6250</v>
          </cell>
          <cell r="BO1108">
            <v>0.7236405674617179</v>
          </cell>
          <cell r="BP1108">
            <v>0.77467396504598895</v>
          </cell>
          <cell r="BQ1108">
            <v>0.72824151527360792</v>
          </cell>
          <cell r="BR1108">
            <v>0.71952886128564597</v>
          </cell>
          <cell r="BS1108">
            <v>0.70604851496134524</v>
          </cell>
          <cell r="BT1108">
            <v>0.67962499611638472</v>
          </cell>
          <cell r="BU1108">
            <v>0.80230886990911565</v>
          </cell>
          <cell r="BV1108">
            <v>0.78426504008021913</v>
          </cell>
          <cell r="BY1108" t="str">
            <v>250/0.6/5000</v>
          </cell>
          <cell r="BZ1108">
            <v>2.2580287654781817E-2</v>
          </cell>
          <cell r="CA1108">
            <v>2.2173903775269954E-2</v>
          </cell>
        </row>
        <row r="1109">
          <cell r="BN1109" t="str">
            <v>300/0.8/6350</v>
          </cell>
          <cell r="BO1109">
            <v>0.72292293193526214</v>
          </cell>
          <cell r="BP1109">
            <v>0.77437128593141813</v>
          </cell>
          <cell r="BQ1109">
            <v>0.72725296250779958</v>
          </cell>
          <cell r="BR1109">
            <v>0.71881152245034075</v>
          </cell>
          <cell r="BS1109">
            <v>0.7053261346310512</v>
          </cell>
          <cell r="BT1109">
            <v>0.67890798642371597</v>
          </cell>
          <cell r="BU1109">
            <v>0.80141180489085206</v>
          </cell>
          <cell r="BV1109">
            <v>0.78350440806393873</v>
          </cell>
          <cell r="BY1109" t="str">
            <v>250/0.6/5250</v>
          </cell>
          <cell r="BZ1109">
            <v>2.2456975994336936E-2</v>
          </cell>
          <cell r="CA1109">
            <v>2.2069149677637623E-2</v>
          </cell>
        </row>
        <row r="1110">
          <cell r="BN1110" t="str">
            <v>300/0.8/6600</v>
          </cell>
          <cell r="BO1110">
            <v>0.72112836716961193</v>
          </cell>
          <cell r="BP1110">
            <v>0.77361458814498996</v>
          </cell>
          <cell r="BQ1110">
            <v>0.72484070526023492</v>
          </cell>
          <cell r="BR1110">
            <v>0.71701772104629313</v>
          </cell>
          <cell r="BS1110">
            <v>0.70350991349066216</v>
          </cell>
          <cell r="BT1110">
            <v>0.67711502221635722</v>
          </cell>
          <cell r="BU1110">
            <v>0.79916818244329235</v>
          </cell>
          <cell r="BV1110">
            <v>0.78159176569017619</v>
          </cell>
          <cell r="BY1110" t="str">
            <v>250/0.6/5500</v>
          </cell>
          <cell r="BZ1110">
            <v>2.2333664333892056E-2</v>
          </cell>
          <cell r="CA1110">
            <v>2.1964395580005291E-2</v>
          </cell>
        </row>
        <row r="1111">
          <cell r="BN1111" t="str">
            <v>300/0.8/6850</v>
          </cell>
          <cell r="BO1111">
            <v>0.71933312247608638</v>
          </cell>
          <cell r="BP1111">
            <v>0.77285789035856245</v>
          </cell>
          <cell r="BQ1111">
            <v>0.72314435498653251</v>
          </cell>
          <cell r="BR1111">
            <v>0.71522327061969926</v>
          </cell>
          <cell r="BS1111">
            <v>0.70167902047219377</v>
          </cell>
          <cell r="BT1111">
            <v>0.67532142947229723</v>
          </cell>
          <cell r="BU1111">
            <v>0.79692318870730516</v>
          </cell>
          <cell r="BV1111">
            <v>0.77966331998347593</v>
          </cell>
          <cell r="BY1111" t="str">
            <v>250/0.6/5750</v>
          </cell>
          <cell r="BZ1111">
            <v>2.2251228296782277E-2</v>
          </cell>
          <cell r="CA1111">
            <v>2.1873415329111245E-2</v>
          </cell>
        </row>
        <row r="1112">
          <cell r="BN1112" t="str">
            <v>300/0.8/7500</v>
          </cell>
          <cell r="BO1112">
            <v>0.715979924957998</v>
          </cell>
          <cell r="BP1112">
            <v>0.77089047611385098</v>
          </cell>
          <cell r="BQ1112">
            <v>0.71987600941154706</v>
          </cell>
          <cell r="BR1112">
            <v>0.71091107384036456</v>
          </cell>
          <cell r="BS1112">
            <v>0.69710316272858885</v>
          </cell>
          <cell r="BT1112">
            <v>0.67088805190771728</v>
          </cell>
          <cell r="BU1112">
            <v>0.79287400778434092</v>
          </cell>
          <cell r="BV1112">
            <v>0.77457540154789661</v>
          </cell>
          <cell r="BY1112" t="str">
            <v>250/0.6/6000</v>
          </cell>
          <cell r="BZ1112">
            <v>2.2168792259672498E-2</v>
          </cell>
          <cell r="CA1112">
            <v>2.1782435078217199E-2</v>
          </cell>
        </row>
        <row r="1113">
          <cell r="BN1113" t="str">
            <v>300/0.8/10000</v>
          </cell>
          <cell r="BO1113">
            <v>0.70469872162395553</v>
          </cell>
          <cell r="BP1113">
            <v>0.7644914719814716</v>
          </cell>
          <cell r="BQ1113">
            <v>0.70872315817765008</v>
          </cell>
          <cell r="BR1113">
            <v>0.69890492043763208</v>
          </cell>
          <cell r="BS1113">
            <v>0.68634883988720341</v>
          </cell>
          <cell r="BT1113">
            <v>0.65896767471841766</v>
          </cell>
          <cell r="BU1113">
            <v>0.77929623654063318</v>
          </cell>
          <cell r="BV1113">
            <v>0.76236998018144397</v>
          </cell>
          <cell r="BY1113" t="str">
            <v>250/0.6/6250</v>
          </cell>
          <cell r="BZ1113">
            <v>2.2087914780281048E-2</v>
          </cell>
          <cell r="CA1113">
            <v>2.1690813465093939E-2</v>
          </cell>
        </row>
        <row r="1114">
          <cell r="BN1114" t="str">
            <v>300/0.8/99999</v>
          </cell>
          <cell r="BO1114">
            <v>0.65196468151350806</v>
          </cell>
          <cell r="BP1114">
            <v>0.74164456053644234</v>
          </cell>
          <cell r="BQ1114">
            <v>0.65687603980262088</v>
          </cell>
          <cell r="BR1114">
            <v>0.64168169538155706</v>
          </cell>
          <cell r="BS1114">
            <v>0.64084858238874332</v>
          </cell>
          <cell r="BT1114">
            <v>0.60390200455737741</v>
          </cell>
          <cell r="BU1114">
            <v>0.7203701645290479</v>
          </cell>
          <cell r="BV1114">
            <v>0.71657892410139346</v>
          </cell>
          <cell r="BY1114" t="str">
            <v>250/0.6/6350</v>
          </cell>
          <cell r="BZ1114">
            <v>2.2055541148249924E-2</v>
          </cell>
          <cell r="CA1114">
            <v>2.1654036042589642E-2</v>
          </cell>
        </row>
        <row r="1115">
          <cell r="BY1115" t="str">
            <v>250/0.6/6600</v>
          </cell>
          <cell r="BZ1115">
            <v>2.19745504674842E-2</v>
          </cell>
          <cell r="CA1115">
            <v>2.1573936339526423E-2</v>
          </cell>
        </row>
        <row r="1116">
          <cell r="BN1116" t="str">
            <v>500/0.8/1000</v>
          </cell>
          <cell r="BO1116">
            <v>0.88001212652803296</v>
          </cell>
          <cell r="BP1116">
            <v>0.88190567150068444</v>
          </cell>
          <cell r="BQ1116">
            <v>0.88493837160385347</v>
          </cell>
          <cell r="BR1116">
            <v>0.88028795860808673</v>
          </cell>
          <cell r="BS1116">
            <v>0.8737748727163126</v>
          </cell>
          <cell r="BT1116">
            <v>0.81429995365318353</v>
          </cell>
          <cell r="BU1116">
            <v>0.93985951580960203</v>
          </cell>
          <cell r="BV1116">
            <v>0.92434162035520617</v>
          </cell>
          <cell r="BY1116" t="str">
            <v>250/0.6/6850</v>
          </cell>
          <cell r="BZ1116">
            <v>2.1893478928594279E-2</v>
          </cell>
          <cell r="CA1116">
            <v>2.1497882022802894E-2</v>
          </cell>
        </row>
        <row r="1117">
          <cell r="BN1117" t="str">
            <v>500/0.8/1250</v>
          </cell>
          <cell r="BO1117">
            <v>0.85441341041951435</v>
          </cell>
          <cell r="BP1117">
            <v>0.85790212722793735</v>
          </cell>
          <cell r="BQ1117">
            <v>0.85954259828007384</v>
          </cell>
          <cell r="BR1117">
            <v>0.85463016289262028</v>
          </cell>
          <cell r="BS1117">
            <v>0.84560503818926114</v>
          </cell>
          <cell r="BT1117">
            <v>0.78711729012569964</v>
          </cell>
          <cell r="BU1117">
            <v>0.91154191472618118</v>
          </cell>
          <cell r="BV1117">
            <v>0.89271485183639809</v>
          </cell>
          <cell r="BY1117" t="str">
            <v>250/0.6/7500</v>
          </cell>
          <cell r="BZ1117">
            <v>2.1682314511457523E-2</v>
          </cell>
          <cell r="CA1117">
            <v>2.1298487971171731E-2</v>
          </cell>
        </row>
        <row r="1118">
          <cell r="BN1118" t="str">
            <v>500/0.8/1500</v>
          </cell>
          <cell r="BO1118">
            <v>0.83253589511838444</v>
          </cell>
          <cell r="BP1118">
            <v>0.83785496313824459</v>
          </cell>
          <cell r="BQ1118">
            <v>0.83788636188053045</v>
          </cell>
          <cell r="BR1118">
            <v>0.8325299679040653</v>
          </cell>
          <cell r="BS1118">
            <v>0.82126982604901322</v>
          </cell>
          <cell r="BT1118">
            <v>0.76370344527359335</v>
          </cell>
          <cell r="BU1118">
            <v>0.88857630748035765</v>
          </cell>
          <cell r="BV1118">
            <v>0.8674686953914007</v>
          </cell>
          <cell r="BY1118" t="str">
            <v>250/0.6/8000</v>
          </cell>
          <cell r="BZ1118">
            <v>2.153752269082343E-2</v>
          </cell>
          <cell r="CA1118">
            <v>2.1157940599280334E-2</v>
          </cell>
        </row>
        <row r="1119">
          <cell r="BN1119" t="str">
            <v>500/0.8/1750</v>
          </cell>
          <cell r="BO1119">
            <v>0.81696171957256236</v>
          </cell>
          <cell r="BP1119">
            <v>0.82490364327212051</v>
          </cell>
          <cell r="BQ1119">
            <v>0.82252994618903241</v>
          </cell>
          <cell r="BR1119">
            <v>0.81672594138217591</v>
          </cell>
          <cell r="BS1119">
            <v>0.8032150674187406</v>
          </cell>
          <cell r="BT1119">
            <v>0.74686857243912619</v>
          </cell>
          <cell r="BU1119">
            <v>0.87302923263272392</v>
          </cell>
          <cell r="BV1119">
            <v>0.85325534176209228</v>
          </cell>
          <cell r="BY1119" t="str">
            <v>250/0.6/9000</v>
          </cell>
          <cell r="BZ1119">
            <v>2.1306959652325874E-2</v>
          </cell>
          <cell r="CA1119">
            <v>2.0913350033478384E-2</v>
          </cell>
        </row>
        <row r="1120">
          <cell r="BN1120" t="str">
            <v>500/0.8/2000</v>
          </cell>
          <cell r="BO1120">
            <v>0.80138754402674028</v>
          </cell>
          <cell r="BP1120">
            <v>0.81195232340599643</v>
          </cell>
          <cell r="BQ1120">
            <v>0.80717353049753437</v>
          </cell>
          <cell r="BR1120">
            <v>0.80092191486028641</v>
          </cell>
          <cell r="BS1120">
            <v>0.7851603087884681</v>
          </cell>
          <cell r="BT1120">
            <v>0.73003369960465891</v>
          </cell>
          <cell r="BU1120">
            <v>0.85748215778509018</v>
          </cell>
          <cell r="BV1120">
            <v>0.83904198813278386</v>
          </cell>
          <cell r="BY1120" t="str">
            <v>250/0.6/10000</v>
          </cell>
          <cell r="BZ1120">
            <v>2.1076721355088646E-2</v>
          </cell>
          <cell r="CA1120">
            <v>2.0686626324086577E-2</v>
          </cell>
        </row>
        <row r="1121">
          <cell r="BN1121" t="str">
            <v>500/0.8/2250</v>
          </cell>
          <cell r="BO1121">
            <v>0.79017662439662761</v>
          </cell>
          <cell r="BP1121">
            <v>0.80408554470058025</v>
          </cell>
          <cell r="BQ1121">
            <v>0.79610362007734081</v>
          </cell>
          <cell r="BR1121">
            <v>0.78944404329481255</v>
          </cell>
          <cell r="BS1121">
            <v>0.77280480191452494</v>
          </cell>
          <cell r="BT1121">
            <v>0.7192100205814782</v>
          </cell>
          <cell r="BU1121">
            <v>0.84739511646776278</v>
          </cell>
          <cell r="BV1121">
            <v>0.82782863084469938</v>
          </cell>
          <cell r="BY1121" t="str">
            <v>250/0.6/99999</v>
          </cell>
          <cell r="BZ1121">
            <v>1.7673428301763661E-2</v>
          </cell>
          <cell r="CA1121">
            <v>1.7728610629722086E-2</v>
          </cell>
        </row>
        <row r="1122">
          <cell r="BN1122" t="str">
            <v>500/0.8/2500</v>
          </cell>
          <cell r="BO1122">
            <v>0.77953946922103645</v>
          </cell>
          <cell r="BP1122">
            <v>0.79766414000951147</v>
          </cell>
          <cell r="BQ1122">
            <v>0.78545452147470385</v>
          </cell>
          <cell r="BR1122">
            <v>0.77874559183704706</v>
          </cell>
          <cell r="BS1122">
            <v>0.76146183147146262</v>
          </cell>
          <cell r="BT1122">
            <v>0.71059139618728429</v>
          </cell>
          <cell r="BU1122">
            <v>0.83852833078072087</v>
          </cell>
          <cell r="BV1122">
            <v>0.81940169088274872</v>
          </cell>
          <cell r="BY1122" t="str">
            <v>300/0.6/500</v>
          </cell>
          <cell r="BZ1122">
            <v>2.6462021215474474E-2</v>
          </cell>
          <cell r="CA1122">
            <v>2.6544697705021658E-2</v>
          </cell>
        </row>
        <row r="1123">
          <cell r="BN1123" t="str">
            <v>500/0.8/2750</v>
          </cell>
          <cell r="BO1123">
            <v>0.77004827392745723</v>
          </cell>
          <cell r="BP1123">
            <v>0.79221420461416814</v>
          </cell>
          <cell r="BQ1123">
            <v>0.77645136567712891</v>
          </cell>
          <cell r="BR1123">
            <v>0.76874426526475093</v>
          </cell>
          <cell r="BS1123">
            <v>0.75111194511707635</v>
          </cell>
          <cell r="BT1123">
            <v>0.70354275694793145</v>
          </cell>
          <cell r="BU1123">
            <v>0.83049778438983834</v>
          </cell>
          <cell r="BV1123">
            <v>0.81154619021639662</v>
          </cell>
          <cell r="BY1123" t="str">
            <v>300/0.6/750</v>
          </cell>
          <cell r="BZ1123">
            <v>2.5925308271719016E-2</v>
          </cell>
          <cell r="CA1123">
            <v>2.5944060866263552E-2</v>
          </cell>
        </row>
        <row r="1124">
          <cell r="BN1124" t="str">
            <v>500/0.8/3000</v>
          </cell>
          <cell r="BO1124">
            <v>0.7628560966250254</v>
          </cell>
          <cell r="BP1124">
            <v>0.78777369185192936</v>
          </cell>
          <cell r="BQ1124">
            <v>0.76924804643388489</v>
          </cell>
          <cell r="BR1124">
            <v>0.76073902917720537</v>
          </cell>
          <cell r="BS1124">
            <v>0.74297813408019064</v>
          </cell>
          <cell r="BT1124">
            <v>0.69664754512015625</v>
          </cell>
          <cell r="BU1124">
            <v>0.8245310085255172</v>
          </cell>
          <cell r="BV1124">
            <v>0.8053086919177862</v>
          </cell>
          <cell r="BY1124" t="str">
            <v>300/0.6/1000</v>
          </cell>
          <cell r="BZ1124">
            <v>2.5502394789835625E-2</v>
          </cell>
          <cell r="CA1124">
            <v>2.5477573964355127E-2</v>
          </cell>
        </row>
        <row r="1125">
          <cell r="BN1125" t="str">
            <v>500/0.8/3250</v>
          </cell>
          <cell r="BO1125">
            <v>0.75646276977739713</v>
          </cell>
          <cell r="BP1125">
            <v>0.78444364779485631</v>
          </cell>
          <cell r="BQ1125">
            <v>0.76286282646467973</v>
          </cell>
          <cell r="BR1125">
            <v>0.75431267549526304</v>
          </cell>
          <cell r="BS1125">
            <v>0.73639026982290878</v>
          </cell>
          <cell r="BT1125">
            <v>0.69194648642382939</v>
          </cell>
          <cell r="BU1125">
            <v>0.81917545074182929</v>
          </cell>
          <cell r="BV1125">
            <v>0.79968723682163589</v>
          </cell>
          <cell r="BY1125" t="str">
            <v>300/0.6/1250</v>
          </cell>
          <cell r="BZ1125">
            <v>2.5157830320483798E-2</v>
          </cell>
          <cell r="CA1125">
            <v>2.5090153612804977E-2</v>
          </cell>
        </row>
        <row r="1126">
          <cell r="BN1126" t="str">
            <v>500/0.8/3500</v>
          </cell>
          <cell r="BO1126">
            <v>0.75006944292976896</v>
          </cell>
          <cell r="BP1126">
            <v>0.78111360373778327</v>
          </cell>
          <cell r="BQ1126">
            <v>0.75647760649547469</v>
          </cell>
          <cell r="BR1126">
            <v>0.74788632181332071</v>
          </cell>
          <cell r="BS1126">
            <v>0.72980240556562681</v>
          </cell>
          <cell r="BT1126">
            <v>0.68724542772750263</v>
          </cell>
          <cell r="BU1126">
            <v>0.81381989295814139</v>
          </cell>
          <cell r="BV1126">
            <v>0.79406578172548559</v>
          </cell>
          <cell r="BY1126" t="str">
            <v>300/0.6/1500</v>
          </cell>
          <cell r="BZ1126">
            <v>2.4861283990780692E-2</v>
          </cell>
          <cell r="CA1126">
            <v>2.4754649612286794E-2</v>
          </cell>
        </row>
        <row r="1127">
          <cell r="BN1127" t="str">
            <v>500/0.8/3750</v>
          </cell>
          <cell r="BO1127">
            <v>0.74469198977164974</v>
          </cell>
          <cell r="BP1127">
            <v>0.77814777790973899</v>
          </cell>
          <cell r="BQ1127">
            <v>0.751262266691479</v>
          </cell>
          <cell r="BR1127">
            <v>0.74184776891261761</v>
          </cell>
          <cell r="BS1127">
            <v>0.72485046618627313</v>
          </cell>
          <cell r="BT1127">
            <v>0.68265571944452019</v>
          </cell>
          <cell r="BU1127">
            <v>0.80917708314152659</v>
          </cell>
          <cell r="BV1127">
            <v>0.78960572531068585</v>
          </cell>
          <cell r="BY1127" t="str">
            <v>300/0.6/1750</v>
          </cell>
          <cell r="BZ1127">
            <v>2.4608465040475869E-2</v>
          </cell>
          <cell r="CA1127">
            <v>2.447004911686379E-2</v>
          </cell>
        </row>
        <row r="1128">
          <cell r="BN1128" t="str">
            <v>500/0.8/4000</v>
          </cell>
          <cell r="BO1128">
            <v>0.73931453661353053</v>
          </cell>
          <cell r="BP1128">
            <v>0.77518195208169483</v>
          </cell>
          <cell r="BQ1128">
            <v>0.74604692688748331</v>
          </cell>
          <cell r="BR1128">
            <v>0.73580921601191451</v>
          </cell>
          <cell r="BS1128">
            <v>0.71989852680691957</v>
          </cell>
          <cell r="BT1128">
            <v>0.67806601116153786</v>
          </cell>
          <cell r="BU1128">
            <v>0.80453427332491168</v>
          </cell>
          <cell r="BV1128">
            <v>0.785145668895886</v>
          </cell>
          <cell r="BY1128" t="str">
            <v>300/0.6/2000</v>
          </cell>
          <cell r="BZ1128">
            <v>2.4355646090171046E-2</v>
          </cell>
          <cell r="CA1128">
            <v>2.4185448621440786E-2</v>
          </cell>
        </row>
        <row r="1129">
          <cell r="BN1129" t="str">
            <v>500/0.8/4250</v>
          </cell>
          <cell r="BO1129">
            <v>0.73454747017661837</v>
          </cell>
          <cell r="BP1129">
            <v>0.77276918598816668</v>
          </cell>
          <cell r="BQ1129">
            <v>0.74127878755206988</v>
          </cell>
          <cell r="BR1129">
            <v>0.73103797628710476</v>
          </cell>
          <cell r="BS1129">
            <v>0.71635641194993815</v>
          </cell>
          <cell r="BT1129">
            <v>0.67467417168448085</v>
          </cell>
          <cell r="BU1129">
            <v>0.80079279773854461</v>
          </cell>
          <cell r="BV1129">
            <v>0.78121079302758689</v>
          </cell>
          <cell r="BY1129" t="str">
            <v>300/0.6/2250</v>
          </cell>
          <cell r="BZ1129">
            <v>2.4140034897243812E-2</v>
          </cell>
          <cell r="CA1129">
            <v>2.3939461615268609E-2</v>
          </cell>
        </row>
        <row r="1130">
          <cell r="BN1130" t="str">
            <v>500/0.8/4500</v>
          </cell>
          <cell r="BO1130">
            <v>0.72978040373970621</v>
          </cell>
          <cell r="BP1130">
            <v>0.77035641989463866</v>
          </cell>
          <cell r="BQ1130">
            <v>0.73651064821665657</v>
          </cell>
          <cell r="BR1130">
            <v>0.72626673656229501</v>
          </cell>
          <cell r="BS1130">
            <v>0.71281429709295674</v>
          </cell>
          <cell r="BT1130">
            <v>0.67128233220742373</v>
          </cell>
          <cell r="BU1130">
            <v>0.79705132215217755</v>
          </cell>
          <cell r="BV1130">
            <v>0.7772759171592879</v>
          </cell>
          <cell r="BY1130" t="str">
            <v>300/0.6/2500</v>
          </cell>
          <cell r="BZ1130">
            <v>2.3942232551659393E-2</v>
          </cell>
          <cell r="CA1130">
            <v>2.3710324860875431E-2</v>
          </cell>
        </row>
        <row r="1131">
          <cell r="BN1131" t="str">
            <v>500/0.8/4750</v>
          </cell>
          <cell r="BO1131">
            <v>0.72666268479194351</v>
          </cell>
          <cell r="BP1131">
            <v>0.76881755286929021</v>
          </cell>
          <cell r="BQ1131">
            <v>0.73323496346548889</v>
          </cell>
          <cell r="BR1131">
            <v>0.72323011751772248</v>
          </cell>
          <cell r="BS1131">
            <v>0.70991446235249123</v>
          </cell>
          <cell r="BT1131">
            <v>0.66830890348168515</v>
          </cell>
          <cell r="BU1131">
            <v>0.79369881271118481</v>
          </cell>
          <cell r="BV1131">
            <v>0.77383487968419395</v>
          </cell>
          <cell r="BY1131" t="str">
            <v>300/0.6/2750</v>
          </cell>
          <cell r="BZ1131">
            <v>2.3756933250582479E-2</v>
          </cell>
          <cell r="CA1131">
            <v>2.349418877648457E-2</v>
          </cell>
        </row>
        <row r="1132">
          <cell r="BN1132" t="str">
            <v>500/0.8/5000</v>
          </cell>
          <cell r="BO1132">
            <v>0.72354496584418082</v>
          </cell>
          <cell r="BP1132">
            <v>0.76727868584394165</v>
          </cell>
          <cell r="BQ1132">
            <v>0.72995927871432109</v>
          </cell>
          <cell r="BR1132">
            <v>0.72019349847314984</v>
          </cell>
          <cell r="BS1132">
            <v>0.70701462761202571</v>
          </cell>
          <cell r="BT1132">
            <v>0.66533547475594668</v>
          </cell>
          <cell r="BU1132">
            <v>0.79034630327019206</v>
          </cell>
          <cell r="BV1132">
            <v>0.77039384220910001</v>
          </cell>
          <cell r="BY1132" t="str">
            <v>300/0.6/3000</v>
          </cell>
          <cell r="BZ1132">
            <v>2.3582374675001461E-2</v>
          </cell>
          <cell r="CA1132">
            <v>2.3292284822860054E-2</v>
          </cell>
        </row>
        <row r="1133">
          <cell r="BN1133" t="str">
            <v>500/0.8/5250</v>
          </cell>
          <cell r="BO1133">
            <v>0.7212983423200453</v>
          </cell>
          <cell r="BP1133">
            <v>0.7659783249720814</v>
          </cell>
          <cell r="BQ1133">
            <v>0.72703376659727992</v>
          </cell>
          <cell r="BR1133">
            <v>0.71794144250843184</v>
          </cell>
          <cell r="BS1133">
            <v>0.70473726972740991</v>
          </cell>
          <cell r="BT1133">
            <v>0.66303380483058527</v>
          </cell>
          <cell r="BU1133">
            <v>0.78751492599465567</v>
          </cell>
          <cell r="BV1133">
            <v>0.76764516295320528</v>
          </cell>
          <cell r="BY1133" t="str">
            <v>300/0.6/3250</v>
          </cell>
          <cell r="BZ1133">
            <v>2.342621241203513E-2</v>
          </cell>
          <cell r="CA1133">
            <v>2.3108273290643688E-2</v>
          </cell>
        </row>
        <row r="1134">
          <cell r="BN1134" t="str">
            <v>500/0.8/5500</v>
          </cell>
          <cell r="BO1134">
            <v>0.71905171879590979</v>
          </cell>
          <cell r="BP1134">
            <v>0.76467796410022115</v>
          </cell>
          <cell r="BQ1134">
            <v>0.72410825448023886</v>
          </cell>
          <cell r="BR1134">
            <v>0.71568938654371395</v>
          </cell>
          <cell r="BS1134">
            <v>0.70245991184279399</v>
          </cell>
          <cell r="BT1134">
            <v>0.66073213490522398</v>
          </cell>
          <cell r="BU1134">
            <v>0.78468354871911927</v>
          </cell>
          <cell r="BV1134">
            <v>0.76489648369731056</v>
          </cell>
          <cell r="BY1134" t="str">
            <v>300/0.6/3500</v>
          </cell>
          <cell r="BZ1134">
            <v>2.3270050149068799E-2</v>
          </cell>
          <cell r="CA1134">
            <v>2.2924261758427322E-2</v>
          </cell>
        </row>
        <row r="1135">
          <cell r="BN1135" t="str">
            <v>500/0.8/5750</v>
          </cell>
          <cell r="BO1135">
            <v>0.71714244354669587</v>
          </cell>
          <cell r="BP1135">
            <v>0.76337599147203483</v>
          </cell>
          <cell r="BQ1135">
            <v>0.72226194421539502</v>
          </cell>
          <cell r="BR1135">
            <v>0.71345988979156139</v>
          </cell>
          <cell r="BS1135">
            <v>0.70015884387306937</v>
          </cell>
          <cell r="BT1135">
            <v>0.65848637147510414</v>
          </cell>
          <cell r="BU1135">
            <v>0.78215376497479683</v>
          </cell>
          <cell r="BV1135">
            <v>0.76231498555510702</v>
          </cell>
          <cell r="BY1135" t="str">
            <v>300/0.6/3750</v>
          </cell>
          <cell r="BZ1135">
            <v>2.3129252920747634E-2</v>
          </cell>
          <cell r="CA1135">
            <v>2.2765620551078225E-2</v>
          </cell>
        </row>
        <row r="1136">
          <cell r="BN1136" t="str">
            <v>500/0.8/6000</v>
          </cell>
          <cell r="BO1136">
            <v>0.71523316829748196</v>
          </cell>
          <cell r="BP1136">
            <v>0.76207401884384851</v>
          </cell>
          <cell r="BQ1136">
            <v>0.72041563395055108</v>
          </cell>
          <cell r="BR1136">
            <v>0.71123039303940894</v>
          </cell>
          <cell r="BS1136">
            <v>0.69785777590334475</v>
          </cell>
          <cell r="BT1136">
            <v>0.65624060804498419</v>
          </cell>
          <cell r="BU1136">
            <v>0.77962398123047438</v>
          </cell>
          <cell r="BV1136">
            <v>0.75973348741290359</v>
          </cell>
          <cell r="BY1136" t="str">
            <v>300/0.6/4000</v>
          </cell>
          <cell r="BZ1136">
            <v>2.2988455692426468E-2</v>
          </cell>
          <cell r="CA1136">
            <v>2.2606979343729128E-2</v>
          </cell>
        </row>
        <row r="1137">
          <cell r="BN1137" t="str">
            <v>500/0.8/6250</v>
          </cell>
          <cell r="BO1137">
            <v>0.71343998432285938</v>
          </cell>
          <cell r="BP1137">
            <v>0.76077712292518329</v>
          </cell>
          <cell r="BQ1137">
            <v>0.71862223308885631</v>
          </cell>
          <cell r="BR1137">
            <v>0.70943791343507934</v>
          </cell>
          <cell r="BS1137">
            <v>0.6959686710083075</v>
          </cell>
          <cell r="BT1137">
            <v>0.65431837055988584</v>
          </cell>
          <cell r="BU1137">
            <v>0.77738306984045324</v>
          </cell>
          <cell r="BV1137">
            <v>0.75736842957803197</v>
          </cell>
          <cell r="BY1137" t="str">
            <v>300/0.6/4250</v>
          </cell>
          <cell r="BZ1137">
            <v>2.2861121713032673E-2</v>
          </cell>
          <cell r="CA1137">
            <v>2.2472883669970245E-2</v>
          </cell>
        </row>
        <row r="1138">
          <cell r="BN1138" t="str">
            <v>500/0.8/6350</v>
          </cell>
          <cell r="BO1138">
            <v>0.71272252017318738</v>
          </cell>
          <cell r="BP1138">
            <v>0.76025954081430369</v>
          </cell>
          <cell r="BQ1138">
            <v>0.71790467948531667</v>
          </cell>
          <cell r="BR1138">
            <v>0.70872073979902273</v>
          </cell>
          <cell r="BS1138">
            <v>0.69525002550344517</v>
          </cell>
          <cell r="BT1138">
            <v>0.65360152177261122</v>
          </cell>
          <cell r="BU1138">
            <v>0.7764863202364064</v>
          </cell>
          <cell r="BV1138">
            <v>0.75650099684504291</v>
          </cell>
          <cell r="BY1138" t="str">
            <v>300/0.6/4500</v>
          </cell>
          <cell r="BZ1138">
            <v>2.2733787733638877E-2</v>
          </cell>
          <cell r="CA1138">
            <v>2.2338787996211362E-2</v>
          </cell>
        </row>
        <row r="1139">
          <cell r="BN1139" t="str">
            <v>500/0.8/6600</v>
          </cell>
          <cell r="BO1139">
            <v>0.71092838339945252</v>
          </cell>
          <cell r="BP1139">
            <v>0.75939322057309344</v>
          </cell>
          <cell r="BQ1139">
            <v>0.71611031232931288</v>
          </cell>
          <cell r="BR1139">
            <v>0.7069273512230666</v>
          </cell>
          <cell r="BS1139">
            <v>0.69344313760953158</v>
          </cell>
          <cell r="BT1139">
            <v>0.65180895982873932</v>
          </cell>
          <cell r="BU1139">
            <v>0.77424348360619422</v>
          </cell>
          <cell r="BV1139">
            <v>0.75458917404451031</v>
          </cell>
          <cell r="BY1139" t="str">
            <v>300/0.6/4750</v>
          </cell>
          <cell r="BZ1139">
            <v>2.2611457626587006E-2</v>
          </cell>
          <cell r="CA1139">
            <v>2.2206702995912764E-2</v>
          </cell>
        </row>
        <row r="1140">
          <cell r="BN1140" t="str">
            <v>500/0.8/6850</v>
          </cell>
          <cell r="BO1140">
            <v>0.70913356605492261</v>
          </cell>
          <cell r="BP1140">
            <v>0.75863652278666593</v>
          </cell>
          <cell r="BQ1140">
            <v>0.71431525496309101</v>
          </cell>
          <cell r="BR1140">
            <v>0.70513331338166219</v>
          </cell>
          <cell r="BS1140">
            <v>0.69162157238453359</v>
          </cell>
          <cell r="BT1140">
            <v>0.65001576934816774</v>
          </cell>
          <cell r="BU1140">
            <v>0.7719992718044163</v>
          </cell>
          <cell r="BV1140">
            <v>0.75266967430379406</v>
          </cell>
          <cell r="BY1140" t="str">
            <v>300/0.6/5000</v>
          </cell>
          <cell r="BZ1140">
            <v>2.2489127519535135E-2</v>
          </cell>
          <cell r="CA1140">
            <v>2.2074617995614165E-2</v>
          </cell>
        </row>
        <row r="1141">
          <cell r="BN1141" t="str">
            <v>500/0.8/7500</v>
          </cell>
          <cell r="BO1141">
            <v>0.70541765604535978</v>
          </cell>
          <cell r="BP1141">
            <v>0.75666910854195357</v>
          </cell>
          <cell r="BQ1141">
            <v>0.71077918803616436</v>
          </cell>
          <cell r="BR1141">
            <v>0.70046577643171659</v>
          </cell>
          <cell r="BS1141">
            <v>0.68694152559147403</v>
          </cell>
          <cell r="BT1141">
            <v>0.64535053254692698</v>
          </cell>
          <cell r="BU1141">
            <v>0.76743967323694062</v>
          </cell>
          <cell r="BV1141">
            <v>0.74760479335945584</v>
          </cell>
          <cell r="BY1141" t="str">
            <v>300/0.6/5250</v>
          </cell>
          <cell r="BZ1141">
            <v>2.2365869603562794E-2</v>
          </cell>
          <cell r="CA1141">
            <v>2.1968025816013426E-2</v>
          </cell>
        </row>
        <row r="1142">
          <cell r="BN1142" t="str">
            <v>500/0.8/10000</v>
          </cell>
          <cell r="BO1142">
            <v>0.69392089967932225</v>
          </cell>
          <cell r="BP1142">
            <v>0.75008842537323372</v>
          </cell>
          <cell r="BQ1142">
            <v>0.69940800080857002</v>
          </cell>
          <cell r="BR1142">
            <v>0.68822504231701565</v>
          </cell>
          <cell r="BS1142">
            <v>0.67569210964291471</v>
          </cell>
          <cell r="BT1142">
            <v>0.63311913822275823</v>
          </cell>
          <cell r="BU1142">
            <v>0.75356123181683243</v>
          </cell>
          <cell r="BV1142">
            <v>0.73465750141163289</v>
          </cell>
          <cell r="BY1142" t="str">
            <v>300/0.6/5500</v>
          </cell>
          <cell r="BZ1142">
            <v>2.2242611687590452E-2</v>
          </cell>
          <cell r="CA1142">
            <v>2.1861433636412686E-2</v>
          </cell>
        </row>
        <row r="1143">
          <cell r="BN1143" t="str">
            <v>500/0.8/99999</v>
          </cell>
          <cell r="BO1143">
            <v>0.64053344334199858</v>
          </cell>
          <cell r="BP1143">
            <v>0.72684505274091993</v>
          </cell>
          <cell r="BQ1143">
            <v>0.64689546817385934</v>
          </cell>
          <cell r="BR1143">
            <v>0.63029354299995444</v>
          </cell>
          <cell r="BS1143">
            <v>0.62949590383475607</v>
          </cell>
          <cell r="BT1143">
            <v>0.57745872203243098</v>
          </cell>
          <cell r="BU1143">
            <v>0.69361219083132297</v>
          </cell>
          <cell r="BV1143">
            <v>0.68803293689551903</v>
          </cell>
          <cell r="BY1143" t="str">
            <v>300/0.6/5750</v>
          </cell>
          <cell r="BZ1143">
            <v>2.2157509611829163E-2</v>
          </cell>
          <cell r="CA1143">
            <v>2.1770048701383216E-2</v>
          </cell>
        </row>
        <row r="1144">
          <cell r="BY1144" t="str">
            <v>300/0.6/6000</v>
          </cell>
          <cell r="BZ1144">
            <v>2.2072407536067873E-2</v>
          </cell>
          <cell r="CA1144">
            <v>2.1678663766353745E-2</v>
          </cell>
        </row>
        <row r="1145">
          <cell r="BN1145" t="str">
            <v>750/0.8/1250</v>
          </cell>
          <cell r="BO1145">
            <v>0.85855253696615708</v>
          </cell>
          <cell r="BP1145">
            <v>0.86230785026954471</v>
          </cell>
          <cell r="BQ1145">
            <v>0.86618666263738731</v>
          </cell>
          <cell r="BR1145">
            <v>0.85893795351966362</v>
          </cell>
          <cell r="BS1145">
            <v>0.85118862014156671</v>
          </cell>
          <cell r="BT1145">
            <v>0.77056761363016479</v>
          </cell>
          <cell r="BU1145">
            <v>0.89247852917846582</v>
          </cell>
          <cell r="BV1145">
            <v>0.8731887232907205</v>
          </cell>
          <cell r="BY1145" t="str">
            <v>300/0.6/6250</v>
          </cell>
          <cell r="BZ1145">
            <v>2.1991539293926499E-2</v>
          </cell>
          <cell r="CA1145">
            <v>2.1587100295393125E-2</v>
          </cell>
        </row>
        <row r="1146">
          <cell r="BN1146" t="str">
            <v>750/0.8/1500</v>
          </cell>
          <cell r="BO1146">
            <v>0.83376975121349584</v>
          </cell>
          <cell r="BP1146">
            <v>0.83920552361062506</v>
          </cell>
          <cell r="BQ1146">
            <v>0.84158760391462217</v>
          </cell>
          <cell r="BR1146">
            <v>0.83411904828939576</v>
          </cell>
          <cell r="BS1146">
            <v>0.82394867851967146</v>
          </cell>
          <cell r="BT1146">
            <v>0.7443837985319397</v>
          </cell>
          <cell r="BU1146">
            <v>0.86621874757735251</v>
          </cell>
          <cell r="BV1146">
            <v>0.84994565264531285</v>
          </cell>
          <cell r="BY1146" t="str">
            <v>300/0.6/6350</v>
          </cell>
          <cell r="BZ1146">
            <v>2.1959169346009277E-2</v>
          </cell>
          <cell r="CA1146">
            <v>2.1550346129753928E-2</v>
          </cell>
        </row>
        <row r="1147">
          <cell r="BN1147" t="str">
            <v>750/0.8/1750</v>
          </cell>
          <cell r="BO1147">
            <v>0.81509919344509973</v>
          </cell>
          <cell r="BP1147">
            <v>0.82268896923171364</v>
          </cell>
          <cell r="BQ1147">
            <v>0.82311358364005005</v>
          </cell>
          <cell r="BR1147">
            <v>0.81525133852099774</v>
          </cell>
          <cell r="BS1147">
            <v>0.80291238563676393</v>
          </cell>
          <cell r="BT1147">
            <v>0.7272530832473989</v>
          </cell>
          <cell r="BU1147">
            <v>0.85158743946318372</v>
          </cell>
          <cell r="BV1147">
            <v>0.8336835965853362</v>
          </cell>
          <cell r="BY1147" t="str">
            <v>300/0.6/6600</v>
          </cell>
          <cell r="BZ1147">
            <v>2.1878187848563435E-2</v>
          </cell>
          <cell r="CA1147">
            <v>2.1468292809552647E-2</v>
          </cell>
        </row>
        <row r="1148">
          <cell r="BN1148" t="str">
            <v>750/0.8/2000</v>
          </cell>
          <cell r="BO1148">
            <v>0.79642863567670374</v>
          </cell>
          <cell r="BP1148">
            <v>0.80617241485280211</v>
          </cell>
          <cell r="BQ1148">
            <v>0.80463956336547793</v>
          </cell>
          <cell r="BR1148">
            <v>0.79638362875259971</v>
          </cell>
          <cell r="BS1148">
            <v>0.7818760927538565</v>
          </cell>
          <cell r="BT1148">
            <v>0.71012236796285799</v>
          </cell>
          <cell r="BU1148">
            <v>0.83695613134901492</v>
          </cell>
          <cell r="BV1148">
            <v>0.81742154052535942</v>
          </cell>
          <cell r="BY1148" t="str">
            <v>300/0.6/6850</v>
          </cell>
          <cell r="BZ1148">
            <v>2.1797125454471988E-2</v>
          </cell>
          <cell r="CA1148">
            <v>2.1392283139789692E-2</v>
          </cell>
        </row>
        <row r="1149">
          <cell r="BN1149" t="str">
            <v>750/0.8/2250</v>
          </cell>
          <cell r="BO1149">
            <v>0.78203877004036126</v>
          </cell>
          <cell r="BP1149">
            <v>0.79488660589315674</v>
          </cell>
          <cell r="BQ1149">
            <v>0.79042279791695091</v>
          </cell>
          <cell r="BR1149">
            <v>0.7817052985194205</v>
          </cell>
          <cell r="BS1149">
            <v>0.76470484209207479</v>
          </cell>
          <cell r="BT1149">
            <v>0.69887888819796518</v>
          </cell>
          <cell r="BU1149">
            <v>0.82562081117820529</v>
          </cell>
          <cell r="BV1149">
            <v>0.80465092348997747</v>
          </cell>
          <cell r="BY1149" t="str">
            <v>300/0.6/7500</v>
          </cell>
          <cell r="BZ1149">
            <v>2.1585984633530453E-2</v>
          </cell>
          <cell r="CA1149">
            <v>2.1193005170255796E-2</v>
          </cell>
        </row>
        <row r="1150">
          <cell r="BN1150" t="str">
            <v>750/0.8/2500</v>
          </cell>
          <cell r="BO1150">
            <v>0.77101447779417609</v>
          </cell>
          <cell r="BP1150">
            <v>0.78706433619039973</v>
          </cell>
          <cell r="BQ1150">
            <v>0.77951604356827819</v>
          </cell>
          <cell r="BR1150">
            <v>0.77041842471940292</v>
          </cell>
          <cell r="BS1150">
            <v>0.75297692792011706</v>
          </cell>
          <cell r="BT1150">
            <v>0.68967350546585271</v>
          </cell>
          <cell r="BU1150">
            <v>0.81576910729965513</v>
          </cell>
          <cell r="BV1150">
            <v>0.79401756926663514</v>
          </cell>
          <cell r="BY1150" t="str">
            <v>300/0.6/8000</v>
          </cell>
          <cell r="BZ1150">
            <v>2.1438179900735044E-2</v>
          </cell>
          <cell r="CA1150">
            <v>2.1050479240416475E-2</v>
          </cell>
        </row>
        <row r="1151">
          <cell r="BN1151" t="str">
            <v>750/0.8/2750</v>
          </cell>
          <cell r="BO1151">
            <v>0.76038958277739388</v>
          </cell>
          <cell r="BP1151">
            <v>0.78096258449894984</v>
          </cell>
          <cell r="BQ1151">
            <v>0.76887386335758245</v>
          </cell>
          <cell r="BR1151">
            <v>0.75979998758626888</v>
          </cell>
          <cell r="BS1151">
            <v>0.74167624005951982</v>
          </cell>
          <cell r="BT1151">
            <v>0.68123963100800999</v>
          </cell>
          <cell r="BU1151">
            <v>0.80710523182851523</v>
          </cell>
          <cell r="BV1151">
            <v>0.78575637987826707</v>
          </cell>
          <cell r="BY1151" t="str">
            <v>300/0.6/9000</v>
          </cell>
          <cell r="BZ1151">
            <v>2.120763061005837E-2</v>
          </cell>
          <cell r="CA1151">
            <v>2.0806045272804052E-2</v>
          </cell>
        </row>
        <row r="1152">
          <cell r="BN1152" t="str">
            <v>750/0.8/3000</v>
          </cell>
          <cell r="BO1152">
            <v>0.75141323337219901</v>
          </cell>
          <cell r="BP1152">
            <v>0.77570245888953471</v>
          </cell>
          <cell r="BQ1152">
            <v>0.76036255982929546</v>
          </cell>
          <cell r="BR1152">
            <v>0.74980120813705986</v>
          </cell>
          <cell r="BS1152">
            <v>0.73167299506328509</v>
          </cell>
          <cell r="BT1152">
            <v>0.67420148542174607</v>
          </cell>
          <cell r="BU1152">
            <v>0.79912333932299517</v>
          </cell>
          <cell r="BV1152">
            <v>0.77799786140095017</v>
          </cell>
          <cell r="BY1152" t="str">
            <v>300/0.6/10000</v>
          </cell>
          <cell r="BZ1152">
            <v>2.0977360137073076E-2</v>
          </cell>
          <cell r="CA1152">
            <v>2.0577845935594974E-2</v>
          </cell>
        </row>
        <row r="1153">
          <cell r="BN1153" t="str">
            <v>750/0.8/3250</v>
          </cell>
          <cell r="BO1153">
            <v>0.74461289364388361</v>
          </cell>
          <cell r="BP1153">
            <v>0.77174719838195394</v>
          </cell>
          <cell r="BQ1153">
            <v>0.75356560642015991</v>
          </cell>
          <cell r="BR1153">
            <v>0.74282299750919234</v>
          </cell>
          <cell r="BS1153">
            <v>0.7253610239316024</v>
          </cell>
          <cell r="BT1153">
            <v>0.66861356508079961</v>
          </cell>
          <cell r="BU1153">
            <v>0.7936432195070362</v>
          </cell>
          <cell r="BV1153">
            <v>0.77223164106249331</v>
          </cell>
          <cell r="BY1153" t="str">
            <v>300/0.6/99999</v>
          </cell>
          <cell r="BZ1153">
            <v>1.7566343971971987E-2</v>
          </cell>
          <cell r="CA1153">
            <v>1.7614856645852717E-2</v>
          </cell>
        </row>
        <row r="1154">
          <cell r="BN1154" t="str">
            <v>750/0.8/3500</v>
          </cell>
          <cell r="BO1154">
            <v>0.7378125539155681</v>
          </cell>
          <cell r="BP1154">
            <v>0.76779193787437305</v>
          </cell>
          <cell r="BQ1154">
            <v>0.74676865301102424</v>
          </cell>
          <cell r="BR1154">
            <v>0.73584478688132482</v>
          </cell>
          <cell r="BS1154">
            <v>0.7190490527999196</v>
          </cell>
          <cell r="BT1154">
            <v>0.66302564473985326</v>
          </cell>
          <cell r="BU1154">
            <v>0.78816309969107723</v>
          </cell>
          <cell r="BV1154">
            <v>0.76646542072403645</v>
          </cell>
          <cell r="BY1154" t="str">
            <v>500/0.6/500</v>
          </cell>
          <cell r="BZ1154">
            <v>2.6324212772899758E-2</v>
          </cell>
          <cell r="CA1154">
            <v>2.6494714523038976E-2</v>
          </cell>
        </row>
        <row r="1155">
          <cell r="BN1155" t="str">
            <v>750/0.8/3750</v>
          </cell>
          <cell r="BO1155">
            <v>0.73180959666985368</v>
          </cell>
          <cell r="BP1155">
            <v>0.76469196950661034</v>
          </cell>
          <cell r="BQ1155">
            <v>0.74092003149077057</v>
          </cell>
          <cell r="BR1155">
            <v>0.72972714395632277</v>
          </cell>
          <cell r="BS1155">
            <v>0.7146887814328815</v>
          </cell>
          <cell r="BT1155">
            <v>0.65841009906322023</v>
          </cell>
          <cell r="BU1155">
            <v>0.78291199181101823</v>
          </cell>
          <cell r="BV1155">
            <v>0.76144940418780205</v>
          </cell>
          <cell r="BY1155" t="str">
            <v>500/0.6/750</v>
          </cell>
          <cell r="BZ1155">
            <v>2.5790197338351417E-2</v>
          </cell>
          <cell r="CA1155">
            <v>2.5801183236432434E-2</v>
          </cell>
        </row>
        <row r="1156">
          <cell r="BN1156" t="str">
            <v>750/0.8/4000</v>
          </cell>
          <cell r="BO1156">
            <v>0.72580663942413914</v>
          </cell>
          <cell r="BP1156">
            <v>0.76159200113884773</v>
          </cell>
          <cell r="BQ1156">
            <v>0.7350714099705169</v>
          </cell>
          <cell r="BR1156">
            <v>0.72360950103132071</v>
          </cell>
          <cell r="BS1156">
            <v>0.7103285100658433</v>
          </cell>
          <cell r="BT1156">
            <v>0.65379455338658721</v>
          </cell>
          <cell r="BU1156">
            <v>0.77766088393095922</v>
          </cell>
          <cell r="BV1156">
            <v>0.75643338765156765</v>
          </cell>
          <cell r="BY1156" t="str">
            <v>500/0.6/1000</v>
          </cell>
          <cell r="BZ1156">
            <v>2.531920781982322E-2</v>
          </cell>
          <cell r="CA1156">
            <v>2.5276010715616248E-2</v>
          </cell>
        </row>
        <row r="1157">
          <cell r="BN1157" t="str">
            <v>750/0.8/4250</v>
          </cell>
          <cell r="BO1157">
            <v>0.72223340961246363</v>
          </cell>
          <cell r="BP1157">
            <v>0.75906737336133934</v>
          </cell>
          <cell r="BQ1157">
            <v>0.73029983106547491</v>
          </cell>
          <cell r="BR1157">
            <v>0.71993622579071181</v>
          </cell>
          <cell r="BS1157">
            <v>0.7065322622992164</v>
          </cell>
          <cell r="BT1157">
            <v>0.64992865231343178</v>
          </cell>
          <cell r="BU1157">
            <v>0.77386141770131123</v>
          </cell>
          <cell r="BV1157">
            <v>0.75227126213796569</v>
          </cell>
          <cell r="BY1157" t="str">
            <v>500/0.6/1250</v>
          </cell>
          <cell r="BZ1157">
            <v>2.4940912741627352E-2</v>
          </cell>
          <cell r="CA1157">
            <v>2.4845660627656807E-2</v>
          </cell>
        </row>
        <row r="1158">
          <cell r="BN1158" t="str">
            <v>750/0.8/4500</v>
          </cell>
          <cell r="BO1158">
            <v>0.71866017980078822</v>
          </cell>
          <cell r="BP1158">
            <v>0.75654274558383106</v>
          </cell>
          <cell r="BQ1158">
            <v>0.72552825216043293</v>
          </cell>
          <cell r="BR1158">
            <v>0.71626295055010292</v>
          </cell>
          <cell r="BS1158">
            <v>0.70273601453258949</v>
          </cell>
          <cell r="BT1158">
            <v>0.64606275124027646</v>
          </cell>
          <cell r="BU1158">
            <v>0.77006195147166323</v>
          </cell>
          <cell r="BV1158">
            <v>0.74810913662436362</v>
          </cell>
          <cell r="BY1158" t="str">
            <v>500/0.6/1500</v>
          </cell>
          <cell r="BZ1158">
            <v>2.4624466167300074E-2</v>
          </cell>
          <cell r="CA1158">
            <v>2.4487741743513425E-2</v>
          </cell>
        </row>
        <row r="1159">
          <cell r="BN1159" t="str">
            <v>750/0.8/4750</v>
          </cell>
          <cell r="BO1159">
            <v>0.71566220231224509</v>
          </cell>
          <cell r="BP1159">
            <v>0.75448554251573385</v>
          </cell>
          <cell r="BQ1159">
            <v>0.72253652025609771</v>
          </cell>
          <cell r="BR1159">
            <v>0.71305098032117098</v>
          </cell>
          <cell r="BS1159">
            <v>0.69938903430600119</v>
          </cell>
          <cell r="BT1159">
            <v>0.64289120782553444</v>
          </cell>
          <cell r="BU1159">
            <v>0.76633216447806718</v>
          </cell>
          <cell r="BV1159">
            <v>0.74440884554975739</v>
          </cell>
          <cell r="BY1159" t="str">
            <v>500/0.6/1750</v>
          </cell>
          <cell r="BZ1159">
            <v>2.4359638721184629E-2</v>
          </cell>
          <cell r="CA1159">
            <v>2.4186674212279269E-2</v>
          </cell>
        </row>
        <row r="1160">
          <cell r="BN1160" t="str">
            <v>750/0.8/5000</v>
          </cell>
          <cell r="BO1160">
            <v>0.71266422482370195</v>
          </cell>
          <cell r="BP1160">
            <v>0.75242833944763665</v>
          </cell>
          <cell r="BQ1160">
            <v>0.7195447883517625</v>
          </cell>
          <cell r="BR1160">
            <v>0.70983901009223904</v>
          </cell>
          <cell r="BS1160">
            <v>0.69604205407941278</v>
          </cell>
          <cell r="BT1160">
            <v>0.63971966441079253</v>
          </cell>
          <cell r="BU1160">
            <v>0.76260237748447102</v>
          </cell>
          <cell r="BV1160">
            <v>0.74070855447515116</v>
          </cell>
          <cell r="BY1160" t="str">
            <v>500/0.6/2000</v>
          </cell>
          <cell r="BZ1160">
            <v>2.4094811275069183E-2</v>
          </cell>
          <cell r="CA1160">
            <v>2.3885606681045113E-2</v>
          </cell>
        </row>
        <row r="1161">
          <cell r="BN1161" t="str">
            <v>750/0.8/5250</v>
          </cell>
          <cell r="BO1161">
            <v>0.71041263954910971</v>
          </cell>
          <cell r="BP1161">
            <v>0.75112855892155872</v>
          </cell>
          <cell r="BQ1161">
            <v>0.71729470588788113</v>
          </cell>
          <cell r="BR1161">
            <v>0.7073953967844836</v>
          </cell>
          <cell r="BS1161">
            <v>0.69363623339933977</v>
          </cell>
          <cell r="BT1161">
            <v>0.63712870075218164</v>
          </cell>
          <cell r="BU1161">
            <v>0.75975181088199395</v>
          </cell>
          <cell r="BV1161">
            <v>0.73770427849791065</v>
          </cell>
          <cell r="BY1161" t="str">
            <v>500/0.6/2250</v>
          </cell>
          <cell r="BZ1161">
            <v>2.3866442327064918E-2</v>
          </cell>
          <cell r="CA1161">
            <v>2.3626462910859569E-2</v>
          </cell>
        </row>
        <row r="1162">
          <cell r="BN1162" t="str">
            <v>750/0.8/5500</v>
          </cell>
          <cell r="BO1162">
            <v>0.70816105427451737</v>
          </cell>
          <cell r="BP1162">
            <v>0.74982877839548079</v>
          </cell>
          <cell r="BQ1162">
            <v>0.71504462342399988</v>
          </cell>
          <cell r="BR1162">
            <v>0.70495178347672816</v>
          </cell>
          <cell r="BS1162">
            <v>0.69123041271926677</v>
          </cell>
          <cell r="BT1162">
            <v>0.63453773709357075</v>
          </cell>
          <cell r="BU1162">
            <v>0.75690124427951688</v>
          </cell>
          <cell r="BV1162">
            <v>0.73470000252067025</v>
          </cell>
          <cell r="BY1162" t="str">
            <v>500/0.6/2500</v>
          </cell>
          <cell r="BZ1162">
            <v>2.3660428096167863E-2</v>
          </cell>
          <cell r="CA1162">
            <v>2.3389417771366938E-2</v>
          </cell>
        </row>
        <row r="1163">
          <cell r="BN1163" t="str">
            <v>750/0.8/5750</v>
          </cell>
          <cell r="BO1163">
            <v>0.7060634216423648</v>
          </cell>
          <cell r="BP1163">
            <v>0.74852737115153123</v>
          </cell>
          <cell r="BQ1163">
            <v>0.71300777672861804</v>
          </cell>
          <cell r="BR1163">
            <v>0.70270570834602208</v>
          </cell>
          <cell r="BS1163">
            <v>0.68894012790561399</v>
          </cell>
          <cell r="BT1163">
            <v>0.63228966621185867</v>
          </cell>
          <cell r="BU1163">
            <v>0.7541154715446422</v>
          </cell>
          <cell r="BV1163">
            <v>0.73210219615339422</v>
          </cell>
          <cell r="BY1163" t="str">
            <v>500/0.6/2750</v>
          </cell>
          <cell r="BZ1163">
            <v>2.3469960914441534E-2</v>
          </cell>
          <cell r="CA1163">
            <v>2.3166406888107893E-2</v>
          </cell>
        </row>
        <row r="1164">
          <cell r="BN1164" t="str">
            <v>750/0.8/6000</v>
          </cell>
          <cell r="BO1164">
            <v>0.70396578901021223</v>
          </cell>
          <cell r="BP1164">
            <v>0.74722596390758167</v>
          </cell>
          <cell r="BQ1164">
            <v>0.71097093003323619</v>
          </cell>
          <cell r="BR1164">
            <v>0.70045963321531601</v>
          </cell>
          <cell r="BS1164">
            <v>0.68664984309196131</v>
          </cell>
          <cell r="BT1164">
            <v>0.63004159533014659</v>
          </cell>
          <cell r="BU1164">
            <v>0.75132969880976752</v>
          </cell>
          <cell r="BV1164">
            <v>0.7295043897861182</v>
          </cell>
          <cell r="BY1164" t="str">
            <v>500/0.6/3000</v>
          </cell>
          <cell r="BZ1164">
            <v>2.3290688473413423E-2</v>
          </cell>
          <cell r="CA1164">
            <v>2.2956361119635504E-2</v>
          </cell>
        </row>
        <row r="1165">
          <cell r="BN1165" t="str">
            <v>750/0.8/6250</v>
          </cell>
          <cell r="BO1165">
            <v>0.70217314400689312</v>
          </cell>
          <cell r="BP1165">
            <v>0.74592333662522881</v>
          </cell>
          <cell r="BQ1165">
            <v>0.70917807732903515</v>
          </cell>
          <cell r="BR1165">
            <v>0.69832000327470556</v>
          </cell>
          <cell r="BS1165">
            <v>0.68436475723186996</v>
          </cell>
          <cell r="BT1165">
            <v>0.62779528012714914</v>
          </cell>
          <cell r="BU1165">
            <v>0.74908981795313567</v>
          </cell>
          <cell r="BV1165">
            <v>0.72690575228331478</v>
          </cell>
          <cell r="BY1165" t="str">
            <v>500/0.6/3250</v>
          </cell>
          <cell r="BZ1165">
            <v>2.3129079289626597E-2</v>
          </cell>
          <cell r="CA1165">
            <v>2.276895599606843E-2</v>
          </cell>
        </row>
        <row r="1166">
          <cell r="BN1166" t="str">
            <v>750/0.8/6350</v>
          </cell>
          <cell r="BO1166">
            <v>0.70145589523908136</v>
          </cell>
          <cell r="BP1166">
            <v>0.74540565218827137</v>
          </cell>
          <cell r="BQ1166">
            <v>0.70846074277592874</v>
          </cell>
          <cell r="BR1166">
            <v>0.69760303658321798</v>
          </cell>
          <cell r="BS1166">
            <v>0.6836114803615837</v>
          </cell>
          <cell r="BT1166">
            <v>0.62703911696380832</v>
          </cell>
          <cell r="BU1166">
            <v>0.74819347962958771</v>
          </cell>
          <cell r="BV1166">
            <v>0.72589469774658888</v>
          </cell>
          <cell r="BY1166" t="str">
            <v>500/0.6/3500</v>
          </cell>
          <cell r="BZ1166">
            <v>2.2967470105839771E-2</v>
          </cell>
          <cell r="CA1166">
            <v>2.2581550872501355E-2</v>
          </cell>
        </row>
        <row r="1167">
          <cell r="BN1167" t="str">
            <v>750/0.8/6600</v>
          </cell>
          <cell r="BO1167">
            <v>0.69966229640333899</v>
          </cell>
          <cell r="BP1167">
            <v>0.74411169691107093</v>
          </cell>
          <cell r="BQ1167">
            <v>0.7066669227145943</v>
          </cell>
          <cell r="BR1167">
            <v>0.69581016517403083</v>
          </cell>
          <cell r="BS1167">
            <v>0.68181627880059803</v>
          </cell>
          <cell r="BT1167">
            <v>0.62524705784929535</v>
          </cell>
          <cell r="BU1167">
            <v>0.74595166886847697</v>
          </cell>
          <cell r="BV1167">
            <v>0.72375774405443682</v>
          </cell>
          <cell r="BY1167" t="str">
            <v>500/0.6/3750</v>
          </cell>
          <cell r="BZ1167">
            <v>2.282251104014954E-2</v>
          </cell>
          <cell r="CA1167">
            <v>2.2410544326907811E-2</v>
          </cell>
        </row>
        <row r="1168">
          <cell r="BN1168" t="str">
            <v>750/0.8/6850</v>
          </cell>
          <cell r="BO1168">
            <v>0.69786801625872086</v>
          </cell>
          <cell r="BP1168">
            <v>0.74332571472760101</v>
          </cell>
          <cell r="BQ1168">
            <v>0.70487241168388104</v>
          </cell>
          <cell r="BR1168">
            <v>0.69401664422132003</v>
          </cell>
          <cell r="BS1168">
            <v>0.68000639342002611</v>
          </cell>
          <cell r="BT1168">
            <v>0.62345437019808281</v>
          </cell>
          <cell r="BU1168">
            <v>0.74370847960416619</v>
          </cell>
          <cell r="BV1168">
            <v>0.72184971430094802</v>
          </cell>
          <cell r="BY1168" t="str">
            <v>500/0.6/4000</v>
          </cell>
          <cell r="BZ1168">
            <v>2.2677551974459309E-2</v>
          </cell>
          <cell r="CA1168">
            <v>2.2239537781314267E-2</v>
          </cell>
        </row>
        <row r="1169">
          <cell r="BN1169" t="str">
            <v>750/0.8/7500</v>
          </cell>
          <cell r="BO1169">
            <v>0.69370388528653371</v>
          </cell>
          <cell r="BP1169">
            <v>0.74135830048288853</v>
          </cell>
          <cell r="BQ1169">
            <v>0.70088254038581432</v>
          </cell>
          <cell r="BR1169">
            <v>0.68935044988058702</v>
          </cell>
          <cell r="BS1169">
            <v>0.67523197115487454</v>
          </cell>
          <cell r="BT1169">
            <v>0.61879044075317835</v>
          </cell>
          <cell r="BU1169">
            <v>0.73851402041984759</v>
          </cell>
          <cell r="BV1169">
            <v>0.71681441319940398</v>
          </cell>
          <cell r="BY1169" t="str">
            <v>500/0.6/4250</v>
          </cell>
          <cell r="BZ1169">
            <v>2.2547215599652781E-2</v>
          </cell>
          <cell r="CA1169">
            <v>2.2105440827524081E-2</v>
          </cell>
        </row>
        <row r="1170">
          <cell r="BN1170" t="str">
            <v>750/0.8/10000</v>
          </cell>
          <cell r="BO1170">
            <v>0.68194129590386787</v>
          </cell>
          <cell r="BP1170">
            <v>0.73455482370048919</v>
          </cell>
          <cell r="BQ1170">
            <v>0.68924177949549414</v>
          </cell>
          <cell r="BR1170">
            <v>0.67638315924543979</v>
          </cell>
          <cell r="BS1170">
            <v>0.6633422620296785</v>
          </cell>
          <cell r="BT1170">
            <v>0.60587931565463737</v>
          </cell>
          <cell r="BU1170">
            <v>0.72426258744352268</v>
          </cell>
          <cell r="BV1170">
            <v>0.70315271868718554</v>
          </cell>
          <cell r="BY1170" t="str">
            <v>500/0.6/4500</v>
          </cell>
          <cell r="BZ1170">
            <v>2.2416879224846253E-2</v>
          </cell>
          <cell r="CA1170">
            <v>2.1971343873733895E-2</v>
          </cell>
        </row>
        <row r="1171">
          <cell r="BN1171" t="str">
            <v>750/0.8/99999</v>
          </cell>
          <cell r="BO1171">
            <v>0.62775481760114504</v>
          </cell>
          <cell r="BP1171">
            <v>0.71471439951281812</v>
          </cell>
          <cell r="BQ1171">
            <v>0.63591387111750619</v>
          </cell>
          <cell r="BR1171">
            <v>0.61758289902279428</v>
          </cell>
          <cell r="BS1171">
            <v>0.61628595345387194</v>
          </cell>
          <cell r="BT1171">
            <v>0.5494756580475425</v>
          </cell>
          <cell r="BU1171">
            <v>0.66306045442565009</v>
          </cell>
          <cell r="BV1171">
            <v>0.65536940748439598</v>
          </cell>
          <cell r="BY1171" t="str">
            <v>500/0.6/4750</v>
          </cell>
          <cell r="BZ1171">
            <v>2.229469146843821E-2</v>
          </cell>
          <cell r="CA1171">
            <v>2.1837679737553461E-2</v>
          </cell>
        </row>
        <row r="1172">
          <cell r="BY1172" t="str">
            <v>500/0.6/5000</v>
          </cell>
          <cell r="BZ1172">
            <v>2.2172503712030167E-2</v>
          </cell>
          <cell r="CA1172">
            <v>2.1704015601373028E-2</v>
          </cell>
        </row>
        <row r="1173">
          <cell r="BN1173" t="str">
            <v>1000/0.8/1500</v>
          </cell>
          <cell r="BO1173">
            <v>0.8386559628734892</v>
          </cell>
          <cell r="BP1173">
            <v>0.84468481228116776</v>
          </cell>
          <cell r="BQ1173">
            <v>0.84876212429631981</v>
          </cell>
          <cell r="BR1173">
            <v>0.83913986745009983</v>
          </cell>
          <cell r="BS1173">
            <v>0.82946423284760429</v>
          </cell>
          <cell r="BT1173">
            <v>0.73199641924934833</v>
          </cell>
          <cell r="BU1173">
            <v>0.85394326732471859</v>
          </cell>
          <cell r="BV1173">
            <v>0.83705036499033103</v>
          </cell>
          <cell r="BY1173" t="str">
            <v>500/0.6/5250</v>
          </cell>
          <cell r="BZ1173">
            <v>2.2049462999504166E-2</v>
          </cell>
          <cell r="CA1173">
            <v>2.1591218250146538E-2</v>
          </cell>
        </row>
        <row r="1174">
          <cell r="BN1174" t="str">
            <v>1000/0.8/1750</v>
          </cell>
          <cell r="BO1174">
            <v>0.81630037116280074</v>
          </cell>
          <cell r="BP1174">
            <v>0.82416779603066037</v>
          </cell>
          <cell r="BQ1174">
            <v>0.82657107159863896</v>
          </cell>
          <cell r="BR1174">
            <v>0.81666414612072058</v>
          </cell>
          <cell r="BS1174">
            <v>0.80474306252921113</v>
          </cell>
          <cell r="BT1174">
            <v>0.71393365832013245</v>
          </cell>
          <cell r="BU1174">
            <v>0.83699094512995198</v>
          </cell>
          <cell r="BV1174">
            <v>0.81816461754995595</v>
          </cell>
          <cell r="BY1174" t="str">
            <v>500/0.6/5500</v>
          </cell>
          <cell r="BZ1174">
            <v>2.1926422286978164E-2</v>
          </cell>
          <cell r="CA1174">
            <v>2.1478420898920048E-2</v>
          </cell>
        </row>
        <row r="1175">
          <cell r="BN1175" t="str">
            <v>1000/0.8/2000</v>
          </cell>
          <cell r="BO1175">
            <v>0.79394477945211217</v>
          </cell>
          <cell r="BP1175">
            <v>0.80365077978015309</v>
          </cell>
          <cell r="BQ1175">
            <v>0.80438001890095823</v>
          </cell>
          <cell r="BR1175">
            <v>0.79418842479134133</v>
          </cell>
          <cell r="BS1175">
            <v>0.78002189221081808</v>
          </cell>
          <cell r="BT1175">
            <v>0.69587089739091657</v>
          </cell>
          <cell r="BU1175">
            <v>0.82003862293518548</v>
          </cell>
          <cell r="BV1175">
            <v>0.79927887010958087</v>
          </cell>
          <cell r="BY1175" t="str">
            <v>500/0.6/5750</v>
          </cell>
          <cell r="BZ1175">
            <v>2.1830601929536786E-2</v>
          </cell>
          <cell r="CA1175">
            <v>2.13843659362698E-2</v>
          </cell>
        </row>
        <row r="1176">
          <cell r="BN1176" t="str">
            <v>1000/0.8/2250</v>
          </cell>
          <cell r="BO1176">
            <v>0.77824775490965237</v>
          </cell>
          <cell r="BP1176">
            <v>0.7903328932483249</v>
          </cell>
          <cell r="BQ1176">
            <v>0.78888824203676144</v>
          </cell>
          <cell r="BR1176">
            <v>0.77827383308892373</v>
          </cell>
          <cell r="BS1176">
            <v>0.76192218394326572</v>
          </cell>
          <cell r="BT1176">
            <v>0.68362706933511963</v>
          </cell>
          <cell r="BU1176">
            <v>0.8071243565267292</v>
          </cell>
          <cell r="BV1176">
            <v>0.7848689783527768</v>
          </cell>
          <cell r="BY1176" t="str">
            <v>500/0.6/6000</v>
          </cell>
          <cell r="BZ1176">
            <v>2.1734781572095407E-2</v>
          </cell>
          <cell r="CA1176">
            <v>2.1290310973619553E-2</v>
          </cell>
        </row>
        <row r="1177">
          <cell r="BN1177" t="str">
            <v>1000/0.8/2500</v>
          </cell>
          <cell r="BO1177">
            <v>0.76411925578624751</v>
          </cell>
          <cell r="BP1177">
            <v>0.77961871513940151</v>
          </cell>
          <cell r="BQ1177">
            <v>0.77488279994237075</v>
          </cell>
          <cell r="BR1177">
            <v>0.7639172283603628</v>
          </cell>
          <cell r="BS1177">
            <v>0.74529103258130036</v>
          </cell>
          <cell r="BT1177">
            <v>0.67272925872476508</v>
          </cell>
          <cell r="BU1177">
            <v>0.79617363658588891</v>
          </cell>
          <cell r="BV1177">
            <v>0.77246455742551001</v>
          </cell>
          <cell r="BY1177" t="str">
            <v>500/0.6/6250</v>
          </cell>
          <cell r="BZ1177">
            <v>2.1653950710158743E-2</v>
          </cell>
          <cell r="CA1177">
            <v>2.1198980071309936E-2</v>
          </cell>
        </row>
        <row r="1178">
          <cell r="BN1178" t="str">
            <v>1000/0.8/2750</v>
          </cell>
          <cell r="BO1178">
            <v>0.75326990464326793</v>
          </cell>
          <cell r="BP1178">
            <v>0.77214560214696215</v>
          </cell>
          <cell r="BQ1178">
            <v>0.76412147464519364</v>
          </cell>
          <cell r="BR1178">
            <v>0.75283423663330884</v>
          </cell>
          <cell r="BS1178">
            <v>0.73387481402179844</v>
          </cell>
          <cell r="BT1178">
            <v>0.66369699807771598</v>
          </cell>
          <cell r="BU1178">
            <v>0.78655148937052966</v>
          </cell>
          <cell r="BV1178">
            <v>0.76235227165481112</v>
          </cell>
          <cell r="BY1178" t="str">
            <v>500/0.6/6350</v>
          </cell>
          <cell r="BZ1178">
            <v>2.1621595674627958E-2</v>
          </cell>
          <cell r="CA1178">
            <v>2.1162318933131363E-2</v>
          </cell>
        </row>
        <row r="1179">
          <cell r="BN1179" t="str">
            <v>1000/0.8/3000</v>
          </cell>
          <cell r="BO1179">
            <v>0.74265335857234371</v>
          </cell>
          <cell r="BP1179">
            <v>0.76606454779354161</v>
          </cell>
          <cell r="BQ1179">
            <v>0.75348482077457057</v>
          </cell>
          <cell r="BR1179">
            <v>0.74224194278578648</v>
          </cell>
          <cell r="BS1179">
            <v>0.72325118280400003</v>
          </cell>
          <cell r="BT1179">
            <v>0.65543048816112071</v>
          </cell>
          <cell r="BU1179">
            <v>0.77811198150489835</v>
          </cell>
          <cell r="BV1179">
            <v>0.75426499318845219</v>
          </cell>
          <cell r="BY1179" t="str">
            <v>500/0.6/6600</v>
          </cell>
          <cell r="BZ1179">
            <v>2.1540651358909368E-2</v>
          </cell>
          <cell r="CA1179">
            <v>2.1072560162938236E-2</v>
          </cell>
        </row>
        <row r="1180">
          <cell r="BN1180" t="str">
            <v>1000/0.8/3250</v>
          </cell>
          <cell r="BO1180">
            <v>0.73483916424984697</v>
          </cell>
          <cell r="BP1180">
            <v>0.7613265167473604</v>
          </cell>
          <cell r="BQ1180">
            <v>0.74588515597072869</v>
          </cell>
          <cell r="BR1180">
            <v>0.73378191266993931</v>
          </cell>
          <cell r="BS1180">
            <v>0.71697347167990699</v>
          </cell>
          <cell r="BT1180">
            <v>0.64889636298291764</v>
          </cell>
          <cell r="BU1180">
            <v>0.77156979132227488</v>
          </cell>
          <cell r="BV1180">
            <v>0.7476343524205511</v>
          </cell>
          <cell r="BY1180" t="str">
            <v>500/0.6/6850</v>
          </cell>
          <cell r="BZ1180">
            <v>2.1459626004775245E-2</v>
          </cell>
          <cell r="CA1180">
            <v>2.0996729081017351E-2</v>
          </cell>
        </row>
        <row r="1181">
          <cell r="BN1181" t="str">
            <v>1000/0.8/3500</v>
          </cell>
          <cell r="BO1181">
            <v>0.72702496992735022</v>
          </cell>
          <cell r="BP1181">
            <v>0.75658848570117931</v>
          </cell>
          <cell r="BQ1181">
            <v>0.73828549116688691</v>
          </cell>
          <cell r="BR1181">
            <v>0.72532188255409213</v>
          </cell>
          <cell r="BS1181">
            <v>0.71069576055581407</v>
          </cell>
          <cell r="BT1181">
            <v>0.64236223780471446</v>
          </cell>
          <cell r="BU1181">
            <v>0.7650276011396514</v>
          </cell>
          <cell r="BV1181">
            <v>0.74100371165265</v>
          </cell>
          <cell r="BY1181" t="str">
            <v>500/0.6/7500</v>
          </cell>
          <cell r="BZ1181">
            <v>2.1248580824240859E-2</v>
          </cell>
          <cell r="CA1181">
            <v>2.0797915439873194E-2</v>
          </cell>
        </row>
        <row r="1182">
          <cell r="BN1182" t="str">
            <v>1000/0.8/3750</v>
          </cell>
          <cell r="BO1182">
            <v>0.72213519486583444</v>
          </cell>
          <cell r="BP1182">
            <v>0.7533840337049722</v>
          </cell>
          <cell r="BQ1182">
            <v>0.73193967889780454</v>
          </cell>
          <cell r="BR1182">
            <v>0.72063952001069143</v>
          </cell>
          <cell r="BS1182">
            <v>0.70605740654268168</v>
          </cell>
          <cell r="BT1182">
            <v>0.63769964345791763</v>
          </cell>
          <cell r="BU1182">
            <v>0.7597078094825398</v>
          </cell>
          <cell r="BV1182">
            <v>0.73550211915521535</v>
          </cell>
          <cell r="BY1182" t="str">
            <v>500/0.6/8000</v>
          </cell>
          <cell r="BZ1182">
            <v>2.1088625515877757E-2</v>
          </cell>
          <cell r="CA1182">
            <v>2.0647594882844622E-2</v>
          </cell>
        </row>
        <row r="1183">
          <cell r="BN1183" t="str">
            <v>1000/0.8/4000</v>
          </cell>
          <cell r="BO1183">
            <v>0.71724541980431866</v>
          </cell>
          <cell r="BP1183">
            <v>0.7501795817087652</v>
          </cell>
          <cell r="BQ1183">
            <v>0.72559386662872227</v>
          </cell>
          <cell r="BR1183">
            <v>0.71595715746729061</v>
          </cell>
          <cell r="BS1183">
            <v>0.70141905252954917</v>
          </cell>
          <cell r="BT1183">
            <v>0.6330370491111208</v>
          </cell>
          <cell r="BU1183">
            <v>0.75438801782542819</v>
          </cell>
          <cell r="BV1183">
            <v>0.73000052665778081</v>
          </cell>
          <cell r="BY1183" t="str">
            <v>500/0.6/9000</v>
          </cell>
          <cell r="BZ1183">
            <v>2.0858132066045032E-2</v>
          </cell>
          <cell r="CA1183">
            <v>2.040378730798964E-2</v>
          </cell>
        </row>
        <row r="1184">
          <cell r="BN1184" t="str">
            <v>1000/0.8/4250</v>
          </cell>
          <cell r="BO1184">
            <v>0.71356336149909105</v>
          </cell>
          <cell r="BP1184">
            <v>0.74735458060433568</v>
          </cell>
          <cell r="BQ1184">
            <v>0.72193896947196157</v>
          </cell>
          <cell r="BR1184">
            <v>0.7117963771474799</v>
          </cell>
          <cell r="BS1184">
            <v>0.69728198428861332</v>
          </cell>
          <cell r="BT1184">
            <v>0.62870031247240288</v>
          </cell>
          <cell r="BU1184">
            <v>0.74997209159783473</v>
          </cell>
          <cell r="BV1184">
            <v>0.72559329195200917</v>
          </cell>
          <cell r="BY1184" t="str">
            <v>500/0.6/10000</v>
          </cell>
          <cell r="BZ1184">
            <v>2.0627733501131118E-2</v>
          </cell>
          <cell r="CA1184">
            <v>2.0169812124172459E-2</v>
          </cell>
        </row>
        <row r="1185">
          <cell r="BN1185" t="str">
            <v>1000/0.8/4500</v>
          </cell>
          <cell r="BO1185">
            <v>0.70988130319386333</v>
          </cell>
          <cell r="BP1185">
            <v>0.74452957949990617</v>
          </cell>
          <cell r="BQ1185">
            <v>0.71828407231520086</v>
          </cell>
          <cell r="BR1185">
            <v>0.70763559682766919</v>
          </cell>
          <cell r="BS1185">
            <v>0.69314491604767747</v>
          </cell>
          <cell r="BT1185">
            <v>0.62436357583368507</v>
          </cell>
          <cell r="BU1185">
            <v>0.74555616537024139</v>
          </cell>
          <cell r="BV1185">
            <v>0.72118605724623741</v>
          </cell>
          <cell r="BY1185" t="str">
            <v>500/0.6/99999</v>
          </cell>
          <cell r="BZ1185">
            <v>1.7185365873719105E-2</v>
          </cell>
          <cell r="CA1185">
            <v>1.7187949309300787E-2</v>
          </cell>
        </row>
        <row r="1186">
          <cell r="BN1186" t="str">
            <v>1000/0.8/4750</v>
          </cell>
          <cell r="BO1186">
            <v>0.70643345763620813</v>
          </cell>
          <cell r="BP1186">
            <v>0.74212904496636867</v>
          </cell>
          <cell r="BQ1186">
            <v>0.71483214234817194</v>
          </cell>
          <cell r="BR1186">
            <v>0.70418430962311507</v>
          </cell>
          <cell r="BS1186">
            <v>0.68959787326733624</v>
          </cell>
          <cell r="BT1186">
            <v>0.62099864740316368</v>
          </cell>
          <cell r="BU1186">
            <v>0.74181885444751317</v>
          </cell>
          <cell r="BV1186">
            <v>0.71736196961960896</v>
          </cell>
          <cell r="BY1186" t="str">
            <v>750/0.6/750</v>
          </cell>
          <cell r="BZ1186">
            <v>2.5656452951922093E-2</v>
          </cell>
          <cell r="CA1186">
            <v>2.5745897161148834E-2</v>
          </cell>
        </row>
        <row r="1187">
          <cell r="BN1187" t="str">
            <v>1000/0.8/5000</v>
          </cell>
          <cell r="BO1187">
            <v>0.70298561207855303</v>
          </cell>
          <cell r="BP1187">
            <v>0.73972851043283117</v>
          </cell>
          <cell r="BQ1187">
            <v>0.71138021238114302</v>
          </cell>
          <cell r="BR1187">
            <v>0.70073302241856095</v>
          </cell>
          <cell r="BS1187">
            <v>0.68605083048699511</v>
          </cell>
          <cell r="BT1187">
            <v>0.61763371897264241</v>
          </cell>
          <cell r="BU1187">
            <v>0.73808154352478494</v>
          </cell>
          <cell r="BV1187">
            <v>0.71353788199298052</v>
          </cell>
          <cell r="BY1187" t="str">
            <v>750/0.6/1000</v>
          </cell>
          <cell r="BZ1187">
            <v>2.5203683100041729E-2</v>
          </cell>
          <cell r="CA1187">
            <v>2.5119217826254925E-2</v>
          </cell>
        </row>
        <row r="1188">
          <cell r="BN1188" t="str">
            <v>1000/0.8/5250</v>
          </cell>
          <cell r="BO1188">
            <v>0.70065035684581289</v>
          </cell>
          <cell r="BP1188">
            <v>0.73826139975669025</v>
          </cell>
          <cell r="BQ1188">
            <v>0.70912424554290787</v>
          </cell>
          <cell r="BR1188">
            <v>0.69799260590192014</v>
          </cell>
          <cell r="BS1188">
            <v>0.68329290659180497</v>
          </cell>
          <cell r="BT1188">
            <v>0.61475675329095125</v>
          </cell>
          <cell r="BU1188">
            <v>0.73485712053927077</v>
          </cell>
          <cell r="BV1188">
            <v>0.71021842153947778</v>
          </cell>
          <cell r="BY1188" t="str">
            <v>750/0.6/1250</v>
          </cell>
          <cell r="BZ1188">
            <v>2.4774060861831648E-2</v>
          </cell>
          <cell r="CA1188">
            <v>2.4631260550917355E-2</v>
          </cell>
        </row>
        <row r="1189">
          <cell r="BN1189" t="str">
            <v>1000/0.8/5500</v>
          </cell>
          <cell r="BO1189">
            <v>0.69831510161307275</v>
          </cell>
          <cell r="BP1189">
            <v>0.73679428908054923</v>
          </cell>
          <cell r="BQ1189">
            <v>0.70686827870467273</v>
          </cell>
          <cell r="BR1189">
            <v>0.69525218938527933</v>
          </cell>
          <cell r="BS1189">
            <v>0.68053498269661483</v>
          </cell>
          <cell r="BT1189">
            <v>0.6118797876092601</v>
          </cell>
          <cell r="BU1189">
            <v>0.73163269755375659</v>
          </cell>
          <cell r="BV1189">
            <v>0.70689896108597516</v>
          </cell>
          <cell r="BY1189" t="str">
            <v>750/0.6/1500</v>
          </cell>
          <cell r="BZ1189">
            <v>2.4424835747879126E-2</v>
          </cell>
          <cell r="CA1189">
            <v>2.4226437910358944E-2</v>
          </cell>
        </row>
        <row r="1190">
          <cell r="BN1190" t="str">
            <v>1000/0.8/5750</v>
          </cell>
          <cell r="BO1190">
            <v>0.69606890992973403</v>
          </cell>
          <cell r="BP1190">
            <v>0.73549347332924975</v>
          </cell>
          <cell r="BQ1190">
            <v>0.70464267546324355</v>
          </cell>
          <cell r="BR1190">
            <v>0.6930025823585223</v>
          </cell>
          <cell r="BS1190">
            <v>0.67825394317555521</v>
          </cell>
          <cell r="BT1190">
            <v>0.60962683098791248</v>
          </cell>
          <cell r="BU1190">
            <v>0.72880767932526025</v>
          </cell>
          <cell r="BV1190">
            <v>0.70419433270913834</v>
          </cell>
          <cell r="BY1190" t="str">
            <v>750/0.6/1750</v>
          </cell>
          <cell r="BZ1190">
            <v>2.4141599199134056E-2</v>
          </cell>
          <cell r="CA1190">
            <v>2.3901326058739514E-2</v>
          </cell>
        </row>
        <row r="1191">
          <cell r="BN1191" t="str">
            <v>1000/0.8/6000</v>
          </cell>
          <cell r="BO1191">
            <v>0.6938227182463953</v>
          </cell>
          <cell r="BP1191">
            <v>0.73419265757795038</v>
          </cell>
          <cell r="BQ1191">
            <v>0.70241707222181449</v>
          </cell>
          <cell r="BR1191">
            <v>0.69075297533176527</v>
          </cell>
          <cell r="BS1191">
            <v>0.67597290365449569</v>
          </cell>
          <cell r="BT1191">
            <v>0.60737387436656476</v>
          </cell>
          <cell r="BU1191">
            <v>0.72598266109676379</v>
          </cell>
          <cell r="BV1191">
            <v>0.70148970433230151</v>
          </cell>
          <cell r="BY1191" t="str">
            <v>750/0.6/2000</v>
          </cell>
          <cell r="BZ1191">
            <v>2.3858362650388987E-2</v>
          </cell>
          <cell r="CA1191">
            <v>2.3576214207120083E-2</v>
          </cell>
        </row>
        <row r="1192">
          <cell r="BN1192" t="str">
            <v>1000/0.8/6250</v>
          </cell>
          <cell r="BO1192">
            <v>0.69195398988210133</v>
          </cell>
          <cell r="BP1192">
            <v>0.7328906114471041</v>
          </cell>
          <cell r="BQ1192">
            <v>0.70062477015040348</v>
          </cell>
          <cell r="BR1192">
            <v>0.68850632849780935</v>
          </cell>
          <cell r="BS1192">
            <v>0.67366916283569978</v>
          </cell>
          <cell r="BT1192">
            <v>0.60512818976114124</v>
          </cell>
          <cell r="BU1192">
            <v>0.7233160546714259</v>
          </cell>
          <cell r="BV1192">
            <v>0.69890753051033272</v>
          </cell>
          <cell r="BY1192" t="str">
            <v>750/0.6/2250</v>
          </cell>
          <cell r="BZ1192">
            <v>2.3615141709667054E-2</v>
          </cell>
          <cell r="CA1192">
            <v>2.3300458538695112E-2</v>
          </cell>
        </row>
        <row r="1193">
          <cell r="BN1193" t="str">
            <v>1000/0.8/6350</v>
          </cell>
          <cell r="BO1193">
            <v>0.69123695745039138</v>
          </cell>
          <cell r="BP1193">
            <v>0.73236956332391567</v>
          </cell>
          <cell r="BQ1193">
            <v>0.6999076556509175</v>
          </cell>
          <cell r="BR1193">
            <v>0.68760744158667619</v>
          </cell>
          <cell r="BS1193">
            <v>0.67274230076309283</v>
          </cell>
          <cell r="BT1193">
            <v>0.6042296952098215</v>
          </cell>
          <cell r="BU1193">
            <v>0.72242012027012414</v>
          </cell>
          <cell r="BV1193">
            <v>0.69786837599153417</v>
          </cell>
          <cell r="BY1193" t="str">
            <v>750/0.6/2500</v>
          </cell>
          <cell r="BZ1193">
            <v>2.3396691809404402E-2</v>
          </cell>
          <cell r="CA1193">
            <v>2.3049574225523006E-2</v>
          </cell>
        </row>
        <row r="1194">
          <cell r="BN1194" t="str">
            <v>1000/0.8/6600</v>
          </cell>
          <cell r="BO1194">
            <v>0.68944389896827762</v>
          </cell>
          <cell r="BP1194">
            <v>0.73107278191135661</v>
          </cell>
          <cell r="BQ1194">
            <v>0.69811438522490299</v>
          </cell>
          <cell r="BR1194">
            <v>0.68572614779203067</v>
          </cell>
          <cell r="BS1194">
            <v>0.67071691961975466</v>
          </cell>
          <cell r="BT1194">
            <v>0.60221654983567885</v>
          </cell>
          <cell r="BU1194">
            <v>0.72017931615507003</v>
          </cell>
          <cell r="BV1194">
            <v>0.69535913006025885</v>
          </cell>
          <cell r="BY1194" t="str">
            <v>750/0.6/2750</v>
          </cell>
          <cell r="BZ1194">
            <v>2.3197629690829613E-2</v>
          </cell>
          <cell r="CA1194">
            <v>2.2818037879498432E-2</v>
          </cell>
        </row>
        <row r="1195">
          <cell r="BN1195" t="str">
            <v>1000/0.8/6850</v>
          </cell>
          <cell r="BO1195">
            <v>0.68765015848210853</v>
          </cell>
          <cell r="BP1195">
            <v>0.729835024383649</v>
          </cell>
          <cell r="BQ1195">
            <v>0.69632042311702746</v>
          </cell>
          <cell r="BR1195">
            <v>0.68393314465858723</v>
          </cell>
          <cell r="BS1195">
            <v>0.66891872986384215</v>
          </cell>
          <cell r="BT1195">
            <v>0.60042436501382557</v>
          </cell>
          <cell r="BU1195">
            <v>0.71793712902315832</v>
          </cell>
          <cell r="BV1195">
            <v>0.69326268065760521</v>
          </cell>
          <cell r="BY1195" t="str">
            <v>750/0.6/3000</v>
          </cell>
          <cell r="BZ1195">
            <v>2.3011187312360404E-2</v>
          </cell>
          <cell r="CA1195">
            <v>2.2600233221076182E-2</v>
          </cell>
        </row>
        <row r="1196">
          <cell r="BN1196" t="str">
            <v>1000/0.8/7500</v>
          </cell>
          <cell r="BO1196">
            <v>0.68304163253436601</v>
          </cell>
          <cell r="BP1196">
            <v>0.72786761013893697</v>
          </cell>
          <cell r="BQ1196">
            <v>0.691881435026235</v>
          </cell>
          <cell r="BR1196">
            <v>0.67926829542307199</v>
          </cell>
          <cell r="BS1196">
            <v>0.66417468642949962</v>
          </cell>
          <cell r="BT1196">
            <v>0.59576174292525541</v>
          </cell>
          <cell r="BU1196">
            <v>0.71214089564868233</v>
          </cell>
          <cell r="BV1196">
            <v>0.68825724137510635</v>
          </cell>
          <cell r="BY1196" t="str">
            <v>750/0.6/3250</v>
          </cell>
          <cell r="BZ1196">
            <v>2.2842203960781959E-2</v>
          </cell>
          <cell r="CA1196">
            <v>2.2405171375351807E-2</v>
          </cell>
        </row>
        <row r="1197">
          <cell r="BN1197" t="str">
            <v>1000/0.8/10000</v>
          </cell>
          <cell r="BO1197">
            <v>0.67101679766861178</v>
          </cell>
          <cell r="BP1197">
            <v>0.72198271287720828</v>
          </cell>
          <cell r="BQ1197">
            <v>0.67997445947048185</v>
          </cell>
          <cell r="BR1197">
            <v>0.66576041316461521</v>
          </cell>
          <cell r="BS1197">
            <v>0.65153308154375111</v>
          </cell>
          <cell r="BT1197">
            <v>0.58221268721450226</v>
          </cell>
          <cell r="BU1197">
            <v>0.69754113494629388</v>
          </cell>
          <cell r="BV1197">
            <v>0.67390699410365651</v>
          </cell>
          <cell r="BY1197" t="str">
            <v>750/0.6/3500</v>
          </cell>
          <cell r="BZ1197">
            <v>2.2673220609203515E-2</v>
          </cell>
          <cell r="CA1197">
            <v>2.2210109529627431E-2</v>
          </cell>
        </row>
        <row r="1198">
          <cell r="BN1198" t="str">
            <v>1000/0.8/99999</v>
          </cell>
          <cell r="BO1198">
            <v>0.61604266373436445</v>
          </cell>
          <cell r="BP1198">
            <v>0.70442226407829711</v>
          </cell>
          <cell r="BQ1198">
            <v>0.62584808727478247</v>
          </cell>
          <cell r="BR1198">
            <v>0.60592615237671366</v>
          </cell>
          <cell r="BS1198">
            <v>0.60362454027846468</v>
          </cell>
          <cell r="BT1198">
            <v>0.52502439154649805</v>
          </cell>
          <cell r="BU1198">
            <v>0.63525630027561597</v>
          </cell>
          <cell r="BV1198">
            <v>0.62504974308326833</v>
          </cell>
          <cell r="BY1198" t="str">
            <v>750/0.6/3750</v>
          </cell>
          <cell r="BZ1198">
            <v>2.2523981615788946E-2</v>
          </cell>
          <cell r="CA1198">
            <v>2.2025789595999101E-2</v>
          </cell>
        </row>
        <row r="1199">
          <cell r="BY1199" t="str">
            <v>750/0.6/4000</v>
          </cell>
          <cell r="BZ1199">
            <v>2.2374742622374377E-2</v>
          </cell>
          <cell r="CA1199">
            <v>2.1841469662370772E-2</v>
          </cell>
        </row>
        <row r="1200">
          <cell r="BN1200" t="str">
            <v>1250/0.8/2000</v>
          </cell>
          <cell r="BO1200">
            <v>0.79117605010062231</v>
          </cell>
          <cell r="BP1200">
            <v>0.80159560281562081</v>
          </cell>
          <cell r="BQ1200">
            <v>0.80363742001731386</v>
          </cell>
          <cell r="BR1200">
            <v>0.79167343442990978</v>
          </cell>
          <cell r="BS1200">
            <v>0.77770512122350433</v>
          </cell>
          <cell r="BT1200">
            <v>0.68388334183499255</v>
          </cell>
          <cell r="BU1200">
            <v>0.80684554619813709</v>
          </cell>
          <cell r="BV1200">
            <v>0.78500548474067899</v>
          </cell>
          <cell r="BY1200" t="str">
            <v>750/0.6/4250</v>
          </cell>
          <cell r="BZ1200">
            <v>2.2240386226588971E-2</v>
          </cell>
          <cell r="CA1200">
            <v>2.1705240842343487E-2</v>
          </cell>
        </row>
        <row r="1201">
          <cell r="BN1201" t="str">
            <v>1250/0.8/2250</v>
          </cell>
          <cell r="BO1201">
            <v>0.77380872114868604</v>
          </cell>
          <cell r="BP1201">
            <v>0.78630631256421391</v>
          </cell>
          <cell r="BQ1201">
            <v>0.78645870064867551</v>
          </cell>
          <cell r="BR1201">
            <v>0.77422519958141001</v>
          </cell>
          <cell r="BS1201">
            <v>0.7580712576082026</v>
          </cell>
          <cell r="BT1201">
            <v>0.6695329629575445</v>
          </cell>
          <cell r="BU1201">
            <v>0.79224534274248026</v>
          </cell>
          <cell r="BV1201">
            <v>0.76872887554599623</v>
          </cell>
          <cell r="BY1201" t="str">
            <v>750/0.6/4500</v>
          </cell>
          <cell r="BZ1201">
            <v>2.2106029830803564E-2</v>
          </cell>
          <cell r="CA1201">
            <v>2.1569012022316203E-2</v>
          </cell>
        </row>
        <row r="1202">
          <cell r="BN1202" t="str">
            <v>1250/0.8/2500</v>
          </cell>
          <cell r="BO1202">
            <v>0.75918442096732441</v>
          </cell>
          <cell r="BP1202">
            <v>0.77387501241793133</v>
          </cell>
          <cell r="BQ1202">
            <v>0.77196311216686375</v>
          </cell>
          <cell r="BR1202">
            <v>0.75934254852285721</v>
          </cell>
          <cell r="BS1202">
            <v>0.74098435097774018</v>
          </cell>
          <cell r="BT1202">
            <v>0.65806517835673994</v>
          </cell>
          <cell r="BU1202">
            <v>0.77978851850933939</v>
          </cell>
          <cell r="BV1202">
            <v>0.75477729085766787</v>
          </cell>
          <cell r="BY1202" t="str">
            <v>750/0.6/4750</v>
          </cell>
          <cell r="BZ1202">
            <v>2.1982421498099258E-2</v>
          </cell>
          <cell r="CA1202">
            <v>2.1434496584174068E-2</v>
          </cell>
        </row>
        <row r="1203">
          <cell r="BN1203" t="str">
            <v>1250/0.8/2750</v>
          </cell>
          <cell r="BO1203">
            <v>0.74595437733227721</v>
          </cell>
          <cell r="BP1203">
            <v>0.76439349472313767</v>
          </cell>
          <cell r="BQ1203">
            <v>0.75887941654299618</v>
          </cell>
          <cell r="BR1203">
            <v>0.74591025993482496</v>
          </cell>
          <cell r="BS1203">
            <v>0.72570879785516906</v>
          </cell>
          <cell r="BT1203">
            <v>0.64783339563227671</v>
          </cell>
          <cell r="BU1203">
            <v>0.76916383171346314</v>
          </cell>
          <cell r="BV1203">
            <v>0.74263252929788037</v>
          </cell>
          <cell r="BY1203" t="str">
            <v>750/0.6/5000</v>
          </cell>
          <cell r="BZ1203">
            <v>2.1858813165394952E-2</v>
          </cell>
          <cell r="CA1203">
            <v>2.1299981146031932E-2</v>
          </cell>
        </row>
        <row r="1204">
          <cell r="BN1204" t="str">
            <v>1250/0.8/3000</v>
          </cell>
          <cell r="BO1204">
            <v>0.73601267585718666</v>
          </cell>
          <cell r="BP1204">
            <v>0.75805513696992655</v>
          </cell>
          <cell r="BQ1204">
            <v>0.74898849846633786</v>
          </cell>
          <cell r="BR1204">
            <v>0.73578126495788998</v>
          </cell>
          <cell r="BS1204">
            <v>0.71782057096337759</v>
          </cell>
          <cell r="BT1204">
            <v>0.63983007831965233</v>
          </cell>
          <cell r="BU1204">
            <v>0.75979873410204435</v>
          </cell>
          <cell r="BV1204">
            <v>0.73316982491730776</v>
          </cell>
          <cell r="BY1204" t="str">
            <v>750/0.6/5250</v>
          </cell>
          <cell r="BZ1204">
            <v>2.1736048031615884E-2</v>
          </cell>
          <cell r="CA1204">
            <v>2.1178275479702191E-2</v>
          </cell>
        </row>
        <row r="1205">
          <cell r="BN1205" t="str">
            <v>1250/0.8/3250</v>
          </cell>
          <cell r="BO1205">
            <v>0.72805871737312677</v>
          </cell>
          <cell r="BP1205">
            <v>0.75297650123704929</v>
          </cell>
          <cell r="BQ1205">
            <v>0.74031632455604779</v>
          </cell>
          <cell r="BR1205">
            <v>0.72739761227873978</v>
          </cell>
          <cell r="BS1205">
            <v>0.7107043417932879</v>
          </cell>
          <cell r="BT1205">
            <v>0.63264742754333581</v>
          </cell>
          <cell r="BU1205">
            <v>0.75203678479699709</v>
          </cell>
          <cell r="BV1205">
            <v>0.72553150265701538</v>
          </cell>
          <cell r="BY1205" t="str">
            <v>750/0.6/5500</v>
          </cell>
          <cell r="BZ1205">
            <v>2.1613282897836816E-2</v>
          </cell>
          <cell r="CA1205">
            <v>2.105656981337245E-2</v>
          </cell>
        </row>
        <row r="1206">
          <cell r="BN1206" t="str">
            <v>1250/0.8/3500</v>
          </cell>
          <cell r="BO1206">
            <v>0.72010475888906678</v>
          </cell>
          <cell r="BP1206">
            <v>0.74789786550417203</v>
          </cell>
          <cell r="BQ1206">
            <v>0.73164415064575761</v>
          </cell>
          <cell r="BR1206">
            <v>0.71901395959958969</v>
          </cell>
          <cell r="BS1206">
            <v>0.70358811262319809</v>
          </cell>
          <cell r="BT1206">
            <v>0.62546477676701939</v>
          </cell>
          <cell r="BU1206">
            <v>0.74427483549194973</v>
          </cell>
          <cell r="BV1206">
            <v>0.71789318039672301</v>
          </cell>
          <cell r="BY1206" t="str">
            <v>750/0.6/5750</v>
          </cell>
          <cell r="BZ1206">
            <v>2.1504234693193625E-2</v>
          </cell>
          <cell r="CA1206">
            <v>2.0959212908975733E-2</v>
          </cell>
        </row>
        <row r="1207">
          <cell r="BN1207" t="str">
            <v>1250/0.8/3750</v>
          </cell>
          <cell r="BO1207">
            <v>0.71519778507071252</v>
          </cell>
          <cell r="BP1207">
            <v>0.74407537790676703</v>
          </cell>
          <cell r="BQ1207">
            <v>0.72582786028773849</v>
          </cell>
          <cell r="BR1207">
            <v>0.71408550370059309</v>
          </cell>
          <cell r="BS1207">
            <v>0.69838938604137057</v>
          </cell>
          <cell r="BT1207">
            <v>0.62030713165324136</v>
          </cell>
          <cell r="BU1207">
            <v>0.73889813841257368</v>
          </cell>
          <cell r="BV1207">
            <v>0.71229098759157983</v>
          </cell>
          <cell r="BY1207" t="str">
            <v>750/0.6/6000</v>
          </cell>
          <cell r="BZ1207">
            <v>2.1395186488550433E-2</v>
          </cell>
          <cell r="CA1207">
            <v>2.0861856004579016E-2</v>
          </cell>
        </row>
        <row r="1208">
          <cell r="BN1208" t="str">
            <v>1250/0.8/4000</v>
          </cell>
          <cell r="BO1208">
            <v>0.71029081125235838</v>
          </cell>
          <cell r="BP1208">
            <v>0.74025289030936214</v>
          </cell>
          <cell r="BQ1208">
            <v>0.72001156992971937</v>
          </cell>
          <cell r="BR1208">
            <v>0.70915704780159639</v>
          </cell>
          <cell r="BS1208">
            <v>0.69319065945954295</v>
          </cell>
          <cell r="BT1208">
            <v>0.61514948653946322</v>
          </cell>
          <cell r="BU1208">
            <v>0.73352144133319752</v>
          </cell>
          <cell r="BV1208">
            <v>0.70668879478643665</v>
          </cell>
          <cell r="BY1208" t="str">
            <v>750/0.6/6250</v>
          </cell>
          <cell r="BZ1208">
            <v>2.1313917736749843E-2</v>
          </cell>
          <cell r="CA1208">
            <v>2.0770815813083043E-2</v>
          </cell>
        </row>
        <row r="1209">
          <cell r="BN1209" t="str">
            <v>1250/0.8/4250</v>
          </cell>
          <cell r="BO1209">
            <v>0.70615871358917282</v>
          </cell>
          <cell r="BP1209">
            <v>0.73717729068251292</v>
          </cell>
          <cell r="BQ1209">
            <v>0.71598208934303065</v>
          </cell>
          <cell r="BR1209">
            <v>0.70454765539259268</v>
          </cell>
          <cell r="BS1209">
            <v>0.6888760173240055</v>
          </cell>
          <cell r="BT1209">
            <v>0.61057463045640636</v>
          </cell>
          <cell r="BU1209">
            <v>0.72849759163117789</v>
          </cell>
          <cell r="BV1209">
            <v>0.70189374202426269</v>
          </cell>
          <cell r="BY1209" t="str">
            <v>750/0.6/6350</v>
          </cell>
          <cell r="BZ1209">
            <v>2.1281581662448312E-2</v>
          </cell>
          <cell r="CA1209">
            <v>2.0734270959229972E-2</v>
          </cell>
        </row>
        <row r="1210">
          <cell r="BN1210" t="str">
            <v>1250/0.8/4500</v>
          </cell>
          <cell r="BO1210">
            <v>0.70202661592598725</v>
          </cell>
          <cell r="BP1210">
            <v>0.7341016910556637</v>
          </cell>
          <cell r="BQ1210">
            <v>0.71195260875634192</v>
          </cell>
          <cell r="BR1210">
            <v>0.69993826298358897</v>
          </cell>
          <cell r="BS1210">
            <v>0.68456137518846805</v>
          </cell>
          <cell r="BT1210">
            <v>0.60599977437334962</v>
          </cell>
          <cell r="BU1210">
            <v>0.72347374192915825</v>
          </cell>
          <cell r="BV1210">
            <v>0.69709868926208873</v>
          </cell>
          <cell r="BY1210" t="str">
            <v>750/0.6/6600</v>
          </cell>
          <cell r="BZ1210">
            <v>2.1200684640980683E-2</v>
          </cell>
          <cell r="CA1210">
            <v>2.0642586881459701E-2</v>
          </cell>
        </row>
        <row r="1211">
          <cell r="BN1211" t="str">
            <v>1250/0.8/4750</v>
          </cell>
          <cell r="BO1211">
            <v>0.69857596300205149</v>
          </cell>
          <cell r="BP1211">
            <v>0.73170590887476861</v>
          </cell>
          <cell r="BQ1211">
            <v>0.70849894309580042</v>
          </cell>
          <cell r="BR1211">
            <v>0.69648469135550928</v>
          </cell>
          <cell r="BS1211">
            <v>0.68092281081209216</v>
          </cell>
          <cell r="BT1211">
            <v>0.60239014190175044</v>
          </cell>
          <cell r="BU1211">
            <v>0.71973022296728884</v>
          </cell>
          <cell r="BV1211">
            <v>0.69301964349264467</v>
          </cell>
          <cell r="BY1211" t="str">
            <v>750/0.6/6850</v>
          </cell>
          <cell r="BZ1211">
            <v>2.1119706425636542E-2</v>
          </cell>
          <cell r="CA1211">
            <v>2.0559473828506647E-2</v>
          </cell>
        </row>
        <row r="1212">
          <cell r="BN1212" t="str">
            <v>1250/0.8/5000</v>
          </cell>
          <cell r="BO1212">
            <v>0.69512531007811573</v>
          </cell>
          <cell r="BP1212">
            <v>0.72931012669387352</v>
          </cell>
          <cell r="BQ1212">
            <v>0.70504527743525902</v>
          </cell>
          <cell r="BR1212">
            <v>0.69303111972742959</v>
          </cell>
          <cell r="BS1212">
            <v>0.67728424643571616</v>
          </cell>
          <cell r="BT1212">
            <v>0.59878050943015126</v>
          </cell>
          <cell r="BU1212">
            <v>0.71598670400541953</v>
          </cell>
          <cell r="BV1212">
            <v>0.6889405977232006</v>
          </cell>
          <cell r="BY1212" t="str">
            <v>750/0.6/7500</v>
          </cell>
          <cell r="BZ1212">
            <v>2.0908783078400939E-2</v>
          </cell>
          <cell r="CA1212">
            <v>2.0361240597849495E-2</v>
          </cell>
        </row>
        <row r="1213">
          <cell r="BN1213" t="str">
            <v>1250/0.8/5250</v>
          </cell>
          <cell r="BO1213">
            <v>0.69226113392903177</v>
          </cell>
          <cell r="BP1213">
            <v>0.72733280987693516</v>
          </cell>
          <cell r="BQ1213">
            <v>0.70225398788514459</v>
          </cell>
          <cell r="BR1213">
            <v>0.68982274120276033</v>
          </cell>
          <cell r="BS1213">
            <v>0.67400217671349683</v>
          </cell>
          <cell r="BT1213">
            <v>0.59562033637237888</v>
          </cell>
          <cell r="BU1213">
            <v>0.71239451335989501</v>
          </cell>
          <cell r="BV1213">
            <v>0.68526820798786947</v>
          </cell>
          <cell r="BY1213" t="str">
            <v>750/0.6/8000</v>
          </cell>
          <cell r="BZ1213">
            <v>2.074636981226341E-2</v>
          </cell>
          <cell r="CA1213">
            <v>2.0206707731546425E-2</v>
          </cell>
        </row>
        <row r="1214">
          <cell r="BN1214" t="str">
            <v>1250/0.8/5500</v>
          </cell>
          <cell r="BO1214">
            <v>0.68939695777994781</v>
          </cell>
          <cell r="BP1214">
            <v>0.72535549305999691</v>
          </cell>
          <cell r="BQ1214">
            <v>0.69946269833503016</v>
          </cell>
          <cell r="BR1214">
            <v>0.68661436267809106</v>
          </cell>
          <cell r="BS1214">
            <v>0.67072010699127749</v>
          </cell>
          <cell r="BT1214">
            <v>0.5924601633146066</v>
          </cell>
          <cell r="BU1214">
            <v>0.70880232271437038</v>
          </cell>
          <cell r="BV1214">
            <v>0.68159581825253834</v>
          </cell>
          <cell r="BY1214" t="str">
            <v>750/0.6/9000</v>
          </cell>
          <cell r="BZ1214">
            <v>2.0503050018027213E-2</v>
          </cell>
          <cell r="CA1214">
            <v>1.9958354463855299E-2</v>
          </cell>
        </row>
        <row r="1215">
          <cell r="BN1215" t="str">
            <v>1250/0.8/5750</v>
          </cell>
          <cell r="BO1215">
            <v>0.687147824549043</v>
          </cell>
          <cell r="BP1215">
            <v>0.72436268576851348</v>
          </cell>
          <cell r="BQ1215">
            <v>0.69721510833154887</v>
          </cell>
          <cell r="BR1215">
            <v>0.6843011093828264</v>
          </cell>
          <cell r="BS1215">
            <v>0.66839531476866654</v>
          </cell>
          <cell r="BT1215">
            <v>0.59001228832027186</v>
          </cell>
          <cell r="BU1215">
            <v>0.7059681254358845</v>
          </cell>
          <cell r="BV1215">
            <v>0.67874308097296254</v>
          </cell>
          <cell r="BY1215" t="str">
            <v>750/0.6/10000</v>
          </cell>
          <cell r="BZ1215">
            <v>2.0272493879472719E-2</v>
          </cell>
          <cell r="CA1215">
            <v>1.971739304290554E-2</v>
          </cell>
        </row>
        <row r="1216">
          <cell r="BN1216" t="str">
            <v>1250/0.8/6000</v>
          </cell>
          <cell r="BO1216">
            <v>0.68489869131813808</v>
          </cell>
          <cell r="BP1216">
            <v>0.72336987847702994</v>
          </cell>
          <cell r="BQ1216">
            <v>0.69496751832806758</v>
          </cell>
          <cell r="BR1216">
            <v>0.68198785608756174</v>
          </cell>
          <cell r="BS1216">
            <v>0.6660705225460557</v>
          </cell>
          <cell r="BT1216">
            <v>0.58756441332593712</v>
          </cell>
          <cell r="BU1216">
            <v>0.70313392815739861</v>
          </cell>
          <cell r="BV1216">
            <v>0.67589034369338674</v>
          </cell>
          <cell r="BY1216" t="str">
            <v>750/0.6/99999</v>
          </cell>
          <cell r="BZ1216">
            <v>1.6790041289096447E-2</v>
          </cell>
          <cell r="CA1216">
            <v>1.6713698217637907E-2</v>
          </cell>
        </row>
        <row r="1217">
          <cell r="BN1217" t="str">
            <v>1250/0.8/6250</v>
          </cell>
          <cell r="BO1217">
            <v>0.6826578082736755</v>
          </cell>
          <cell r="BP1217">
            <v>0.72242498215272744</v>
          </cell>
          <cell r="BQ1217">
            <v>0.69284156031413047</v>
          </cell>
          <cell r="BR1217">
            <v>0.67974186047886509</v>
          </cell>
          <cell r="BS1217">
            <v>0.66378208137226125</v>
          </cell>
          <cell r="BT1217">
            <v>0.58531935931808754</v>
          </cell>
          <cell r="BU1217">
            <v>0.70032232039252673</v>
          </cell>
          <cell r="BV1217">
            <v>0.67332483306273627</v>
          </cell>
          <cell r="BY1217" t="str">
            <v>1000/0.6/1000</v>
          </cell>
          <cell r="BZ1217">
            <v>2.5085531398481464E-2</v>
          </cell>
          <cell r="CA1217">
            <v>2.5060374216841597E-2</v>
          </cell>
        </row>
        <row r="1218">
          <cell r="BN1218" t="str">
            <v>1250/0.8/6350</v>
          </cell>
          <cell r="BO1218">
            <v>0.68194099305151423</v>
          </cell>
          <cell r="BP1218">
            <v>0.72204685558455706</v>
          </cell>
          <cell r="BQ1218">
            <v>0.69212466677151707</v>
          </cell>
          <cell r="BR1218">
            <v>0.67884323397145507</v>
          </cell>
          <cell r="BS1218">
            <v>0.66286133692052907</v>
          </cell>
          <cell r="BT1218">
            <v>0.58442111700579735</v>
          </cell>
          <cell r="BU1218">
            <v>0.69919718921404184</v>
          </cell>
          <cell r="BV1218">
            <v>0.67229232430143915</v>
          </cell>
          <cell r="BY1218" t="str">
            <v>1000/0.6/1250</v>
          </cell>
          <cell r="BZ1218">
            <v>2.4693531785016765E-2</v>
          </cell>
          <cell r="CA1218">
            <v>2.4491569803432034E-2</v>
          </cell>
        </row>
        <row r="1219">
          <cell r="BN1219" t="str">
            <v>1250/0.8/6600</v>
          </cell>
          <cell r="BO1219">
            <v>0.68014847713413262</v>
          </cell>
          <cell r="BP1219">
            <v>0.72110111906800756</v>
          </cell>
          <cell r="BQ1219">
            <v>0.69033194826781874</v>
          </cell>
          <cell r="BR1219">
            <v>0.67659609704310397</v>
          </cell>
          <cell r="BS1219">
            <v>0.66054605583566983</v>
          </cell>
          <cell r="BT1219">
            <v>0.58217495945219377</v>
          </cell>
          <cell r="BU1219">
            <v>0.69685591044837336</v>
          </cell>
          <cell r="BV1219">
            <v>0.66969529112560555</v>
          </cell>
          <cell r="BY1219" t="str">
            <v>1000/0.6/1500</v>
          </cell>
          <cell r="BZ1219">
            <v>2.4299882018012697E-2</v>
          </cell>
          <cell r="CA1219">
            <v>2.4031387418678607E-2</v>
          </cell>
        </row>
        <row r="1220">
          <cell r="BN1220" t="str">
            <v>1250/0.8/6850</v>
          </cell>
          <cell r="BO1220">
            <v>0.67835527855678357</v>
          </cell>
          <cell r="BP1220">
            <v>0.72016140020615371</v>
          </cell>
          <cell r="BQ1220">
            <v>0.68853853741102589</v>
          </cell>
          <cell r="BR1220">
            <v>0.67479397066720448</v>
          </cell>
          <cell r="BS1220">
            <v>0.65861121302396497</v>
          </cell>
          <cell r="BT1220">
            <v>0.58025272196709432</v>
          </cell>
          <cell r="BU1220">
            <v>0.69461473736295654</v>
          </cell>
          <cell r="BV1220">
            <v>0.66725692316010088</v>
          </cell>
          <cell r="BY1220" t="str">
            <v>1000/0.6/1750</v>
          </cell>
          <cell r="BZ1220">
            <v>2.3994069623026859E-2</v>
          </cell>
          <cell r="CA1220">
            <v>2.3674287608570266E-2</v>
          </cell>
        </row>
        <row r="1221">
          <cell r="BN1221" t="str">
            <v>1250/0.8/7500</v>
          </cell>
          <cell r="BO1221">
            <v>0.6736897674070228</v>
          </cell>
          <cell r="BP1221">
            <v>0.7184476111620175</v>
          </cell>
          <cell r="BQ1221">
            <v>0.68387242897088563</v>
          </cell>
          <cell r="BR1221">
            <v>0.67013046886712224</v>
          </cell>
          <cell r="BS1221">
            <v>0.65389759721996177</v>
          </cell>
          <cell r="BT1221">
            <v>0.57559140723485913</v>
          </cell>
          <cell r="BU1221">
            <v>0.68878119431496809</v>
          </cell>
          <cell r="BV1221">
            <v>0.66213097924917375</v>
          </cell>
          <cell r="BY1221" t="str">
            <v>1000/0.6/2000</v>
          </cell>
          <cell r="BZ1221">
            <v>2.3688257228041021E-2</v>
          </cell>
          <cell r="CA1221">
            <v>2.3317187798461925E-2</v>
          </cell>
        </row>
        <row r="1222">
          <cell r="BN1222" t="str">
            <v>1250/0.8/10000</v>
          </cell>
          <cell r="BO1222">
            <v>0.66102478050922864</v>
          </cell>
          <cell r="BP1222">
            <v>0.7131902654347948</v>
          </cell>
          <cell r="BQ1222">
            <v>0.67148661567824752</v>
          </cell>
          <cell r="BR1222">
            <v>0.65617618770163977</v>
          </cell>
          <cell r="BS1222">
            <v>0.64051735633116769</v>
          </cell>
          <cell r="BT1222">
            <v>0.56161481310457539</v>
          </cell>
          <cell r="BU1222">
            <v>0.67329233410887823</v>
          </cell>
          <cell r="BV1222">
            <v>0.64711392569068493</v>
          </cell>
          <cell r="BY1222" t="str">
            <v>1000/0.6/2250</v>
          </cell>
          <cell r="BZ1222">
            <v>2.3432151865424578E-2</v>
          </cell>
          <cell r="CA1222">
            <v>2.3023242223729312E-2</v>
          </cell>
        </row>
        <row r="1223">
          <cell r="BN1223" t="str">
            <v>1250/0.8/99999</v>
          </cell>
          <cell r="BO1223">
            <v>0.60526900266680217</v>
          </cell>
          <cell r="BP1223">
            <v>0.69529685393848206</v>
          </cell>
          <cell r="BQ1223">
            <v>0.61657132258669001</v>
          </cell>
          <cell r="BR1223">
            <v>0.59523114202206084</v>
          </cell>
          <cell r="BS1223">
            <v>0.5917663227977914</v>
          </cell>
          <cell r="BT1223">
            <v>0.50343189070099703</v>
          </cell>
          <cell r="BU1223">
            <v>0.60999706586092461</v>
          </cell>
          <cell r="BV1223">
            <v>0.59724882873371865</v>
          </cell>
          <cell r="BY1223" t="str">
            <v>1000/0.6/2500</v>
          </cell>
          <cell r="BZ1223">
            <v>2.3197242279724861E-2</v>
          </cell>
          <cell r="CA1223">
            <v>2.2755374006771856E-2</v>
          </cell>
        </row>
        <row r="1224">
          <cell r="BY1224" t="str">
            <v>1000/0.6/2750</v>
          </cell>
          <cell r="BZ1224">
            <v>2.2987276670804357E-2</v>
          </cell>
          <cell r="CA1224">
            <v>2.2513402342041466E-2</v>
          </cell>
        </row>
        <row r="1225">
          <cell r="BN1225" t="str">
            <v>1500/0.8/2000</v>
          </cell>
          <cell r="BO1225">
            <v>0.79397068102704893</v>
          </cell>
          <cell r="BP1225">
            <v>0.80550687355605355</v>
          </cell>
          <cell r="BQ1225">
            <v>0.80822551570697676</v>
          </cell>
          <cell r="BR1225">
            <v>0.79466919135016523</v>
          </cell>
          <cell r="BS1225">
            <v>0.78107829189737787</v>
          </cell>
          <cell r="BT1225">
            <v>0.67788545221792496</v>
          </cell>
          <cell r="BU1225">
            <v>0.79722996482106545</v>
          </cell>
          <cell r="BV1225">
            <v>0.77500892854919723</v>
          </cell>
          <cell r="BY1225" t="str">
            <v>1000/0.6/3000</v>
          </cell>
          <cell r="BZ1225">
            <v>2.2793107571873472E-2</v>
          </cell>
          <cell r="CA1225">
            <v>2.2286943095370493E-2</v>
          </cell>
        </row>
        <row r="1226">
          <cell r="BN1226" t="str">
            <v>1500/0.8/2250</v>
          </cell>
          <cell r="BO1226">
            <v>0.7744662730554932</v>
          </cell>
          <cell r="BP1226">
            <v>0.78779767289929159</v>
          </cell>
          <cell r="BQ1226">
            <v>0.78893567306765633</v>
          </cell>
          <cell r="BR1226">
            <v>0.77508214479868631</v>
          </cell>
          <cell r="BS1226">
            <v>0.75924044583735806</v>
          </cell>
          <cell r="BT1226">
            <v>0.66176237423479278</v>
          </cell>
          <cell r="BU1226">
            <v>0.78021190807068874</v>
          </cell>
          <cell r="BV1226">
            <v>0.75603763193182671</v>
          </cell>
          <cell r="BY1226" t="str">
            <v>1000/0.6/3250</v>
          </cell>
          <cell r="BZ1226">
            <v>2.2617462580139969E-2</v>
          </cell>
          <cell r="CA1226">
            <v>2.2081396485850835E-2</v>
          </cell>
        </row>
        <row r="1227">
          <cell r="BN1227" t="str">
            <v>1500/0.8/2500</v>
          </cell>
          <cell r="BO1227">
            <v>0.75755326484272445</v>
          </cell>
          <cell r="BP1227">
            <v>0.77304889169476454</v>
          </cell>
          <cell r="BQ1227">
            <v>0.77216483299901784</v>
          </cell>
          <cell r="BR1227">
            <v>0.75803901281459962</v>
          </cell>
          <cell r="BS1227">
            <v>0.74003816375037168</v>
          </cell>
          <cell r="BT1227">
            <v>0.64782375706431883</v>
          </cell>
          <cell r="BU1227">
            <v>0.76614678821617721</v>
          </cell>
          <cell r="BV1227">
            <v>0.74033091572430354</v>
          </cell>
          <cell r="BY1227" t="str">
            <v>1000/0.6/3500</v>
          </cell>
          <cell r="BZ1227">
            <v>2.2441817588406465E-2</v>
          </cell>
          <cell r="CA1227">
            <v>2.1875849876331177E-2</v>
          </cell>
        </row>
        <row r="1228">
          <cell r="BN1228" t="str">
            <v>1500/0.8/2750</v>
          </cell>
          <cell r="BO1228">
            <v>0.74324244152623187</v>
          </cell>
          <cell r="BP1228">
            <v>0.76130296449352031</v>
          </cell>
          <cell r="BQ1228">
            <v>0.75803352441192295</v>
          </cell>
          <cell r="BR1228">
            <v>0.7435120424043139</v>
          </cell>
          <cell r="BS1228">
            <v>0.72373685787695674</v>
          </cell>
          <cell r="BT1228">
            <v>0.63662535470306636</v>
          </cell>
          <cell r="BU1228">
            <v>0.75409920095509297</v>
          </cell>
          <cell r="BV1228">
            <v>0.72681688041723191</v>
          </cell>
          <cell r="BY1228" t="str">
            <v>1000/0.6/3750</v>
          </cell>
          <cell r="BZ1228">
            <v>2.2287664591687295E-2</v>
          </cell>
          <cell r="CA1228">
            <v>2.1691956956301883E-2</v>
          </cell>
        </row>
        <row r="1229">
          <cell r="BN1229" t="str">
            <v>1500/0.8/3000</v>
          </cell>
          <cell r="BO1229">
            <v>0.73025434446212101</v>
          </cell>
          <cell r="BP1229">
            <v>0.75185724608898341</v>
          </cell>
          <cell r="BQ1229">
            <v>0.74515324502330249</v>
          </cell>
          <cell r="BR1229">
            <v>0.7303034073984036</v>
          </cell>
          <cell r="BS1229">
            <v>0.71313548515231773</v>
          </cell>
          <cell r="BT1229">
            <v>0.62665346036333291</v>
          </cell>
          <cell r="BU1229">
            <v>0.743770664676352</v>
          </cell>
          <cell r="BV1229">
            <v>0.7148500962592983</v>
          </cell>
          <cell r="BY1229" t="str">
            <v>1000/0.6/4000</v>
          </cell>
          <cell r="BZ1229">
            <v>2.2133511594968125E-2</v>
          </cell>
          <cell r="CA1229">
            <v>2.1508064036272589E-2</v>
          </cell>
        </row>
        <row r="1230">
          <cell r="BN1230" t="str">
            <v>1500/0.8/3250</v>
          </cell>
          <cell r="BO1230">
            <v>0.72238342049435378</v>
          </cell>
          <cell r="BP1230">
            <v>0.74621176362097574</v>
          </cell>
          <cell r="BQ1230">
            <v>0.73541102569451811</v>
          </cell>
          <cell r="BR1230">
            <v>0.72239184110098775</v>
          </cell>
          <cell r="BS1230">
            <v>0.70546509892502751</v>
          </cell>
          <cell r="BT1230">
            <v>0.61909444640716016</v>
          </cell>
          <cell r="BU1230">
            <v>0.73514937466412966</v>
          </cell>
          <cell r="BV1230">
            <v>0.70647847306636158</v>
          </cell>
          <cell r="BY1230" t="str">
            <v>1000/0.6/4250</v>
          </cell>
          <cell r="BZ1230">
            <v>2.1994452802089448E-2</v>
          </cell>
          <cell r="CA1230">
            <v>2.1356156943535876E-2</v>
          </cell>
        </row>
        <row r="1231">
          <cell r="BN1231" t="str">
            <v>1500/0.8/3500</v>
          </cell>
          <cell r="BO1231">
            <v>0.71451249652658666</v>
          </cell>
          <cell r="BP1231">
            <v>0.74056628115296796</v>
          </cell>
          <cell r="BQ1231">
            <v>0.72566880636573361</v>
          </cell>
          <cell r="BR1231">
            <v>0.7144802748035719</v>
          </cell>
          <cell r="BS1231">
            <v>0.6977947126977373</v>
          </cell>
          <cell r="BT1231">
            <v>0.61153543245098729</v>
          </cell>
          <cell r="BU1231">
            <v>0.72652808465190732</v>
          </cell>
          <cell r="BV1231">
            <v>0.69810684987342497</v>
          </cell>
          <cell r="BY1231" t="str">
            <v>1000/0.6/4500</v>
          </cell>
          <cell r="BZ1231">
            <v>2.1855394009210771E-2</v>
          </cell>
          <cell r="CA1231">
            <v>2.1204249850799162E-2</v>
          </cell>
        </row>
        <row r="1232">
          <cell r="BN1232" t="str">
            <v>1500/0.8/3750</v>
          </cell>
          <cell r="BO1232">
            <v>0.70924187218789725</v>
          </cell>
          <cell r="BP1232">
            <v>0.73603796836937518</v>
          </cell>
          <cell r="BQ1232">
            <v>0.72038241631697164</v>
          </cell>
          <cell r="BR1232">
            <v>0.70875057255808849</v>
          </cell>
          <cell r="BS1232">
            <v>0.69197220439450846</v>
          </cell>
          <cell r="BT1232">
            <v>0.60543282045774505</v>
          </cell>
          <cell r="BU1232">
            <v>0.72044186812319566</v>
          </cell>
          <cell r="BV1232">
            <v>0.69194574556165978</v>
          </cell>
          <cell r="BY1232" t="str">
            <v>1000/0.6/4750</v>
          </cell>
          <cell r="BZ1232">
            <v>2.1729289829393372E-2</v>
          </cell>
          <cell r="CA1232">
            <v>2.1070175279192971E-2</v>
          </cell>
        </row>
        <row r="1233">
          <cell r="BN1233" t="str">
            <v>1500/0.8/4000</v>
          </cell>
          <cell r="BO1233">
            <v>0.70397124784920784</v>
          </cell>
          <cell r="BP1233">
            <v>0.73150965558578251</v>
          </cell>
          <cell r="BQ1233">
            <v>0.71509602626820956</v>
          </cell>
          <cell r="BR1233">
            <v>0.70302087031260507</v>
          </cell>
          <cell r="BS1233">
            <v>0.68614969609127963</v>
          </cell>
          <cell r="BT1233">
            <v>0.59933020846450269</v>
          </cell>
          <cell r="BU1233">
            <v>0.71435565159448411</v>
          </cell>
          <cell r="BV1233">
            <v>0.68578464124989458</v>
          </cell>
          <cell r="BY1233" t="str">
            <v>1000/0.6/5000</v>
          </cell>
          <cell r="BZ1233">
            <v>2.1603185649575973E-2</v>
          </cell>
          <cell r="CA1233">
            <v>2.093610070758678E-2</v>
          </cell>
        </row>
        <row r="1234">
          <cell r="BN1234" t="str">
            <v>1500/0.8/4250</v>
          </cell>
          <cell r="BO1234">
            <v>0.6993910988290124</v>
          </cell>
          <cell r="BP1234">
            <v>0.72843345805525506</v>
          </cell>
          <cell r="BQ1234">
            <v>0.71061540428564451</v>
          </cell>
          <cell r="BR1234">
            <v>0.69841080883913986</v>
          </cell>
          <cell r="BS1234">
            <v>0.68166270514620964</v>
          </cell>
          <cell r="BT1234">
            <v>0.5947034683572916</v>
          </cell>
          <cell r="BU1234">
            <v>0.70907574410425522</v>
          </cell>
          <cell r="BV1234">
            <v>0.68046283493099047</v>
          </cell>
          <cell r="BY1234" t="str">
            <v>1000/0.6/5250</v>
          </cell>
          <cell r="BZ1234">
            <v>2.1480699398361724E-2</v>
          </cell>
          <cell r="CA1234">
            <v>2.0804775593685432E-2</v>
          </cell>
        </row>
        <row r="1235">
          <cell r="BN1235" t="str">
            <v>1500/0.8/4500</v>
          </cell>
          <cell r="BO1235">
            <v>0.69481094980881708</v>
          </cell>
          <cell r="BP1235">
            <v>0.7253572605247276</v>
          </cell>
          <cell r="BQ1235">
            <v>0.70613478230307947</v>
          </cell>
          <cell r="BR1235">
            <v>0.69380074736567465</v>
          </cell>
          <cell r="BS1235">
            <v>0.67717571420113964</v>
          </cell>
          <cell r="BT1235">
            <v>0.59007672825008051</v>
          </cell>
          <cell r="BU1235">
            <v>0.70379583661402634</v>
          </cell>
          <cell r="BV1235">
            <v>0.67514102861208625</v>
          </cell>
          <cell r="BY1235" t="str">
            <v>1000/0.6/5500</v>
          </cell>
          <cell r="BZ1235">
            <v>2.1358213147147476E-2</v>
          </cell>
          <cell r="CA1235">
            <v>2.0673450479784083E-2</v>
          </cell>
        </row>
        <row r="1236">
          <cell r="BN1236" t="str">
            <v>1500/0.8/4750</v>
          </cell>
          <cell r="BO1236">
            <v>0.69135810350690252</v>
          </cell>
          <cell r="BP1236">
            <v>0.72336211375526183</v>
          </cell>
          <cell r="BQ1236">
            <v>0.70267817043981751</v>
          </cell>
          <cell r="BR1236">
            <v>0.68987490540374286</v>
          </cell>
          <cell r="BS1236">
            <v>0.6732032233454236</v>
          </cell>
          <cell r="BT1236">
            <v>0.58599421800345119</v>
          </cell>
          <cell r="BU1236">
            <v>0.69964343938416984</v>
          </cell>
          <cell r="BV1236">
            <v>0.67084753688697329</v>
          </cell>
          <cell r="BY1236" t="str">
            <v>1000/0.6/5750</v>
          </cell>
          <cell r="BZ1236">
            <v>2.1236452808317208E-2</v>
          </cell>
          <cell r="CA1236">
            <v>2.0572324342294612E-2</v>
          </cell>
        </row>
        <row r="1237">
          <cell r="BN1237" t="str">
            <v>1500/0.8/5000</v>
          </cell>
          <cell r="BO1237">
            <v>0.68790525720498796</v>
          </cell>
          <cell r="BP1237">
            <v>0.72136696698579605</v>
          </cell>
          <cell r="BQ1237">
            <v>0.69922155857655566</v>
          </cell>
          <cell r="BR1237">
            <v>0.68594906344181106</v>
          </cell>
          <cell r="BS1237">
            <v>0.66923073248970755</v>
          </cell>
          <cell r="BT1237">
            <v>0.58191170775682199</v>
          </cell>
          <cell r="BU1237">
            <v>0.69549104215431334</v>
          </cell>
          <cell r="BV1237">
            <v>0.66655404516186045</v>
          </cell>
          <cell r="BY1237" t="str">
            <v>1000/0.6/6000</v>
          </cell>
          <cell r="BZ1237">
            <v>2.111469246948694E-2</v>
          </cell>
          <cell r="CA1237">
            <v>2.0471198204805141E-2</v>
          </cell>
        </row>
        <row r="1238">
          <cell r="BN1238" t="str">
            <v>1500/0.8/5250</v>
          </cell>
          <cell r="BO1238">
            <v>0.68451937460009571</v>
          </cell>
          <cell r="BP1238">
            <v>0.71963114654401594</v>
          </cell>
          <cell r="BQ1238">
            <v>0.69590406989422049</v>
          </cell>
          <cell r="BR1238">
            <v>0.68250932028775457</v>
          </cell>
          <cell r="BS1238">
            <v>0.66567739244461599</v>
          </cell>
          <cell r="BT1238">
            <v>0.57856460996592052</v>
          </cell>
          <cell r="BU1238">
            <v>0.69175840432536373</v>
          </cell>
          <cell r="BV1238">
            <v>0.66279859775973793</v>
          </cell>
          <cell r="BY1238" t="str">
            <v>1000/0.6/6250</v>
          </cell>
          <cell r="BZ1238">
            <v>2.1032011637640347E-2</v>
          </cell>
          <cell r="CA1238">
            <v>2.0380365534305334E-2</v>
          </cell>
        </row>
        <row r="1239">
          <cell r="BN1239" t="str">
            <v>1500/0.8/5500</v>
          </cell>
          <cell r="BO1239">
            <v>0.68113349199520346</v>
          </cell>
          <cell r="BP1239">
            <v>0.71789532610223583</v>
          </cell>
          <cell r="BQ1239">
            <v>0.69258658121188543</v>
          </cell>
          <cell r="BR1239">
            <v>0.6790695771336982</v>
          </cell>
          <cell r="BS1239">
            <v>0.66212405239952454</v>
          </cell>
          <cell r="BT1239">
            <v>0.57521751217501915</v>
          </cell>
          <cell r="BU1239">
            <v>0.688025766496414</v>
          </cell>
          <cell r="BV1239">
            <v>0.65904315035761551</v>
          </cell>
          <cell r="BY1239" t="str">
            <v>1000/0.6/6350</v>
          </cell>
          <cell r="BZ1239">
            <v>2.0999694781227207E-2</v>
          </cell>
          <cell r="CA1239">
            <v>2.0343936964777765E-2</v>
          </cell>
        </row>
        <row r="1240">
          <cell r="BN1240" t="str">
            <v>1500/0.8/5750</v>
          </cell>
          <cell r="BO1240">
            <v>0.67887963228105974</v>
          </cell>
          <cell r="BP1240">
            <v>0.71688522582107284</v>
          </cell>
          <cell r="BQ1240">
            <v>0.69033410530829986</v>
          </cell>
          <cell r="BR1240">
            <v>0.67646008390116519</v>
          </cell>
          <cell r="BS1240">
            <v>0.65951680133875812</v>
          </cell>
          <cell r="BT1240">
            <v>0.57248351828728983</v>
          </cell>
          <cell r="BU1240">
            <v>0.68495796430997302</v>
          </cell>
          <cell r="BV1240">
            <v>0.65585972351685962</v>
          </cell>
          <cell r="BY1240" t="str">
            <v>1000/0.6/6600</v>
          </cell>
          <cell r="BZ1240">
            <v>2.0918845706578537E-2</v>
          </cell>
          <cell r="CA1240">
            <v>2.0252543597821138E-2</v>
          </cell>
        </row>
        <row r="1241">
          <cell r="BN1241" t="str">
            <v>1500/0.8/6000</v>
          </cell>
          <cell r="BO1241">
            <v>0.67662577256691614</v>
          </cell>
          <cell r="BP1241">
            <v>0.71587512553990984</v>
          </cell>
          <cell r="BQ1241">
            <v>0.6880816294047144</v>
          </cell>
          <cell r="BR1241">
            <v>0.67385059066863229</v>
          </cell>
          <cell r="BS1241">
            <v>0.65690955027799169</v>
          </cell>
          <cell r="BT1241">
            <v>0.56974952439956039</v>
          </cell>
          <cell r="BU1241">
            <v>0.68189016212353204</v>
          </cell>
          <cell r="BV1241">
            <v>0.65267629667610372</v>
          </cell>
          <cell r="BY1241" t="str">
            <v>1000/0.6/6850</v>
          </cell>
          <cell r="BZ1241">
            <v>2.0837915298193455E-2</v>
          </cell>
          <cell r="CA1241">
            <v>2.0160690312097218E-2</v>
          </cell>
        </row>
        <row r="1242">
          <cell r="BN1242" t="str">
            <v>1500/0.8/6250</v>
          </cell>
          <cell r="BO1242">
            <v>0.67437966333805466</v>
          </cell>
          <cell r="BP1242">
            <v>0.71493068324132314</v>
          </cell>
          <cell r="BQ1242">
            <v>0.68583529493860051</v>
          </cell>
          <cell r="BR1242">
            <v>0.6716026536324603</v>
          </cell>
          <cell r="BS1242">
            <v>0.65463281210032198</v>
          </cell>
          <cell r="BT1242">
            <v>0.56749358863336841</v>
          </cell>
          <cell r="BU1242">
            <v>0.67906582703696616</v>
          </cell>
          <cell r="BV1242">
            <v>0.64994781540917224</v>
          </cell>
          <cell r="BY1242" t="str">
            <v>1000/0.6/7500</v>
          </cell>
          <cell r="BZ1242">
            <v>2.0627115594504586E-2</v>
          </cell>
          <cell r="CA1242">
            <v>1.9962457615735119E-2</v>
          </cell>
        </row>
        <row r="1243">
          <cell r="BN1243" t="str">
            <v>1500/0.8/6350</v>
          </cell>
          <cell r="BO1243">
            <v>0.67348097971082121</v>
          </cell>
          <cell r="BP1243">
            <v>0.71455273707065603</v>
          </cell>
          <cell r="BQ1243">
            <v>0.68493651780746878</v>
          </cell>
          <cell r="BR1243">
            <v>0.67070428786728187</v>
          </cell>
          <cell r="BS1243">
            <v>0.65371819415569354</v>
          </cell>
          <cell r="BT1243">
            <v>0.56659559856010733</v>
          </cell>
          <cell r="BU1243">
            <v>0.67794121502489368</v>
          </cell>
          <cell r="BV1243">
            <v>0.64892178170505443</v>
          </cell>
          <cell r="BY1243" t="str">
            <v>1000/0.6/8000</v>
          </cell>
          <cell r="BZ1243">
            <v>2.0464587841094062E-2</v>
          </cell>
          <cell r="CA1243">
            <v>1.9808768466807791E-2</v>
          </cell>
        </row>
        <row r="1244">
          <cell r="BN1244" t="str">
            <v>1500/0.8/6600</v>
          </cell>
          <cell r="BO1244">
            <v>0.67150625523166085</v>
          </cell>
          <cell r="BP1244">
            <v>0.71360744851590818</v>
          </cell>
          <cell r="BQ1244">
            <v>0.68307434526783295</v>
          </cell>
          <cell r="BR1244">
            <v>0.66845780258691612</v>
          </cell>
          <cell r="BS1244">
            <v>0.65141822397313498</v>
          </cell>
          <cell r="BT1244">
            <v>0.56435007160407835</v>
          </cell>
          <cell r="BU1244">
            <v>0.67512920326555348</v>
          </cell>
          <cell r="BV1244">
            <v>0.64634086673290103</v>
          </cell>
          <cell r="BY1244" t="str">
            <v>1000/0.6/9000</v>
          </cell>
          <cell r="BZ1244">
            <v>2.0206075309239457E-2</v>
          </cell>
          <cell r="CA1244">
            <v>1.9550971013663432E-2</v>
          </cell>
        </row>
        <row r="1245">
          <cell r="BN1245" t="str">
            <v>1500/0.8/6850</v>
          </cell>
          <cell r="BO1245">
            <v>0.66971360041298567</v>
          </cell>
          <cell r="BP1245">
            <v>0.71266304702613803</v>
          </cell>
          <cell r="BQ1245">
            <v>0.68128148754866036</v>
          </cell>
          <cell r="BR1245">
            <v>0.66628270988884153</v>
          </cell>
          <cell r="BS1245">
            <v>0.64912245583897266</v>
          </cell>
          <cell r="BT1245">
            <v>0.56210375640108068</v>
          </cell>
          <cell r="BU1245">
            <v>0.6728890560286146</v>
          </cell>
          <cell r="BV1245">
            <v>0.64373733645809206</v>
          </cell>
          <cell r="BY1245" t="str">
            <v>1000/0.6/10000</v>
          </cell>
          <cell r="BZ1245">
            <v>1.9975365955059887E-2</v>
          </cell>
          <cell r="CA1245">
            <v>1.9304242968601004E-2</v>
          </cell>
        </row>
        <row r="1246">
          <cell r="BN1246" t="str">
            <v>1500/0.8/7500</v>
          </cell>
          <cell r="BO1246">
            <v>0.66504950008658792</v>
          </cell>
          <cell r="BP1246">
            <v>0.71062473648961899</v>
          </cell>
          <cell r="BQ1246">
            <v>0.67661681424679021</v>
          </cell>
          <cell r="BR1246">
            <v>0.66162055736532588</v>
          </cell>
          <cell r="BS1246">
            <v>0.64436364139143909</v>
          </cell>
          <cell r="BT1246">
            <v>0.55740423351736879</v>
          </cell>
          <cell r="BU1246">
            <v>0.66705816035999943</v>
          </cell>
          <cell r="BV1246">
            <v>0.63824234295946702</v>
          </cell>
          <cell r="BY1246" t="str">
            <v>1000/0.6/99999</v>
          </cell>
          <cell r="BZ1246">
            <v>1.6452765249395984E-2</v>
          </cell>
          <cell r="CA1246">
            <v>1.6279126804908062E-2</v>
          </cell>
        </row>
        <row r="1247">
          <cell r="BN1247" t="str">
            <v>1500/0.8/10000</v>
          </cell>
          <cell r="BO1247">
            <v>0.6516904506974025</v>
          </cell>
          <cell r="BP1247">
            <v>0.70521006703589173</v>
          </cell>
          <cell r="BQ1247">
            <v>0.66353203555612172</v>
          </cell>
          <cell r="BR1247">
            <v>0.64722328604206514</v>
          </cell>
          <cell r="BS1247">
            <v>0.63026954873847485</v>
          </cell>
          <cell r="BT1247">
            <v>0.54300022179368612</v>
          </cell>
          <cell r="BU1247">
            <v>0.65065528899881842</v>
          </cell>
          <cell r="BV1247">
            <v>0.62260874106900443</v>
          </cell>
          <cell r="BY1247" t="str">
            <v>1250/0.6/1250</v>
          </cell>
          <cell r="BZ1247">
            <v>2.4586821230956568E-2</v>
          </cell>
          <cell r="CA1247">
            <v>2.444118258482586E-2</v>
          </cell>
        </row>
        <row r="1248">
          <cell r="BN1248" t="str">
            <v>1500/0.8/99999</v>
          </cell>
          <cell r="BO1248">
            <v>0.59516200720422008</v>
          </cell>
          <cell r="BP1248">
            <v>0.68698724349723217</v>
          </cell>
          <cell r="BQ1248">
            <v>0.60783673501736502</v>
          </cell>
          <cell r="BR1248">
            <v>0.58518003784795791</v>
          </cell>
          <cell r="BS1248">
            <v>0.58067231879954528</v>
          </cell>
          <cell r="BT1248">
            <v>0.49136446532292122</v>
          </cell>
          <cell r="BU1248">
            <v>0.59114918377199865</v>
          </cell>
          <cell r="BV1248">
            <v>0.58374815670330937</v>
          </cell>
          <cell r="BY1248" t="str">
            <v>1250/0.6/1500</v>
          </cell>
          <cell r="BZ1248">
            <v>2.4241088920695208E-2</v>
          </cell>
          <cell r="CA1248">
            <v>2.3916268472837565E-2</v>
          </cell>
        </row>
        <row r="1249">
          <cell r="BY1249" t="str">
            <v>1250/0.6/1750</v>
          </cell>
          <cell r="BZ1249">
            <v>2.3906644789086773E-2</v>
          </cell>
          <cell r="CA1249">
            <v>2.3517733337024449E-2</v>
          </cell>
        </row>
        <row r="1250">
          <cell r="BN1250" t="str">
            <v>1750/0.8/2250</v>
          </cell>
          <cell r="BO1250">
            <v>0.77738260256487279</v>
          </cell>
          <cell r="BP1250">
            <v>0.79210732171750797</v>
          </cell>
          <cell r="BQ1250">
            <v>0.79345257674835956</v>
          </cell>
          <cell r="BR1250">
            <v>0.77819425408882914</v>
          </cell>
          <cell r="BS1250">
            <v>0.76249856239785541</v>
          </cell>
          <cell r="BT1250">
            <v>0.65685316043691955</v>
          </cell>
          <cell r="BU1250">
            <v>0.77127127157217512</v>
          </cell>
          <cell r="BV1250">
            <v>0.74670482374259128</v>
          </cell>
          <cell r="BY1250" t="str">
            <v>1250/0.6/2000</v>
          </cell>
          <cell r="BZ1250">
            <v>2.3572200657478337E-2</v>
          </cell>
          <cell r="CA1250">
            <v>2.3119198201211333E-2</v>
          </cell>
        </row>
        <row r="1251">
          <cell r="BN1251" t="str">
            <v>1750/0.8/2500</v>
          </cell>
          <cell r="BO1251">
            <v>0.75857548737054736</v>
          </cell>
          <cell r="BP1251">
            <v>0.77508853587606608</v>
          </cell>
          <cell r="BQ1251">
            <v>0.77489089282178791</v>
          </cell>
          <cell r="BR1251">
            <v>0.75929025575586251</v>
          </cell>
          <cell r="BS1251">
            <v>0.74134518402267779</v>
          </cell>
          <cell r="BT1251">
            <v>0.64129022716945694</v>
          </cell>
          <cell r="BU1251">
            <v>0.75502462402810522</v>
          </cell>
          <cell r="BV1251">
            <v>0.72854262196725761</v>
          </cell>
          <cell r="BY1251" t="str">
            <v>1250/0.6/2250</v>
          </cell>
          <cell r="BZ1251">
            <v>2.329900086382497E-2</v>
          </cell>
          <cell r="CA1251">
            <v>2.2799273423721678E-2</v>
          </cell>
        </row>
        <row r="1252">
          <cell r="BN1252" t="str">
            <v>1750/0.8/2750</v>
          </cell>
          <cell r="BO1252">
            <v>0.74201759184614868</v>
          </cell>
          <cell r="BP1252">
            <v>0.76086234773773875</v>
          </cell>
          <cell r="BQ1252">
            <v>0.75849204734434961</v>
          </cell>
          <cell r="BR1252">
            <v>0.74263497832751069</v>
          </cell>
          <cell r="BS1252">
            <v>0.72321829343059463</v>
          </cell>
          <cell r="BT1252">
            <v>0.62768928130947632</v>
          </cell>
          <cell r="BU1252">
            <v>0.74141211574331056</v>
          </cell>
          <cell r="BV1252">
            <v>0.71336951204547061</v>
          </cell>
          <cell r="BY1252" t="str">
            <v>1250/0.6/2500</v>
          </cell>
          <cell r="BZ1252">
            <v>2.3051694968718728E-2</v>
          </cell>
          <cell r="CA1252">
            <v>2.2514677710599784E-2</v>
          </cell>
        </row>
        <row r="1253">
          <cell r="BN1253" t="str">
            <v>1750/0.8/3000</v>
          </cell>
          <cell r="BO1253">
            <v>0.72806088353913456</v>
          </cell>
          <cell r="BP1253">
            <v>0.74970327500139833</v>
          </cell>
          <cell r="BQ1253">
            <v>0.74465852928910914</v>
          </cell>
          <cell r="BR1253">
            <v>0.72845072856622584</v>
          </cell>
          <cell r="BS1253">
            <v>0.71121547194384416</v>
          </cell>
          <cell r="BT1253">
            <v>0.61683821020628116</v>
          </cell>
          <cell r="BU1253">
            <v>0.72981524398245601</v>
          </cell>
          <cell r="BV1253">
            <v>0.70026332273889513</v>
          </cell>
          <cell r="BY1253" t="str">
            <v>1250/0.6/2750</v>
          </cell>
          <cell r="BZ1253">
            <v>2.282745052415458E-2</v>
          </cell>
          <cell r="CA1253">
            <v>2.2256231296475137E-2</v>
          </cell>
        </row>
        <row r="1254">
          <cell r="BN1254" t="str">
            <v>1750/0.8/3250</v>
          </cell>
          <cell r="BO1254">
            <v>0.71945175231233394</v>
          </cell>
          <cell r="BP1254">
            <v>0.74216526373834668</v>
          </cell>
          <cell r="BQ1254">
            <v>0.73381246965811198</v>
          </cell>
          <cell r="BR1254">
            <v>0.71968829932826117</v>
          </cell>
          <cell r="BS1254">
            <v>0.70235243110091594</v>
          </cell>
          <cell r="BT1254">
            <v>0.60811607077223595</v>
          </cell>
          <cell r="BU1254">
            <v>0.72034966012146806</v>
          </cell>
          <cell r="BV1254">
            <v>0.69034923168939089</v>
          </cell>
          <cell r="BY1254" t="str">
            <v>1250/0.6/3000</v>
          </cell>
          <cell r="BZ1254">
            <v>2.2624585022005039E-2</v>
          </cell>
          <cell r="CA1254">
            <v>2.2019673123105932E-2</v>
          </cell>
        </row>
        <row r="1255">
          <cell r="BN1255" t="str">
            <v>1750/0.8/3500</v>
          </cell>
          <cell r="BO1255">
            <v>0.71084262108553331</v>
          </cell>
          <cell r="BP1255">
            <v>0.73462725247529514</v>
          </cell>
          <cell r="BQ1255">
            <v>0.72296641002711481</v>
          </cell>
          <cell r="BR1255">
            <v>0.71092587009029662</v>
          </cell>
          <cell r="BS1255">
            <v>0.69348939025798784</v>
          </cell>
          <cell r="BT1255">
            <v>0.59939393133819086</v>
          </cell>
          <cell r="BU1255">
            <v>0.71088407626048</v>
          </cell>
          <cell r="BV1255">
            <v>0.68043514063988675</v>
          </cell>
          <cell r="BY1255" t="str">
            <v>1250/0.6/3250</v>
          </cell>
          <cell r="BZ1255">
            <v>2.2441153782793544E-2</v>
          </cell>
          <cell r="CA1255">
            <v>2.1803743627547556E-2</v>
          </cell>
        </row>
        <row r="1256">
          <cell r="BN1256" t="str">
            <v>1750/0.8/3750</v>
          </cell>
          <cell r="BO1256">
            <v>0.7047988070760054</v>
          </cell>
          <cell r="BP1256">
            <v>0.72977249437599323</v>
          </cell>
          <cell r="BQ1256">
            <v>0.71706152371797449</v>
          </cell>
          <cell r="BR1256">
            <v>0.70443616308492973</v>
          </cell>
          <cell r="BS1256">
            <v>0.68681613277007425</v>
          </cell>
          <cell r="BT1256">
            <v>0.59235609265257239</v>
          </cell>
          <cell r="BU1256">
            <v>0.70370848680497045</v>
          </cell>
          <cell r="BV1256">
            <v>0.67326912853178555</v>
          </cell>
          <cell r="BY1256" t="str">
            <v>1250/0.6/3500</v>
          </cell>
          <cell r="BZ1256">
            <v>2.2257722543582048E-2</v>
          </cell>
          <cell r="CA1256">
            <v>2.158781413198918E-2</v>
          </cell>
        </row>
        <row r="1257">
          <cell r="BN1257" t="str">
            <v>1750/0.8/4000</v>
          </cell>
          <cell r="BO1257">
            <v>0.69875499306647759</v>
          </cell>
          <cell r="BP1257">
            <v>0.72491773627669132</v>
          </cell>
          <cell r="BQ1257">
            <v>0.71115663740883406</v>
          </cell>
          <cell r="BR1257">
            <v>0.69794645607956285</v>
          </cell>
          <cell r="BS1257">
            <v>0.68014287528216066</v>
          </cell>
          <cell r="BT1257">
            <v>0.58531825396695392</v>
          </cell>
          <cell r="BU1257">
            <v>0.69653289734946089</v>
          </cell>
          <cell r="BV1257">
            <v>0.66610311642368436</v>
          </cell>
          <cell r="BY1257" t="str">
            <v>1250/0.6/3750</v>
          </cell>
          <cell r="BZ1257">
            <v>2.2097533505643474E-2</v>
          </cell>
          <cell r="CA1257">
            <v>2.1401526724806774E-2</v>
          </cell>
        </row>
        <row r="1258">
          <cell r="BN1258" t="str">
            <v>1750/0.8/4250</v>
          </cell>
          <cell r="BO1258">
            <v>0.69387842704749103</v>
          </cell>
          <cell r="BP1258">
            <v>0.72223939351499311</v>
          </cell>
          <cell r="BQ1258">
            <v>0.70627973594920634</v>
          </cell>
          <cell r="BR1258">
            <v>0.69304672028914571</v>
          </cell>
          <cell r="BS1258">
            <v>0.67510164223646274</v>
          </cell>
          <cell r="BT1258">
            <v>0.5805201950807195</v>
          </cell>
          <cell r="BU1258">
            <v>0.69118865364399373</v>
          </cell>
          <cell r="BV1258">
            <v>0.66045973407258662</v>
          </cell>
          <cell r="BY1258" t="str">
            <v>1250/0.6/4000</v>
          </cell>
          <cell r="BZ1258">
            <v>2.19373444677049E-2</v>
          </cell>
          <cell r="CA1258">
            <v>2.1215239317624368E-2</v>
          </cell>
        </row>
        <row r="1259">
          <cell r="BN1259" t="str">
            <v>1750/0.8/4500</v>
          </cell>
          <cell r="BO1259">
            <v>0.68900186102850447</v>
          </cell>
          <cell r="BP1259">
            <v>0.71956105075329502</v>
          </cell>
          <cell r="BQ1259">
            <v>0.70140283448957863</v>
          </cell>
          <cell r="BR1259">
            <v>0.68814698449872869</v>
          </cell>
          <cell r="BS1259">
            <v>0.67006040919076482</v>
          </cell>
          <cell r="BT1259">
            <v>0.5757221361944852</v>
          </cell>
          <cell r="BU1259">
            <v>0.68584440993852658</v>
          </cell>
          <cell r="BV1259">
            <v>0.65481635172148878</v>
          </cell>
          <cell r="BY1259" t="str">
            <v>1250/0.6/4250</v>
          </cell>
          <cell r="BZ1259">
            <v>2.1793250231913586E-2</v>
          </cell>
          <cell r="CA1259">
            <v>2.1047997534126561E-2</v>
          </cell>
        </row>
        <row r="1260">
          <cell r="BN1260" t="str">
            <v>1750/0.8/4750</v>
          </cell>
          <cell r="BO1260">
            <v>0.68510439235093035</v>
          </cell>
          <cell r="BP1260">
            <v>0.71743325160269222</v>
          </cell>
          <cell r="BQ1260">
            <v>0.6976015643183483</v>
          </cell>
          <cell r="BR1260">
            <v>0.68377636164703737</v>
          </cell>
          <cell r="BS1260">
            <v>0.66578569247159369</v>
          </cell>
          <cell r="BT1260">
            <v>0.57115903737351448</v>
          </cell>
          <cell r="BU1260">
            <v>0.68109049119015586</v>
          </cell>
          <cell r="BV1260">
            <v>0.65027621102764632</v>
          </cell>
          <cell r="BY1260" t="str">
            <v>1250/0.6/4500</v>
          </cell>
          <cell r="BZ1260">
            <v>2.1649155996122271E-2</v>
          </cell>
          <cell r="CA1260">
            <v>2.0880755750628754E-2</v>
          </cell>
        </row>
        <row r="1261">
          <cell r="BN1261" t="str">
            <v>1750/0.8/5000</v>
          </cell>
          <cell r="BO1261">
            <v>0.68120692367335633</v>
          </cell>
          <cell r="BP1261">
            <v>0.71530545245208943</v>
          </cell>
          <cell r="BQ1261">
            <v>0.69380029414711797</v>
          </cell>
          <cell r="BR1261">
            <v>0.67940573879534605</v>
          </cell>
          <cell r="BS1261">
            <v>0.66151097575242268</v>
          </cell>
          <cell r="BT1261">
            <v>0.56659593855254387</v>
          </cell>
          <cell r="BU1261">
            <v>0.67633657244178513</v>
          </cell>
          <cell r="BV1261">
            <v>0.64573607033380376</v>
          </cell>
          <cell r="BY1261" t="str">
            <v>1250/0.6/4750</v>
          </cell>
          <cell r="BZ1261">
            <v>2.151980779777074E-2</v>
          </cell>
          <cell r="CA1261">
            <v>2.0746687102429773E-2</v>
          </cell>
        </row>
        <row r="1262">
          <cell r="BN1262" t="str">
            <v>1750/0.8/5250</v>
          </cell>
          <cell r="BO1262">
            <v>0.67776728418721066</v>
          </cell>
          <cell r="BP1262">
            <v>0.71357247254063672</v>
          </cell>
          <cell r="BQ1262">
            <v>0.69035657932601491</v>
          </cell>
          <cell r="BR1262">
            <v>0.67596280986021284</v>
          </cell>
          <cell r="BS1262">
            <v>0.65799217518065956</v>
          </cell>
          <cell r="BT1262">
            <v>0.56324383842018566</v>
          </cell>
          <cell r="BU1262">
            <v>0.67259685644778566</v>
          </cell>
          <cell r="BV1262">
            <v>0.64175213451277457</v>
          </cell>
          <cell r="BY1262" t="str">
            <v>1250/0.6/5000</v>
          </cell>
          <cell r="BZ1262">
            <v>2.1390459599419209E-2</v>
          </cell>
          <cell r="CA1262">
            <v>2.0612618454230791E-2</v>
          </cell>
        </row>
        <row r="1263">
          <cell r="BN1263" t="str">
            <v>1750/0.8/5500</v>
          </cell>
          <cell r="BO1263">
            <v>0.6743276447010651</v>
          </cell>
          <cell r="BP1263">
            <v>0.71183949262918389</v>
          </cell>
          <cell r="BQ1263">
            <v>0.68691286450491196</v>
          </cell>
          <cell r="BR1263">
            <v>0.67251988092507953</v>
          </cell>
          <cell r="BS1263">
            <v>0.65447337460889643</v>
          </cell>
          <cell r="BT1263">
            <v>0.55989173828782735</v>
          </cell>
          <cell r="BU1263">
            <v>0.66885714045378619</v>
          </cell>
          <cell r="BV1263">
            <v>0.63776819869174539</v>
          </cell>
          <cell r="BY1263" t="str">
            <v>1250/0.6/5250</v>
          </cell>
          <cell r="BZ1263">
            <v>2.126825499009688E-2</v>
          </cell>
          <cell r="CA1263">
            <v>2.047926809463918E-2</v>
          </cell>
        </row>
        <row r="1264">
          <cell r="BN1264" t="str">
            <v>1750/0.8/5750</v>
          </cell>
          <cell r="BO1264">
            <v>0.67160264960738969</v>
          </cell>
          <cell r="BP1264">
            <v>0.71046318961839749</v>
          </cell>
          <cell r="BQ1264">
            <v>0.68425786162012803</v>
          </cell>
          <cell r="BR1264">
            <v>0.6693910260734981</v>
          </cell>
          <cell r="BS1264">
            <v>0.65130753947043063</v>
          </cell>
          <cell r="BT1264">
            <v>0.55673745992107526</v>
          </cell>
          <cell r="BU1264">
            <v>0.6654270191143794</v>
          </cell>
          <cell r="BV1264">
            <v>0.63425000314932756</v>
          </cell>
          <cell r="BY1264" t="str">
            <v>1250/0.6/5500</v>
          </cell>
          <cell r="BZ1264">
            <v>2.114605038077455E-2</v>
          </cell>
          <cell r="CA1264">
            <v>2.034591773504757E-2</v>
          </cell>
        </row>
        <row r="1265">
          <cell r="BN1265" t="str">
            <v>1750/0.8/6000</v>
          </cell>
          <cell r="BO1265">
            <v>0.66887765451371428</v>
          </cell>
          <cell r="BP1265">
            <v>0.70908688660761121</v>
          </cell>
          <cell r="BQ1265">
            <v>0.68160285873534399</v>
          </cell>
          <cell r="BR1265">
            <v>0.66626217122191655</v>
          </cell>
          <cell r="BS1265">
            <v>0.64814170433196494</v>
          </cell>
          <cell r="BT1265">
            <v>0.55358318155432307</v>
          </cell>
          <cell r="BU1265">
            <v>0.6619968977749725</v>
          </cell>
          <cell r="BV1265">
            <v>0.63073180760690972</v>
          </cell>
          <cell r="BY1265" t="str">
            <v>1250/0.6/5750</v>
          </cell>
          <cell r="BZ1265">
            <v>2.1022911489851914E-2</v>
          </cell>
          <cell r="CA1265">
            <v>2.0235932257438805E-2</v>
          </cell>
        </row>
        <row r="1266">
          <cell r="BN1266" t="str">
            <v>1750/0.8/6250</v>
          </cell>
          <cell r="BO1266">
            <v>0.66663077770551682</v>
          </cell>
          <cell r="BP1266">
            <v>0.70814291131375506</v>
          </cell>
          <cell r="BQ1266">
            <v>0.6793572219340841</v>
          </cell>
          <cell r="BR1266">
            <v>0.66400360124159719</v>
          </cell>
          <cell r="BS1266">
            <v>0.64584410654058799</v>
          </cell>
          <cell r="BT1266">
            <v>0.55123314697048664</v>
          </cell>
          <cell r="BU1266">
            <v>0.65915764918681008</v>
          </cell>
          <cell r="BV1266">
            <v>0.62789442217562585</v>
          </cell>
          <cell r="BY1266" t="str">
            <v>1250/0.6/6000</v>
          </cell>
          <cell r="BZ1266">
            <v>2.0899772598929278E-2</v>
          </cell>
          <cell r="CA1266">
            <v>2.012594677983004E-2</v>
          </cell>
        </row>
        <row r="1267">
          <cell r="BN1267" t="str">
            <v>1750/0.8/6350</v>
          </cell>
          <cell r="BO1267">
            <v>0.66573236819880355</v>
          </cell>
          <cell r="BP1267">
            <v>0.70776515080125801</v>
          </cell>
          <cell r="BQ1267">
            <v>0.67845872364898285</v>
          </cell>
          <cell r="BR1267">
            <v>0.66310549653044959</v>
          </cell>
          <cell r="BS1267">
            <v>0.64493562193096843</v>
          </cell>
          <cell r="BT1267">
            <v>0.55032965295829728</v>
          </cell>
          <cell r="BU1267">
            <v>0.65802737231968622</v>
          </cell>
          <cell r="BV1267">
            <v>0.6267753719896072</v>
          </cell>
          <cell r="BY1267" t="str">
            <v>1250/0.6/6250</v>
          </cell>
          <cell r="BZ1267">
            <v>2.0794263040868621E-2</v>
          </cell>
          <cell r="CA1267">
            <v>2.0030867761654303E-2</v>
          </cell>
        </row>
        <row r="1268">
          <cell r="BN1268" t="str">
            <v>1750/0.8/6600</v>
          </cell>
          <cell r="BO1268">
            <v>0.66348574405691019</v>
          </cell>
          <cell r="BP1268">
            <v>0.70682032353263191</v>
          </cell>
          <cell r="BQ1268">
            <v>0.67622597502184512</v>
          </cell>
          <cell r="BR1268">
            <v>0.66085966368473459</v>
          </cell>
          <cell r="BS1268">
            <v>0.64265097978739061</v>
          </cell>
          <cell r="BT1268">
            <v>0.54808178857058254</v>
          </cell>
          <cell r="BU1268">
            <v>0.65521592834035514</v>
          </cell>
          <cell r="BV1268">
            <v>0.62419675178468526</v>
          </cell>
          <cell r="BY1268" t="str">
            <v>1250/0.6/6350</v>
          </cell>
          <cell r="BZ1268">
            <v>2.076100448008189E-2</v>
          </cell>
          <cell r="CA1268">
            <v>1.9994522498851142E-2</v>
          </cell>
        </row>
        <row r="1269">
          <cell r="BN1269" t="str">
            <v>1750/0.8/6850</v>
          </cell>
          <cell r="BO1269">
            <v>0.66159712700399564</v>
          </cell>
          <cell r="BP1269">
            <v>0.70587488771059559</v>
          </cell>
          <cell r="BQ1269">
            <v>0.67443367210746497</v>
          </cell>
          <cell r="BR1269">
            <v>0.65861301502781311</v>
          </cell>
          <cell r="BS1269">
            <v>0.64034715104449258</v>
          </cell>
          <cell r="BT1269">
            <v>0.54583610396515914</v>
          </cell>
          <cell r="BU1269">
            <v>0.65250921013015073</v>
          </cell>
          <cell r="BV1269">
            <v>0.62161017792862994</v>
          </cell>
          <cell r="BY1269" t="str">
            <v>1250/0.6/6600</v>
          </cell>
          <cell r="BZ1269">
            <v>2.0680203895125926E-2</v>
          </cell>
          <cell r="CA1269">
            <v>1.9903419842708381E-2</v>
          </cell>
        </row>
        <row r="1270">
          <cell r="BN1270" t="str">
            <v>1750/0.8/7500</v>
          </cell>
          <cell r="BO1270">
            <v>0.65693444189079819</v>
          </cell>
          <cell r="BP1270">
            <v>0.70350952797185107</v>
          </cell>
          <cell r="BQ1270">
            <v>0.66977043836711936</v>
          </cell>
          <cell r="BR1270">
            <v>0.65365290301510237</v>
          </cell>
          <cell r="BS1270">
            <v>0.63519530869657892</v>
          </cell>
          <cell r="BT1270">
            <v>0.54077376682906908</v>
          </cell>
          <cell r="BU1270">
            <v>0.64668099604173468</v>
          </cell>
          <cell r="BV1270">
            <v>0.6155506038502383</v>
          </cell>
          <cell r="BY1270" t="str">
            <v>1250/0.6/6850</v>
          </cell>
          <cell r="BZ1270">
            <v>2.0599321849164243E-2</v>
          </cell>
          <cell r="CA1270">
            <v>1.9811857267798327E-2</v>
          </cell>
        </row>
        <row r="1271">
          <cell r="BN1271" t="str">
            <v>1750/0.8/10000</v>
          </cell>
          <cell r="BO1271">
            <v>0.64309556343551033</v>
          </cell>
          <cell r="BP1271">
            <v>0.69801567426869537</v>
          </cell>
          <cell r="BQ1271">
            <v>0.65609011702609799</v>
          </cell>
          <cell r="BR1271">
            <v>0.63881530838036904</v>
          </cell>
          <cell r="BS1271">
            <v>0.62048331779004484</v>
          </cell>
          <cell r="BT1271">
            <v>0.52594245833811948</v>
          </cell>
          <cell r="BU1271">
            <v>0.62953574281727975</v>
          </cell>
          <cell r="BV1271">
            <v>0.59927928903002359</v>
          </cell>
          <cell r="BY1271" t="str">
            <v>1250/0.6/7500</v>
          </cell>
          <cell r="BZ1271">
            <v>2.038864729215617E-2</v>
          </cell>
          <cell r="CA1271">
            <v>1.9604684127966898E-2</v>
          </cell>
        </row>
        <row r="1272">
          <cell r="BN1272" t="str">
            <v>1750/0.8/99999</v>
          </cell>
          <cell r="BO1272">
            <v>0.58559144071468416</v>
          </cell>
          <cell r="BP1272">
            <v>0.67938776626148711</v>
          </cell>
          <cell r="BQ1272">
            <v>0.59952438557324539</v>
          </cell>
          <cell r="BR1272">
            <v>0.57568309404420392</v>
          </cell>
          <cell r="BS1272">
            <v>0.56996294587765628</v>
          </cell>
          <cell r="BT1272">
            <v>0.48215100149266754</v>
          </cell>
          <cell r="BU1272">
            <v>0.57981155026852105</v>
          </cell>
          <cell r="BV1272">
            <v>0.57136399766339341</v>
          </cell>
          <cell r="BY1272" t="str">
            <v>1250/0.6/8000</v>
          </cell>
          <cell r="BZ1272">
            <v>2.0226215219984578E-2</v>
          </cell>
          <cell r="CA1272">
            <v>1.9451465391995049E-2</v>
          </cell>
        </row>
        <row r="1273">
          <cell r="BY1273" t="str">
            <v>1250/0.6/9000</v>
          </cell>
          <cell r="BZ1273">
            <v>1.995244747394076E-2</v>
          </cell>
          <cell r="CA1273">
            <v>1.9184658718572001E-2</v>
          </cell>
        </row>
        <row r="1274">
          <cell r="BN1274" t="str">
            <v>2000/0.8/2500</v>
          </cell>
          <cell r="BO1274">
            <v>0.76157823331866847</v>
          </cell>
          <cell r="BP1274">
            <v>0.77966160974293763</v>
          </cell>
          <cell r="BQ1274">
            <v>0.77922551766716064</v>
          </cell>
          <cell r="BR1274">
            <v>0.762481640577921</v>
          </cell>
          <cell r="BS1274">
            <v>0.74443079034083426</v>
          </cell>
          <cell r="BT1274">
            <v>0.63732017296683086</v>
          </cell>
          <cell r="BU1274">
            <v>0.7466831636784651</v>
          </cell>
          <cell r="BV1274">
            <v>0.71976900571182989</v>
          </cell>
          <cell r="BY1274" t="str">
            <v>1250/0.6/10000</v>
          </cell>
          <cell r="BZ1274">
            <v>1.9721666499132429E-2</v>
          </cell>
          <cell r="CA1274">
            <v>1.8938278146896081E-2</v>
          </cell>
        </row>
        <row r="1275">
          <cell r="BN1275" t="str">
            <v>2000/0.8/2750</v>
          </cell>
          <cell r="BO1275">
            <v>0.74336162837354158</v>
          </cell>
          <cell r="BP1275">
            <v>0.76328119242679138</v>
          </cell>
          <cell r="BQ1275">
            <v>0.76137567289339037</v>
          </cell>
          <cell r="BR1275">
            <v>0.74419436759647084</v>
          </cell>
          <cell r="BS1275">
            <v>0.72421374083123791</v>
          </cell>
          <cell r="BT1275">
            <v>0.62226127889959093</v>
          </cell>
          <cell r="BU1275">
            <v>0.7311573487768338</v>
          </cell>
          <cell r="BV1275">
            <v>0.70238239032493743</v>
          </cell>
          <cell r="BY1275" t="str">
            <v>1250/0.6/99999</v>
          </cell>
          <cell r="BZ1275">
            <v>1.6159694658967938E-2</v>
          </cell>
          <cell r="CA1275">
            <v>1.5886341297186801E-2</v>
          </cell>
        </row>
        <row r="1276">
          <cell r="BN1276" t="str">
            <v>2000/0.8/3000</v>
          </cell>
          <cell r="BO1276">
            <v>0.72721906068932551</v>
          </cell>
          <cell r="BP1276">
            <v>0.74949611220732915</v>
          </cell>
          <cell r="BQ1276">
            <v>0.74533965205157537</v>
          </cell>
          <cell r="BR1276">
            <v>0.72793099369990188</v>
          </cell>
          <cell r="BS1276">
            <v>0.71087640283269904</v>
          </cell>
          <cell r="BT1276">
            <v>0.60904667902686149</v>
          </cell>
          <cell r="BU1276">
            <v>0.71801375845745363</v>
          </cell>
          <cell r="BV1276">
            <v>0.68768196712317298</v>
          </cell>
          <cell r="BY1276" t="str">
            <v>1500/0.6/1500</v>
          </cell>
          <cell r="BZ1276">
            <v>2.4138944016348196E-2</v>
          </cell>
          <cell r="CA1276">
            <v>2.3880778692960014E-2</v>
          </cell>
        </row>
        <row r="1277">
          <cell r="BN1277" t="str">
            <v>2000/0.8/3250</v>
          </cell>
          <cell r="BO1277">
            <v>0.71741370774896329</v>
          </cell>
          <cell r="BP1277">
            <v>0.73952660654133662</v>
          </cell>
          <cell r="BQ1277">
            <v>0.73313410853575178</v>
          </cell>
          <cell r="BR1277">
            <v>0.71786868466939469</v>
          </cell>
          <cell r="BS1277">
            <v>0.70014282027485852</v>
          </cell>
          <cell r="BT1277">
            <v>0.59896306392514975</v>
          </cell>
          <cell r="BU1277">
            <v>0.70749505329304041</v>
          </cell>
          <cell r="BV1277">
            <v>0.67589847813276438</v>
          </cell>
          <cell r="BY1277" t="str">
            <v>1500/0.6/1750</v>
          </cell>
          <cell r="BZ1277">
            <v>2.3816054282046695E-2</v>
          </cell>
          <cell r="CA1277">
            <v>2.3429043481412948E-2</v>
          </cell>
        </row>
        <row r="1278">
          <cell r="BN1278" t="str">
            <v>2000/0.8/3500</v>
          </cell>
          <cell r="BO1278">
            <v>0.70760835480860118</v>
          </cell>
          <cell r="BP1278">
            <v>0.72955710087534409</v>
          </cell>
          <cell r="BQ1278">
            <v>0.72092856501992819</v>
          </cell>
          <cell r="BR1278">
            <v>0.70780637563888749</v>
          </cell>
          <cell r="BS1278">
            <v>0.6894092377170179</v>
          </cell>
          <cell r="BT1278">
            <v>0.58887944882343812</v>
          </cell>
          <cell r="BU1278">
            <v>0.69697634812862719</v>
          </cell>
          <cell r="BV1278">
            <v>0.66411498914235567</v>
          </cell>
          <cell r="BY1278" t="str">
            <v>1500/0.6/2000</v>
          </cell>
          <cell r="BZ1278">
            <v>2.3493164547745193E-2</v>
          </cell>
          <cell r="CA1278">
            <v>2.2977308269865881E-2</v>
          </cell>
        </row>
        <row r="1279">
          <cell r="BN1279" t="str">
            <v>2000/0.8/3750</v>
          </cell>
          <cell r="BO1279">
            <v>0.70080206017015922</v>
          </cell>
          <cell r="BP1279">
            <v>0.72512363049607442</v>
          </cell>
          <cell r="BQ1279">
            <v>0.71425698899651546</v>
          </cell>
          <cell r="BR1279">
            <v>0.70068159259187213</v>
          </cell>
          <cell r="BS1279">
            <v>0.68201166484940501</v>
          </cell>
          <cell r="BT1279">
            <v>0.58150759153289278</v>
          </cell>
          <cell r="BU1279">
            <v>0.68866302120350831</v>
          </cell>
          <cell r="BV1279">
            <v>0.65608734880707997</v>
          </cell>
          <cell r="BY1279" t="str">
            <v>1500/0.6/2250</v>
          </cell>
          <cell r="BZ1279">
            <v>2.3202299664028647E-2</v>
          </cell>
          <cell r="CA1279">
            <v>2.2629059401866547E-2</v>
          </cell>
        </row>
        <row r="1280">
          <cell r="BN1280" t="str">
            <v>2000/0.8/4000</v>
          </cell>
          <cell r="BO1280">
            <v>0.69399576553171716</v>
          </cell>
          <cell r="BP1280">
            <v>0.72069016011680476</v>
          </cell>
          <cell r="BQ1280">
            <v>0.70758541297310273</v>
          </cell>
          <cell r="BR1280">
            <v>0.69355680954485688</v>
          </cell>
          <cell r="BS1280">
            <v>0.67461409198179223</v>
          </cell>
          <cell r="BT1280">
            <v>0.57413573424234743</v>
          </cell>
          <cell r="BU1280">
            <v>0.68034969427838932</v>
          </cell>
          <cell r="BV1280">
            <v>0.64805970847180416</v>
          </cell>
          <cell r="BY1280" t="str">
            <v>1500/0.6/2500</v>
          </cell>
          <cell r="BZ1280">
            <v>2.2940333808339819E-2</v>
          </cell>
          <cell r="CA1280">
            <v>2.2322001924506729E-2</v>
          </cell>
        </row>
        <row r="1281">
          <cell r="BN1281" t="str">
            <v>2000/0.8/4250</v>
          </cell>
          <cell r="BO1281">
            <v>0.6888352293199792</v>
          </cell>
          <cell r="BP1281">
            <v>0.71757020610681599</v>
          </cell>
          <cell r="BQ1281">
            <v>0.70241964063306317</v>
          </cell>
          <cell r="BR1281">
            <v>0.68825497854582052</v>
          </cell>
          <cell r="BS1281">
            <v>0.66899542871609652</v>
          </cell>
          <cell r="BT1281">
            <v>0.56846150993049094</v>
          </cell>
          <cell r="BU1281">
            <v>0.67473530602672671</v>
          </cell>
          <cell r="BV1281">
            <v>0.64224234127438518</v>
          </cell>
          <cell r="BY1281" t="str">
            <v>1500/0.6/2750</v>
          </cell>
          <cell r="BZ1281">
            <v>2.2701269657684708E-2</v>
          </cell>
          <cell r="CA1281">
            <v>2.2045522885956181E-2</v>
          </cell>
        </row>
        <row r="1282">
          <cell r="BN1282" t="str">
            <v>2000/0.8/4500</v>
          </cell>
          <cell r="BO1282">
            <v>0.68367469310824125</v>
          </cell>
          <cell r="BP1282">
            <v>0.71445025209682722</v>
          </cell>
          <cell r="BQ1282">
            <v>0.69725386829302372</v>
          </cell>
          <cell r="BR1282">
            <v>0.68295314754678416</v>
          </cell>
          <cell r="BS1282">
            <v>0.66337676545040081</v>
          </cell>
          <cell r="BT1282">
            <v>0.56278728561863445</v>
          </cell>
          <cell r="BU1282">
            <v>0.66912091777506411</v>
          </cell>
          <cell r="BV1282">
            <v>0.6364249740769663</v>
          </cell>
          <cell r="BY1282" t="str">
            <v>1500/0.6/3000</v>
          </cell>
          <cell r="BZ1282">
            <v>2.2486927765798637E-2</v>
          </cell>
          <cell r="CA1282">
            <v>2.179559693338895E-2</v>
          </cell>
        </row>
        <row r="1283">
          <cell r="BN1283" t="str">
            <v>2000/0.8/4750</v>
          </cell>
          <cell r="BO1283">
            <v>0.67933179665461563</v>
          </cell>
          <cell r="BP1283">
            <v>0.71225016432489396</v>
          </cell>
          <cell r="BQ1283">
            <v>0.69300452720427641</v>
          </cell>
          <cell r="BR1283">
            <v>0.67837213914960415</v>
          </cell>
          <cell r="BS1283">
            <v>0.65904727522846751</v>
          </cell>
          <cell r="BT1283">
            <v>0.5581956465939969</v>
          </cell>
          <cell r="BU1283">
            <v>0.66388390663655406</v>
          </cell>
          <cell r="BV1283">
            <v>0.63134099944976674</v>
          </cell>
          <cell r="BY1283" t="str">
            <v>1500/0.6/3250</v>
          </cell>
          <cell r="BZ1283">
            <v>2.229602012276799E-2</v>
          </cell>
          <cell r="CA1283">
            <v>2.1571293812682968E-2</v>
          </cell>
        </row>
        <row r="1284">
          <cell r="BN1284" t="str">
            <v>2000/0.8/5000</v>
          </cell>
          <cell r="BO1284">
            <v>0.67498890020099001</v>
          </cell>
          <cell r="BP1284">
            <v>0.7100500765529606</v>
          </cell>
          <cell r="BQ1284">
            <v>0.68875518611552922</v>
          </cell>
          <cell r="BR1284">
            <v>0.67379113075242414</v>
          </cell>
          <cell r="BS1284">
            <v>0.65471778500653421</v>
          </cell>
          <cell r="BT1284">
            <v>0.55360400756935935</v>
          </cell>
          <cell r="BU1284">
            <v>0.65864689549804389</v>
          </cell>
          <cell r="BV1284">
            <v>0.62625702482256707</v>
          </cell>
          <cell r="BY1284" t="str">
            <v>1500/0.6/3500</v>
          </cell>
          <cell r="BZ1284">
            <v>2.2105112479737343E-2</v>
          </cell>
          <cell r="CA1284">
            <v>2.1346990691976986E-2</v>
          </cell>
        </row>
        <row r="1285">
          <cell r="BN1285" t="str">
            <v>2000/0.8/5250</v>
          </cell>
          <cell r="BO1285">
            <v>0.67154621327286745</v>
          </cell>
          <cell r="BP1285">
            <v>0.70820999953965513</v>
          </cell>
          <cell r="BQ1285">
            <v>0.68530776336453214</v>
          </cell>
          <cell r="BR1285">
            <v>0.67011034479837606</v>
          </cell>
          <cell r="BS1285">
            <v>0.65091543927347406</v>
          </cell>
          <cell r="BT1285">
            <v>0.5497735364567915</v>
          </cell>
          <cell r="BU1285">
            <v>0.65477058181505998</v>
          </cell>
          <cell r="BV1285">
            <v>0.62205962095807954</v>
          </cell>
          <cell r="BY1285" t="str">
            <v>1500/0.6/3750</v>
          </cell>
          <cell r="BZ1285">
            <v>2.1938187041728785E-2</v>
          </cell>
          <cell r="CA1285">
            <v>2.1153340074308469E-2</v>
          </cell>
        </row>
        <row r="1286">
          <cell r="BN1286" t="str">
            <v>2000/0.8/5500</v>
          </cell>
          <cell r="BO1286">
            <v>0.6681035263447449</v>
          </cell>
          <cell r="BP1286">
            <v>0.70636992252634967</v>
          </cell>
          <cell r="BQ1286">
            <v>0.68186034061353507</v>
          </cell>
          <cell r="BR1286">
            <v>0.66642955884432808</v>
          </cell>
          <cell r="BS1286">
            <v>0.64711309354041391</v>
          </cell>
          <cell r="BT1286">
            <v>0.54594306534422365</v>
          </cell>
          <cell r="BU1286">
            <v>0.65089426813207596</v>
          </cell>
          <cell r="BV1286">
            <v>0.6178622170935919</v>
          </cell>
          <cell r="BY1286" t="str">
            <v>1500/0.6/4000</v>
          </cell>
          <cell r="BZ1286">
            <v>2.1771261603720227E-2</v>
          </cell>
          <cell r="CA1286">
            <v>2.0959689456639952E-2</v>
          </cell>
        </row>
        <row r="1287">
          <cell r="BN1287" t="str">
            <v>2000/0.8/5750</v>
          </cell>
          <cell r="BO1287">
            <v>0.66486306269246576</v>
          </cell>
          <cell r="BP1287">
            <v>0.70464001062377368</v>
          </cell>
          <cell r="BQ1287">
            <v>0.67868398869463764</v>
          </cell>
          <cell r="BR1287">
            <v>0.66299975130262334</v>
          </cell>
          <cell r="BS1287">
            <v>0.64355350048484117</v>
          </cell>
          <cell r="BT1287">
            <v>0.5426116333559996</v>
          </cell>
          <cell r="BU1287">
            <v>0.6471666474699993</v>
          </cell>
          <cell r="BV1287">
            <v>0.61413869421374978</v>
          </cell>
          <cell r="BY1287" t="str">
            <v>1500/0.6/4250</v>
          </cell>
          <cell r="BZ1287">
            <v>2.1623109776908511E-2</v>
          </cell>
          <cell r="CA1287">
            <v>2.077785957478806E-2</v>
          </cell>
        </row>
        <row r="1288">
          <cell r="BN1288" t="str">
            <v>2000/0.8/6000</v>
          </cell>
          <cell r="BO1288">
            <v>0.66162259904018661</v>
          </cell>
          <cell r="BP1288">
            <v>0.7029100987211977</v>
          </cell>
          <cell r="BQ1288">
            <v>0.67550763677574011</v>
          </cell>
          <cell r="BR1288">
            <v>0.6595699437609186</v>
          </cell>
          <cell r="BS1288">
            <v>0.63999390742926843</v>
          </cell>
          <cell r="BT1288">
            <v>0.53928020136777566</v>
          </cell>
          <cell r="BU1288">
            <v>0.64343902680792264</v>
          </cell>
          <cell r="BV1288">
            <v>0.61041517133390766</v>
          </cell>
          <cell r="BY1288" t="str">
            <v>1500/0.6/4500</v>
          </cell>
          <cell r="BZ1288">
            <v>2.1474957950096796E-2</v>
          </cell>
          <cell r="CA1288">
            <v>2.0596029692936169E-2</v>
          </cell>
        </row>
        <row r="1289">
          <cell r="BN1289" t="str">
            <v>2000/0.8/6250</v>
          </cell>
          <cell r="BO1289">
            <v>0.65936504462323786</v>
          </cell>
          <cell r="BP1289">
            <v>0.70194692292447125</v>
          </cell>
          <cell r="BQ1289">
            <v>0.67325313889575122</v>
          </cell>
          <cell r="BR1289">
            <v>0.65688499548580226</v>
          </cell>
          <cell r="BS1289">
            <v>0.63737792694572781</v>
          </cell>
          <cell r="BT1289">
            <v>0.53635586545520597</v>
          </cell>
          <cell r="BU1289">
            <v>0.64047697386331603</v>
          </cell>
          <cell r="BV1289">
            <v>0.60716597219943824</v>
          </cell>
          <cell r="BY1289" t="str">
            <v>1500/0.6/4750</v>
          </cell>
          <cell r="BZ1289">
            <v>2.1341450342568735E-2</v>
          </cell>
          <cell r="CA1289">
            <v>2.046109422770237E-2</v>
          </cell>
        </row>
        <row r="1290">
          <cell r="BN1290" t="str">
            <v>2000/0.8/6350</v>
          </cell>
          <cell r="BO1290">
            <v>0.6584669100108973</v>
          </cell>
          <cell r="BP1290">
            <v>0.70156935278292987</v>
          </cell>
          <cell r="BQ1290">
            <v>0.67235492023395738</v>
          </cell>
          <cell r="BR1290">
            <v>0.65598151228923662</v>
          </cell>
          <cell r="BS1290">
            <v>0.63646741554620767</v>
          </cell>
          <cell r="BT1290">
            <v>0.53545310336354213</v>
          </cell>
          <cell r="BU1290">
            <v>0.63934139069516904</v>
          </cell>
          <cell r="BV1290">
            <v>0.60603187617903509</v>
          </cell>
          <cell r="BY1290" t="str">
            <v>1500/0.6/5000</v>
          </cell>
          <cell r="BZ1290">
            <v>2.1207942735040675E-2</v>
          </cell>
          <cell r="CA1290">
            <v>2.0326158762468571E-2</v>
          </cell>
        </row>
        <row r="1291">
          <cell r="BN1291" t="str">
            <v>2000/0.8/6600</v>
          </cell>
          <cell r="BO1291">
            <v>0.65622097258546863</v>
          </cell>
          <cell r="BP1291">
            <v>0.70062499872940476</v>
          </cell>
          <cell r="BQ1291">
            <v>0.6701087641333493</v>
          </cell>
          <cell r="BR1291">
            <v>0.65373081110913389</v>
          </cell>
          <cell r="BS1291">
            <v>0.63419040871753307</v>
          </cell>
          <cell r="BT1291">
            <v>0.53319459705823302</v>
          </cell>
          <cell r="BU1291">
            <v>0.63651395472051731</v>
          </cell>
          <cell r="BV1291">
            <v>0.60324999678276159</v>
          </cell>
          <cell r="BY1291" t="str">
            <v>1500/0.6/5250</v>
          </cell>
          <cell r="BZ1291">
            <v>2.1084584358180281E-2</v>
          </cell>
          <cell r="CA1291">
            <v>2.0191573248920291E-2</v>
          </cell>
        </row>
        <row r="1292">
          <cell r="BN1292" t="str">
            <v>2000/0.8/6850</v>
          </cell>
          <cell r="BO1292">
            <v>0.65397417673921554</v>
          </cell>
          <cell r="BP1292">
            <v>0.69968003224777664</v>
          </cell>
          <cell r="BQ1292">
            <v>0.66796138708064123</v>
          </cell>
          <cell r="BR1292">
            <v>0.65148481534039404</v>
          </cell>
          <cell r="BS1292">
            <v>0.63190191681591257</v>
          </cell>
          <cell r="BT1292">
            <v>0.53094954305038378</v>
          </cell>
          <cell r="BU1292">
            <v>0.63370207678841961</v>
          </cell>
          <cell r="BV1292">
            <v>0.60068055532475362</v>
          </cell>
          <cell r="BY1292" t="str">
            <v>1500/0.6/5500</v>
          </cell>
          <cell r="BZ1292">
            <v>2.0961225981319886E-2</v>
          </cell>
          <cell r="CA1292">
            <v>2.0056987735372012E-2</v>
          </cell>
        </row>
        <row r="1293">
          <cell r="BN1293" t="str">
            <v>2000/0.8/7500</v>
          </cell>
          <cell r="BO1293">
            <v>0.64930417540386587</v>
          </cell>
          <cell r="BP1293">
            <v>0.69722945522812396</v>
          </cell>
          <cell r="BQ1293">
            <v>0.66329959708755715</v>
          </cell>
          <cell r="BR1293">
            <v>0.64615660654746965</v>
          </cell>
          <cell r="BS1293">
            <v>0.62633808441916505</v>
          </cell>
          <cell r="BT1293">
            <v>0.52552449387648814</v>
          </cell>
          <cell r="BU1293">
            <v>0.62751750329681366</v>
          </cell>
          <cell r="BV1293">
            <v>0.59510955753736239</v>
          </cell>
          <cell r="BY1293" t="str">
            <v>1500/0.6/5750</v>
          </cell>
          <cell r="BZ1293">
            <v>2.0838369560485792E-2</v>
          </cell>
          <cell r="CA1293">
            <v>1.9938633353432045E-2</v>
          </cell>
        </row>
        <row r="1294">
          <cell r="BN1294" t="str">
            <v>2000/0.8/10000</v>
          </cell>
          <cell r="BO1294">
            <v>0.63503349249809382</v>
          </cell>
          <cell r="BP1294">
            <v>0.69149309451475727</v>
          </cell>
          <cell r="BQ1294">
            <v>0.64918463817406957</v>
          </cell>
          <cell r="BR1294">
            <v>0.63088125471849699</v>
          </cell>
          <cell r="BS1294">
            <v>0.6110184279731683</v>
          </cell>
          <cell r="BT1294">
            <v>0.51026600944440326</v>
          </cell>
          <cell r="BU1294">
            <v>0.60980664169201015</v>
          </cell>
          <cell r="BV1294">
            <v>0.58643838646786606</v>
          </cell>
          <cell r="BY1294" t="str">
            <v>1500/0.6/6000</v>
          </cell>
          <cell r="BZ1294">
            <v>2.0715513139651698E-2</v>
          </cell>
          <cell r="CA1294">
            <v>1.9820278971492078E-2</v>
          </cell>
        </row>
        <row r="1295">
          <cell r="BN1295" t="str">
            <v>2000/0.8/99999</v>
          </cell>
          <cell r="BO1295">
            <v>0.5765143039891083</v>
          </cell>
          <cell r="BP1295">
            <v>0.67238239465060734</v>
          </cell>
          <cell r="BQ1295">
            <v>0.59159404338080768</v>
          </cell>
          <cell r="BR1295">
            <v>0.56666782603556676</v>
          </cell>
          <cell r="BS1295">
            <v>0.55957896265370577</v>
          </cell>
          <cell r="BT1295">
            <v>0.47364269054646357</v>
          </cell>
          <cell r="BU1295">
            <v>0.56911104163635418</v>
          </cell>
          <cell r="BV1295">
            <v>0.55961351215878541</v>
          </cell>
          <cell r="BY1295" t="str">
            <v>1500/0.6/6250</v>
          </cell>
          <cell r="BZ1295">
            <v>2.0591954985949235E-2</v>
          </cell>
          <cell r="CA1295">
            <v>1.9718402842284322E-2</v>
          </cell>
        </row>
        <row r="1296">
          <cell r="BY1296" t="str">
            <v>1500/0.6/6350</v>
          </cell>
          <cell r="BZ1296">
            <v>2.05516393808991E-2</v>
          </cell>
          <cell r="CA1296">
            <v>1.968215352506486E-2</v>
          </cell>
        </row>
        <row r="1297">
          <cell r="BN1297" t="str">
            <v>2250/0.8/3000</v>
          </cell>
          <cell r="BO1297">
            <v>0.72666992165504296</v>
          </cell>
          <cell r="BP1297">
            <v>0.75024704803446318</v>
          </cell>
          <cell r="BQ1297">
            <v>0.74603560239371747</v>
          </cell>
          <cell r="BR1297">
            <v>0.72755184270773376</v>
          </cell>
          <cell r="BS1297">
            <v>0.71036840375414378</v>
          </cell>
          <cell r="BT1297">
            <v>0.60368754025894367</v>
          </cell>
          <cell r="BU1297">
            <v>0.70974891470849411</v>
          </cell>
          <cell r="BV1297">
            <v>0.67855900492830501</v>
          </cell>
          <cell r="BY1297" t="str">
            <v>1500/0.6/6600</v>
          </cell>
          <cell r="BZ1297">
            <v>2.0469432586710079E-2</v>
          </cell>
          <cell r="CA1297">
            <v>1.9591276723632367E-2</v>
          </cell>
        </row>
        <row r="1298">
          <cell r="BN1298" t="str">
            <v>2250/0.8/3250</v>
          </cell>
          <cell r="BO1298">
            <v>0.71631603964384793</v>
          </cell>
          <cell r="BP1298">
            <v>0.73896734903136796</v>
          </cell>
          <cell r="BQ1298">
            <v>0.73314835290465941</v>
          </cell>
          <cell r="BR1298">
            <v>0.71696713350585306</v>
          </cell>
          <cell r="BS1298">
            <v>0.69880127201360887</v>
          </cell>
          <cell r="BT1298">
            <v>0.59228519482865549</v>
          </cell>
          <cell r="BU1298">
            <v>0.69784758564205474</v>
          </cell>
          <cell r="BV1298">
            <v>0.66520526207505948</v>
          </cell>
          <cell r="BY1298" t="str">
            <v>1500/0.6/6850</v>
          </cell>
          <cell r="BZ1298">
            <v>2.0388599335265045E-2</v>
          </cell>
          <cell r="CA1298">
            <v>1.9500004859535958E-2</v>
          </cell>
        </row>
        <row r="1299">
          <cell r="BN1299" t="str">
            <v>2250/0.8/3500</v>
          </cell>
          <cell r="BO1299">
            <v>0.70596215763265291</v>
          </cell>
          <cell r="BP1299">
            <v>0.72768765002827274</v>
          </cell>
          <cell r="BQ1299">
            <v>0.72026110341560146</v>
          </cell>
          <cell r="BR1299">
            <v>0.70638242430397247</v>
          </cell>
          <cell r="BS1299">
            <v>0.68723414027307395</v>
          </cell>
          <cell r="BT1299">
            <v>0.58088284939836754</v>
          </cell>
          <cell r="BU1299">
            <v>0.68594625657561537</v>
          </cell>
          <cell r="BV1299">
            <v>0.65185151922181372</v>
          </cell>
          <cell r="BY1299" t="str">
            <v>1500/0.6/7500</v>
          </cell>
          <cell r="BZ1299">
            <v>2.0178051088139526E-2</v>
          </cell>
          <cell r="CA1299">
            <v>1.9283920570406066E-2</v>
          </cell>
        </row>
        <row r="1300">
          <cell r="BN1300" t="str">
            <v>2250/0.8/3750</v>
          </cell>
          <cell r="BO1300">
            <v>0.6984123607654289</v>
          </cell>
          <cell r="BP1300">
            <v>0.72258253970934228</v>
          </cell>
          <cell r="BQ1300">
            <v>0.7128075881611774</v>
          </cell>
          <cell r="BR1300">
            <v>0.6986188532564217</v>
          </cell>
          <cell r="BS1300">
            <v>0.6789195357306882</v>
          </cell>
          <cell r="BT1300">
            <v>0.57259234127444536</v>
          </cell>
          <cell r="BU1300">
            <v>0.67682996389954231</v>
          </cell>
          <cell r="BV1300">
            <v>0.642412540999869</v>
          </cell>
          <cell r="BY1300" t="str">
            <v>1500/0.6/8000</v>
          </cell>
          <cell r="BZ1300">
            <v>2.001571563105653E-2</v>
          </cell>
          <cell r="CA1300">
            <v>1.9131148304039503E-2</v>
          </cell>
        </row>
        <row r="1301">
          <cell r="BN1301" t="str">
            <v>2250/0.8/4000</v>
          </cell>
          <cell r="BO1301">
            <v>0.69086256389820488</v>
          </cell>
          <cell r="BP1301">
            <v>0.71747742939041192</v>
          </cell>
          <cell r="BQ1301">
            <v>0.70535407290675334</v>
          </cell>
          <cell r="BR1301">
            <v>0.69085528220887094</v>
          </cell>
          <cell r="BS1301">
            <v>0.67060493118830256</v>
          </cell>
          <cell r="BT1301">
            <v>0.56430183315052307</v>
          </cell>
          <cell r="BU1301">
            <v>0.66771367122346914</v>
          </cell>
          <cell r="BV1301">
            <v>0.63297356277792416</v>
          </cell>
          <cell r="BY1301" t="str">
            <v>1500/0.6/9000</v>
          </cell>
          <cell r="BZ1301">
            <v>1.9727030468561724E-2</v>
          </cell>
          <cell r="CA1301">
            <v>1.8855358706011183E-2</v>
          </cell>
        </row>
        <row r="1302">
          <cell r="BN1302" t="str">
            <v>2250/0.8/4250</v>
          </cell>
          <cell r="BO1302">
            <v>0.68518570670558709</v>
          </cell>
          <cell r="BP1302">
            <v>0.71420447060220948</v>
          </cell>
          <cell r="BQ1302">
            <v>0.6997388591347885</v>
          </cell>
          <cell r="BR1302">
            <v>0.68489904136507052</v>
          </cell>
          <cell r="BS1302">
            <v>0.66437482214837051</v>
          </cell>
          <cell r="BT1302">
            <v>0.55816626522806856</v>
          </cell>
          <cell r="BU1302">
            <v>0.66098194855171488</v>
          </cell>
          <cell r="BV1302">
            <v>0.62620893514487685</v>
          </cell>
          <cell r="BY1302" t="str">
            <v>1500/0.6/10000</v>
          </cell>
          <cell r="BZ1302">
            <v>1.9496323067371257E-2</v>
          </cell>
          <cell r="CA1302">
            <v>1.8609728174601603E-2</v>
          </cell>
        </row>
        <row r="1303">
          <cell r="BN1303" t="str">
            <v>2250/0.8/4500</v>
          </cell>
          <cell r="BO1303">
            <v>0.67950884951296908</v>
          </cell>
          <cell r="BP1303">
            <v>0.71093151181400716</v>
          </cell>
          <cell r="BQ1303">
            <v>0.69412364536282367</v>
          </cell>
          <cell r="BR1303">
            <v>0.6789428005212701</v>
          </cell>
          <cell r="BS1303">
            <v>0.65814471310843836</v>
          </cell>
          <cell r="BT1303">
            <v>0.55203069730561394</v>
          </cell>
          <cell r="BU1303">
            <v>0.65425022587996051</v>
          </cell>
          <cell r="BV1303">
            <v>0.61944430751182966</v>
          </cell>
          <cell r="BY1303" t="str">
            <v>1500/0.6/99999</v>
          </cell>
          <cell r="BZ1303">
            <v>1.5896874479057965E-2</v>
          </cell>
          <cell r="CA1303">
            <v>1.5530699499498812E-2</v>
          </cell>
        </row>
        <row r="1304">
          <cell r="BN1304" t="str">
            <v>2250/0.8/4750</v>
          </cell>
          <cell r="BO1304">
            <v>0.67477256682712627</v>
          </cell>
          <cell r="BP1304">
            <v>0.70832127886848184</v>
          </cell>
          <cell r="BQ1304">
            <v>0.68943082911694209</v>
          </cell>
          <cell r="BR1304">
            <v>0.67407710670892396</v>
          </cell>
          <cell r="BS1304">
            <v>0.65326929741779693</v>
          </cell>
          <cell r="BT1304">
            <v>0.54711104532582477</v>
          </cell>
          <cell r="BU1304">
            <v>0.64894763474250294</v>
          </cell>
          <cell r="BV1304">
            <v>0.6146917450730367</v>
          </cell>
          <cell r="BY1304" t="str">
            <v>1750/0.6/2000</v>
          </cell>
          <cell r="BZ1304">
            <v>2.3449859948912133E-2</v>
          </cell>
          <cell r="CA1304">
            <v>2.2885488199552828E-2</v>
          </cell>
        </row>
        <row r="1305">
          <cell r="BN1305" t="str">
            <v>2250/0.8/5000</v>
          </cell>
          <cell r="BO1305">
            <v>0.67003628414128324</v>
          </cell>
          <cell r="BP1305">
            <v>0.70571104592295641</v>
          </cell>
          <cell r="BQ1305">
            <v>0.68473801287106051</v>
          </cell>
          <cell r="BR1305">
            <v>0.66921141289657782</v>
          </cell>
          <cell r="BS1305">
            <v>0.64839388172715551</v>
          </cell>
          <cell r="BT1305">
            <v>0.54219139334603561</v>
          </cell>
          <cell r="BU1305">
            <v>0.64364504360504515</v>
          </cell>
          <cell r="BV1305">
            <v>0.60993918263424363</v>
          </cell>
          <cell r="BY1305" t="str">
            <v>1750/0.6/2250</v>
          </cell>
          <cell r="BZ1305">
            <v>2.313518233594003E-2</v>
          </cell>
          <cell r="CA1305">
            <v>2.2500102586225479E-2</v>
          </cell>
        </row>
        <row r="1306">
          <cell r="BN1306" t="str">
            <v>2250/0.8/5250</v>
          </cell>
          <cell r="BO1306">
            <v>0.66626433881224667</v>
          </cell>
          <cell r="BP1306">
            <v>0.7036930792649112</v>
          </cell>
          <cell r="BQ1306">
            <v>0.68100756892249037</v>
          </cell>
          <cell r="BR1306">
            <v>0.66508845702763342</v>
          </cell>
          <cell r="BS1306">
            <v>0.64436112792000644</v>
          </cell>
          <cell r="BT1306">
            <v>0.53799789318447711</v>
          </cell>
          <cell r="BU1306">
            <v>0.63917137685219672</v>
          </cell>
          <cell r="BV1306">
            <v>0.60660474100279727</v>
          </cell>
          <cell r="BY1306" t="str">
            <v>1750/0.6/2500</v>
          </cell>
          <cell r="BZ1306">
            <v>2.2858014086749812E-2</v>
          </cell>
          <cell r="CA1306">
            <v>2.2164133960204557E-2</v>
          </cell>
        </row>
        <row r="1307">
          <cell r="BN1307" t="str">
            <v>2250/0.8/5500</v>
          </cell>
          <cell r="BO1307">
            <v>0.6624923934832101</v>
          </cell>
          <cell r="BP1307">
            <v>0.70167511260686599</v>
          </cell>
          <cell r="BQ1307">
            <v>0.67727712497392023</v>
          </cell>
          <cell r="BR1307">
            <v>0.66096550115868924</v>
          </cell>
          <cell r="BS1307">
            <v>0.64032837411285737</v>
          </cell>
          <cell r="BT1307">
            <v>0.5338043930229186</v>
          </cell>
          <cell r="BU1307">
            <v>0.63469771009934828</v>
          </cell>
          <cell r="BV1307">
            <v>0.60327029937135079</v>
          </cell>
          <cell r="BY1307" t="str">
            <v>1750/0.6/2750</v>
          </cell>
          <cell r="BZ1307">
            <v>2.260616099308832E-2</v>
          </cell>
          <cell r="CA1307">
            <v>2.1868987547244423E-2</v>
          </cell>
        </row>
        <row r="1308">
          <cell r="BN1308" t="str">
            <v>2250/0.8/5750</v>
          </cell>
          <cell r="BO1308">
            <v>0.65915563594145199</v>
          </cell>
          <cell r="BP1308">
            <v>0.69994349727553584</v>
          </cell>
          <cell r="BQ1308">
            <v>0.67396965162643052</v>
          </cell>
          <cell r="BR1308">
            <v>0.65753250849520117</v>
          </cell>
          <cell r="BS1308">
            <v>0.63673269865593785</v>
          </cell>
          <cell r="BT1308">
            <v>0.53034872370237296</v>
          </cell>
          <cell r="BU1308">
            <v>0.63096283467702063</v>
          </cell>
          <cell r="BV1308">
            <v>0.6003606119898437</v>
          </cell>
          <cell r="BY1308" t="str">
            <v>1750/0.6/3000</v>
          </cell>
          <cell r="BZ1308">
            <v>2.2376350766558861E-2</v>
          </cell>
          <cell r="CA1308">
            <v>2.1600945174290453E-2</v>
          </cell>
        </row>
        <row r="1309">
          <cell r="BN1309" t="str">
            <v>2250/0.8/6000</v>
          </cell>
          <cell r="BO1309">
            <v>0.65581887839969388</v>
          </cell>
          <cell r="BP1309">
            <v>0.6982118819442058</v>
          </cell>
          <cell r="BQ1309">
            <v>0.67066217827894059</v>
          </cell>
          <cell r="BR1309">
            <v>0.65409951583171322</v>
          </cell>
          <cell r="BS1309">
            <v>0.63313702319901832</v>
          </cell>
          <cell r="BT1309">
            <v>0.52689305438182732</v>
          </cell>
          <cell r="BU1309">
            <v>0.62722795925469321</v>
          </cell>
          <cell r="BV1309">
            <v>0.5974509246083366</v>
          </cell>
          <cell r="BY1309" t="str">
            <v>1750/0.6/3250</v>
          </cell>
          <cell r="BZ1309">
            <v>2.217733597660243E-2</v>
          </cell>
          <cell r="CA1309">
            <v>2.1367057331423522E-2</v>
          </cell>
        </row>
        <row r="1310">
          <cell r="BN1310" t="str">
            <v>2250/0.8/6250</v>
          </cell>
          <cell r="BO1310">
            <v>0.65297695734279115</v>
          </cell>
          <cell r="BP1310">
            <v>0.69686779943197541</v>
          </cell>
          <cell r="BQ1310">
            <v>0.66785896109976817</v>
          </cell>
          <cell r="BR1310">
            <v>0.65104538664121236</v>
          </cell>
          <cell r="BS1310">
            <v>0.63005446908321872</v>
          </cell>
          <cell r="BT1310">
            <v>0.52377248892675554</v>
          </cell>
          <cell r="BU1310">
            <v>0.62388365503617793</v>
          </cell>
          <cell r="BV1310">
            <v>0.59486666248813647</v>
          </cell>
          <cell r="BY1310" t="str">
            <v>1750/0.6/3500</v>
          </cell>
          <cell r="BZ1310">
            <v>2.1978321186645999E-2</v>
          </cell>
          <cell r="CA1310">
            <v>2.1133169488556591E-2</v>
          </cell>
        </row>
        <row r="1311">
          <cell r="BN1311" t="str">
            <v>2250/0.8/6350</v>
          </cell>
          <cell r="BO1311">
            <v>0.65196022835137468</v>
          </cell>
          <cell r="BP1311">
            <v>0.69633404744067073</v>
          </cell>
          <cell r="BQ1311">
            <v>0.66686722975461366</v>
          </cell>
          <cell r="BR1311">
            <v>0.64990889206333402</v>
          </cell>
          <cell r="BS1311">
            <v>0.62888550493630868</v>
          </cell>
          <cell r="BT1311">
            <v>0.52265763022524347</v>
          </cell>
          <cell r="BU1311">
            <v>0.62256960717756704</v>
          </cell>
          <cell r="BV1311">
            <v>0.59393228744519511</v>
          </cell>
          <cell r="BY1311" t="str">
            <v>1750/0.6/3750</v>
          </cell>
          <cell r="BZ1311">
            <v>2.1804431676903602E-2</v>
          </cell>
          <cell r="CA1311">
            <v>2.0929214712696598E-2</v>
          </cell>
        </row>
        <row r="1312">
          <cell r="BN1312" t="str">
            <v>2250/0.8/6600</v>
          </cell>
          <cell r="BO1312">
            <v>0.64957352470744711</v>
          </cell>
          <cell r="BP1312">
            <v>0.69520358755324385</v>
          </cell>
          <cell r="BQ1312">
            <v>0.66447910898095963</v>
          </cell>
          <cell r="BR1312">
            <v>0.64723316354281768</v>
          </cell>
          <cell r="BS1312">
            <v>0.62622423541533934</v>
          </cell>
          <cell r="BT1312">
            <v>0.51993786521250795</v>
          </cell>
          <cell r="BU1312">
            <v>0.61957909974308234</v>
          </cell>
          <cell r="BV1312">
            <v>0.59166379513808609</v>
          </cell>
          <cell r="BY1312" t="str">
            <v>1750/0.6/4000</v>
          </cell>
          <cell r="BZ1312">
            <v>2.1630542167161204E-2</v>
          </cell>
          <cell r="CA1312">
            <v>2.0725259936836604E-2</v>
          </cell>
        </row>
        <row r="1313">
          <cell r="BN1313" t="str">
            <v>2250/0.8/6850</v>
          </cell>
          <cell r="BO1313">
            <v>0.64732664070871737</v>
          </cell>
          <cell r="BP1313">
            <v>0.69425910700015714</v>
          </cell>
          <cell r="BQ1313">
            <v>0.66228260759535351</v>
          </cell>
          <cell r="BR1313">
            <v>0.64498086261571763</v>
          </cell>
          <cell r="BS1313">
            <v>0.6239300340260191</v>
          </cell>
          <cell r="BT1313">
            <v>0.51764032091666512</v>
          </cell>
          <cell r="BU1313">
            <v>0.61675323431240647</v>
          </cell>
          <cell r="BV1313">
            <v>0.5896541615667461</v>
          </cell>
          <cell r="BY1313" t="str">
            <v>1750/0.6/4250</v>
          </cell>
          <cell r="BZ1313">
            <v>2.1477532475486338E-2</v>
          </cell>
          <cell r="CA1313">
            <v>2.0541176721280752E-2</v>
          </cell>
        </row>
        <row r="1314">
          <cell r="BN1314" t="str">
            <v>2250/0.8/7500</v>
          </cell>
          <cell r="BO1314">
            <v>0.64229187280501621</v>
          </cell>
          <cell r="BP1314">
            <v>0.69180517563776212</v>
          </cell>
          <cell r="BQ1314">
            <v>0.65730375486509374</v>
          </cell>
          <cell r="BR1314">
            <v>0.63939675302614907</v>
          </cell>
          <cell r="BS1314">
            <v>0.61816806909666133</v>
          </cell>
          <cell r="BT1314">
            <v>0.51218611238265732</v>
          </cell>
          <cell r="BU1314">
            <v>0.61094126244491631</v>
          </cell>
          <cell r="BV1314">
            <v>0.58513156885164186</v>
          </cell>
          <cell r="BY1314" t="str">
            <v>1750/0.6/4500</v>
          </cell>
          <cell r="BZ1314">
            <v>2.1324522783811473E-2</v>
          </cell>
          <cell r="CA1314">
            <v>2.0357093505724899E-2</v>
          </cell>
        </row>
        <row r="1315">
          <cell r="BN1315" t="str">
            <v>2250/0.8/10000</v>
          </cell>
          <cell r="BO1315">
            <v>0.62759117253446761</v>
          </cell>
          <cell r="BP1315">
            <v>0.68574598822625521</v>
          </cell>
          <cell r="BQ1315">
            <v>0.64275621425760621</v>
          </cell>
          <cell r="BR1315">
            <v>0.62357547505499311</v>
          </cell>
          <cell r="BS1315">
            <v>0.60204676723540573</v>
          </cell>
          <cell r="BT1315">
            <v>0.50036527248983653</v>
          </cell>
          <cell r="BU1315">
            <v>0.59727968302164214</v>
          </cell>
          <cell r="BV1315">
            <v>0.57590246011016344</v>
          </cell>
          <cell r="BY1315" t="str">
            <v>1750/0.6/4750</v>
          </cell>
          <cell r="BZ1315">
            <v>2.1186503885282537E-2</v>
          </cell>
          <cell r="CA1315">
            <v>2.0209020852049453E-2</v>
          </cell>
        </row>
        <row r="1316">
          <cell r="BN1316" t="str">
            <v>2250/0.8/99999</v>
          </cell>
          <cell r="BO1316">
            <v>0.56806312583975715</v>
          </cell>
          <cell r="BP1316">
            <v>0.6661551041398599</v>
          </cell>
          <cell r="BQ1316">
            <v>0.58414992505361996</v>
          </cell>
          <cell r="BR1316">
            <v>0.55828784714293245</v>
          </cell>
          <cell r="BS1316">
            <v>0.54969269072574445</v>
          </cell>
          <cell r="BT1316">
            <v>0.46593759773480281</v>
          </cell>
          <cell r="BU1316">
            <v>0.5593217809067117</v>
          </cell>
          <cell r="BV1316">
            <v>0.54859952184280136</v>
          </cell>
          <cell r="BY1316" t="str">
            <v>1750/0.6/5000</v>
          </cell>
          <cell r="BZ1316">
            <v>2.1048484986753602E-2</v>
          </cell>
          <cell r="CA1316">
            <v>2.0060948198374007E-2</v>
          </cell>
        </row>
        <row r="1317">
          <cell r="BY1317" t="str">
            <v>1750/0.6/5250</v>
          </cell>
          <cell r="BZ1317">
            <v>2.0923116737787684E-2</v>
          </cell>
          <cell r="CA1317">
            <v>1.9926896014580975E-2</v>
          </cell>
        </row>
        <row r="1318">
          <cell r="BN1318" t="str">
            <v>2500/0.8/3000</v>
          </cell>
          <cell r="BO1318">
            <v>0.72612078262076052</v>
          </cell>
          <cell r="BP1318">
            <v>0.75099798386159733</v>
          </cell>
          <cell r="BQ1318">
            <v>0.74673155273585956</v>
          </cell>
          <cell r="BR1318">
            <v>0.72717269171556564</v>
          </cell>
          <cell r="BS1318">
            <v>0.70986040467558842</v>
          </cell>
          <cell r="BT1318">
            <v>0.59832840149102573</v>
          </cell>
          <cell r="BU1318">
            <v>0.70148407095953458</v>
          </cell>
          <cell r="BV1318">
            <v>0.66943604273343715</v>
          </cell>
          <cell r="BY1318" t="str">
            <v>1750/0.6/5500</v>
          </cell>
          <cell r="BZ1318">
            <v>2.0797748488821766E-2</v>
          </cell>
          <cell r="CA1318">
            <v>1.9792843830787943E-2</v>
          </cell>
        </row>
        <row r="1319">
          <cell r="BN1319" t="str">
            <v>2500/0.8/3250</v>
          </cell>
          <cell r="BO1319">
            <v>0.71521837153873258</v>
          </cell>
          <cell r="BP1319">
            <v>0.7384080915213993</v>
          </cell>
          <cell r="BQ1319">
            <v>0.73316259727356714</v>
          </cell>
          <cell r="BR1319">
            <v>0.71606558234231144</v>
          </cell>
          <cell r="BS1319">
            <v>0.69745972375235921</v>
          </cell>
          <cell r="BT1319">
            <v>0.58560732573216123</v>
          </cell>
          <cell r="BU1319">
            <v>0.68820011799106906</v>
          </cell>
          <cell r="BV1319">
            <v>0.65451204601735458</v>
          </cell>
          <cell r="BY1319" t="str">
            <v>1750/0.6/5750</v>
          </cell>
          <cell r="BZ1319">
            <v>2.0675176511096849E-2</v>
          </cell>
          <cell r="CA1319">
            <v>1.9664301739995338E-2</v>
          </cell>
        </row>
        <row r="1320">
          <cell r="BN1320" t="str">
            <v>2500/0.8/3500</v>
          </cell>
          <cell r="BO1320">
            <v>0.70431596045670453</v>
          </cell>
          <cell r="BP1320">
            <v>0.72581819918120127</v>
          </cell>
          <cell r="BQ1320">
            <v>0.71959364181127472</v>
          </cell>
          <cell r="BR1320">
            <v>0.70495847296905734</v>
          </cell>
          <cell r="BS1320">
            <v>0.68505904282912988</v>
          </cell>
          <cell r="BT1320">
            <v>0.57288624997329685</v>
          </cell>
          <cell r="BU1320">
            <v>0.67491616502260354</v>
          </cell>
          <cell r="BV1320">
            <v>0.63958804930127189</v>
          </cell>
          <cell r="BY1320" t="str">
            <v>1750/0.6/6000</v>
          </cell>
          <cell r="BZ1320">
            <v>2.0552604533371932E-2</v>
          </cell>
          <cell r="CA1320">
            <v>1.9535759649202733E-2</v>
          </cell>
        </row>
        <row r="1321">
          <cell r="BN1321" t="str">
            <v>2500/0.8/3750</v>
          </cell>
          <cell r="BO1321">
            <v>0.69602266136069857</v>
          </cell>
          <cell r="BP1321">
            <v>0.72004144892261013</v>
          </cell>
          <cell r="BQ1321">
            <v>0.71135818732583933</v>
          </cell>
          <cell r="BR1321">
            <v>0.69655611392097116</v>
          </cell>
          <cell r="BS1321">
            <v>0.67582740661197138</v>
          </cell>
          <cell r="BT1321">
            <v>0.56367709101599783</v>
          </cell>
          <cell r="BU1321">
            <v>0.66499690659557631</v>
          </cell>
          <cell r="BV1321">
            <v>0.62873773319265802</v>
          </cell>
          <cell r="BY1321" t="str">
            <v>1750/0.6/6250</v>
          </cell>
          <cell r="BZ1321">
            <v>2.0429329858372425E-2</v>
          </cell>
          <cell r="CA1321">
            <v>1.9434056260841714E-2</v>
          </cell>
        </row>
        <row r="1322">
          <cell r="BN1322" t="str">
            <v>2500/0.8/4000</v>
          </cell>
          <cell r="BO1322">
            <v>0.68772936226469261</v>
          </cell>
          <cell r="BP1322">
            <v>0.71426469866401909</v>
          </cell>
          <cell r="BQ1322">
            <v>0.70312273284040394</v>
          </cell>
          <cell r="BR1322">
            <v>0.68815375487288499</v>
          </cell>
          <cell r="BS1322">
            <v>0.66659577039481288</v>
          </cell>
          <cell r="BT1322">
            <v>0.55446793205869871</v>
          </cell>
          <cell r="BU1322">
            <v>0.65507764816854896</v>
          </cell>
          <cell r="BV1322">
            <v>0.61788741708404415</v>
          </cell>
          <cell r="BY1322" t="str">
            <v>1750/0.6/6350</v>
          </cell>
          <cell r="BZ1322">
            <v>2.0379888818214509E-2</v>
          </cell>
          <cell r="CA1322">
            <v>1.9393238164582272E-2</v>
          </cell>
        </row>
        <row r="1323">
          <cell r="BN1323" t="str">
            <v>2500/0.8/4250</v>
          </cell>
          <cell r="BO1323">
            <v>0.68153618409119487</v>
          </cell>
          <cell r="BP1323">
            <v>0.71083873509760309</v>
          </cell>
          <cell r="BQ1323">
            <v>0.69705807763651384</v>
          </cell>
          <cell r="BR1323">
            <v>0.68154310418432051</v>
          </cell>
          <cell r="BS1323">
            <v>0.6597542155806444</v>
          </cell>
          <cell r="BT1323">
            <v>0.54787102052564607</v>
          </cell>
          <cell r="BU1323">
            <v>0.64722859107670305</v>
          </cell>
          <cell r="BV1323">
            <v>0.61017552901536853</v>
          </cell>
          <cell r="BY1323" t="str">
            <v>1750/0.6/6600</v>
          </cell>
          <cell r="BZ1323">
            <v>2.0280959232350071E-2</v>
          </cell>
          <cell r="CA1323">
            <v>1.9300282162036053E-2</v>
          </cell>
        </row>
        <row r="1324">
          <cell r="BN1324" t="str">
            <v>2500/0.8/4500</v>
          </cell>
          <cell r="BO1324">
            <v>0.67534300591769703</v>
          </cell>
          <cell r="BP1324">
            <v>0.70741277153118709</v>
          </cell>
          <cell r="BQ1324">
            <v>0.69099342243262374</v>
          </cell>
          <cell r="BR1324">
            <v>0.67493245349575604</v>
          </cell>
          <cell r="BS1324">
            <v>0.65291266076647592</v>
          </cell>
          <cell r="BT1324">
            <v>0.54127410899259332</v>
          </cell>
          <cell r="BU1324">
            <v>0.63937953398485703</v>
          </cell>
          <cell r="BV1324">
            <v>0.60246364094669302</v>
          </cell>
          <cell r="BY1324" t="str">
            <v>1750/0.6/6850</v>
          </cell>
          <cell r="BZ1324">
            <v>2.019970783613223E-2</v>
          </cell>
          <cell r="CA1324">
            <v>1.9209287007119658E-2</v>
          </cell>
        </row>
        <row r="1325">
          <cell r="BN1325" t="str">
            <v>2500/0.8/4750</v>
          </cell>
          <cell r="BO1325">
            <v>0.67021333699963681</v>
          </cell>
          <cell r="BP1325">
            <v>0.70439239341206972</v>
          </cell>
          <cell r="BQ1325">
            <v>0.68585713102960777</v>
          </cell>
          <cell r="BR1325">
            <v>0.66978207426824365</v>
          </cell>
          <cell r="BS1325">
            <v>0.64749131960712636</v>
          </cell>
          <cell r="BT1325">
            <v>0.53602644405765265</v>
          </cell>
          <cell r="BU1325">
            <v>0.63401136284845183</v>
          </cell>
          <cell r="BV1325">
            <v>0.59804249069630666</v>
          </cell>
          <cell r="BY1325" t="str">
            <v>1750/0.6/7500</v>
          </cell>
          <cell r="BZ1325">
            <v>1.9989286892100555E-2</v>
          </cell>
          <cell r="CA1325">
            <v>1.8984321346542155E-2</v>
          </cell>
        </row>
        <row r="1326">
          <cell r="BN1326" t="str">
            <v>2500/0.8/5000</v>
          </cell>
          <cell r="BO1326">
            <v>0.66508366808157648</v>
          </cell>
          <cell r="BP1326">
            <v>0.70137201529295223</v>
          </cell>
          <cell r="BQ1326">
            <v>0.68072083962659191</v>
          </cell>
          <cell r="BR1326">
            <v>0.66463169504073139</v>
          </cell>
          <cell r="BS1326">
            <v>0.64206997844777691</v>
          </cell>
          <cell r="BT1326">
            <v>0.53077877912271199</v>
          </cell>
          <cell r="BU1326">
            <v>0.62864319171204652</v>
          </cell>
          <cell r="BV1326">
            <v>0.59362134044592019</v>
          </cell>
          <cell r="BY1326" t="str">
            <v>1750/0.6/8000</v>
          </cell>
          <cell r="BZ1326">
            <v>1.9827048844736961E-2</v>
          </cell>
          <cell r="CA1326">
            <v>1.8831995549780878E-2</v>
          </cell>
        </row>
        <row r="1327">
          <cell r="BN1327" t="str">
            <v>2500/0.8/5250</v>
          </cell>
          <cell r="BO1327">
            <v>0.660982464351626</v>
          </cell>
          <cell r="BP1327">
            <v>0.69917615899016727</v>
          </cell>
          <cell r="BQ1327">
            <v>0.67670737448044871</v>
          </cell>
          <cell r="BR1327">
            <v>0.66006656925689078</v>
          </cell>
          <cell r="BS1327">
            <v>0.63780681656653881</v>
          </cell>
          <cell r="BT1327">
            <v>0.52622224991216271</v>
          </cell>
          <cell r="BU1327">
            <v>0.62357217188933345</v>
          </cell>
          <cell r="BV1327">
            <v>0.59114986104751499</v>
          </cell>
          <cell r="BY1327" t="str">
            <v>1750/0.6/9000</v>
          </cell>
          <cell r="BZ1327">
            <v>1.9523730555964569E-2</v>
          </cell>
          <cell r="CA1327">
            <v>1.8547217123074722E-2</v>
          </cell>
        </row>
        <row r="1328">
          <cell r="BN1328" t="str">
            <v>2500/0.8/5500</v>
          </cell>
          <cell r="BO1328">
            <v>0.6568812606216754</v>
          </cell>
          <cell r="BP1328">
            <v>0.69698030268738231</v>
          </cell>
          <cell r="BQ1328">
            <v>0.67269390933430551</v>
          </cell>
          <cell r="BR1328">
            <v>0.65550144347305028</v>
          </cell>
          <cell r="BS1328">
            <v>0.63354365468530072</v>
          </cell>
          <cell r="BT1328">
            <v>0.52166572070161343</v>
          </cell>
          <cell r="BU1328">
            <v>0.61850115206662049</v>
          </cell>
          <cell r="BV1328">
            <v>0.58867838164910979</v>
          </cell>
          <cell r="BY1328" t="str">
            <v>1750/0.6/10000</v>
          </cell>
          <cell r="BZ1328">
            <v>1.9293097416325011E-2</v>
          </cell>
          <cell r="CA1328">
            <v>1.830236958261211E-2</v>
          </cell>
        </row>
        <row r="1329">
          <cell r="BN1329" t="str">
            <v>2500/0.8/5750</v>
          </cell>
          <cell r="BO1329">
            <v>0.65344820919043822</v>
          </cell>
          <cell r="BP1329">
            <v>0.69524698392729811</v>
          </cell>
          <cell r="BQ1329">
            <v>0.6692553145582234</v>
          </cell>
          <cell r="BR1329">
            <v>0.65206526568777901</v>
          </cell>
          <cell r="BS1329">
            <v>0.62991189682703441</v>
          </cell>
          <cell r="BT1329">
            <v>0.51808581404874621</v>
          </cell>
          <cell r="BU1329">
            <v>0.61475902188404208</v>
          </cell>
          <cell r="BV1329">
            <v>0.58658252976593772</v>
          </cell>
          <cell r="BY1329" t="str">
            <v>1750/0.6/99999</v>
          </cell>
          <cell r="BZ1329">
            <v>1.565773873133236E-2</v>
          </cell>
          <cell r="CA1329">
            <v>1.5196291713533538E-2</v>
          </cell>
        </row>
        <row r="1330">
          <cell r="BN1330" t="str">
            <v>2500/0.8/6000</v>
          </cell>
          <cell r="BO1330">
            <v>0.65001515775920105</v>
          </cell>
          <cell r="BP1330">
            <v>0.6935136651672138</v>
          </cell>
          <cell r="BQ1330">
            <v>0.66581671978214119</v>
          </cell>
          <cell r="BR1330">
            <v>0.64862908790250784</v>
          </cell>
          <cell r="BS1330">
            <v>0.62628013896876811</v>
          </cell>
          <cell r="BT1330">
            <v>0.51450590739587898</v>
          </cell>
          <cell r="BU1330">
            <v>0.61101689170146367</v>
          </cell>
          <cell r="BV1330">
            <v>0.58448667788276565</v>
          </cell>
          <cell r="BY1330" t="str">
            <v>2000/0.6/2000</v>
          </cell>
          <cell r="BZ1330">
            <v>2.3356535670667089E-2</v>
          </cell>
          <cell r="CA1330">
            <v>2.2856575643096066E-2</v>
          </cell>
        </row>
        <row r="1331">
          <cell r="BN1331" t="str">
            <v>2500/0.8/6250</v>
          </cell>
          <cell r="BO1331">
            <v>0.64658887006234445</v>
          </cell>
          <cell r="BP1331">
            <v>0.69178867593947946</v>
          </cell>
          <cell r="BQ1331">
            <v>0.66246478330378511</v>
          </cell>
          <cell r="BR1331">
            <v>0.64520577779662247</v>
          </cell>
          <cell r="BS1331">
            <v>0.62273101122070962</v>
          </cell>
          <cell r="BT1331">
            <v>0.51118911239830511</v>
          </cell>
          <cell r="BU1331">
            <v>0.60729033620903972</v>
          </cell>
          <cell r="BV1331">
            <v>0.58256735277683469</v>
          </cell>
          <cell r="BY1331" t="str">
            <v>2000/0.6/2250</v>
          </cell>
          <cell r="BZ1331">
            <v>2.3098308382194288E-2</v>
          </cell>
          <cell r="CA1331">
            <v>2.2414836991766718E-2</v>
          </cell>
        </row>
        <row r="1332">
          <cell r="BN1332" t="str">
            <v>2500/0.8/6350</v>
          </cell>
          <cell r="BO1332">
            <v>0.64545354669185206</v>
          </cell>
          <cell r="BP1332">
            <v>0.69109874209841149</v>
          </cell>
          <cell r="BQ1332">
            <v>0.66137953927526993</v>
          </cell>
          <cell r="BR1332">
            <v>0.64383627183743131</v>
          </cell>
          <cell r="BS1332">
            <v>0.62130359432640969</v>
          </cell>
          <cell r="BT1332">
            <v>0.50986215708694471</v>
          </cell>
          <cell r="BU1332">
            <v>0.60579782365996493</v>
          </cell>
          <cell r="BV1332">
            <v>0.58183269871135523</v>
          </cell>
          <cell r="BY1332" t="str">
            <v>2000/0.6/2500</v>
          </cell>
          <cell r="BZ1332">
            <v>2.28013879053095E-2</v>
          </cell>
          <cell r="CA1332">
            <v>2.2046906794903176E-2</v>
          </cell>
        </row>
        <row r="1333">
          <cell r="BN1333" t="str">
            <v>2500/0.8/6600</v>
          </cell>
          <cell r="BO1333">
            <v>0.6429260768294256</v>
          </cell>
          <cell r="BP1333">
            <v>0.68978217637708306</v>
          </cell>
          <cell r="BQ1333">
            <v>0.65884945382857008</v>
          </cell>
          <cell r="BR1333">
            <v>0.64073551597650136</v>
          </cell>
          <cell r="BS1333">
            <v>0.6182580621131456</v>
          </cell>
          <cell r="BT1333">
            <v>0.50668113336678278</v>
          </cell>
          <cell r="BU1333">
            <v>0.60264424476564737</v>
          </cell>
          <cell r="BV1333">
            <v>0.58007759349341059</v>
          </cell>
          <cell r="BY1333" t="str">
            <v>2000/0.6/2750</v>
          </cell>
          <cell r="BZ1333">
            <v>2.2536072619703029E-2</v>
          </cell>
          <cell r="CA1333">
            <v>2.172467000747158E-2</v>
          </cell>
        </row>
        <row r="1334">
          <cell r="BN1334" t="str">
            <v>2500/0.8/6850</v>
          </cell>
          <cell r="BO1334">
            <v>0.6406791046782192</v>
          </cell>
          <cell r="BP1334">
            <v>0.68883818175253753</v>
          </cell>
          <cell r="BQ1334">
            <v>0.65660382811006579</v>
          </cell>
          <cell r="BR1334">
            <v>0.63847690989104122</v>
          </cell>
          <cell r="BS1334">
            <v>0.61595815123612563</v>
          </cell>
          <cell r="BT1334">
            <v>0.50433109878294635</v>
          </cell>
          <cell r="BU1334">
            <v>0.59980439183639322</v>
          </cell>
          <cell r="BV1334">
            <v>0.57862776780873859</v>
          </cell>
          <cell r="BY1334" t="str">
            <v>2000/0.6/3000</v>
          </cell>
          <cell r="BZ1334">
            <v>2.229311044967841E-2</v>
          </cell>
          <cell r="CA1334">
            <v>2.1438564994086251E-2</v>
          </cell>
        </row>
        <row r="1335">
          <cell r="BN1335" t="str">
            <v>2500/0.8/7500</v>
          </cell>
          <cell r="BO1335">
            <v>0.63527957020616665</v>
          </cell>
          <cell r="BP1335">
            <v>0.68638089604740016</v>
          </cell>
          <cell r="BQ1335">
            <v>0.65130791264263033</v>
          </cell>
          <cell r="BR1335">
            <v>0.6326368995048286</v>
          </cell>
          <cell r="BS1335">
            <v>0.60999805377415761</v>
          </cell>
          <cell r="BT1335">
            <v>0.49884773088882645</v>
          </cell>
          <cell r="BU1335">
            <v>0.59436502159301896</v>
          </cell>
          <cell r="BV1335">
            <v>0.57515358016592133</v>
          </cell>
          <cell r="BY1335" t="str">
            <v>2000/0.6/3250</v>
          </cell>
          <cell r="BZ1335">
            <v>2.2083575235369302E-2</v>
          </cell>
          <cell r="CA1335">
            <v>2.1191264453418901E-2</v>
          </cell>
        </row>
        <row r="1336">
          <cell r="BN1336" t="str">
            <v>2500/0.8/10000</v>
          </cell>
          <cell r="BO1336">
            <v>0.6201488525708414</v>
          </cell>
          <cell r="BP1336">
            <v>0.67999888193775315</v>
          </cell>
          <cell r="BQ1336">
            <v>0.63632779034114273</v>
          </cell>
          <cell r="BR1336">
            <v>0.61626969539148913</v>
          </cell>
          <cell r="BS1336">
            <v>0.59307510649764317</v>
          </cell>
          <cell r="BT1336">
            <v>0.49046453553526975</v>
          </cell>
          <cell r="BU1336">
            <v>0.58475272435127412</v>
          </cell>
          <cell r="BV1336">
            <v>0.56536653375246082</v>
          </cell>
          <cell r="BY1336" t="str">
            <v>2000/0.6/3500</v>
          </cell>
          <cell r="BZ1336">
            <v>2.1874040021060193E-2</v>
          </cell>
          <cell r="CA1336">
            <v>2.0943963912751551E-2</v>
          </cell>
        </row>
        <row r="1337">
          <cell r="BN1337" t="str">
            <v>2500/0.8/99999</v>
          </cell>
          <cell r="BO1337">
            <v>0.55961194769040601</v>
          </cell>
          <cell r="BP1337">
            <v>0.65992781362911246</v>
          </cell>
          <cell r="BQ1337">
            <v>0.57670580672643212</v>
          </cell>
          <cell r="BR1337">
            <v>0.54990786825029814</v>
          </cell>
          <cell r="BS1337">
            <v>0.53980641879778302</v>
          </cell>
          <cell r="BT1337">
            <v>0.45823250492314205</v>
          </cell>
          <cell r="BU1337">
            <v>0.54953252017706911</v>
          </cell>
          <cell r="BV1337">
            <v>0.53758553152681732</v>
          </cell>
          <cell r="BY1337" t="str">
            <v>2000/0.6/3750</v>
          </cell>
          <cell r="BZ1337">
            <v>2.169247306471811E-2</v>
          </cell>
          <cell r="CA1337">
            <v>2.0728734505158886E-2</v>
          </cell>
        </row>
        <row r="1338">
          <cell r="BY1338" t="str">
            <v>2000/0.6/4000</v>
          </cell>
          <cell r="BZ1338">
            <v>2.1510906108376027E-2</v>
          </cell>
          <cell r="CA1338">
            <v>2.051350509756622E-2</v>
          </cell>
        </row>
        <row r="1339">
          <cell r="BN1339" t="str">
            <v>2600/0.8/3000</v>
          </cell>
          <cell r="BO1339">
            <v>0.72087738221005704</v>
          </cell>
          <cell r="BP1339">
            <v>0.73215732187633276</v>
          </cell>
          <cell r="BQ1339">
            <v>0.73091308040131442</v>
          </cell>
          <cell r="BR1339">
            <v>0.72357410648929621</v>
          </cell>
          <cell r="BS1339">
            <v>0.70578362598898714</v>
          </cell>
          <cell r="BT1339">
            <v>0.59127421215919274</v>
          </cell>
          <cell r="BU1339">
            <v>0.69222453470903778</v>
          </cell>
          <cell r="BV1339">
            <v>0.65869050202775026</v>
          </cell>
          <cell r="BY1339" t="str">
            <v>2000/0.6/4250</v>
          </cell>
          <cell r="BZ1339">
            <v>2.1352456219740135E-2</v>
          </cell>
          <cell r="CA1339">
            <v>2.0327992861837618E-2</v>
          </cell>
        </row>
        <row r="1340">
          <cell r="BN1340" t="str">
            <v>2600/0.8/3250</v>
          </cell>
          <cell r="BO1340">
            <v>0.71260394623324363</v>
          </cell>
          <cell r="BP1340">
            <v>0.72836289019895561</v>
          </cell>
          <cell r="BQ1340">
            <v>0.72455577164045337</v>
          </cell>
          <cell r="BR1340">
            <v>0.71460772911944614</v>
          </cell>
          <cell r="BS1340">
            <v>0.69574541101036524</v>
          </cell>
          <cell r="BT1340">
            <v>0.58120732879172043</v>
          </cell>
          <cell r="BU1340">
            <v>0.68155770402910454</v>
          </cell>
          <cell r="BV1340">
            <v>0.64689414776503817</v>
          </cell>
          <cell r="BY1340" t="str">
            <v>2000/0.6/4500</v>
          </cell>
          <cell r="BZ1340">
            <v>2.1194006331104243E-2</v>
          </cell>
          <cell r="CA1340">
            <v>2.0142480626109016E-2</v>
          </cell>
        </row>
        <row r="1341">
          <cell r="BN1341" t="str">
            <v>2600/0.8/3500</v>
          </cell>
          <cell r="BO1341">
            <v>0.70433051025643023</v>
          </cell>
          <cell r="BP1341">
            <v>0.72456845852157847</v>
          </cell>
          <cell r="BQ1341">
            <v>0.71819846287959233</v>
          </cell>
          <cell r="BR1341">
            <v>0.70564135174959608</v>
          </cell>
          <cell r="BS1341">
            <v>0.68570719603174335</v>
          </cell>
          <cell r="BT1341">
            <v>0.57114044542424813</v>
          </cell>
          <cell r="BU1341">
            <v>0.6708908733491713</v>
          </cell>
          <cell r="BV1341">
            <v>0.63509779350232609</v>
          </cell>
          <cell r="BY1341" t="str">
            <v>2000/0.6/4750</v>
          </cell>
          <cell r="BZ1341">
            <v>2.105169289852804E-2</v>
          </cell>
          <cell r="CA1341">
            <v>1.9978902666765719E-2</v>
          </cell>
        </row>
        <row r="1342">
          <cell r="BN1342" t="str">
            <v>2600/0.8/3750</v>
          </cell>
          <cell r="BO1342">
            <v>0.69605707427961683</v>
          </cell>
          <cell r="BP1342">
            <v>0.72077402684420133</v>
          </cell>
          <cell r="BQ1342">
            <v>0.71184115411873128</v>
          </cell>
          <cell r="BR1342">
            <v>0.69667497437974601</v>
          </cell>
          <cell r="BS1342">
            <v>0.67566898105312145</v>
          </cell>
          <cell r="BT1342">
            <v>0.56107356205677583</v>
          </cell>
          <cell r="BU1342">
            <v>0.66022404266923806</v>
          </cell>
          <cell r="BV1342">
            <v>0.62330143923961401</v>
          </cell>
          <cell r="BY1342" t="str">
            <v>2000/0.6/5000</v>
          </cell>
          <cell r="BZ1342">
            <v>2.0909379465951838E-2</v>
          </cell>
          <cell r="CA1342">
            <v>1.9815324707422421E-2</v>
          </cell>
        </row>
        <row r="1343">
          <cell r="BN1343" t="str">
            <v>2600/0.8/4000</v>
          </cell>
          <cell r="BO1343">
            <v>0.68718363830280316</v>
          </cell>
          <cell r="BP1343">
            <v>0.71397959516682452</v>
          </cell>
          <cell r="BQ1343">
            <v>0.70308384535786983</v>
          </cell>
          <cell r="BR1343">
            <v>0.68770859700989584</v>
          </cell>
          <cell r="BS1343">
            <v>0.66563076607449956</v>
          </cell>
          <cell r="BT1343">
            <v>0.55100667868930331</v>
          </cell>
          <cell r="BU1343">
            <v>0.64955721198930461</v>
          </cell>
          <cell r="BV1343">
            <v>0.61150508497690192</v>
          </cell>
          <cell r="BY1343" t="str">
            <v>2000/0.6/5250</v>
          </cell>
          <cell r="BZ1343">
            <v>2.0780865364958823E-2</v>
          </cell>
          <cell r="CA1343">
            <v>1.9681268934967355E-2</v>
          </cell>
        </row>
        <row r="1344">
          <cell r="BN1344" t="str">
            <v>2600/0.8/4250</v>
          </cell>
          <cell r="BO1344">
            <v>0.68042761249487338</v>
          </cell>
          <cell r="BP1344">
            <v>0.70996580899850392</v>
          </cell>
          <cell r="BQ1344">
            <v>0.69642555069382972</v>
          </cell>
          <cell r="BR1344">
            <v>0.68063802183949307</v>
          </cell>
          <cell r="BS1344">
            <v>0.65823623369813633</v>
          </cell>
          <cell r="BT1344">
            <v>0.54374145061688584</v>
          </cell>
          <cell r="BU1344">
            <v>0.64124264808453435</v>
          </cell>
          <cell r="BV1344">
            <v>0.60454237009691969</v>
          </cell>
          <cell r="BY1344" t="str">
            <v>2000/0.6/5500</v>
          </cell>
          <cell r="BZ1344">
            <v>2.0652351263965807E-2</v>
          </cell>
          <cell r="CA1344">
            <v>1.9547213162512289E-2</v>
          </cell>
        </row>
        <row r="1345">
          <cell r="BN1345" t="str">
            <v>2600/0.8/4500</v>
          </cell>
          <cell r="BO1345">
            <v>0.67367158668694338</v>
          </cell>
          <cell r="BP1345">
            <v>0.70595202283018343</v>
          </cell>
          <cell r="BQ1345">
            <v>0.68976725602978961</v>
          </cell>
          <cell r="BR1345">
            <v>0.6735674466690903</v>
          </cell>
          <cell r="BS1345">
            <v>0.6508417013217731</v>
          </cell>
          <cell r="BT1345">
            <v>0.53647622254446825</v>
          </cell>
          <cell r="BU1345">
            <v>0.63292808417976387</v>
          </cell>
          <cell r="BV1345">
            <v>0.59757965521693757</v>
          </cell>
          <cell r="BY1345" t="str">
            <v>2000/0.6/5750</v>
          </cell>
          <cell r="BZ1345">
            <v>2.0530065458605029E-2</v>
          </cell>
          <cell r="CA1345">
            <v>1.9414181812836717E-2</v>
          </cell>
        </row>
        <row r="1346">
          <cell r="BN1346" t="str">
            <v>2600/0.8/4750</v>
          </cell>
          <cell r="BO1346">
            <v>0.66834623419300732</v>
          </cell>
          <cell r="BP1346">
            <v>0.70285463646615376</v>
          </cell>
          <cell r="BQ1346">
            <v>0.68447430644207585</v>
          </cell>
          <cell r="BR1346">
            <v>0.66810886508355394</v>
          </cell>
          <cell r="BS1346">
            <v>0.6451309363346126</v>
          </cell>
          <cell r="BT1346">
            <v>0.53085992707396545</v>
          </cell>
          <cell r="BU1346">
            <v>0.62699296891403944</v>
          </cell>
          <cell r="BV1346">
            <v>0.59337751957395635</v>
          </cell>
          <cell r="BY1346" t="str">
            <v>2000/0.6/6000</v>
          </cell>
          <cell r="BZ1346">
            <v>2.0407779653244251E-2</v>
          </cell>
          <cell r="CA1346">
            <v>1.9281150463161145E-2</v>
          </cell>
        </row>
        <row r="1347">
          <cell r="BN1347" t="str">
            <v>2600/0.8/5000</v>
          </cell>
          <cell r="BO1347">
            <v>0.66302088169907125</v>
          </cell>
          <cell r="BP1347">
            <v>0.69975725010212408</v>
          </cell>
          <cell r="BQ1347">
            <v>0.67918135685436209</v>
          </cell>
          <cell r="BR1347">
            <v>0.6626502834980178</v>
          </cell>
          <cell r="BS1347">
            <v>0.6394201713474521</v>
          </cell>
          <cell r="BT1347">
            <v>0.52524363160346266</v>
          </cell>
          <cell r="BU1347">
            <v>0.62105785364831467</v>
          </cell>
          <cell r="BV1347">
            <v>0.58917538393097491</v>
          </cell>
          <cell r="BY1347" t="str">
            <v>2000/0.6/6250</v>
          </cell>
          <cell r="BZ1347">
            <v>2.0284790230540972E-2</v>
          </cell>
          <cell r="CA1347">
            <v>1.9168754198213955E-2</v>
          </cell>
        </row>
        <row r="1348">
          <cell r="BN1348" t="str">
            <v>2600/0.8/5250</v>
          </cell>
          <cell r="BO1348">
            <v>0.65862052875901811</v>
          </cell>
          <cell r="BP1348">
            <v>0.69734366302223105</v>
          </cell>
          <cell r="BQ1348">
            <v>0.6748400913563406</v>
          </cell>
          <cell r="BR1348">
            <v>0.65791854685865592</v>
          </cell>
          <cell r="BS1348">
            <v>0.6348599449848521</v>
          </cell>
          <cell r="BT1348">
            <v>0.52058709293002758</v>
          </cell>
          <cell r="BU1348">
            <v>0.61615803146846926</v>
          </cell>
          <cell r="BV1348">
            <v>0.58658013874884363</v>
          </cell>
          <cell r="BY1348" t="str">
            <v>2000/0.6/6350</v>
          </cell>
          <cell r="BZ1348">
            <v>2.0235463119555597E-2</v>
          </cell>
          <cell r="CA1348">
            <v>1.9128059577370182E-2</v>
          </cell>
        </row>
        <row r="1349">
          <cell r="BN1349" t="str">
            <v>2600/0.8/5500</v>
          </cell>
          <cell r="BO1349">
            <v>0.65422017581896486</v>
          </cell>
          <cell r="BP1349">
            <v>0.69493007594233802</v>
          </cell>
          <cell r="BQ1349">
            <v>0.67049882585831921</v>
          </cell>
          <cell r="BR1349">
            <v>0.65318681021929414</v>
          </cell>
          <cell r="BS1349">
            <v>0.63029971862225187</v>
          </cell>
          <cell r="BT1349">
            <v>0.5159305542565924</v>
          </cell>
          <cell r="BU1349">
            <v>0.61125820928862384</v>
          </cell>
          <cell r="BV1349">
            <v>0.58398489356671235</v>
          </cell>
          <cell r="BY1349" t="str">
            <v>2000/0.6/6600</v>
          </cell>
          <cell r="BZ1349">
            <v>2.0111826176114622E-2</v>
          </cell>
          <cell r="CA1349">
            <v>1.9028246569289475E-2</v>
          </cell>
        </row>
        <row r="1350">
          <cell r="BN1350" t="str">
            <v>2600/0.8/5750</v>
          </cell>
          <cell r="BO1350">
            <v>0.6506594187040341</v>
          </cell>
          <cell r="BP1350">
            <v>0.69308738366993838</v>
          </cell>
          <cell r="BQ1350">
            <v>0.66695932733607977</v>
          </cell>
          <cell r="BR1350">
            <v>0.64948711216094257</v>
          </cell>
          <cell r="BS1350">
            <v>0.62648859495865694</v>
          </cell>
          <cell r="BT1350">
            <v>0.51248413847914021</v>
          </cell>
          <cell r="BU1350">
            <v>0.60790522475046249</v>
          </cell>
          <cell r="BV1350">
            <v>0.5818170182544109</v>
          </cell>
          <cell r="BY1350" t="str">
            <v>2000/0.6/6850</v>
          </cell>
          <cell r="BZ1350">
            <v>2.002913244146054E-2</v>
          </cell>
          <cell r="CA1350">
            <v>1.893745582690709E-2</v>
          </cell>
        </row>
        <row r="1351">
          <cell r="BN1351" t="str">
            <v>2600/0.8/6000</v>
          </cell>
          <cell r="BO1351">
            <v>0.64709866158910323</v>
          </cell>
          <cell r="BP1351">
            <v>0.69124469139753852</v>
          </cell>
          <cell r="BQ1351">
            <v>0.66341982881384021</v>
          </cell>
          <cell r="BR1351">
            <v>0.645787414102591</v>
          </cell>
          <cell r="BS1351">
            <v>0.6226774712950619</v>
          </cell>
          <cell r="BT1351">
            <v>0.5090377227016879</v>
          </cell>
          <cell r="BU1351">
            <v>0.60455224021230114</v>
          </cell>
          <cell r="BV1351">
            <v>0.57964914294210945</v>
          </cell>
          <cell r="BY1351" t="str">
            <v>2000/0.6/7500</v>
          </cell>
          <cell r="BZ1351">
            <v>1.9818839660945331E-2</v>
          </cell>
          <cell r="CA1351">
            <v>1.8703609560581036E-2</v>
          </cell>
        </row>
        <row r="1352">
          <cell r="BN1352" t="str">
            <v>2600/0.8/6250</v>
          </cell>
          <cell r="BO1352">
            <v>0.6436718995117825</v>
          </cell>
          <cell r="BP1352">
            <v>0.68952086007581614</v>
          </cell>
          <cell r="BQ1352">
            <v>0.66004376165758305</v>
          </cell>
          <cell r="BR1352">
            <v>0.64236057798505275</v>
          </cell>
          <cell r="BS1352">
            <v>0.61914998138126087</v>
          </cell>
          <cell r="BT1352">
            <v>0.50620547159373452</v>
          </cell>
          <cell r="BU1352">
            <v>0.60136960494284097</v>
          </cell>
          <cell r="BV1352">
            <v>0.57766844961531194</v>
          </cell>
          <cell r="BY1352" t="str">
            <v>2000/0.6/8000</v>
          </cell>
          <cell r="BZ1352">
            <v>1.9656699708876069E-2</v>
          </cell>
          <cell r="CA1352">
            <v>1.855173023342549E-2</v>
          </cell>
        </row>
        <row r="1353">
          <cell r="BN1353" t="str">
            <v>2600/0.8/6350</v>
          </cell>
          <cell r="BO1353">
            <v>0.64246682059496552</v>
          </cell>
          <cell r="BP1353">
            <v>0.68883138852722747</v>
          </cell>
          <cell r="BQ1353">
            <v>0.65887278812918892</v>
          </cell>
          <cell r="BR1353">
            <v>0.64099116164359937</v>
          </cell>
          <cell r="BS1353">
            <v>0.61772955189480938</v>
          </cell>
          <cell r="BT1353">
            <v>0.50507289536407751</v>
          </cell>
          <cell r="BU1353">
            <v>0.60009616001336319</v>
          </cell>
          <cell r="BV1353">
            <v>0.57691967335487193</v>
          </cell>
          <cell r="BY1353" t="str">
            <v>2000/0.6/9000</v>
          </cell>
          <cell r="BZ1353">
            <v>1.9338840318830375E-2</v>
          </cell>
          <cell r="CA1353">
            <v>1.825792704251028E-2</v>
          </cell>
        </row>
        <row r="1354">
          <cell r="BN1354" t="str">
            <v>2600/0.8/6600</v>
          </cell>
          <cell r="BO1354">
            <v>0.63967153762124873</v>
          </cell>
          <cell r="BP1354">
            <v>0.68739354226065585</v>
          </cell>
          <cell r="BQ1354">
            <v>0.65607328906803142</v>
          </cell>
          <cell r="BR1354">
            <v>0.63779542551633761</v>
          </cell>
          <cell r="BS1354">
            <v>0.61453670005389371</v>
          </cell>
          <cell r="BT1354">
            <v>0.50233915141590113</v>
          </cell>
          <cell r="BU1354">
            <v>0.59731821840129107</v>
          </cell>
          <cell r="BV1354">
            <v>0.57510736081386815</v>
          </cell>
          <cell r="BY1354" t="str">
            <v>2000/0.6/10000</v>
          </cell>
          <cell r="BZ1354">
            <v>1.9108282027873624E-2</v>
          </cell>
          <cell r="CA1354">
            <v>1.8013862492994193E-2</v>
          </cell>
        </row>
        <row r="1355">
          <cell r="BN1355" t="str">
            <v>2600/0.8/6850</v>
          </cell>
          <cell r="BO1355">
            <v>0.6372283311597482</v>
          </cell>
          <cell r="BP1355">
            <v>0.68622351852560382</v>
          </cell>
          <cell r="BQ1355">
            <v>0.65366765185209108</v>
          </cell>
          <cell r="BR1355">
            <v>0.63518899858389122</v>
          </cell>
          <cell r="BS1355">
            <v>0.61185745411728054</v>
          </cell>
          <cell r="BT1355">
            <v>0.50018758206344316</v>
          </cell>
          <cell r="BU1355">
            <v>0.59476319628327601</v>
          </cell>
          <cell r="BV1355">
            <v>0.57354027119804241</v>
          </cell>
          <cell r="BY1355" t="str">
            <v>2000/0.6/99999</v>
          </cell>
          <cell r="BZ1355">
            <v>1.5437495821488456E-2</v>
          </cell>
          <cell r="CA1355">
            <v>1.4880513408473961E-2</v>
          </cell>
        </row>
        <row r="1356">
          <cell r="BN1356" t="str">
            <v>2600/0.8/7500</v>
          </cell>
          <cell r="BO1356">
            <v>0.63161457101309149</v>
          </cell>
          <cell r="BP1356">
            <v>0.68368374174109692</v>
          </cell>
          <cell r="BQ1356">
            <v>0.64812589784443708</v>
          </cell>
          <cell r="BR1356">
            <v>0.62917785704534424</v>
          </cell>
          <cell r="BS1356">
            <v>0.60577368434089596</v>
          </cell>
          <cell r="BT1356">
            <v>0.49534038628851645</v>
          </cell>
          <cell r="BU1356">
            <v>0.58982973343214429</v>
          </cell>
          <cell r="BV1356">
            <v>0.56996177715119201</v>
          </cell>
          <cell r="BY1356" t="str">
            <v>2250/0.6/2500</v>
          </cell>
          <cell r="BZ1356">
            <v>2.2740269968987037E-2</v>
          </cell>
          <cell r="CA1356">
            <v>2.1989156209778926E-2</v>
          </cell>
        </row>
        <row r="1357">
          <cell r="BN1357" t="str">
            <v>2600/0.8/10000</v>
          </cell>
          <cell r="BO1357">
            <v>0.61613966154801658</v>
          </cell>
          <cell r="BP1357">
            <v>0.67710597489455226</v>
          </cell>
          <cell r="BQ1357">
            <v>0.63283065044318143</v>
          </cell>
          <cell r="BR1357">
            <v>0.61233047646739958</v>
          </cell>
          <cell r="BS1357">
            <v>0.58829162201953933</v>
          </cell>
          <cell r="BT1357">
            <v>0.48671503753664425</v>
          </cell>
          <cell r="BU1357">
            <v>0.57993557918152705</v>
          </cell>
          <cell r="BV1357">
            <v>0.55988453393932414</v>
          </cell>
          <cell r="BY1357" t="str">
            <v>2250/0.6/2750</v>
          </cell>
          <cell r="BZ1357">
            <v>2.2498847731429628E-2</v>
          </cell>
          <cell r="CA1357">
            <v>2.1632349680493768E-2</v>
          </cell>
        </row>
        <row r="1358">
          <cell r="BN1358" t="str">
            <v>2600/0.8/99999</v>
          </cell>
          <cell r="BO1358">
            <v>0.55499967374287618</v>
          </cell>
          <cell r="BP1358">
            <v>0.65674770674855731</v>
          </cell>
          <cell r="BQ1358">
            <v>0.57260080438858185</v>
          </cell>
          <cell r="BR1358">
            <v>0.54532785277180962</v>
          </cell>
          <cell r="BS1358">
            <v>0.53442832012530328</v>
          </cell>
          <cell r="BT1358">
            <v>0.45417898133699175</v>
          </cell>
          <cell r="BU1358">
            <v>0.54434513849753607</v>
          </cell>
          <cell r="BV1358">
            <v>0.53179162012446812</v>
          </cell>
          <cell r="BY1358" t="str">
            <v>2250/0.6/3000</v>
          </cell>
          <cell r="BZ1358">
            <v>2.2242759299928139E-2</v>
          </cell>
          <cell r="CA1358">
            <v>2.1319227212572622E-2</v>
          </cell>
        </row>
        <row r="1359">
          <cell r="BY1359" t="str">
            <v>2250/0.6/3250</v>
          </cell>
          <cell r="BZ1359">
            <v>2.2020530882074396E-2</v>
          </cell>
          <cell r="CA1359">
            <v>2.1053927434899478E-2</v>
          </cell>
        </row>
        <row r="1360">
          <cell r="BN1360" t="str">
            <v>2750/0.8/3500</v>
          </cell>
          <cell r="BO1360">
            <v>0.70434021012291403</v>
          </cell>
          <cell r="BP1360">
            <v>0.72373529808183001</v>
          </cell>
          <cell r="BQ1360">
            <v>0.71726834359180403</v>
          </cell>
          <cell r="BR1360">
            <v>0.70609660426995524</v>
          </cell>
          <cell r="BS1360">
            <v>0.68613929816681896</v>
          </cell>
          <cell r="BT1360">
            <v>0.56997657572488236</v>
          </cell>
          <cell r="BU1360">
            <v>0.6682073455668831</v>
          </cell>
          <cell r="BV1360">
            <v>0.63210428963636223</v>
          </cell>
          <cell r="BY1360" t="str">
            <v>2250/0.6/3500</v>
          </cell>
          <cell r="BZ1360">
            <v>2.1798302464220654E-2</v>
          </cell>
          <cell r="CA1360">
            <v>2.0788627657226333E-2</v>
          </cell>
        </row>
        <row r="1361">
          <cell r="BN1361" t="str">
            <v>2750/0.8/3750</v>
          </cell>
          <cell r="BO1361">
            <v>0.69608001622556237</v>
          </cell>
          <cell r="BP1361">
            <v>0.7212624121252621</v>
          </cell>
          <cell r="BQ1361">
            <v>0.71216313198065917</v>
          </cell>
          <cell r="BR1361">
            <v>0.69675421468559584</v>
          </cell>
          <cell r="BS1361">
            <v>0.67556336401388817</v>
          </cell>
          <cell r="BT1361">
            <v>0.55933787608396113</v>
          </cell>
          <cell r="BU1361">
            <v>0.65704213338501249</v>
          </cell>
          <cell r="BV1361">
            <v>0.619677243270918</v>
          </cell>
          <cell r="BY1361" t="str">
            <v>2250/0.6/3750</v>
          </cell>
          <cell r="BZ1361">
            <v>2.160967079685977E-2</v>
          </cell>
          <cell r="CA1361">
            <v>2.0563953138122537E-2</v>
          </cell>
        </row>
        <row r="1362">
          <cell r="BN1362" t="str">
            <v>2750/0.8/4000</v>
          </cell>
          <cell r="BO1362">
            <v>0.68681982232821026</v>
          </cell>
          <cell r="BP1362">
            <v>0.71378952616869473</v>
          </cell>
          <cell r="BQ1362">
            <v>0.70305792036951376</v>
          </cell>
          <cell r="BR1362">
            <v>0.68741182510123644</v>
          </cell>
          <cell r="BS1362">
            <v>0.66498742986095738</v>
          </cell>
          <cell r="BT1362">
            <v>0.54869917644303978</v>
          </cell>
          <cell r="BU1362">
            <v>0.64587692120314177</v>
          </cell>
          <cell r="BV1362">
            <v>0.60725019690547377</v>
          </cell>
          <cell r="BY1362" t="str">
            <v>2250/0.6/4000</v>
          </cell>
          <cell r="BZ1362">
            <v>2.1421039129498887E-2</v>
          </cell>
          <cell r="CA1362">
            <v>2.0339278619018741E-2</v>
          </cell>
        </row>
        <row r="1363">
          <cell r="BN1363" t="str">
            <v>2750/0.8/4250</v>
          </cell>
          <cell r="BO1363">
            <v>0.67968856476399242</v>
          </cell>
          <cell r="BP1363">
            <v>0.70938385826577111</v>
          </cell>
          <cell r="BQ1363">
            <v>0.69600386606537368</v>
          </cell>
          <cell r="BR1363">
            <v>0.68003463360960814</v>
          </cell>
          <cell r="BS1363">
            <v>0.65722424577646421</v>
          </cell>
          <cell r="BT1363">
            <v>0.54098840401104564</v>
          </cell>
          <cell r="BU1363">
            <v>0.63725201942308851</v>
          </cell>
          <cell r="BV1363">
            <v>0.60078693081795387</v>
          </cell>
          <cell r="BY1363" t="str">
            <v>2250/0.6/4250</v>
          </cell>
          <cell r="BZ1363">
            <v>2.1255903341025117E-2</v>
          </cell>
          <cell r="CA1363">
            <v>2.0145175520044467E-2</v>
          </cell>
        </row>
        <row r="1364">
          <cell r="BN1364" t="str">
            <v>2750/0.8/4500</v>
          </cell>
          <cell r="BO1364">
            <v>0.67255730719977436</v>
          </cell>
          <cell r="BP1364">
            <v>0.70497819036284759</v>
          </cell>
          <cell r="BQ1364">
            <v>0.6889498117612336</v>
          </cell>
          <cell r="BR1364">
            <v>0.67265744211797973</v>
          </cell>
          <cell r="BS1364">
            <v>0.64946106169197115</v>
          </cell>
          <cell r="BT1364">
            <v>0.5332776315790515</v>
          </cell>
          <cell r="BU1364">
            <v>0.62862711764303514</v>
          </cell>
          <cell r="BV1364">
            <v>0.59432366473043396</v>
          </cell>
          <cell r="BY1364" t="str">
            <v>2250/0.6/4500</v>
          </cell>
          <cell r="BZ1364">
            <v>2.1090767552551348E-2</v>
          </cell>
          <cell r="CA1364">
            <v>1.9951072421070193E-2</v>
          </cell>
        </row>
        <row r="1365">
          <cell r="BN1365" t="str">
            <v>2750/0.8/4750</v>
          </cell>
          <cell r="BO1365">
            <v>0.66710149898858773</v>
          </cell>
          <cell r="BP1365">
            <v>0.70182946516887645</v>
          </cell>
          <cell r="BQ1365">
            <v>0.68355242338372124</v>
          </cell>
          <cell r="BR1365">
            <v>0.66699339229376087</v>
          </cell>
          <cell r="BS1365">
            <v>0.64355734748627003</v>
          </cell>
          <cell r="BT1365">
            <v>0.52741558241817399</v>
          </cell>
          <cell r="BU1365">
            <v>0.6223140396244311</v>
          </cell>
          <cell r="BV1365">
            <v>0.5902675388257228</v>
          </cell>
          <cell r="BY1365" t="str">
            <v>2250/0.6/4750</v>
          </cell>
          <cell r="BZ1365">
            <v>2.0943812307168297E-2</v>
          </cell>
          <cell r="CA1365">
            <v>1.9777125239920645E-2</v>
          </cell>
        </row>
        <row r="1366">
          <cell r="BN1366" t="str">
            <v>2750/0.8/5000</v>
          </cell>
          <cell r="BO1366">
            <v>0.6616456907774011</v>
          </cell>
          <cell r="BP1366">
            <v>0.69868073997490532</v>
          </cell>
          <cell r="BQ1366">
            <v>0.67815503500620888</v>
          </cell>
          <cell r="BR1366">
            <v>0.661329342469542</v>
          </cell>
          <cell r="BS1366">
            <v>0.6376536332805689</v>
          </cell>
          <cell r="BT1366">
            <v>0.52155353325729648</v>
          </cell>
          <cell r="BU1366">
            <v>0.61600096160582685</v>
          </cell>
          <cell r="BV1366">
            <v>0.58621141292101142</v>
          </cell>
          <cell r="BY1366" t="str">
            <v>2250/0.6/5000</v>
          </cell>
          <cell r="BZ1366">
            <v>2.0796857061785246E-2</v>
          </cell>
          <cell r="CA1366">
            <v>1.9603178058771098E-2</v>
          </cell>
        </row>
        <row r="1367">
          <cell r="BN1367" t="str">
            <v>2750/0.8/5250</v>
          </cell>
          <cell r="BO1367">
            <v>0.65704590503061278</v>
          </cell>
          <cell r="BP1367">
            <v>0.69612199904360694</v>
          </cell>
          <cell r="BQ1367">
            <v>0.6735952359402686</v>
          </cell>
          <cell r="BR1367">
            <v>0.65648653192649931</v>
          </cell>
          <cell r="BS1367">
            <v>0.63289536393039425</v>
          </cell>
          <cell r="BT1367">
            <v>0.51683032160860409</v>
          </cell>
          <cell r="BU1367">
            <v>0.61121527118789309</v>
          </cell>
          <cell r="BV1367">
            <v>0.58353365721639605</v>
          </cell>
          <cell r="BY1367" t="str">
            <v>2250/0.6/5250</v>
          </cell>
          <cell r="BZ1367">
            <v>2.0664219734495948E-2</v>
          </cell>
          <cell r="CA1367">
            <v>1.9463828990398613E-2</v>
          </cell>
        </row>
        <row r="1368">
          <cell r="BN1368" t="str">
            <v>2750/0.8/5500</v>
          </cell>
          <cell r="BO1368">
            <v>0.65244611928382445</v>
          </cell>
          <cell r="BP1368">
            <v>0.69356325811230857</v>
          </cell>
          <cell r="BQ1368">
            <v>0.66903543687432832</v>
          </cell>
          <cell r="BR1368">
            <v>0.65164372138345672</v>
          </cell>
          <cell r="BS1368">
            <v>0.62813709458021938</v>
          </cell>
          <cell r="BT1368">
            <v>0.51210710995991171</v>
          </cell>
          <cell r="BU1368">
            <v>0.60642958076995934</v>
          </cell>
          <cell r="BV1368">
            <v>0.58085590151178068</v>
          </cell>
          <cell r="BY1368" t="str">
            <v>2250/0.6/5500</v>
          </cell>
          <cell r="BZ1368">
            <v>2.053158240720665E-2</v>
          </cell>
          <cell r="CA1368">
            <v>1.9324479922026128E-2</v>
          </cell>
        </row>
        <row r="1369">
          <cell r="BN1369" t="str">
            <v>2750/0.8/5750</v>
          </cell>
          <cell r="BO1369">
            <v>0.64880022504643131</v>
          </cell>
          <cell r="BP1369">
            <v>0.69164765016503182</v>
          </cell>
          <cell r="BQ1369">
            <v>0.66542866918798393</v>
          </cell>
          <cell r="BR1369">
            <v>0.64776834314305154</v>
          </cell>
          <cell r="BS1369">
            <v>0.62420639371307196</v>
          </cell>
          <cell r="BT1369">
            <v>0.5087496880994028</v>
          </cell>
          <cell r="BU1369">
            <v>0.6033360266614094</v>
          </cell>
          <cell r="BV1369">
            <v>0.57864001058005976</v>
          </cell>
          <cell r="BY1369" t="str">
            <v>2250/0.6/5750</v>
          </cell>
          <cell r="BZ1369">
            <v>2.0408226683606256E-2</v>
          </cell>
          <cell r="CA1369">
            <v>1.9190898437271842E-2</v>
          </cell>
        </row>
        <row r="1370">
          <cell r="BN1370" t="str">
            <v>2750/0.8/6000</v>
          </cell>
          <cell r="BO1370">
            <v>0.64515433080903795</v>
          </cell>
          <cell r="BP1370">
            <v>0.68973204221775497</v>
          </cell>
          <cell r="BQ1370">
            <v>0.66182190150163955</v>
          </cell>
          <cell r="BR1370">
            <v>0.64389296490264647</v>
          </cell>
          <cell r="BS1370">
            <v>0.62027569284592443</v>
          </cell>
          <cell r="BT1370">
            <v>0.50539226623889388</v>
          </cell>
          <cell r="BU1370">
            <v>0.60024247255285945</v>
          </cell>
          <cell r="BV1370">
            <v>0.57642411964833873</v>
          </cell>
          <cell r="BY1370" t="str">
            <v>2250/0.6/6000</v>
          </cell>
          <cell r="BZ1370">
            <v>2.0284870960005863E-2</v>
          </cell>
          <cell r="CA1370">
            <v>1.9057316952517556E-2</v>
          </cell>
        </row>
        <row r="1371">
          <cell r="BN1371" t="str">
            <v>2750/0.8/6250</v>
          </cell>
          <cell r="BO1371">
            <v>0.64172725247807461</v>
          </cell>
          <cell r="BP1371">
            <v>0.68800898283337397</v>
          </cell>
          <cell r="BQ1371">
            <v>0.65842974722678171</v>
          </cell>
          <cell r="BR1371">
            <v>0.64046377811067301</v>
          </cell>
          <cell r="BS1371">
            <v>0.61676262815496163</v>
          </cell>
          <cell r="BT1371">
            <v>0.50288304439068754</v>
          </cell>
          <cell r="BU1371">
            <v>0.59742245076537515</v>
          </cell>
          <cell r="BV1371">
            <v>0.57440251417429677</v>
          </cell>
          <cell r="BY1371" t="str">
            <v>2250/0.6/6250</v>
          </cell>
          <cell r="BZ1371">
            <v>2.016216914713842E-2</v>
          </cell>
          <cell r="CA1371">
            <v>1.8934436469361549E-2</v>
          </cell>
        </row>
        <row r="1372">
          <cell r="BN1372" t="str">
            <v>2750/0.8/6350</v>
          </cell>
          <cell r="BO1372">
            <v>0.64047566986370774</v>
          </cell>
          <cell r="BP1372">
            <v>0.68731981947977139</v>
          </cell>
          <cell r="BQ1372">
            <v>0.65720162069846833</v>
          </cell>
          <cell r="BR1372">
            <v>0.63909442151437812</v>
          </cell>
          <cell r="BS1372">
            <v>0.61534685694040925</v>
          </cell>
          <cell r="BT1372">
            <v>0.50188005421549942</v>
          </cell>
          <cell r="BU1372">
            <v>0.59629505091562873</v>
          </cell>
          <cell r="BV1372">
            <v>0.57364432311721636</v>
          </cell>
          <cell r="BY1372" t="str">
            <v>2250/0.6/6350</v>
          </cell>
          <cell r="BZ1372">
            <v>2.0112956918332703E-2</v>
          </cell>
          <cell r="CA1372">
            <v>1.8888554877672714E-2</v>
          </cell>
        </row>
        <row r="1373">
          <cell r="BN1373" t="str">
            <v>2750/0.8/6600</v>
          </cell>
          <cell r="BO1373">
            <v>0.63750184481579741</v>
          </cell>
          <cell r="BP1373">
            <v>0.68580111951637113</v>
          </cell>
          <cell r="BQ1373">
            <v>0.65422251256100561</v>
          </cell>
          <cell r="BR1373">
            <v>0.63583536520956185</v>
          </cell>
          <cell r="BS1373">
            <v>0.61205579201439253</v>
          </cell>
          <cell r="BT1373">
            <v>0.49944449678198011</v>
          </cell>
          <cell r="BU1373">
            <v>0.59376753415838679</v>
          </cell>
          <cell r="BV1373">
            <v>0.57179387236083978</v>
          </cell>
          <cell r="BY1373" t="str">
            <v>2250/0.6/6600</v>
          </cell>
          <cell r="BZ1373">
            <v>1.9989602181562649E-2</v>
          </cell>
          <cell r="CA1373">
            <v>1.878506156145765E-2</v>
          </cell>
        </row>
        <row r="1374">
          <cell r="BN1374" t="str">
            <v>2750/0.8/6850</v>
          </cell>
          <cell r="BO1374">
            <v>0.6349278154807676</v>
          </cell>
          <cell r="BP1374">
            <v>0.68448040970764801</v>
          </cell>
          <cell r="BQ1374">
            <v>0.65171020101344124</v>
          </cell>
          <cell r="BR1374">
            <v>0.63299705771245784</v>
          </cell>
          <cell r="BS1374">
            <v>0.60912365603805041</v>
          </cell>
          <cell r="BT1374">
            <v>0.49742523758377433</v>
          </cell>
          <cell r="BU1374">
            <v>0.59140239924786453</v>
          </cell>
          <cell r="BV1374">
            <v>0.57014860679091162</v>
          </cell>
          <cell r="BY1374" t="str">
            <v>2250/0.6/6850</v>
          </cell>
          <cell r="BZ1374">
            <v>1.9886483932376242E-2</v>
          </cell>
          <cell r="CA1374">
            <v>1.8688691496401622E-2</v>
          </cell>
        </row>
        <row r="1375">
          <cell r="BN1375" t="str">
            <v>2750/0.8/7500</v>
          </cell>
          <cell r="BO1375">
            <v>0.62917123821770804</v>
          </cell>
          <cell r="BP1375">
            <v>0.68188563887022813</v>
          </cell>
          <cell r="BQ1375">
            <v>0.64600455464564166</v>
          </cell>
          <cell r="BR1375">
            <v>0.62687182873902125</v>
          </cell>
          <cell r="BS1375">
            <v>0.60295743805205493</v>
          </cell>
          <cell r="BT1375">
            <v>0.49300215655497648</v>
          </cell>
          <cell r="BU1375">
            <v>0.58680620799156125</v>
          </cell>
          <cell r="BV1375">
            <v>0.56650057514137253</v>
          </cell>
          <cell r="BY1375" t="str">
            <v>2250/0.6/7500</v>
          </cell>
          <cell r="BZ1375">
            <v>1.9670665290862588E-2</v>
          </cell>
          <cell r="CA1375">
            <v>1.8453262095033285E-2</v>
          </cell>
        </row>
        <row r="1376">
          <cell r="BN1376" t="str">
            <v>2750/0.8/10000</v>
          </cell>
          <cell r="BO1376">
            <v>0.61346686753280011</v>
          </cell>
          <cell r="BP1376">
            <v>0.67517737019908508</v>
          </cell>
          <cell r="BQ1376">
            <v>0.6304992238445406</v>
          </cell>
          <cell r="BR1376">
            <v>0.60970433051800654</v>
          </cell>
          <cell r="BS1376">
            <v>0.58510263236747018</v>
          </cell>
          <cell r="BT1376">
            <v>0.48421537220422722</v>
          </cell>
          <cell r="BU1376">
            <v>0.57672414906836234</v>
          </cell>
          <cell r="BV1376">
            <v>0.55622986739723301</v>
          </cell>
          <cell r="BY1376" t="str">
            <v>2250/0.6/8000</v>
          </cell>
          <cell r="BZ1376">
            <v>1.9508624337205127E-2</v>
          </cell>
          <cell r="CA1376">
            <v>1.8294225795155272E-2</v>
          </cell>
        </row>
        <row r="1377">
          <cell r="BN1377" t="str">
            <v>2750/0.8/99999</v>
          </cell>
          <cell r="BO1377">
            <v>0.55192482444452295</v>
          </cell>
          <cell r="BP1377">
            <v>0.65462763549485392</v>
          </cell>
          <cell r="BQ1377">
            <v>0.5698641361633483</v>
          </cell>
          <cell r="BR1377">
            <v>0.54227450911948394</v>
          </cell>
          <cell r="BS1377">
            <v>0.53084292101031683</v>
          </cell>
          <cell r="BT1377">
            <v>0.45147663227955825</v>
          </cell>
          <cell r="BU1377">
            <v>0.54088688404451402</v>
          </cell>
          <cell r="BV1377">
            <v>0.52792901252290192</v>
          </cell>
          <cell r="BY1377" t="str">
            <v>2250/0.6/9000</v>
          </cell>
          <cell r="BZ1377">
            <v>1.9187325353415052E-2</v>
          </cell>
          <cell r="CA1377">
            <v>1.7994142560367132E-2</v>
          </cell>
        </row>
        <row r="1378">
          <cell r="BY1378" t="str">
            <v>2250/0.6/10000</v>
          </cell>
          <cell r="BZ1378">
            <v>1.8945858769622514E-2</v>
          </cell>
          <cell r="CA1378">
            <v>1.7748041280436166E-2</v>
          </cell>
        </row>
        <row r="1379">
          <cell r="BN1379" t="str">
            <v>3000/0.8/3500</v>
          </cell>
          <cell r="BO1379">
            <v>0.70336445978912399</v>
          </cell>
          <cell r="BP1379">
            <v>0.72165239698245798</v>
          </cell>
          <cell r="BQ1379">
            <v>0.715943045372334</v>
          </cell>
          <cell r="BR1379">
            <v>0.70323473557085303</v>
          </cell>
          <cell r="BS1379">
            <v>0.68221955350450803</v>
          </cell>
          <cell r="BT1379">
            <v>0.56706690147646788</v>
          </cell>
          <cell r="BU1379">
            <v>0.66149852611116278</v>
          </cell>
          <cell r="BV1379">
            <v>0.62462052997145256</v>
          </cell>
          <cell r="BY1379" t="str">
            <v>2250/0.6/99999</v>
          </cell>
          <cell r="BZ1379">
            <v>1.5239984919024785E-2</v>
          </cell>
          <cell r="CA1379">
            <v>1.4586871971097537E-2</v>
          </cell>
        </row>
        <row r="1380">
          <cell r="BN1380" t="str">
            <v>3000/0.8/3750</v>
          </cell>
          <cell r="BO1380">
            <v>0.69613737109042617</v>
          </cell>
          <cell r="BP1380">
            <v>0.72248337532791407</v>
          </cell>
          <cell r="BQ1380">
            <v>0.7129680766354789</v>
          </cell>
          <cell r="BR1380">
            <v>0.69695231545022052</v>
          </cell>
          <cell r="BS1380">
            <v>0.67529932141580495</v>
          </cell>
          <cell r="BT1380">
            <v>0.55499866115192442</v>
          </cell>
          <cell r="BU1380">
            <v>0.64908736017444868</v>
          </cell>
          <cell r="BV1380">
            <v>0.61061675334917798</v>
          </cell>
          <cell r="BY1380" t="str">
            <v>2500/0.6/2500</v>
          </cell>
          <cell r="BZ1380">
            <v>2.2679152032664573E-2</v>
          </cell>
          <cell r="CA1380">
            <v>2.1931405624654676E-2</v>
          </cell>
        </row>
        <row r="1381">
          <cell r="BN1381" t="str">
            <v>3000/0.8/4000</v>
          </cell>
          <cell r="BO1381">
            <v>0.68591028239172802</v>
          </cell>
          <cell r="BP1381">
            <v>0.71331435367337037</v>
          </cell>
          <cell r="BQ1381">
            <v>0.70299310789862368</v>
          </cell>
          <cell r="BR1381">
            <v>0.686669895329588</v>
          </cell>
          <cell r="BS1381">
            <v>0.66337908932710188</v>
          </cell>
          <cell r="BT1381">
            <v>0.54293042082738086</v>
          </cell>
          <cell r="BU1381">
            <v>0.63667619423773458</v>
          </cell>
          <cell r="BV1381">
            <v>0.5966129767269035</v>
          </cell>
          <cell r="BY1381" t="str">
            <v>2500/0.6/2750</v>
          </cell>
          <cell r="BZ1381">
            <v>2.2461622843156226E-2</v>
          </cell>
          <cell r="CA1381">
            <v>2.1540029353515955E-2</v>
          </cell>
        </row>
        <row r="1382">
          <cell r="BN1382" t="str">
            <v>3000/0.8/4250</v>
          </cell>
          <cell r="BO1382">
            <v>0.67784094543678997</v>
          </cell>
          <cell r="BP1382">
            <v>0.70792898143393912</v>
          </cell>
          <cell r="BQ1382">
            <v>0.69494965449423352</v>
          </cell>
          <cell r="BR1382">
            <v>0.67852616303489577</v>
          </cell>
          <cell r="BS1382">
            <v>0.65469427597228402</v>
          </cell>
          <cell r="BT1382">
            <v>0.53410578749644522</v>
          </cell>
          <cell r="BU1382">
            <v>0.62727544776947397</v>
          </cell>
          <cell r="BV1382">
            <v>0.5913983326205392</v>
          </cell>
          <cell r="BY1382" t="str">
            <v>2500/0.6/3000</v>
          </cell>
          <cell r="BZ1382">
            <v>2.2192408150177867E-2</v>
          </cell>
          <cell r="CA1382">
            <v>2.1199889431058994E-2</v>
          </cell>
        </row>
        <row r="1383">
          <cell r="BN1383" t="str">
            <v>3000/0.8/4500</v>
          </cell>
          <cell r="BO1383">
            <v>0.6697716084818518</v>
          </cell>
          <cell r="BP1383">
            <v>0.70254360919450798</v>
          </cell>
          <cell r="BQ1383">
            <v>0.68690620108984346</v>
          </cell>
          <cell r="BR1383">
            <v>0.67038243074020343</v>
          </cell>
          <cell r="BS1383">
            <v>0.64600946261746628</v>
          </cell>
          <cell r="BT1383">
            <v>0.52528115416550958</v>
          </cell>
          <cell r="BU1383">
            <v>0.61787470130121336</v>
          </cell>
          <cell r="BV1383">
            <v>0.58618368851417502</v>
          </cell>
          <cell r="BY1383" t="str">
            <v>2500/0.6/3250</v>
          </cell>
          <cell r="BZ1383">
            <v>2.1957486528779491E-2</v>
          </cell>
          <cell r="CA1383">
            <v>2.0916590416380054E-2</v>
          </cell>
        </row>
        <row r="1384">
          <cell r="BN1384" t="str">
            <v>3000/0.8/4750</v>
          </cell>
          <cell r="BO1384">
            <v>0.66398966097753864</v>
          </cell>
          <cell r="BP1384">
            <v>0.69926653692568319</v>
          </cell>
          <cell r="BQ1384">
            <v>0.68124771573783471</v>
          </cell>
          <cell r="BR1384">
            <v>0.66420471031927808</v>
          </cell>
          <cell r="BS1384">
            <v>0.63962337536541369</v>
          </cell>
          <cell r="BT1384">
            <v>0.51880472077869533</v>
          </cell>
          <cell r="BU1384">
            <v>0.61061671640041038</v>
          </cell>
          <cell r="BV1384">
            <v>0.58249258695513895</v>
          </cell>
          <cell r="BY1384" t="str">
            <v>2500/0.6/3500</v>
          </cell>
          <cell r="BZ1384">
            <v>2.1722564907381114E-2</v>
          </cell>
          <cell r="CA1384">
            <v>2.0633291401701115E-2</v>
          </cell>
        </row>
        <row r="1385">
          <cell r="BN1385" t="str">
            <v>3000/0.8/5000</v>
          </cell>
          <cell r="BO1385">
            <v>0.6582077134732256</v>
          </cell>
          <cell r="BP1385">
            <v>0.69598946465685829</v>
          </cell>
          <cell r="BQ1385">
            <v>0.67558923038582597</v>
          </cell>
          <cell r="BR1385">
            <v>0.65802698989835262</v>
          </cell>
          <cell r="BS1385">
            <v>0.633237288113361</v>
          </cell>
          <cell r="BT1385">
            <v>0.51232828739188108</v>
          </cell>
          <cell r="BU1385">
            <v>0.60335873149960728</v>
          </cell>
          <cell r="BV1385">
            <v>0.57880148539610277</v>
          </cell>
          <cell r="BY1385" t="str">
            <v>2500/0.6/3750</v>
          </cell>
          <cell r="BZ1385">
            <v>2.1526868529001431E-2</v>
          </cell>
          <cell r="CA1385">
            <v>2.0399171771086189E-2</v>
          </cell>
        </row>
        <row r="1386">
          <cell r="BN1386" t="str">
            <v>3000/0.8/5250</v>
          </cell>
          <cell r="BO1386">
            <v>0.65310934570959955</v>
          </cell>
          <cell r="BP1386">
            <v>0.69306783909704661</v>
          </cell>
          <cell r="BQ1386">
            <v>0.6704830974000886</v>
          </cell>
          <cell r="BR1386">
            <v>0.65290649459610783</v>
          </cell>
          <cell r="BS1386">
            <v>0.62798391129424957</v>
          </cell>
          <cell r="BT1386">
            <v>0.50743839330504548</v>
          </cell>
          <cell r="BU1386">
            <v>0.59885837048645274</v>
          </cell>
          <cell r="BV1386">
            <v>0.57591745338527722</v>
          </cell>
          <cell r="BY1386" t="str">
            <v>2500/0.6/4000</v>
          </cell>
          <cell r="BZ1386">
            <v>2.1331172150621747E-2</v>
          </cell>
          <cell r="CA1386">
            <v>2.0165052140471262E-2</v>
          </cell>
        </row>
        <row r="1387">
          <cell r="BN1387" t="str">
            <v>3000/0.8/5500</v>
          </cell>
          <cell r="BO1387">
            <v>0.64801097794597351</v>
          </cell>
          <cell r="BP1387">
            <v>0.69014621353723493</v>
          </cell>
          <cell r="BQ1387">
            <v>0.66537696441435112</v>
          </cell>
          <cell r="BR1387">
            <v>0.64778599929386316</v>
          </cell>
          <cell r="BS1387">
            <v>0.62273053447513815</v>
          </cell>
          <cell r="BT1387">
            <v>0.50254849921820988</v>
          </cell>
          <cell r="BU1387">
            <v>0.5943580094732982</v>
          </cell>
          <cell r="BV1387">
            <v>0.57303342137445168</v>
          </cell>
          <cell r="BY1387" t="str">
            <v>2500/0.6/4250</v>
          </cell>
          <cell r="BZ1387">
            <v>2.11593504623101E-2</v>
          </cell>
          <cell r="CA1387">
            <v>1.9962358178251316E-2</v>
          </cell>
        </row>
        <row r="1388">
          <cell r="BN1388" t="str">
            <v>3000/0.8/5750</v>
          </cell>
          <cell r="BO1388">
            <v>0.64415224090242429</v>
          </cell>
          <cell r="BP1388">
            <v>0.68804831640276554</v>
          </cell>
          <cell r="BQ1388">
            <v>0.66160202381774447</v>
          </cell>
          <cell r="BR1388">
            <v>0.64347142059832407</v>
          </cell>
          <cell r="BS1388">
            <v>0.6185008905991094</v>
          </cell>
          <cell r="BT1388">
            <v>0.49941356215005939</v>
          </cell>
          <cell r="BU1388">
            <v>0.59191303143877683</v>
          </cell>
          <cell r="BV1388">
            <v>0.5706974913941818</v>
          </cell>
          <cell r="BY1388" t="str">
            <v>2500/0.6/4500</v>
          </cell>
          <cell r="BZ1388">
            <v>2.0987528773998454E-2</v>
          </cell>
          <cell r="CA1388">
            <v>1.975966421603137E-2</v>
          </cell>
        </row>
        <row r="1389">
          <cell r="BN1389" t="str">
            <v>3000/0.8/6000</v>
          </cell>
          <cell r="BO1389">
            <v>0.64029350385887496</v>
          </cell>
          <cell r="BP1389">
            <v>0.68595041926829614</v>
          </cell>
          <cell r="BQ1389">
            <v>0.65782708322113781</v>
          </cell>
          <cell r="BR1389">
            <v>0.6391568419027851</v>
          </cell>
          <cell r="BS1389">
            <v>0.61427124672308075</v>
          </cell>
          <cell r="BT1389">
            <v>0.4962786250819089</v>
          </cell>
          <cell r="BU1389">
            <v>0.58946805340425534</v>
          </cell>
          <cell r="BV1389">
            <v>0.56836156141391181</v>
          </cell>
          <cell r="BY1389" t="str">
            <v>2500/0.6/4750</v>
          </cell>
          <cell r="BZ1389">
            <v>2.0835931715808553E-2</v>
          </cell>
          <cell r="CA1389">
            <v>1.9575347813075572E-2</v>
          </cell>
        </row>
        <row r="1390">
          <cell r="BN1390" t="str">
            <v>3000/0.8/6250</v>
          </cell>
          <cell r="BO1390">
            <v>0.63686563489380488</v>
          </cell>
          <cell r="BP1390">
            <v>0.68422928972726837</v>
          </cell>
          <cell r="BQ1390">
            <v>0.65439471114977843</v>
          </cell>
          <cell r="BR1390">
            <v>0.63572177842472344</v>
          </cell>
          <cell r="BS1390">
            <v>0.61079424508921365</v>
          </cell>
          <cell r="BT1390">
            <v>0.49457697638306997</v>
          </cell>
          <cell r="BU1390">
            <v>0.58755456532171058</v>
          </cell>
          <cell r="BV1390">
            <v>0.56623767557175886</v>
          </cell>
          <cell r="BY1390" t="str">
            <v>2500/0.6/5000</v>
          </cell>
          <cell r="BZ1390">
            <v>2.0684334657618653E-2</v>
          </cell>
          <cell r="CA1390">
            <v>1.9391031410119774E-2</v>
          </cell>
        </row>
        <row r="1391">
          <cell r="BN1391" t="str">
            <v>3000/0.8/6350</v>
          </cell>
          <cell r="BO1391">
            <v>0.63549779303556331</v>
          </cell>
          <cell r="BP1391">
            <v>0.6835408968611314</v>
          </cell>
          <cell r="BQ1391">
            <v>0.6530237021216666</v>
          </cell>
          <cell r="BR1391">
            <v>0.63435257119132493</v>
          </cell>
          <cell r="BS1391">
            <v>0.6093901195544088</v>
          </cell>
          <cell r="BT1391">
            <v>0.49389795134405412</v>
          </cell>
          <cell r="BU1391">
            <v>0.58679227817129254</v>
          </cell>
          <cell r="BV1391">
            <v>0.56545594752307737</v>
          </cell>
          <cell r="BY1391" t="str">
            <v>2500/0.6/5250</v>
          </cell>
          <cell r="BZ1391">
            <v>2.0547574104033073E-2</v>
          </cell>
          <cell r="CA1391">
            <v>1.924638904582987E-2</v>
          </cell>
        </row>
        <row r="1392">
          <cell r="BN1392" t="str">
            <v>3000/0.8/6600</v>
          </cell>
          <cell r="BO1392">
            <v>0.63207761280216934</v>
          </cell>
          <cell r="BP1392">
            <v>0.68182006265565909</v>
          </cell>
          <cell r="BQ1392">
            <v>0.64959557129344114</v>
          </cell>
          <cell r="BR1392">
            <v>0.63093521444262246</v>
          </cell>
          <cell r="BS1392">
            <v>0.60585352191563957</v>
          </cell>
          <cell r="BT1392">
            <v>0.49220786019717738</v>
          </cell>
          <cell r="BU1392">
            <v>0.58489082355112632</v>
          </cell>
          <cell r="BV1392">
            <v>0.56351015122826897</v>
          </cell>
          <cell r="BY1392" t="str">
            <v>2500/0.6/5500</v>
          </cell>
          <cell r="BZ1392">
            <v>2.0410813550447493E-2</v>
          </cell>
          <cell r="CA1392">
            <v>1.9101746681539966E-2</v>
          </cell>
        </row>
        <row r="1393">
          <cell r="BN1393" t="str">
            <v>3000/0.8/6850</v>
          </cell>
          <cell r="BO1393">
            <v>0.62917652628331588</v>
          </cell>
          <cell r="BP1393">
            <v>0.68012263766275849</v>
          </cell>
          <cell r="BQ1393">
            <v>0.64681657391681668</v>
          </cell>
          <cell r="BR1393">
            <v>0.62751720553387447</v>
          </cell>
          <cell r="BS1393">
            <v>0.60228916083997519</v>
          </cell>
          <cell r="BT1393">
            <v>0.49051937638460225</v>
          </cell>
          <cell r="BU1393">
            <v>0.58300040665933595</v>
          </cell>
          <cell r="BV1393">
            <v>0.56166944577308453</v>
          </cell>
          <cell r="BY1393" t="str">
            <v>2500/0.6/5750</v>
          </cell>
          <cell r="BZ1393">
            <v>2.0286387908607484E-2</v>
          </cell>
          <cell r="CA1393">
            <v>1.8967615061706966E-2</v>
          </cell>
        </row>
        <row r="1394">
          <cell r="BN1394" t="str">
            <v>3000/0.8/7500</v>
          </cell>
          <cell r="BO1394">
            <v>0.62306290622924942</v>
          </cell>
          <cell r="BP1394">
            <v>0.67739038169305621</v>
          </cell>
          <cell r="BQ1394">
            <v>0.64070119664865299</v>
          </cell>
          <cell r="BR1394">
            <v>0.62110675797321391</v>
          </cell>
          <cell r="BS1394">
            <v>0.59591682232995224</v>
          </cell>
          <cell r="BT1394">
            <v>0.48715658222112646</v>
          </cell>
          <cell r="BU1394">
            <v>0.57924739439010364</v>
          </cell>
          <cell r="BV1394">
            <v>0.55784757011682373</v>
          </cell>
          <cell r="BY1394" t="str">
            <v>2500/0.6/6000</v>
          </cell>
          <cell r="BZ1394">
            <v>2.0161962266767475E-2</v>
          </cell>
          <cell r="CA1394">
            <v>1.8833483441873966E-2</v>
          </cell>
        </row>
        <row r="1395">
          <cell r="BN1395" t="str">
            <v>3000/0.8/10000</v>
          </cell>
          <cell r="BO1395">
            <v>0.60678488249475881</v>
          </cell>
          <cell r="BP1395">
            <v>0.67035585846041701</v>
          </cell>
          <cell r="BQ1395">
            <v>0.62467065734793847</v>
          </cell>
          <cell r="BR1395">
            <v>0.60313896564452407</v>
          </cell>
          <cell r="BS1395">
            <v>0.57713015823729708</v>
          </cell>
          <cell r="BT1395">
            <v>0.47796620887318469</v>
          </cell>
          <cell r="BU1395">
            <v>0.56869557378545066</v>
          </cell>
          <cell r="BV1395">
            <v>0.54709320104200532</v>
          </cell>
          <cell r="BY1395" t="str">
            <v>2500/0.6/6250</v>
          </cell>
          <cell r="BZ1395">
            <v>2.0039548063735868E-2</v>
          </cell>
          <cell r="CA1395">
            <v>1.8700118740509142E-2</v>
          </cell>
        </row>
        <row r="1396">
          <cell r="BN1396" t="str">
            <v>3000/0.8/99999</v>
          </cell>
          <cell r="BO1396">
            <v>0.5442377011986399</v>
          </cell>
          <cell r="BP1396">
            <v>0.64932745736059549</v>
          </cell>
          <cell r="BQ1396">
            <v>0.56302246560026448</v>
          </cell>
          <cell r="BR1396">
            <v>0.53464114998866974</v>
          </cell>
          <cell r="BS1396">
            <v>0.52187942322285064</v>
          </cell>
          <cell r="BT1396">
            <v>0.44472075963597452</v>
          </cell>
          <cell r="BU1396">
            <v>0.53224124791195893</v>
          </cell>
          <cell r="BV1396">
            <v>0.51827249351898663</v>
          </cell>
          <cell r="BY1396" t="str">
            <v>2500/0.6/6350</v>
          </cell>
          <cell r="BZ1396">
            <v>1.9990450717109809E-2</v>
          </cell>
          <cell r="CA1396">
            <v>1.8649050177975246E-2</v>
          </cell>
        </row>
        <row r="1397">
          <cell r="BY1397" t="str">
            <v>2500/0.6/6600</v>
          </cell>
          <cell r="BZ1397">
            <v>1.9867378187010676E-2</v>
          </cell>
          <cell r="CA1397">
            <v>1.8541876553625825E-2</v>
          </cell>
        </row>
        <row r="1398">
          <cell r="BN1398" t="str">
            <v>3250/0.8/4000</v>
          </cell>
          <cell r="BO1398">
            <v>0.68582986568131643</v>
          </cell>
          <cell r="BP1398">
            <v>0.71419708109064062</v>
          </cell>
          <cell r="BQ1398">
            <v>0.70348075378275965</v>
          </cell>
          <cell r="BR1398">
            <v>0.68670418496109242</v>
          </cell>
          <cell r="BS1398">
            <v>0.66334626607131764</v>
          </cell>
          <cell r="BT1398">
            <v>0.53974314247716149</v>
          </cell>
          <cell r="BU1398">
            <v>0.6307052356218934</v>
          </cell>
          <cell r="BV1398">
            <v>0.59306515057138842</v>
          </cell>
          <cell r="BY1398" t="str">
            <v>2500/0.6/6850</v>
          </cell>
          <cell r="BZ1398">
            <v>1.9743835423291944E-2</v>
          </cell>
          <cell r="CA1398">
            <v>1.8439927165896153E-2</v>
          </cell>
        </row>
        <row r="1399">
          <cell r="BN1399" t="str">
            <v>3250/0.8/4250</v>
          </cell>
          <cell r="BO1399">
            <v>0.6771853170455695</v>
          </cell>
          <cell r="BP1399">
            <v>0.70799370360640945</v>
          </cell>
          <cell r="BQ1399">
            <v>0.694940487734243</v>
          </cell>
          <cell r="BR1399">
            <v>0.67799734207705553</v>
          </cell>
          <cell r="BS1399">
            <v>0.65356491148579188</v>
          </cell>
          <cell r="BT1399">
            <v>0.52980936600277651</v>
          </cell>
          <cell r="BU1399">
            <v>0.62019438705507324</v>
          </cell>
          <cell r="BV1399">
            <v>0.58708860660955708</v>
          </cell>
          <cell r="BY1399" t="str">
            <v>2500/0.6/7500</v>
          </cell>
          <cell r="BZ1399">
            <v>1.9522490920779845E-2</v>
          </cell>
          <cell r="CA1399">
            <v>1.8202914629485534E-2</v>
          </cell>
        </row>
        <row r="1400">
          <cell r="BN1400" t="str">
            <v>3250/0.8/4500</v>
          </cell>
          <cell r="BO1400">
            <v>0.66854076840982235</v>
          </cell>
          <cell r="BP1400">
            <v>0.7017903261221784</v>
          </cell>
          <cell r="BQ1400">
            <v>0.68640022168572634</v>
          </cell>
          <cell r="BR1400">
            <v>0.66929049919301853</v>
          </cell>
          <cell r="BS1400">
            <v>0.64378355690026612</v>
          </cell>
          <cell r="BT1400">
            <v>0.5198755895283913</v>
          </cell>
          <cell r="BU1400">
            <v>0.60968353848825307</v>
          </cell>
          <cell r="BV1400">
            <v>0.58111206264772575</v>
          </cell>
          <cell r="BY1400" t="str">
            <v>2500/0.6/8000</v>
          </cell>
          <cell r="BZ1400">
            <v>1.9360548965534186E-2</v>
          </cell>
          <cell r="CA1400">
            <v>1.8036721356885055E-2</v>
          </cell>
        </row>
        <row r="1401">
          <cell r="BN1401" t="str">
            <v>3250/0.8/4750</v>
          </cell>
          <cell r="BO1401">
            <v>0.66201969671483352</v>
          </cell>
          <cell r="BP1401">
            <v>0.69793231067506201</v>
          </cell>
          <cell r="BQ1401">
            <v>0.67994986156086723</v>
          </cell>
          <cell r="BR1401">
            <v>0.66254938933420915</v>
          </cell>
          <cell r="BS1401">
            <v>0.63674608366819663</v>
          </cell>
          <cell r="BT1401">
            <v>0.51277628376619178</v>
          </cell>
          <cell r="BU1401">
            <v>0.60311627943271329</v>
          </cell>
          <cell r="BV1401">
            <v>0.57691347858233388</v>
          </cell>
          <cell r="BY1401" t="str">
            <v>2500/0.6/9000</v>
          </cell>
          <cell r="BZ1401">
            <v>1.903581038799973E-2</v>
          </cell>
          <cell r="CA1401">
            <v>1.7730358078223984E-2</v>
          </cell>
        </row>
        <row r="1402">
          <cell r="BN1402" t="str">
            <v>3250/0.8/5000</v>
          </cell>
          <cell r="BO1402">
            <v>0.65549862501984468</v>
          </cell>
          <cell r="BP1402">
            <v>0.6940742952279455</v>
          </cell>
          <cell r="BQ1402">
            <v>0.67349950143600812</v>
          </cell>
          <cell r="BR1402">
            <v>0.65580827947539988</v>
          </cell>
          <cell r="BS1402">
            <v>0.62970861043612714</v>
          </cell>
          <cell r="BT1402">
            <v>0.50567697800399203</v>
          </cell>
          <cell r="BU1402">
            <v>0.5965490203771735</v>
          </cell>
          <cell r="BV1402">
            <v>0.57271489451694191</v>
          </cell>
          <cell r="BY1402" t="str">
            <v>2500/0.6/10000</v>
          </cell>
          <cell r="BZ1402">
            <v>1.8783435511371405E-2</v>
          </cell>
          <cell r="CA1402">
            <v>1.748222006787814E-2</v>
          </cell>
        </row>
        <row r="1403">
          <cell r="BN1403" t="str">
            <v>3250/0.8/5250</v>
          </cell>
          <cell r="BO1403">
            <v>0.6503005550656622</v>
          </cell>
          <cell r="BP1403">
            <v>0.6910855970364429</v>
          </cell>
          <cell r="BQ1403">
            <v>0.66835797549740406</v>
          </cell>
          <cell r="BR1403">
            <v>0.65041310472213809</v>
          </cell>
          <cell r="BS1403">
            <v>0.62415749358464789</v>
          </cell>
          <cell r="BT1403">
            <v>0.50168110246278297</v>
          </cell>
          <cell r="BU1403">
            <v>0.59258132402132779</v>
          </cell>
          <cell r="BV1403">
            <v>0.56954880946380793</v>
          </cell>
          <cell r="BY1403" t="str">
            <v>2500/0.6/99999</v>
          </cell>
          <cell r="BZ1403">
            <v>1.5042474016561114E-2</v>
          </cell>
          <cell r="CA1403">
            <v>1.4293230533721113E-2</v>
          </cell>
        </row>
        <row r="1404">
          <cell r="BN1404" t="str">
            <v>3250/0.8/5500</v>
          </cell>
          <cell r="BO1404">
            <v>0.64510248511147972</v>
          </cell>
          <cell r="BP1404">
            <v>0.68809689884494041</v>
          </cell>
          <cell r="BQ1404">
            <v>0.66321644955879977</v>
          </cell>
          <cell r="BR1404">
            <v>0.64501792996887641</v>
          </cell>
          <cell r="BS1404">
            <v>0.61860637673316865</v>
          </cell>
          <cell r="BT1404">
            <v>0.4976852269215738</v>
          </cell>
          <cell r="BU1404">
            <v>0.58861362766548209</v>
          </cell>
          <cell r="BV1404">
            <v>0.56638272441067383</v>
          </cell>
          <cell r="BY1404" t="str">
            <v>2750/0.6/3000</v>
          </cell>
          <cell r="BZ1404">
            <v>2.2137510949964079E-2</v>
          </cell>
          <cell r="CA1404">
            <v>2.1161807730180615E-2</v>
          </cell>
        </row>
        <row r="1405">
          <cell r="BN1405" t="str">
            <v>3250/0.8/5750</v>
          </cell>
          <cell r="BO1405">
            <v>0.64063995859095346</v>
          </cell>
          <cell r="BP1405">
            <v>0.68563597785622976</v>
          </cell>
          <cell r="BQ1405">
            <v>0.6587914573343342</v>
          </cell>
          <cell r="BR1405">
            <v>0.64031574610180708</v>
          </cell>
          <cell r="BS1405">
            <v>0.61395009476802642</v>
          </cell>
          <cell r="BT1405">
            <v>0.4948786406616863</v>
          </cell>
          <cell r="BU1405">
            <v>0.58603799509966836</v>
          </cell>
          <cell r="BV1405">
            <v>0.56379587934558106</v>
          </cell>
          <cell r="BY1405" t="str">
            <v>2750/0.6/3250</v>
          </cell>
          <cell r="BZ1405">
            <v>2.1910256649958215E-2</v>
          </cell>
          <cell r="CA1405">
            <v>2.0851902886403262E-2</v>
          </cell>
        </row>
        <row r="1406">
          <cell r="BN1406" t="str">
            <v>3250/0.8/6000</v>
          </cell>
          <cell r="BO1406">
            <v>0.6361774320704271</v>
          </cell>
          <cell r="BP1406">
            <v>0.68317505686751923</v>
          </cell>
          <cell r="BQ1406">
            <v>0.65436646510986851</v>
          </cell>
          <cell r="BR1406">
            <v>0.63561356223473786</v>
          </cell>
          <cell r="BS1406">
            <v>0.60929381280288442</v>
          </cell>
          <cell r="BT1406">
            <v>0.49207205440179885</v>
          </cell>
          <cell r="BU1406">
            <v>0.58346236253385464</v>
          </cell>
          <cell r="BV1406">
            <v>0.56120903428048829</v>
          </cell>
          <cell r="BY1406" t="str">
            <v>2750/0.6/3500</v>
          </cell>
          <cell r="BZ1406">
            <v>2.1683002349952352E-2</v>
          </cell>
          <cell r="CA1406">
            <v>2.0541998042625909E-2</v>
          </cell>
        </row>
        <row r="1407">
          <cell r="BN1407" t="str">
            <v>3250/0.8/6250</v>
          </cell>
          <cell r="BO1407">
            <v>0.63253153325390876</v>
          </cell>
          <cell r="BP1407">
            <v>0.68121988329000871</v>
          </cell>
          <cell r="BQ1407">
            <v>0.65080287403607273</v>
          </cell>
          <cell r="BR1407">
            <v>0.63161261804515156</v>
          </cell>
          <cell r="BS1407">
            <v>0.60542473340782366</v>
          </cell>
          <cell r="BT1407">
            <v>0.49006276628217038</v>
          </cell>
          <cell r="BU1407">
            <v>0.5811701526825197</v>
          </cell>
          <cell r="BV1407">
            <v>0.55900247028140893</v>
          </cell>
          <cell r="BY1407" t="str">
            <v>2750/0.6/3750</v>
          </cell>
          <cell r="BZ1407">
            <v>2.1476594791472681E-2</v>
          </cell>
          <cell r="CA1407">
            <v>2.0292449218500985E-2</v>
          </cell>
        </row>
        <row r="1408">
          <cell r="BN1408" t="str">
            <v>3250/0.8/6350</v>
          </cell>
          <cell r="BO1408">
            <v>0.63117450248551099</v>
          </cell>
          <cell r="BP1408">
            <v>0.68047238412570321</v>
          </cell>
          <cell r="BQ1408">
            <v>0.64944271647613117</v>
          </cell>
          <cell r="BR1408">
            <v>0.63015851213115981</v>
          </cell>
          <cell r="BS1408">
            <v>0.60386596835886142</v>
          </cell>
          <cell r="BT1408">
            <v>0.48925954399563631</v>
          </cell>
          <cell r="BU1408">
            <v>0.58040317077919901</v>
          </cell>
          <cell r="BV1408">
            <v>0.55816479433956789</v>
          </cell>
          <cell r="BY1408" t="str">
            <v>2750/0.6/4000</v>
          </cell>
          <cell r="BZ1408">
            <v>2.127018723299301E-2</v>
          </cell>
          <cell r="CA1408">
            <v>2.0042900394376062E-2</v>
          </cell>
        </row>
        <row r="1409">
          <cell r="BN1409" t="str">
            <v>3250/0.8/6600</v>
          </cell>
          <cell r="BO1409">
            <v>0.62777076456773195</v>
          </cell>
          <cell r="BP1409">
            <v>0.67877359734709231</v>
          </cell>
          <cell r="BQ1409">
            <v>0.64603271178464838</v>
          </cell>
          <cell r="BR1409">
            <v>0.62675477608871788</v>
          </cell>
          <cell r="BS1409">
            <v>0.60033619931631532</v>
          </cell>
          <cell r="BT1409">
            <v>0.48750082534854178</v>
          </cell>
          <cell r="BU1409">
            <v>0.57849614815379047</v>
          </cell>
          <cell r="BV1409">
            <v>0.55609938822777316</v>
          </cell>
          <cell r="BY1409" t="str">
            <v>2750/0.6/4250</v>
          </cell>
          <cell r="BZ1409">
            <v>2.1091714604416278E-2</v>
          </cell>
          <cell r="CA1409">
            <v>1.9829463871229747E-2</v>
          </cell>
        </row>
        <row r="1410">
          <cell r="BN1410" t="str">
            <v>3250/0.8/6850</v>
          </cell>
          <cell r="BO1410">
            <v>0.62461312105885902</v>
          </cell>
          <cell r="BP1410">
            <v>0.67706620815799057</v>
          </cell>
          <cell r="BQ1410">
            <v>0.64293185321668389</v>
          </cell>
          <cell r="BR1410">
            <v>0.62333671213014052</v>
          </cell>
          <cell r="BS1410">
            <v>0.59680099314239521</v>
          </cell>
          <cell r="BT1410">
            <v>0.48581087493667752</v>
          </cell>
          <cell r="BU1410">
            <v>0.57659848604287589</v>
          </cell>
          <cell r="BV1410">
            <v>0.55419986416364342</v>
          </cell>
          <cell r="BY1410" t="str">
            <v>2750/0.6/4500</v>
          </cell>
          <cell r="BZ1410">
            <v>2.0913241975839547E-2</v>
          </cell>
          <cell r="CA1410">
            <v>1.9616027348083431E-2</v>
          </cell>
        </row>
        <row r="1411">
          <cell r="BN1411" t="str">
            <v>3250/0.8/7500</v>
          </cell>
          <cell r="BO1411">
            <v>0.6177373685902896</v>
          </cell>
          <cell r="BP1411">
            <v>0.673631482489915</v>
          </cell>
          <cell r="BQ1411">
            <v>0.63610914633883264</v>
          </cell>
          <cell r="BR1411">
            <v>0.61591279238862073</v>
          </cell>
          <cell r="BS1411">
            <v>0.58932558709832539</v>
          </cell>
          <cell r="BT1411">
            <v>0.48198968158222816</v>
          </cell>
          <cell r="BU1411">
            <v>0.57248424744915072</v>
          </cell>
          <cell r="BV1411">
            <v>0.54999326277089311</v>
          </cell>
          <cell r="BY1411" t="str">
            <v>2750/0.6/4750</v>
          </cell>
          <cell r="BZ1411">
            <v>2.0756180249771661E-2</v>
          </cell>
          <cell r="CA1411">
            <v>1.9427936467030338E-2</v>
          </cell>
        </row>
        <row r="1412">
          <cell r="BN1412" t="str">
            <v>3250/0.8/10000</v>
          </cell>
          <cell r="BO1412">
            <v>0.6006658112339851</v>
          </cell>
          <cell r="BP1412">
            <v>0.66627030450881697</v>
          </cell>
          <cell r="BQ1412">
            <v>0.61928247161332139</v>
          </cell>
          <cell r="BR1412">
            <v>0.59714279754590294</v>
          </cell>
          <cell r="BS1412">
            <v>0.56992513037278769</v>
          </cell>
          <cell r="BT1412">
            <v>0.47239163188144084</v>
          </cell>
          <cell r="BU1412">
            <v>0.56141747441216194</v>
          </cell>
          <cell r="BV1412">
            <v>0.53883508470369024</v>
          </cell>
          <cell r="BY1412" t="str">
            <v>2750/0.6/5000</v>
          </cell>
          <cell r="BZ1412">
            <v>2.0599118523703774E-2</v>
          </cell>
          <cell r="CA1412">
            <v>1.9239845585977244E-2</v>
          </cell>
        </row>
        <row r="1413">
          <cell r="BN1413" t="str">
            <v>3250/0.8/99999</v>
          </cell>
          <cell r="BO1413">
            <v>0.53711557136902888</v>
          </cell>
          <cell r="BP1413">
            <v>0.64475719811418664</v>
          </cell>
          <cell r="BQ1413">
            <v>0.55662740698166224</v>
          </cell>
          <cell r="BR1413">
            <v>0.52759212182317372</v>
          </cell>
          <cell r="BS1413">
            <v>0.51338744321424068</v>
          </cell>
          <cell r="BT1413">
            <v>0.43863976189769271</v>
          </cell>
          <cell r="BU1413">
            <v>0.52439340360235143</v>
          </cell>
          <cell r="BV1413">
            <v>0.50935916623065991</v>
          </cell>
          <cell r="BY1413" t="str">
            <v>2750/0.6/5250</v>
          </cell>
          <cell r="BZ1413">
            <v>2.0457929730358537E-2</v>
          </cell>
          <cell r="CA1413">
            <v>1.9079586012065608E-2</v>
          </cell>
        </row>
        <row r="1414">
          <cell r="BY1414" t="str">
            <v>2750/0.6/5500</v>
          </cell>
          <cell r="BZ1414">
            <v>2.03167409370133E-2</v>
          </cell>
          <cell r="CA1414">
            <v>1.8919326438153972E-2</v>
          </cell>
        </row>
        <row r="1415">
          <cell r="BN1415" t="str">
            <v>3500/0.8/4000</v>
          </cell>
          <cell r="BO1415">
            <v>0.68574944897090495</v>
          </cell>
          <cell r="BP1415">
            <v>0.71507980850791086</v>
          </cell>
          <cell r="BQ1415">
            <v>0.70396839966689573</v>
          </cell>
          <cell r="BR1415">
            <v>0.68673847459259696</v>
          </cell>
          <cell r="BS1415">
            <v>0.6633134428155335</v>
          </cell>
          <cell r="BT1415">
            <v>0.53655586412694223</v>
          </cell>
          <cell r="BU1415">
            <v>0.62473427700605233</v>
          </cell>
          <cell r="BV1415">
            <v>0.58951732441587346</v>
          </cell>
          <cell r="BY1415" t="str">
            <v>2750/0.6/5750</v>
          </cell>
          <cell r="BZ1415">
            <v>2.0188953070424953E-2</v>
          </cell>
          <cell r="CA1415">
            <v>1.8784910628376728E-2</v>
          </cell>
        </row>
        <row r="1416">
          <cell r="BN1416" t="str">
            <v>3500/0.8/4250</v>
          </cell>
          <cell r="BO1416">
            <v>0.67652968865434893</v>
          </cell>
          <cell r="BP1416">
            <v>0.70805842577887979</v>
          </cell>
          <cell r="BQ1416">
            <v>0.69493132097425248</v>
          </cell>
          <cell r="BR1416">
            <v>0.67746852111921529</v>
          </cell>
          <cell r="BS1416">
            <v>0.65243554699929973</v>
          </cell>
          <cell r="BT1416">
            <v>0.52551294450910768</v>
          </cell>
          <cell r="BU1416">
            <v>0.6131133263406725</v>
          </cell>
          <cell r="BV1416">
            <v>0.58277888059857497</v>
          </cell>
          <cell r="BY1416" t="str">
            <v>2750/0.6/6000</v>
          </cell>
          <cell r="BZ1416">
            <v>2.0061165203836606E-2</v>
          </cell>
          <cell r="CA1416">
            <v>1.8650494818599483E-2</v>
          </cell>
        </row>
        <row r="1417">
          <cell r="BN1417" t="str">
            <v>3500/0.8/4500</v>
          </cell>
          <cell r="BO1417">
            <v>0.6673099283377929</v>
          </cell>
          <cell r="BP1417">
            <v>0.70103704304984882</v>
          </cell>
          <cell r="BQ1417">
            <v>0.68589424228160911</v>
          </cell>
          <cell r="BR1417">
            <v>0.66819856764583363</v>
          </cell>
          <cell r="BS1417">
            <v>0.64155765118306585</v>
          </cell>
          <cell r="BT1417">
            <v>0.51447002489127314</v>
          </cell>
          <cell r="BU1417">
            <v>0.60149237567529279</v>
          </cell>
          <cell r="BV1417">
            <v>0.57604043678127659</v>
          </cell>
          <cell r="BY1417" t="str">
            <v>2750/0.6/6250</v>
          </cell>
          <cell r="BZ1417">
            <v>1.993858750140054E-2</v>
          </cell>
          <cell r="CA1417">
            <v>1.8516796985901696E-2</v>
          </cell>
        </row>
        <row r="1418">
          <cell r="BN1418" t="str">
            <v>3500/0.8/4750</v>
          </cell>
          <cell r="BO1418">
            <v>0.66004973245212839</v>
          </cell>
          <cell r="BP1418">
            <v>0.69659808442444082</v>
          </cell>
          <cell r="BQ1418">
            <v>0.67865200738389975</v>
          </cell>
          <cell r="BR1418">
            <v>0.66089406834914033</v>
          </cell>
          <cell r="BS1418">
            <v>0.63386879197097956</v>
          </cell>
          <cell r="BT1418">
            <v>0.50674784675368811</v>
          </cell>
          <cell r="BU1418">
            <v>0.5956158424650162</v>
          </cell>
          <cell r="BV1418">
            <v>0.57133437020952882</v>
          </cell>
          <cell r="BY1418" t="str">
            <v>2750/0.6/6350</v>
          </cell>
          <cell r="BZ1418">
            <v>1.9889606155366613E-2</v>
          </cell>
          <cell r="CA1418">
            <v>1.8464259308359265E-2</v>
          </cell>
        </row>
        <row r="1419">
          <cell r="BN1419" t="str">
            <v>3500/0.8/5000</v>
          </cell>
          <cell r="BO1419">
            <v>0.65278953656646388</v>
          </cell>
          <cell r="BP1419">
            <v>0.69215912579903272</v>
          </cell>
          <cell r="BQ1419">
            <v>0.67140977248619038</v>
          </cell>
          <cell r="BR1419">
            <v>0.65358956905244703</v>
          </cell>
          <cell r="BS1419">
            <v>0.62617993275889339</v>
          </cell>
          <cell r="BT1419">
            <v>0.49902566861610304</v>
          </cell>
          <cell r="BU1419">
            <v>0.58973930925473972</v>
          </cell>
          <cell r="BV1419">
            <v>0.56662830363778105</v>
          </cell>
          <cell r="BY1419" t="str">
            <v>2750/0.6/6600</v>
          </cell>
          <cell r="BZ1419">
            <v>1.9766823248093757E-2</v>
          </cell>
          <cell r="CA1419">
            <v>1.834450966088208E-2</v>
          </cell>
        </row>
        <row r="1420">
          <cell r="BN1420" t="str">
            <v>3500/0.8/5250</v>
          </cell>
          <cell r="BO1420">
            <v>0.64749176442172485</v>
          </cell>
          <cell r="BP1420">
            <v>0.6891033549758393</v>
          </cell>
          <cell r="BQ1420">
            <v>0.66623285359471951</v>
          </cell>
          <cell r="BR1420">
            <v>0.64791971484816835</v>
          </cell>
          <cell r="BS1420">
            <v>0.62033107587504621</v>
          </cell>
          <cell r="BT1420">
            <v>0.49592381162052035</v>
          </cell>
          <cell r="BU1420">
            <v>0.58630427755620285</v>
          </cell>
          <cell r="BV1420">
            <v>0.56318016554233852</v>
          </cell>
          <cell r="BY1420" t="str">
            <v>2750/0.6/6850</v>
          </cell>
          <cell r="BZ1420">
            <v>1.9643569566267005E-2</v>
          </cell>
          <cell r="CA1420">
            <v>1.8237127134223652E-2</v>
          </cell>
        </row>
        <row r="1421">
          <cell r="BN1421" t="str">
            <v>3500/0.8/5500</v>
          </cell>
          <cell r="BO1421">
            <v>0.64219399227698593</v>
          </cell>
          <cell r="BP1421">
            <v>0.68604758415264588</v>
          </cell>
          <cell r="BQ1421">
            <v>0.66105593470324853</v>
          </cell>
          <cell r="BR1421">
            <v>0.64224986064388967</v>
          </cell>
          <cell r="BS1421">
            <v>0.61448221899119904</v>
          </cell>
          <cell r="BT1421">
            <v>0.49282195462493772</v>
          </cell>
          <cell r="BU1421">
            <v>0.58286924585766597</v>
          </cell>
          <cell r="BV1421">
            <v>0.55973202744689587</v>
          </cell>
          <cell r="BY1421" t="str">
            <v>2750/0.6/7500</v>
          </cell>
          <cell r="BZ1421">
            <v>1.9396455434219195E-2</v>
          </cell>
          <cell r="CA1421">
            <v>1.7993512270426448E-2</v>
          </cell>
        </row>
        <row r="1422">
          <cell r="BN1422" t="str">
            <v>3500/0.8/5750</v>
          </cell>
          <cell r="BO1422">
            <v>0.63712767627948264</v>
          </cell>
          <cell r="BP1422">
            <v>0.68322363930969399</v>
          </cell>
          <cell r="BQ1422">
            <v>0.65598089085092393</v>
          </cell>
          <cell r="BR1422">
            <v>0.63716007160529009</v>
          </cell>
          <cell r="BS1422">
            <v>0.60939929893694345</v>
          </cell>
          <cell r="BT1422">
            <v>0.49034371917331326</v>
          </cell>
          <cell r="BU1422">
            <v>0.5801629587605599</v>
          </cell>
          <cell r="BV1422">
            <v>0.55689426729698033</v>
          </cell>
          <cell r="BY1422" t="str">
            <v>2750/0.6/8000</v>
          </cell>
          <cell r="BZ1422">
            <v>1.9234613526903144E-2</v>
          </cell>
          <cell r="CA1422">
            <v>1.7819002367965853E-2</v>
          </cell>
        </row>
        <row r="1423">
          <cell r="BN1423" t="str">
            <v>3500/0.8/6000</v>
          </cell>
          <cell r="BO1423">
            <v>0.63206136028197923</v>
          </cell>
          <cell r="BP1423">
            <v>0.6803996944667422</v>
          </cell>
          <cell r="BQ1423">
            <v>0.65090584699859921</v>
          </cell>
          <cell r="BR1423">
            <v>0.63207028256669051</v>
          </cell>
          <cell r="BS1423">
            <v>0.60431637888268797</v>
          </cell>
          <cell r="BT1423">
            <v>0.48786548372168881</v>
          </cell>
          <cell r="BU1423">
            <v>0.57745667166345394</v>
          </cell>
          <cell r="BV1423">
            <v>0.55405650714706467</v>
          </cell>
          <cell r="BY1423" t="str">
            <v>2750/0.6/9000</v>
          </cell>
          <cell r="BZ1423">
            <v>1.8910009244768045E-2</v>
          </cell>
          <cell r="CA1423">
            <v>1.7512642892383967E-2</v>
          </cell>
        </row>
        <row r="1424">
          <cell r="BN1424" t="str">
            <v>3500/0.8/6250</v>
          </cell>
          <cell r="BO1424">
            <v>0.62819743161401254</v>
          </cell>
          <cell r="BP1424">
            <v>0.67821047685274904</v>
          </cell>
          <cell r="BQ1424">
            <v>0.64721103692236692</v>
          </cell>
          <cell r="BR1424">
            <v>0.6275034576655798</v>
          </cell>
          <cell r="BS1424">
            <v>0.60005522172643366</v>
          </cell>
          <cell r="BT1424">
            <v>0.48554855618127074</v>
          </cell>
          <cell r="BU1424">
            <v>0.57478574004332883</v>
          </cell>
          <cell r="BV1424">
            <v>0.5517672649910591</v>
          </cell>
          <cell r="BY1424" t="str">
            <v>2750/0.6/10000</v>
          </cell>
          <cell r="BZ1424">
            <v>1.864333660163231E-2</v>
          </cell>
          <cell r="CA1424">
            <v>1.7255076171479256E-2</v>
          </cell>
        </row>
        <row r="1425">
          <cell r="BN1425" t="str">
            <v>3500/0.8/6350</v>
          </cell>
          <cell r="BO1425">
            <v>0.62685121193545867</v>
          </cell>
          <cell r="BP1425">
            <v>0.67740387139027514</v>
          </cell>
          <cell r="BQ1425">
            <v>0.64586173083059562</v>
          </cell>
          <cell r="BR1425">
            <v>0.62596445307099469</v>
          </cell>
          <cell r="BS1425">
            <v>0.59834181716331403</v>
          </cell>
          <cell r="BT1425">
            <v>0.48462113664721856</v>
          </cell>
          <cell r="BU1425">
            <v>0.57401406338710537</v>
          </cell>
          <cell r="BV1425">
            <v>0.55087364115605841</v>
          </cell>
          <cell r="BY1425" t="str">
            <v>2750/0.6/99999</v>
          </cell>
          <cell r="BZ1425">
            <v>1.4868198517341114E-2</v>
          </cell>
          <cell r="CA1425">
            <v>1.4037013031213519E-2</v>
          </cell>
        </row>
        <row r="1426">
          <cell r="BN1426" t="str">
            <v>3500/0.8/6600</v>
          </cell>
          <cell r="BO1426">
            <v>0.62346391633329468</v>
          </cell>
          <cell r="BP1426">
            <v>0.67572713203852541</v>
          </cell>
          <cell r="BQ1426">
            <v>0.64246985227585562</v>
          </cell>
          <cell r="BR1426">
            <v>0.6225743377348133</v>
          </cell>
          <cell r="BS1426">
            <v>0.59481887671699107</v>
          </cell>
          <cell r="BT1426">
            <v>0.48279379049990623</v>
          </cell>
          <cell r="BU1426">
            <v>0.57210147275645473</v>
          </cell>
          <cell r="BV1426">
            <v>0.54868862522727724</v>
          </cell>
          <cell r="BY1426" t="str">
            <v>3000/0.6/3000</v>
          </cell>
          <cell r="BZ1426">
            <v>2.2082613749750291E-2</v>
          </cell>
          <cell r="CA1426">
            <v>2.1123726029302237E-2</v>
          </cell>
        </row>
        <row r="1427">
          <cell r="BN1427" t="str">
            <v>3500/0.8/6850</v>
          </cell>
          <cell r="BO1427">
            <v>0.62004971583440227</v>
          </cell>
          <cell r="BP1427">
            <v>0.67400977865322254</v>
          </cell>
          <cell r="BQ1427">
            <v>0.63904713251655099</v>
          </cell>
          <cell r="BR1427">
            <v>0.61915621872640658</v>
          </cell>
          <cell r="BS1427">
            <v>0.59131282544481534</v>
          </cell>
          <cell r="BT1427">
            <v>0.48110237348875279</v>
          </cell>
          <cell r="BU1427">
            <v>0.57019656542641584</v>
          </cell>
          <cell r="BV1427">
            <v>0.54673028255420242</v>
          </cell>
          <cell r="BY1427" t="str">
            <v>3000/0.6/3250</v>
          </cell>
          <cell r="BZ1427">
            <v>2.186302677113694E-2</v>
          </cell>
          <cell r="CA1427">
            <v>2.0787215356426469E-2</v>
          </cell>
        </row>
        <row r="1428">
          <cell r="BN1428" t="str">
            <v>3500/0.8/7500</v>
          </cell>
          <cell r="BO1428">
            <v>0.61241183095132978</v>
          </cell>
          <cell r="BP1428">
            <v>0.66987258328677379</v>
          </cell>
          <cell r="BQ1428">
            <v>0.63151709602901229</v>
          </cell>
          <cell r="BR1428">
            <v>0.61071882680402745</v>
          </cell>
          <cell r="BS1428">
            <v>0.58273435186669864</v>
          </cell>
          <cell r="BT1428">
            <v>0.47682278094332986</v>
          </cell>
          <cell r="BU1428">
            <v>0.56572110050819779</v>
          </cell>
          <cell r="BV1428">
            <v>0.54213895542496249</v>
          </cell>
          <cell r="BY1428" t="str">
            <v>3000/0.6/3500</v>
          </cell>
          <cell r="BZ1428">
            <v>2.1643439792523589E-2</v>
          </cell>
          <cell r="CA1428">
            <v>2.0450704683550702E-2</v>
          </cell>
        </row>
        <row r="1429">
          <cell r="BN1429" t="str">
            <v>3500/0.8/10000</v>
          </cell>
          <cell r="BO1429">
            <v>0.59454673997321139</v>
          </cell>
          <cell r="BP1429">
            <v>0.66218475055721693</v>
          </cell>
          <cell r="BQ1429">
            <v>0.61389428587870443</v>
          </cell>
          <cell r="BR1429">
            <v>0.5911466294472818</v>
          </cell>
          <cell r="BS1429">
            <v>0.56272010250827842</v>
          </cell>
          <cell r="BT1429">
            <v>0.46681705488969705</v>
          </cell>
          <cell r="BU1429">
            <v>0.55413937503887323</v>
          </cell>
          <cell r="BV1429">
            <v>0.53057696836537505</v>
          </cell>
          <cell r="BY1429" t="str">
            <v>3000/0.6/3750</v>
          </cell>
          <cell r="BZ1429">
            <v>2.1426321053943931E-2</v>
          </cell>
          <cell r="CA1429">
            <v>2.0185726665915782E-2</v>
          </cell>
        </row>
        <row r="1430">
          <cell r="BN1430" t="str">
            <v>3500/0.8/99999</v>
          </cell>
          <cell r="BO1430">
            <v>0.52999344153941785</v>
          </cell>
          <cell r="BP1430">
            <v>0.64018693886777778</v>
          </cell>
          <cell r="BQ1430">
            <v>0.55023234836306001</v>
          </cell>
          <cell r="BR1430">
            <v>0.5205430936576777</v>
          </cell>
          <cell r="BS1430">
            <v>0.50489546320563083</v>
          </cell>
          <cell r="BT1430">
            <v>0.43255876415941086</v>
          </cell>
          <cell r="BU1430">
            <v>0.51654555929274393</v>
          </cell>
          <cell r="BV1430">
            <v>0.50044583894233319</v>
          </cell>
          <cell r="BY1430" t="str">
            <v>3000/0.6/4000</v>
          </cell>
          <cell r="BZ1430">
            <v>2.1209202315364273E-2</v>
          </cell>
          <cell r="CA1430">
            <v>1.9920748648280862E-2</v>
          </cell>
        </row>
        <row r="1431">
          <cell r="BY1431" t="str">
            <v>3000/0.6/4250</v>
          </cell>
          <cell r="BZ1431">
            <v>2.1024078746522457E-2</v>
          </cell>
          <cell r="CA1431">
            <v>1.9696569564208177E-2</v>
          </cell>
        </row>
        <row r="1432">
          <cell r="BN1432" t="str">
            <v>3750/0.8/4500</v>
          </cell>
          <cell r="BO1432">
            <v>0.6680406323172825</v>
          </cell>
          <cell r="BP1432">
            <v>0.7024896804111237</v>
          </cell>
          <cell r="BQ1432">
            <v>0.68715250577390385</v>
          </cell>
          <cell r="BR1432">
            <v>0.66903630632851852</v>
          </cell>
          <cell r="BS1432">
            <v>0.64229772319747236</v>
          </cell>
          <cell r="BT1432">
            <v>0.51259141085562265</v>
          </cell>
          <cell r="BU1432">
            <v>0.59742908574931985</v>
          </cell>
          <cell r="BV1432">
            <v>0.57303231992456194</v>
          </cell>
          <cell r="BY1432" t="str">
            <v>3000/0.6/4500</v>
          </cell>
          <cell r="BZ1432">
            <v>2.083895517768064E-2</v>
          </cell>
          <cell r="CA1432">
            <v>1.9472390480135493E-2</v>
          </cell>
        </row>
        <row r="1433">
          <cell r="BN1433" t="str">
            <v>3750/0.8/4750</v>
          </cell>
          <cell r="BO1433">
            <v>0.65900000000000003</v>
          </cell>
          <cell r="BP1433">
            <v>0.69710814286856282</v>
          </cell>
          <cell r="BQ1433">
            <v>0.67921781366492184</v>
          </cell>
          <cell r="BR1433">
            <v>0.66097287402502802</v>
          </cell>
          <cell r="BS1433">
            <v>0.63338759952230539</v>
          </cell>
          <cell r="BT1433">
            <v>0.50463889964317987</v>
          </cell>
          <cell r="BU1433">
            <v>0.5917025305998147</v>
          </cell>
          <cell r="BV1433">
            <v>0.56746699089210029</v>
          </cell>
          <cell r="BY1433" t="str">
            <v>3000/0.6/4750</v>
          </cell>
          <cell r="BZ1433">
            <v>2.0676428783734768E-2</v>
          </cell>
          <cell r="CA1433">
            <v>1.9280525120985104E-2</v>
          </cell>
        </row>
        <row r="1434">
          <cell r="BN1434" t="str">
            <v>3750/0.8/5000</v>
          </cell>
          <cell r="BO1434">
            <v>0.65200094266365294</v>
          </cell>
          <cell r="BP1434">
            <v>0.69172660532600183</v>
          </cell>
          <cell r="BQ1434">
            <v>0.67128312155593961</v>
          </cell>
          <cell r="BR1434">
            <v>0.65290944172153742</v>
          </cell>
          <cell r="BS1434">
            <v>0.62447747584713842</v>
          </cell>
          <cell r="BT1434">
            <v>0.49668638843073698</v>
          </cell>
          <cell r="BU1434">
            <v>0.58597597545030966</v>
          </cell>
          <cell r="BV1434">
            <v>0.56190166185963852</v>
          </cell>
          <cell r="BY1434" t="str">
            <v>3000/0.6/5000</v>
          </cell>
          <cell r="BZ1434">
            <v>2.0513902389788896E-2</v>
          </cell>
          <cell r="CA1434">
            <v>1.9088659761834714E-2</v>
          </cell>
        </row>
        <row r="1435">
          <cell r="BN1435" t="str">
            <v>3750/0.8/5250</v>
          </cell>
          <cell r="BO1435">
            <v>0.64576246390810776</v>
          </cell>
          <cell r="BP1435">
            <v>0.68811449099991884</v>
          </cell>
          <cell r="BQ1435">
            <v>0.66512230002390837</v>
          </cell>
          <cell r="BR1435">
            <v>0.64647597525275657</v>
          </cell>
          <cell r="BS1435">
            <v>0.61771751767433947</v>
          </cell>
          <cell r="BT1435">
            <v>0.49320266908222371</v>
          </cell>
          <cell r="BU1435">
            <v>0.58207979106895402</v>
          </cell>
          <cell r="BV1435">
            <v>0.55800715693939673</v>
          </cell>
          <cell r="BY1435" t="str">
            <v>3000/0.6/5250</v>
          </cell>
          <cell r="BZ1435">
            <v>2.0368285356684002E-2</v>
          </cell>
          <cell r="CA1435">
            <v>1.8912782978301346E-2</v>
          </cell>
        </row>
        <row r="1436">
          <cell r="BN1436" t="str">
            <v>3750/0.8/5500</v>
          </cell>
          <cell r="BO1436">
            <v>0.6395239851525627</v>
          </cell>
          <cell r="BP1436">
            <v>0.68450237667383584</v>
          </cell>
          <cell r="BQ1436">
            <v>0.65896147849187692</v>
          </cell>
          <cell r="BR1436">
            <v>0.64004250878397562</v>
          </cell>
          <cell r="BS1436">
            <v>0.61095755950154051</v>
          </cell>
          <cell r="BT1436">
            <v>0.48971894973371044</v>
          </cell>
          <cell r="BU1436">
            <v>0.57818360668759827</v>
          </cell>
          <cell r="BV1436">
            <v>0.55411265201915494</v>
          </cell>
          <cell r="BY1436" t="str">
            <v>3000/0.6/5500</v>
          </cell>
          <cell r="BZ1436">
            <v>2.0222668323579107E-2</v>
          </cell>
          <cell r="CA1436">
            <v>1.8736906194767977E-2</v>
          </cell>
        </row>
        <row r="1437">
          <cell r="BN1437" t="str">
            <v>3750/0.8/5750</v>
          </cell>
          <cell r="BO1437">
            <v>0.63455072498075227</v>
          </cell>
          <cell r="BP1437">
            <v>0.68163956758517141</v>
          </cell>
          <cell r="BQ1437">
            <v>0.65402368924272469</v>
          </cell>
          <cell r="BR1437">
            <v>0.63488439875531733</v>
          </cell>
          <cell r="BS1437">
            <v>0.60572760182950391</v>
          </cell>
          <cell r="BT1437">
            <v>0.48703344002124616</v>
          </cell>
          <cell r="BU1437">
            <v>0.57523708880974433</v>
          </cell>
          <cell r="BV1437">
            <v>0.55109270625109552</v>
          </cell>
          <cell r="BY1437" t="str">
            <v>3000/0.6/5750</v>
          </cell>
          <cell r="BZ1437">
            <v>2.0091518232242422E-2</v>
          </cell>
          <cell r="CA1437">
            <v>1.8602206195046489E-2</v>
          </cell>
        </row>
        <row r="1438">
          <cell r="BN1438" t="str">
            <v>3750/0.8/6000</v>
          </cell>
          <cell r="BO1438">
            <v>0.62957746480894172</v>
          </cell>
          <cell r="BP1438">
            <v>0.67877675849650698</v>
          </cell>
          <cell r="BQ1438">
            <v>0.64908589999357247</v>
          </cell>
          <cell r="BR1438">
            <v>0.62972628872665903</v>
          </cell>
          <cell r="BS1438">
            <v>0.60049764415746743</v>
          </cell>
          <cell r="BT1438">
            <v>0.48434793030878193</v>
          </cell>
          <cell r="BU1438">
            <v>0.5722905709318904</v>
          </cell>
          <cell r="BV1438">
            <v>0.54807276048303621</v>
          </cell>
          <cell r="BY1438" t="str">
            <v>3000/0.6/6000</v>
          </cell>
          <cell r="BZ1438">
            <v>1.9960368140905738E-2</v>
          </cell>
          <cell r="CA1438">
            <v>1.8467506195325001E-2</v>
          </cell>
        </row>
        <row r="1439">
          <cell r="BN1439" t="str">
            <v>3750/0.8/6250</v>
          </cell>
          <cell r="BO1439">
            <v>0.62512821496988003</v>
          </cell>
          <cell r="BP1439">
            <v>0.67629887627481522</v>
          </cell>
          <cell r="BQ1439">
            <v>0.64471478439603536</v>
          </cell>
          <cell r="BR1439">
            <v>0.6248987996641191</v>
          </cell>
          <cell r="BS1439">
            <v>0.59580253557727947</v>
          </cell>
          <cell r="BT1439">
            <v>0.48194676684663545</v>
          </cell>
          <cell r="BU1439">
            <v>0.5696012117926823</v>
          </cell>
          <cell r="BV1439">
            <v>0.54547781060827383</v>
          </cell>
          <cell r="BY1439" t="str">
            <v>3000/0.6/6250</v>
          </cell>
          <cell r="BZ1439">
            <v>1.9837626939065212E-2</v>
          </cell>
          <cell r="CA1439">
            <v>1.8333475231294249E-2</v>
          </cell>
        </row>
        <row r="1440">
          <cell r="BN1440" t="str">
            <v>3750/0.8/6350</v>
          </cell>
          <cell r="BO1440">
            <v>0.6234487901747281</v>
          </cell>
          <cell r="BP1440">
            <v>0.67535984755424627</v>
          </cell>
          <cell r="BQ1440">
            <v>0.64303036823350879</v>
          </cell>
          <cell r="BR1440">
            <v>0.62312377769885352</v>
          </cell>
          <cell r="BS1440">
            <v>0.59400927285634531</v>
          </cell>
          <cell r="BT1440">
            <v>0.48099598954039618</v>
          </cell>
          <cell r="BU1440">
            <v>0.56868262686303839</v>
          </cell>
          <cell r="BV1440">
            <v>0.54445932362098404</v>
          </cell>
          <cell r="BY1440" t="str">
            <v>3000/0.6/6350</v>
          </cell>
          <cell r="BZ1440">
            <v>1.9788761593623416E-2</v>
          </cell>
          <cell r="CA1440">
            <v>1.8279468438743285E-2</v>
          </cell>
        </row>
        <row r="1441">
          <cell r="BN1441" t="str">
            <v>3750/0.8/6600</v>
          </cell>
          <cell r="BO1441">
            <v>0.61956528711180037</v>
          </cell>
          <cell r="BP1441">
            <v>0.67328083470858313</v>
          </cell>
          <cell r="BQ1441">
            <v>0.63922377150661647</v>
          </cell>
          <cell r="BR1441">
            <v>0.61900758653424881</v>
          </cell>
          <cell r="BS1441">
            <v>0.58998687064395061</v>
          </cell>
          <cell r="BT1441">
            <v>0.47888890918397869</v>
          </cell>
          <cell r="BU1441">
            <v>0.56639157067904056</v>
          </cell>
          <cell r="BV1441">
            <v>0.54219911145741917</v>
          </cell>
          <cell r="BY1441" t="str">
            <v>3000/0.6/6600</v>
          </cell>
          <cell r="BZ1441">
            <v>1.9666268309176838E-2</v>
          </cell>
          <cell r="CA1441">
            <v>1.8147142768138336E-2</v>
          </cell>
        </row>
        <row r="1442">
          <cell r="BN1442" t="str">
            <v>3750/0.8/6850</v>
          </cell>
          <cell r="BO1442">
            <v>0.61617742468927261</v>
          </cell>
          <cell r="BP1442">
            <v>0.67147238825426581</v>
          </cell>
          <cell r="BQ1442">
            <v>0.63582757301859039</v>
          </cell>
          <cell r="BR1442">
            <v>0.61541290640374202</v>
          </cell>
          <cell r="BS1442">
            <v>0.58622989648223212</v>
          </cell>
          <cell r="BT1442">
            <v>0.47694483689896466</v>
          </cell>
          <cell r="BU1442">
            <v>0.56440249207592486</v>
          </cell>
          <cell r="BV1442">
            <v>0.54010097994175177</v>
          </cell>
          <cell r="BY1442" t="str">
            <v>3000/0.6/6850</v>
          </cell>
          <cell r="BZ1442">
            <v>1.9543303709242066E-2</v>
          </cell>
          <cell r="CA1442">
            <v>1.8034327102551151E-2</v>
          </cell>
        </row>
        <row r="1443">
          <cell r="BN1443" t="str">
            <v>3750/0.8/7500</v>
          </cell>
          <cell r="BO1443">
            <v>0.60798479227786439</v>
          </cell>
          <cell r="BP1443">
            <v>0.66719566655818041</v>
          </cell>
          <cell r="BQ1443">
            <v>0.62774073359818805</v>
          </cell>
          <cell r="BR1443">
            <v>0.60677570946467774</v>
          </cell>
          <cell r="BS1443">
            <v>0.57740279836453401</v>
          </cell>
          <cell r="BT1443">
            <v>0.47261127372192691</v>
          </cell>
          <cell r="BU1443">
            <v>0.55968679568086221</v>
          </cell>
          <cell r="BV1443">
            <v>0.53523631262873117</v>
          </cell>
          <cell r="BY1443" t="str">
            <v>3000/0.6/7500</v>
          </cell>
          <cell r="BZ1443">
            <v>1.9270419947658546E-2</v>
          </cell>
          <cell r="CA1443">
            <v>1.7784109911367363E-2</v>
          </cell>
        </row>
        <row r="1444">
          <cell r="BN1444" t="str">
            <v>3750/0.8/10000</v>
          </cell>
          <cell r="BO1444">
            <v>0.58888822317493783</v>
          </cell>
          <cell r="BP1444">
            <v>0.65864700448356039</v>
          </cell>
          <cell r="BQ1444">
            <v>0.6088768635139632</v>
          </cell>
          <cell r="BR1444">
            <v>0.58602242873627852</v>
          </cell>
          <cell r="BS1444">
            <v>0.55619674986340739</v>
          </cell>
          <cell r="BT1444">
            <v>0.4619850592626209</v>
          </cell>
          <cell r="BU1444">
            <v>0.54745630683207791</v>
          </cell>
          <cell r="BV1444">
            <v>0.52313391394481978</v>
          </cell>
          <cell r="BY1444" t="str">
            <v>3000/0.6/8000</v>
          </cell>
          <cell r="BZ1444">
            <v>1.9108678088272102E-2</v>
          </cell>
          <cell r="CA1444">
            <v>1.7601283379046651E-2</v>
          </cell>
        </row>
        <row r="1445">
          <cell r="BN1445" t="str">
            <v>3750/0.8/99999</v>
          </cell>
          <cell r="BO1445">
            <v>0.52333358667193752</v>
          </cell>
          <cell r="BP1445">
            <v>0.63620124305693038</v>
          </cell>
          <cell r="BQ1445">
            <v>0.54420967705256151</v>
          </cell>
          <cell r="BR1445">
            <v>0.51395954213871686</v>
          </cell>
          <cell r="BS1445">
            <v>0.49942181884144199</v>
          </cell>
          <cell r="BT1445">
            <v>0.42702691234751933</v>
          </cell>
          <cell r="BU1445">
            <v>0.50929150039740323</v>
          </cell>
          <cell r="BV1445">
            <v>0.49225056194502481</v>
          </cell>
          <cell r="BY1445" t="str">
            <v>3000/0.6/9000</v>
          </cell>
          <cell r="BZ1445">
            <v>1.8784208101536359E-2</v>
          </cell>
          <cell r="CA1445">
            <v>1.729492770654395E-2</v>
          </cell>
        </row>
        <row r="1446">
          <cell r="BY1446" t="str">
            <v>3000/0.6/10000</v>
          </cell>
          <cell r="BZ1446">
            <v>1.8503237691893215E-2</v>
          </cell>
          <cell r="CA1446">
            <v>1.7027932275080371E-2</v>
          </cell>
        </row>
        <row r="1447">
          <cell r="BN1447" t="str">
            <v>4000/0.8/4500</v>
          </cell>
          <cell r="BO1447">
            <v>0.66877133629677221</v>
          </cell>
          <cell r="BP1447">
            <v>0.70394231777239857</v>
          </cell>
          <cell r="BQ1447">
            <v>0.68841076926619871</v>
          </cell>
          <cell r="BR1447">
            <v>0.66987404501120329</v>
          </cell>
          <cell r="BS1447">
            <v>0.64303779521187887</v>
          </cell>
          <cell r="BT1447">
            <v>0.51071279681997228</v>
          </cell>
          <cell r="BU1447">
            <v>0.59336579582334681</v>
          </cell>
          <cell r="BV1447">
            <v>0.5700242030678474</v>
          </cell>
          <cell r="BY1447" t="str">
            <v>3000/0.6/99999</v>
          </cell>
          <cell r="BZ1447">
            <v>1.4693923018121113E-2</v>
          </cell>
          <cell r="CA1447">
            <v>1.3780795528705925E-2</v>
          </cell>
        </row>
        <row r="1448">
          <cell r="BN1448" t="str">
            <v>4000/0.8/4750</v>
          </cell>
          <cell r="BO1448">
            <v>0.65999184252880716</v>
          </cell>
          <cell r="BP1448">
            <v>0.6976182013126847</v>
          </cell>
          <cell r="BQ1448">
            <v>0.67978361994594383</v>
          </cell>
          <cell r="BR1448">
            <v>0.66105167970091561</v>
          </cell>
          <cell r="BS1448">
            <v>0.63290640707363122</v>
          </cell>
          <cell r="BT1448">
            <v>0.50252995253267163</v>
          </cell>
          <cell r="BU1448">
            <v>0.58778921873461321</v>
          </cell>
          <cell r="BV1448">
            <v>0.56359961157467175</v>
          </cell>
          <cell r="BY1448" t="str">
            <v>3250/0.6/3500</v>
          </cell>
          <cell r="BZ1448">
            <v>2.1592963726907888E-2</v>
          </cell>
          <cell r="CA1448">
            <v>2.0415078574958168E-2</v>
          </cell>
        </row>
        <row r="1449">
          <cell r="BN1449" t="str">
            <v>4000/0.8/5000</v>
          </cell>
          <cell r="BO1449">
            <v>0.651212348760842</v>
          </cell>
          <cell r="BP1449">
            <v>0.69129408485297084</v>
          </cell>
          <cell r="BQ1449">
            <v>0.67115647062568895</v>
          </cell>
          <cell r="BR1449">
            <v>0.65222931439062781</v>
          </cell>
          <cell r="BS1449">
            <v>0.62277501893538345</v>
          </cell>
          <cell r="BT1449">
            <v>0.49434710824537093</v>
          </cell>
          <cell r="BU1449">
            <v>0.5822126416458796</v>
          </cell>
          <cell r="BV1449">
            <v>0.557175020081496</v>
          </cell>
          <cell r="BY1449" t="str">
            <v>3250/0.6/3250</v>
          </cell>
          <cell r="BZ1449">
            <v>2.1383341544548407E-2</v>
          </cell>
          <cell r="CA1449">
            <v>2.0127020818385077E-2</v>
          </cell>
        </row>
        <row r="1450">
          <cell r="BN1450" t="str">
            <v>4000/0.8/5250</v>
          </cell>
          <cell r="BO1450">
            <v>0.64403316339449068</v>
          </cell>
          <cell r="BP1450">
            <v>0.68712562702399826</v>
          </cell>
          <cell r="BQ1450">
            <v>0.66401174645309713</v>
          </cell>
          <cell r="BR1450">
            <v>0.6450322356573448</v>
          </cell>
          <cell r="BS1450">
            <v>0.61510395947363272</v>
          </cell>
          <cell r="BT1450">
            <v>0.49048152654392707</v>
          </cell>
          <cell r="BU1450">
            <v>0.5778553045817052</v>
          </cell>
          <cell r="BV1450">
            <v>0.55283414833645494</v>
          </cell>
          <cell r="BY1450" t="str">
            <v>3250/0.6/4000</v>
          </cell>
          <cell r="BZ1450">
            <v>2.1173719362188925E-2</v>
          </cell>
          <cell r="CA1450">
            <v>1.9838963061811987E-2</v>
          </cell>
        </row>
        <row r="1451">
          <cell r="BN1451" t="str">
            <v>4000/0.8/5500</v>
          </cell>
          <cell r="BO1451">
            <v>0.63685397802813948</v>
          </cell>
          <cell r="BP1451">
            <v>0.6829571691950258</v>
          </cell>
          <cell r="BQ1451">
            <v>0.65686702228050531</v>
          </cell>
          <cell r="BR1451">
            <v>0.63783515692406167</v>
          </cell>
          <cell r="BS1451">
            <v>0.60743290001188199</v>
          </cell>
          <cell r="BT1451">
            <v>0.48661594484248316</v>
          </cell>
          <cell r="BU1451">
            <v>0.57349796751753068</v>
          </cell>
          <cell r="BV1451">
            <v>0.548493276591414</v>
          </cell>
          <cell r="BY1451" t="str">
            <v>3250/0.6/4250</v>
          </cell>
          <cell r="BZ1451">
            <v>2.0980541507646E-2</v>
          </cell>
          <cell r="CA1451">
            <v>1.9602515669085163E-2</v>
          </cell>
        </row>
        <row r="1452">
          <cell r="BN1452" t="str">
            <v>4000/0.8/5750</v>
          </cell>
          <cell r="BO1452">
            <v>0.6319737736820219</v>
          </cell>
          <cell r="BP1452">
            <v>0.68005549586064884</v>
          </cell>
          <cell r="BQ1452">
            <v>0.65206648763452546</v>
          </cell>
          <cell r="BR1452">
            <v>0.63260872590534456</v>
          </cell>
          <cell r="BS1452">
            <v>0.60205590472206449</v>
          </cell>
          <cell r="BT1452">
            <v>0.4837231608691791</v>
          </cell>
          <cell r="BU1452">
            <v>0.57031121885892877</v>
          </cell>
          <cell r="BV1452">
            <v>0.54529114520521083</v>
          </cell>
          <cell r="BY1452" t="str">
            <v>3250/0.6/4500</v>
          </cell>
          <cell r="BZ1452">
            <v>2.0787363653103075E-2</v>
          </cell>
          <cell r="CA1452">
            <v>1.9366068276358339E-2</v>
          </cell>
        </row>
        <row r="1453">
          <cell r="BN1453" t="str">
            <v>4000/0.8/6000</v>
          </cell>
          <cell r="BO1453">
            <v>0.62709356933590421</v>
          </cell>
          <cell r="BP1453">
            <v>0.67715382252627188</v>
          </cell>
          <cell r="BQ1453">
            <v>0.64726595298854561</v>
          </cell>
          <cell r="BR1453">
            <v>0.62738229488662745</v>
          </cell>
          <cell r="BS1453">
            <v>0.596678909432247</v>
          </cell>
          <cell r="BT1453">
            <v>0.48083037689587504</v>
          </cell>
          <cell r="BU1453">
            <v>0.56712447020032686</v>
          </cell>
          <cell r="BV1453">
            <v>0.54208901381900765</v>
          </cell>
          <cell r="BY1453" t="str">
            <v>3250/0.6/4750</v>
          </cell>
          <cell r="BZ1453">
            <v>2.0618183112806998E-2</v>
          </cell>
          <cell r="CA1453">
            <v>1.9162965692080092E-2</v>
          </cell>
        </row>
        <row r="1454">
          <cell r="BN1454" t="str">
            <v>4000/0.8/6250</v>
          </cell>
          <cell r="BO1454">
            <v>0.62205899832574763</v>
          </cell>
          <cell r="BP1454">
            <v>0.67438727569688139</v>
          </cell>
          <cell r="BQ1454">
            <v>0.64221853186970379</v>
          </cell>
          <cell r="BR1454">
            <v>0.62229414166265828</v>
          </cell>
          <cell r="BS1454">
            <v>0.59154984942812527</v>
          </cell>
          <cell r="BT1454">
            <v>0.47834497751200017</v>
          </cell>
          <cell r="BU1454">
            <v>0.56441668354203567</v>
          </cell>
          <cell r="BV1454">
            <v>0.53918835622548866</v>
          </cell>
          <cell r="BY1454" t="str">
            <v>3250/0.6/5000</v>
          </cell>
          <cell r="BZ1454">
            <v>2.0449002572510921E-2</v>
          </cell>
          <cell r="CA1454">
            <v>1.8959863107801844E-2</v>
          </cell>
        </row>
        <row r="1455">
          <cell r="BN1455" t="str">
            <v>4000/0.8/6350</v>
          </cell>
          <cell r="BO1455">
            <v>0.62004636841399752</v>
          </cell>
          <cell r="BP1455">
            <v>0.67331582371821741</v>
          </cell>
          <cell r="BQ1455">
            <v>0.64019900563642185</v>
          </cell>
          <cell r="BR1455">
            <v>0.62028310232671235</v>
          </cell>
          <cell r="BS1455">
            <v>0.58967672854937658</v>
          </cell>
          <cell r="BT1455">
            <v>0.47737084243357381</v>
          </cell>
          <cell r="BU1455">
            <v>0.56335119033897141</v>
          </cell>
          <cell r="BV1455">
            <v>0.53804500608590977</v>
          </cell>
          <cell r="BY1455" t="str">
            <v>3250/0.6/5250</v>
          </cell>
          <cell r="BZ1455">
            <v>2.029904990046405E-2</v>
          </cell>
          <cell r="CA1455">
            <v>1.8779411028658821E-2</v>
          </cell>
        </row>
        <row r="1456">
          <cell r="BN1456" t="str">
            <v>4000/0.8/6600</v>
          </cell>
          <cell r="BO1456">
            <v>0.61566665789030606</v>
          </cell>
          <cell r="BP1456">
            <v>0.67083453737864085</v>
          </cell>
          <cell r="BQ1456">
            <v>0.63597769073737731</v>
          </cell>
          <cell r="BR1456">
            <v>0.61544083533368432</v>
          </cell>
          <cell r="BS1456">
            <v>0.58515486457091015</v>
          </cell>
          <cell r="BT1456">
            <v>0.47498402786805116</v>
          </cell>
          <cell r="BU1456">
            <v>0.56068166860162649</v>
          </cell>
          <cell r="BV1456">
            <v>0.53570959768756121</v>
          </cell>
          <cell r="BY1456" t="str">
            <v>3250/0.6/5500</v>
          </cell>
          <cell r="BZ1456">
            <v>2.0149097228417179E-2</v>
          </cell>
          <cell r="CA1456">
            <v>1.8598958949515798E-2</v>
          </cell>
        </row>
        <row r="1457">
          <cell r="BN1457" t="str">
            <v>4000/0.8/6850</v>
          </cell>
          <cell r="BO1457">
            <v>0.61230513354414295</v>
          </cell>
          <cell r="BP1457">
            <v>0.66893499785530908</v>
          </cell>
          <cell r="BQ1457">
            <v>0.63260801352062979</v>
          </cell>
          <cell r="BR1457">
            <v>0.61166959408107746</v>
          </cell>
          <cell r="BS1457">
            <v>0.58114696751964889</v>
          </cell>
          <cell r="BT1457">
            <v>0.47278730030917654</v>
          </cell>
          <cell r="BU1457">
            <v>0.55860841872543388</v>
          </cell>
          <cell r="BV1457">
            <v>0.53347167732930112</v>
          </cell>
          <cell r="BY1457" t="str">
            <v>3250/0.6/5750</v>
          </cell>
          <cell r="BZ1457">
            <v>2.0013789929958503E-2</v>
          </cell>
          <cell r="CA1457">
            <v>1.8452613349761005E-2</v>
          </cell>
        </row>
        <row r="1458">
          <cell r="BN1458" t="str">
            <v>4000/0.8/7500</v>
          </cell>
          <cell r="BO1458">
            <v>0.60355775360439901</v>
          </cell>
          <cell r="BP1458">
            <v>0.66451874982958692</v>
          </cell>
          <cell r="BQ1458">
            <v>0.62396437116736381</v>
          </cell>
          <cell r="BR1458">
            <v>0.60283259212532792</v>
          </cell>
          <cell r="BS1458">
            <v>0.57207124486236949</v>
          </cell>
          <cell r="BT1458">
            <v>0.46839976650052395</v>
          </cell>
          <cell r="BU1458">
            <v>0.55365249085352664</v>
          </cell>
          <cell r="BV1458">
            <v>0.52833366983249974</v>
          </cell>
          <cell r="BY1458" t="str">
            <v>3250/0.6/6000</v>
          </cell>
          <cell r="BZ1458">
            <v>1.9878482631499828E-2</v>
          </cell>
          <cell r="CA1458">
            <v>1.8306267750006211E-2</v>
          </cell>
        </row>
        <row r="1459">
          <cell r="BN1459" t="str">
            <v>4000/0.8/10000</v>
          </cell>
          <cell r="BO1459">
            <v>0.58322970637666427</v>
          </cell>
          <cell r="BP1459">
            <v>0.65510925840990375</v>
          </cell>
          <cell r="BQ1459">
            <v>0.60385944114922185</v>
          </cell>
          <cell r="BR1459">
            <v>0.58089822802527513</v>
          </cell>
          <cell r="BS1459">
            <v>0.54967339721853636</v>
          </cell>
          <cell r="BT1459">
            <v>0.45715306363554481</v>
          </cell>
          <cell r="BU1459">
            <v>0.5407732386252827</v>
          </cell>
          <cell r="BV1459">
            <v>0.51569085952426452</v>
          </cell>
          <cell r="BY1459" t="str">
            <v>3250/0.6/6250</v>
          </cell>
          <cell r="BZ1459">
            <v>1.9752509595239665E-2</v>
          </cell>
          <cell r="CA1459">
            <v>1.8172138227213197E-2</v>
          </cell>
        </row>
        <row r="1460">
          <cell r="BN1460" t="str">
            <v>4000/0.8/99999</v>
          </cell>
          <cell r="BO1460">
            <v>0.51667373180445708</v>
          </cell>
          <cell r="BP1460">
            <v>0.63221554724608287</v>
          </cell>
          <cell r="BQ1460">
            <v>0.53818700574206313</v>
          </cell>
          <cell r="BR1460">
            <v>0.50737599061975602</v>
          </cell>
          <cell r="BS1460">
            <v>0.49394817447725309</v>
          </cell>
          <cell r="BT1460">
            <v>0.4214950605356278</v>
          </cell>
          <cell r="BU1460">
            <v>0.50203744150206242</v>
          </cell>
          <cell r="BV1460">
            <v>0.48405528494771644</v>
          </cell>
          <cell r="BY1460" t="str">
            <v>3250/0.6/6350</v>
          </cell>
          <cell r="BZ1460">
            <v>1.9702777563475382E-2</v>
          </cell>
          <cell r="CA1460">
            <v>1.8118240033134225E-2</v>
          </cell>
        </row>
        <row r="1461">
          <cell r="BY1461" t="str">
            <v>3250/0.6/6600</v>
          </cell>
          <cell r="BZ1461">
            <v>1.9580576328126265E-2</v>
          </cell>
          <cell r="CA1461">
            <v>1.7985031242903515E-2</v>
          </cell>
        </row>
        <row r="1462">
          <cell r="BN1462" t="str">
            <v>4250/0.8/5250</v>
          </cell>
          <cell r="BO1462">
            <v>0.64100000000000001</v>
          </cell>
          <cell r="BP1462">
            <v>0.68799999999999994</v>
          </cell>
          <cell r="BQ1462">
            <v>0.66453646377786224</v>
          </cell>
          <cell r="BR1462">
            <v>0.64400000000000002</v>
          </cell>
          <cell r="BS1462">
            <v>0.61299999999999999</v>
          </cell>
          <cell r="BT1462">
            <v>0.48799999999999999</v>
          </cell>
          <cell r="BU1462">
            <v>0.57499999999999996</v>
          </cell>
          <cell r="BV1462">
            <v>0.54900000000000004</v>
          </cell>
          <cell r="BY1462" t="str">
            <v>3250/0.6/6850</v>
          </cell>
          <cell r="BZ1462">
            <v>1.9457903258415898E-2</v>
          </cell>
          <cell r="CA1462">
            <v>1.7861458289326948E-2</v>
          </cell>
        </row>
        <row r="1463">
          <cell r="BN1463" t="str">
            <v>4250/0.8/5500</v>
          </cell>
          <cell r="BO1463">
            <v>0.63705792773061809</v>
          </cell>
          <cell r="BP1463">
            <v>0.68374909926023641</v>
          </cell>
          <cell r="BQ1463">
            <v>0.65753646377786223</v>
          </cell>
          <cell r="BR1463">
            <v>0.6381208390733818</v>
          </cell>
          <cell r="BS1463">
            <v>0.60687614777339971</v>
          </cell>
          <cell r="BT1463">
            <v>0.485360552797517</v>
          </cell>
          <cell r="BU1463">
            <v>0.57065531154506</v>
          </cell>
          <cell r="BV1463">
            <v>0.54511919506643902</v>
          </cell>
          <cell r="BY1463" t="str">
            <v>3250/0.6/7500</v>
          </cell>
          <cell r="BZ1463">
            <v>1.9161260069724739E-2</v>
          </cell>
          <cell r="CA1463">
            <v>1.7595884313387544E-2</v>
          </cell>
        </row>
        <row r="1464">
          <cell r="BN1464" t="str">
            <v>4250/0.8/5750</v>
          </cell>
          <cell r="BO1464">
            <v>0.63137043529130554</v>
          </cell>
          <cell r="BP1464">
            <v>0.68017968897086378</v>
          </cell>
          <cell r="BQ1464">
            <v>0.65194428871696175</v>
          </cell>
          <cell r="BR1464">
            <v>0.63216828002630687</v>
          </cell>
          <cell r="BS1464">
            <v>0.60063492325874579</v>
          </cell>
          <cell r="BT1464">
            <v>0.48196473616482038</v>
          </cell>
          <cell r="BU1464">
            <v>0.56702203558531628</v>
          </cell>
          <cell r="BV1464">
            <v>0.54132544304748742</v>
          </cell>
          <cell r="BY1464" t="str">
            <v>3250/0.6/8000</v>
          </cell>
          <cell r="BZ1464">
            <v>1.8998057569018401E-2</v>
          </cell>
          <cell r="CA1464">
            <v>1.7413576418724541E-2</v>
          </cell>
        </row>
        <row r="1465">
          <cell r="BN1465" t="str">
            <v>4250/0.8/6000</v>
          </cell>
          <cell r="BO1465">
            <v>0.62568294285199277</v>
          </cell>
          <cell r="BP1465">
            <v>0.67661027868149115</v>
          </cell>
          <cell r="BQ1465">
            <v>0.64635211365606127</v>
          </cell>
          <cell r="BR1465">
            <v>0.62621572097923195</v>
          </cell>
          <cell r="BS1465">
            <v>0.59439369874409209</v>
          </cell>
          <cell r="BT1465">
            <v>0.47856891953212377</v>
          </cell>
          <cell r="BU1465">
            <v>0.56338875962557244</v>
          </cell>
          <cell r="BV1465">
            <v>0.53753169102853593</v>
          </cell>
          <cell r="BY1465" t="str">
            <v>3250/0.6/9000</v>
          </cell>
          <cell r="BZ1465">
            <v>1.8673788363231414E-2</v>
          </cell>
          <cell r="CA1465">
            <v>1.7098223444259597E-2</v>
          </cell>
        </row>
        <row r="1466">
          <cell r="BN1466" t="str">
            <v>4250/0.8/6250</v>
          </cell>
          <cell r="BO1466">
            <v>0.62011953209285153</v>
          </cell>
          <cell r="BP1466">
            <v>0.6735662205052001</v>
          </cell>
          <cell r="BQ1466">
            <v>0.64077385359841088</v>
          </cell>
          <cell r="BR1466">
            <v>0.62061489836939976</v>
          </cell>
          <cell r="BS1466">
            <v>0.58863578884279555</v>
          </cell>
          <cell r="BT1466">
            <v>0.47577310538204504</v>
          </cell>
          <cell r="BU1466">
            <v>0.56031588429450208</v>
          </cell>
          <cell r="BV1466">
            <v>0.53433196166943397</v>
          </cell>
          <cell r="BY1466" t="str">
            <v>3250/0.6/10000</v>
          </cell>
          <cell r="BZ1466">
            <v>1.8378603133081706E-2</v>
          </cell>
          <cell r="CA1466">
            <v>1.6821781885304476E-2</v>
          </cell>
        </row>
        <row r="1467">
          <cell r="BN1467" t="str">
            <v>4250/0.8/6350</v>
          </cell>
          <cell r="BO1467">
            <v>0.61796231340989927</v>
          </cell>
          <cell r="BP1467">
            <v>0.67237534847913372</v>
          </cell>
          <cell r="BQ1467">
            <v>0.63867461347546606</v>
          </cell>
          <cell r="BR1467">
            <v>0.61839017187630918</v>
          </cell>
          <cell r="BS1467">
            <v>0.58655405756476209</v>
          </cell>
          <cell r="BT1467">
            <v>0.47467232737578657</v>
          </cell>
          <cell r="BU1467">
            <v>0.55910949762930318</v>
          </cell>
          <cell r="BV1467">
            <v>0.53305904515217173</v>
          </cell>
          <cell r="BY1467" t="str">
            <v>3250/0.6/99999</v>
          </cell>
          <cell r="BZ1467">
            <v>1.4535690951355651E-2</v>
          </cell>
          <cell r="CA1467">
            <v>1.3544805229494417E-2</v>
          </cell>
        </row>
        <row r="1468">
          <cell r="BN1468" t="str">
            <v>4250/0.8/6600</v>
          </cell>
          <cell r="BO1468">
            <v>0.61343432808409615</v>
          </cell>
          <cell r="BP1468">
            <v>0.66975482577288881</v>
          </cell>
          <cell r="BQ1468">
            <v>0.63426097699685247</v>
          </cell>
          <cell r="BR1468">
            <v>0.61343881001048972</v>
          </cell>
          <cell r="BS1468">
            <v>0.58176557150019059</v>
          </cell>
          <cell r="BT1468">
            <v>0.47201345886731594</v>
          </cell>
          <cell r="BU1468">
            <v>0.55625115928004776</v>
          </cell>
          <cell r="BV1468">
            <v>0.53047628125890089</v>
          </cell>
          <cell r="BY1468" t="str">
            <v>3500/0.6/3500</v>
          </cell>
          <cell r="BZ1468">
            <v>2.1542487661292187E-2</v>
          </cell>
          <cell r="CA1468">
            <v>2.0379452466365633E-2</v>
          </cell>
        </row>
        <row r="1469">
          <cell r="BN1469" t="str">
            <v>4250/0.8/6850</v>
          </cell>
          <cell r="BO1469">
            <v>0.60971678536810159</v>
          </cell>
          <cell r="BP1469">
            <v>0.6676407739189899</v>
          </cell>
          <cell r="BQ1469">
            <v>0.63053741662053442</v>
          </cell>
          <cell r="BR1469">
            <v>0.60941301190149255</v>
          </cell>
          <cell r="BS1469">
            <v>0.57747692825383123</v>
          </cell>
          <cell r="BT1469">
            <v>0.46978918080443055</v>
          </cell>
          <cell r="BU1469">
            <v>0.5540068428267102</v>
          </cell>
          <cell r="BV1469">
            <v>0.52808261209482299</v>
          </cell>
          <cell r="BY1469" t="str">
            <v>3500/0.6/3250</v>
          </cell>
          <cell r="BZ1469">
            <v>2.1340362035152882E-2</v>
          </cell>
          <cell r="CA1469">
            <v>2.0068314970854373E-2</v>
          </cell>
        </row>
        <row r="1470">
          <cell r="BN1470" t="str">
            <v>4250/0.8/7500</v>
          </cell>
          <cell r="BO1470">
            <v>0.60018617159199916</v>
          </cell>
          <cell r="BP1470">
            <v>0.66264478197459309</v>
          </cell>
          <cell r="BQ1470">
            <v>0.62111513208915459</v>
          </cell>
          <cell r="BR1470">
            <v>0.59960018129754378</v>
          </cell>
          <cell r="BS1470">
            <v>0.56761614862063736</v>
          </cell>
          <cell r="BT1470">
            <v>0.46493873075907882</v>
          </cell>
          <cell r="BU1470">
            <v>0.54858071484271531</v>
          </cell>
          <cell r="BV1470">
            <v>0.52255245986873078</v>
          </cell>
          <cell r="BY1470" t="str">
            <v>3500/0.6/4000</v>
          </cell>
          <cell r="BZ1470">
            <v>2.1138236409013578E-2</v>
          </cell>
          <cell r="CA1470">
            <v>1.9757177475343113E-2</v>
          </cell>
        </row>
        <row r="1471">
          <cell r="BN1471" t="str">
            <v>4250/0.8/10000</v>
          </cell>
          <cell r="BO1471">
            <v>0.57848705862420569</v>
          </cell>
          <cell r="BP1471">
            <v>0.65228592979317535</v>
          </cell>
          <cell r="BQ1471">
            <v>0.59962370835435319</v>
          </cell>
          <cell r="BR1471">
            <v>0.57633422922734989</v>
          </cell>
          <cell r="BS1471">
            <v>0.54378485973418877</v>
          </cell>
          <cell r="BT1471">
            <v>0.45298558091351215</v>
          </cell>
          <cell r="BU1471">
            <v>0.53505689166014347</v>
          </cell>
          <cell r="BV1471">
            <v>0.50908272809600308</v>
          </cell>
          <cell r="BY1471" t="str">
            <v>3500/0.6/4250</v>
          </cell>
          <cell r="BZ1471">
            <v>2.0937004268769543E-2</v>
          </cell>
          <cell r="CA1471">
            <v>1.9508461773962149E-2</v>
          </cell>
        </row>
        <row r="1472">
          <cell r="BN1472" t="str">
            <v>4250/0.8/99999</v>
          </cell>
          <cell r="BO1472">
            <v>0.51141713892915963</v>
          </cell>
          <cell r="BP1472">
            <v>0.62890338279349645</v>
          </cell>
          <cell r="BQ1472">
            <v>0.53260947564814254</v>
          </cell>
          <cell r="BR1472">
            <v>0.50329471676819493</v>
          </cell>
          <cell r="BS1472">
            <v>0.4901613409014336</v>
          </cell>
          <cell r="BT1472">
            <v>0.4166019334493159</v>
          </cell>
          <cell r="BU1472">
            <v>0.49547229420533573</v>
          </cell>
          <cell r="BV1472">
            <v>0.47671248258855614</v>
          </cell>
          <cell r="BY1472" t="str">
            <v>3500/0.6/4500</v>
          </cell>
          <cell r="BZ1472">
            <v>2.0735772128525509E-2</v>
          </cell>
          <cell r="CA1472">
            <v>1.9259746072581185E-2</v>
          </cell>
        </row>
        <row r="1473">
          <cell r="BY1473" t="str">
            <v>3500/0.6/4750</v>
          </cell>
          <cell r="BZ1473">
            <v>2.0559937441879228E-2</v>
          </cell>
          <cell r="CA1473">
            <v>1.904540626317508E-2</v>
          </cell>
        </row>
        <row r="1474">
          <cell r="BN1474" t="str">
            <v>4500/0.8/5500</v>
          </cell>
          <cell r="BO1474">
            <v>0.6372618774330967</v>
          </cell>
          <cell r="BP1474">
            <v>0.68454102932544703</v>
          </cell>
          <cell r="BQ1474">
            <v>0.65820590527521916</v>
          </cell>
          <cell r="BR1474">
            <v>0.63840652122270192</v>
          </cell>
          <cell r="BS1474">
            <v>0.60631939553491732</v>
          </cell>
          <cell r="BT1474">
            <v>0.48410516075255078</v>
          </cell>
          <cell r="BU1474">
            <v>0.56781265557258931</v>
          </cell>
          <cell r="BV1474">
            <v>0.54174511354146404</v>
          </cell>
          <cell r="BY1474" t="str">
            <v>3500/0.6/5000</v>
          </cell>
          <cell r="BZ1474">
            <v>2.0384102755232947E-2</v>
          </cell>
          <cell r="CA1474">
            <v>1.8831066453768974E-2</v>
          </cell>
        </row>
        <row r="1475">
          <cell r="BN1475" t="str">
            <v>4500/0.8/5750</v>
          </cell>
          <cell r="BO1475">
            <v>0.63076709690058919</v>
          </cell>
          <cell r="BP1475">
            <v>0.68030388208107873</v>
          </cell>
          <cell r="BQ1475">
            <v>0.65182208979939804</v>
          </cell>
          <cell r="BR1475">
            <v>0.63172783414726918</v>
          </cell>
          <cell r="BS1475">
            <v>0.5992139417954272</v>
          </cell>
          <cell r="BT1475">
            <v>0.48020631146046167</v>
          </cell>
          <cell r="BU1475">
            <v>0.56373285231170378</v>
          </cell>
          <cell r="BV1475">
            <v>0.53735974088976413</v>
          </cell>
          <cell r="BY1475" t="str">
            <v>3500/0.6/5250</v>
          </cell>
          <cell r="BZ1475">
            <v>2.0229814444244099E-2</v>
          </cell>
          <cell r="CA1475">
            <v>1.8646039079016297E-2</v>
          </cell>
        </row>
        <row r="1476">
          <cell r="BN1476" t="str">
            <v>4500/0.8/6000</v>
          </cell>
          <cell r="BO1476">
            <v>0.62427231636808145</v>
          </cell>
          <cell r="BP1476">
            <v>0.67606673483671031</v>
          </cell>
          <cell r="BQ1476">
            <v>0.64543827432357703</v>
          </cell>
          <cell r="BR1476">
            <v>0.62504914707183645</v>
          </cell>
          <cell r="BS1476">
            <v>0.59210848805593719</v>
          </cell>
          <cell r="BT1476">
            <v>0.4763074621683725</v>
          </cell>
          <cell r="BU1476">
            <v>0.55965304905081814</v>
          </cell>
          <cell r="BV1476">
            <v>0.53297436823806421</v>
          </cell>
          <cell r="BY1476" t="str">
            <v>3500/0.6/5500</v>
          </cell>
          <cell r="BZ1476">
            <v>2.007552613325525E-2</v>
          </cell>
          <cell r="CA1476">
            <v>1.8461011704263619E-2</v>
          </cell>
        </row>
        <row r="1477">
          <cell r="BN1477" t="str">
            <v>4500/0.8/6250</v>
          </cell>
          <cell r="BO1477">
            <v>0.61818006585995544</v>
          </cell>
          <cell r="BP1477">
            <v>0.6727451653135188</v>
          </cell>
          <cell r="BQ1477">
            <v>0.63932917532711808</v>
          </cell>
          <cell r="BR1477">
            <v>0.61893565507614123</v>
          </cell>
          <cell r="BS1477">
            <v>0.58572172825746582</v>
          </cell>
          <cell r="BT1477">
            <v>0.4732012332520899</v>
          </cell>
          <cell r="BU1477">
            <v>0.55621508504696848</v>
          </cell>
          <cell r="BV1477">
            <v>0.52947556711337918</v>
          </cell>
          <cell r="BY1477" t="str">
            <v>3500/0.6/5750</v>
          </cell>
          <cell r="BZ1477">
            <v>1.9936061627674584E-2</v>
          </cell>
          <cell r="CA1477">
            <v>1.830302050447552E-2</v>
          </cell>
        </row>
        <row r="1478">
          <cell r="BN1478" t="str">
            <v>4500/0.8/6350</v>
          </cell>
          <cell r="BO1478">
            <v>0.6158782584058009</v>
          </cell>
          <cell r="BP1478">
            <v>0.67143487324005013</v>
          </cell>
          <cell r="BQ1478">
            <v>0.63715022131451027</v>
          </cell>
          <cell r="BR1478">
            <v>0.6164972414259059</v>
          </cell>
          <cell r="BS1478">
            <v>0.5834313865801477</v>
          </cell>
          <cell r="BT1478">
            <v>0.4719738123179994</v>
          </cell>
          <cell r="BU1478">
            <v>0.55486780491963494</v>
          </cell>
          <cell r="BV1478">
            <v>0.5280730842184338</v>
          </cell>
          <cell r="BY1478" t="str">
            <v>3500/0.6/6000</v>
          </cell>
          <cell r="BZ1478">
            <v>1.9796597122093917E-2</v>
          </cell>
          <cell r="CA1478">
            <v>1.8145029304687421E-2</v>
          </cell>
        </row>
        <row r="1479">
          <cell r="BN1479" t="str">
            <v>4500/0.8/6600</v>
          </cell>
          <cell r="BO1479">
            <v>0.61120199827788624</v>
          </cell>
          <cell r="BP1479">
            <v>0.66867511416713676</v>
          </cell>
          <cell r="BQ1479">
            <v>0.63254426325632762</v>
          </cell>
          <cell r="BR1479">
            <v>0.61143678468729501</v>
          </cell>
          <cell r="BS1479">
            <v>0.57837627842947092</v>
          </cell>
          <cell r="BT1479">
            <v>0.46904288986658071</v>
          </cell>
          <cell r="BU1479">
            <v>0.55182064995846902</v>
          </cell>
          <cell r="BV1479">
            <v>0.52524296483024058</v>
          </cell>
          <cell r="BY1479" t="str">
            <v>3500/0.6/6250</v>
          </cell>
          <cell r="BZ1479">
            <v>1.9667392251414118E-2</v>
          </cell>
          <cell r="CA1479">
            <v>1.8010801223132145E-2</v>
          </cell>
        </row>
        <row r="1480">
          <cell r="BN1480" t="str">
            <v>4500/0.8/6850</v>
          </cell>
          <cell r="BO1480">
            <v>0.60712843719206033</v>
          </cell>
          <cell r="BP1480">
            <v>0.66634654998267073</v>
          </cell>
          <cell r="BQ1480">
            <v>0.62846681972043905</v>
          </cell>
          <cell r="BR1480">
            <v>0.60715642972190764</v>
          </cell>
          <cell r="BS1480">
            <v>0.57380688898801346</v>
          </cell>
          <cell r="BT1480">
            <v>0.46679106129968462</v>
          </cell>
          <cell r="BU1480">
            <v>0.54940526692798652</v>
          </cell>
          <cell r="BV1480">
            <v>0.52269354686034486</v>
          </cell>
          <cell r="BY1480" t="str">
            <v>3500/0.6/6350</v>
          </cell>
          <cell r="BZ1480">
            <v>1.9616793533327348E-2</v>
          </cell>
          <cell r="CA1480">
            <v>1.7957011627525166E-2</v>
          </cell>
        </row>
        <row r="1481">
          <cell r="BN1481" t="str">
            <v>4500/0.8/7500</v>
          </cell>
          <cell r="BO1481">
            <v>0.59681458957959932</v>
          </cell>
          <cell r="BP1481">
            <v>0.66077081411959915</v>
          </cell>
          <cell r="BQ1481">
            <v>0.61826589301094548</v>
          </cell>
          <cell r="BR1481">
            <v>0.59636777046975964</v>
          </cell>
          <cell r="BS1481">
            <v>0.56316105237890524</v>
          </cell>
          <cell r="BT1481">
            <v>0.46147769501763369</v>
          </cell>
          <cell r="BU1481">
            <v>0.54350893883190399</v>
          </cell>
          <cell r="BV1481">
            <v>0.51677124990496193</v>
          </cell>
          <cell r="BY1481" t="str">
            <v>3500/0.6/6600</v>
          </cell>
          <cell r="BZ1481">
            <v>1.9494884347075692E-2</v>
          </cell>
          <cell r="CA1481">
            <v>1.7822919717668695E-2</v>
          </cell>
        </row>
        <row r="1482">
          <cell r="BN1482" t="str">
            <v>4500/0.8/10000</v>
          </cell>
          <cell r="BO1482">
            <v>0.57374441087174721</v>
          </cell>
          <cell r="BP1482">
            <v>0.64946260117644683</v>
          </cell>
          <cell r="BQ1482">
            <v>0.59538797555948464</v>
          </cell>
          <cell r="BR1482">
            <v>0.57177023042942465</v>
          </cell>
          <cell r="BS1482">
            <v>0.53789632224984119</v>
          </cell>
          <cell r="BT1482">
            <v>0.44881809819147944</v>
          </cell>
          <cell r="BU1482">
            <v>0.52934054469500424</v>
          </cell>
          <cell r="BV1482">
            <v>0.50247459666774164</v>
          </cell>
          <cell r="BY1482" t="str">
            <v>3500/0.6/6850</v>
          </cell>
          <cell r="BZ1482">
            <v>1.9372502807589731E-2</v>
          </cell>
          <cell r="CA1482">
            <v>1.7688589476102745E-2</v>
          </cell>
        </row>
        <row r="1483">
          <cell r="BN1483" t="str">
            <v>4500/0.8/99999</v>
          </cell>
          <cell r="BO1483">
            <v>0.50616054605386218</v>
          </cell>
          <cell r="BP1483">
            <v>0.62559121834091003</v>
          </cell>
          <cell r="BQ1483">
            <v>0.52703194555422206</v>
          </cell>
          <cell r="BR1483">
            <v>0.49921344291663394</v>
          </cell>
          <cell r="BS1483">
            <v>0.48637450732561416</v>
          </cell>
          <cell r="BT1483">
            <v>0.411708806363004</v>
          </cell>
          <cell r="BU1483">
            <v>0.48890714690860904</v>
          </cell>
          <cell r="BV1483">
            <v>0.46936968022939585</v>
          </cell>
          <cell r="BY1483" t="str">
            <v>3500/0.6/7500</v>
          </cell>
          <cell r="BZ1483">
            <v>1.9052100191790933E-2</v>
          </cell>
          <cell r="CA1483">
            <v>1.7407658715407726E-2</v>
          </cell>
        </row>
        <row r="1484">
          <cell r="BY1484" t="str">
            <v>3500/0.6/8000</v>
          </cell>
          <cell r="BZ1484">
            <v>1.8887437049764699E-2</v>
          </cell>
          <cell r="CA1484">
            <v>1.7225869458402432E-2</v>
          </cell>
        </row>
        <row r="1485">
          <cell r="BN1485" t="str">
            <v>4750/0.8/5500</v>
          </cell>
          <cell r="BO1485">
            <v>0.63746582713557531</v>
          </cell>
          <cell r="BP1485">
            <v>0.68533295939065764</v>
          </cell>
          <cell r="BQ1485">
            <v>0.65887534677257609</v>
          </cell>
          <cell r="BR1485">
            <v>0.63869220337202204</v>
          </cell>
          <cell r="BS1485">
            <v>0.60576264329643492</v>
          </cell>
          <cell r="BT1485">
            <v>0.48284976870758456</v>
          </cell>
          <cell r="BU1485">
            <v>0.56496999960011862</v>
          </cell>
          <cell r="BV1485">
            <v>0.53837103201648906</v>
          </cell>
          <cell r="BY1485" t="str">
            <v>3500/0.6/9000</v>
          </cell>
          <cell r="BZ1485">
            <v>1.8563368624926468E-2</v>
          </cell>
          <cell r="CA1485">
            <v>1.6901519181975244E-2</v>
          </cell>
        </row>
        <row r="1486">
          <cell r="BN1486" t="str">
            <v>4750/0.8/5750</v>
          </cell>
          <cell r="BO1486">
            <v>0.63016375850987283</v>
          </cell>
          <cell r="BP1486">
            <v>0.68042807519129367</v>
          </cell>
          <cell r="BQ1486">
            <v>0.65169989088183433</v>
          </cell>
          <cell r="BR1486">
            <v>0.6312873882682315</v>
          </cell>
          <cell r="BS1486">
            <v>0.5977929603321086</v>
          </cell>
          <cell r="BT1486">
            <v>0.47844788675610295</v>
          </cell>
          <cell r="BU1486">
            <v>0.56044366903809117</v>
          </cell>
          <cell r="BV1486">
            <v>0.53339403873204083</v>
          </cell>
          <cell r="BY1486" t="str">
            <v>3500/0.6/10000</v>
          </cell>
          <cell r="BZ1486">
            <v>1.8253968574270196E-2</v>
          </cell>
          <cell r="CA1486">
            <v>1.6615631495528582E-2</v>
          </cell>
        </row>
        <row r="1487">
          <cell r="BN1487" t="str">
            <v>4750/0.8/6000</v>
          </cell>
          <cell r="BO1487">
            <v>0.62286168988417012</v>
          </cell>
          <cell r="BP1487">
            <v>0.67552319099192948</v>
          </cell>
          <cell r="BQ1487">
            <v>0.6445244349910928</v>
          </cell>
          <cell r="BR1487">
            <v>0.62388257316444107</v>
          </cell>
          <cell r="BS1487">
            <v>0.58982327736778228</v>
          </cell>
          <cell r="BT1487">
            <v>0.47404600480462122</v>
          </cell>
          <cell r="BU1487">
            <v>0.55591733847606384</v>
          </cell>
          <cell r="BV1487">
            <v>0.52841704544759249</v>
          </cell>
          <cell r="BY1487" t="str">
            <v>3500/0.6/99999</v>
          </cell>
          <cell r="BZ1487">
            <v>1.4377458884590189E-2</v>
          </cell>
          <cell r="CA1487">
            <v>1.3308814930282908E-2</v>
          </cell>
        </row>
        <row r="1488">
          <cell r="BN1488" t="str">
            <v>4750/0.8/6250</v>
          </cell>
          <cell r="BO1488">
            <v>0.61624059962705924</v>
          </cell>
          <cell r="BP1488">
            <v>0.67192411012183739</v>
          </cell>
          <cell r="BQ1488">
            <v>0.63788449705582528</v>
          </cell>
          <cell r="BR1488">
            <v>0.61725641178288271</v>
          </cell>
          <cell r="BS1488">
            <v>0.5828076676721361</v>
          </cell>
          <cell r="BT1488">
            <v>0.47062936112213477</v>
          </cell>
          <cell r="BU1488">
            <v>0.55211428579943489</v>
          </cell>
          <cell r="BV1488">
            <v>0.52461917255732438</v>
          </cell>
          <cell r="BY1488" t="str">
            <v>3750/0.6/4000</v>
          </cell>
          <cell r="BZ1488">
            <v>2.1094616153724211E-2</v>
          </cell>
          <cell r="CA1488">
            <v>1.9728117234666054E-2</v>
          </cell>
        </row>
        <row r="1489">
          <cell r="BN1489" t="str">
            <v>4750/0.8/6350</v>
          </cell>
          <cell r="BO1489">
            <v>0.61379420340170254</v>
          </cell>
          <cell r="BP1489">
            <v>0.67049439800096655</v>
          </cell>
          <cell r="BQ1489">
            <v>0.63562582915355448</v>
          </cell>
          <cell r="BR1489">
            <v>0.61460431097550261</v>
          </cell>
          <cell r="BS1489">
            <v>0.58030871559553321</v>
          </cell>
          <cell r="BT1489">
            <v>0.46927529726021222</v>
          </cell>
          <cell r="BU1489">
            <v>0.55062611220996671</v>
          </cell>
          <cell r="BV1489">
            <v>0.52308712328469587</v>
          </cell>
          <cell r="BY1489" t="str">
            <v>3750/0.6/4250</v>
          </cell>
          <cell r="BZ1489">
            <v>2.0900621662361007E-2</v>
          </cell>
          <cell r="CA1489">
            <v>1.9459300206400854E-2</v>
          </cell>
        </row>
        <row r="1490">
          <cell r="BN1490" t="str">
            <v>4750/0.8/6600</v>
          </cell>
          <cell r="BO1490">
            <v>0.60896966847167633</v>
          </cell>
          <cell r="BP1490">
            <v>0.66759540256138461</v>
          </cell>
          <cell r="BQ1490">
            <v>0.63082754951580267</v>
          </cell>
          <cell r="BR1490">
            <v>0.6094347593641003</v>
          </cell>
          <cell r="BS1490">
            <v>0.57498698535875126</v>
          </cell>
          <cell r="BT1490">
            <v>0.46607232086584549</v>
          </cell>
          <cell r="BU1490">
            <v>0.5473901406368904</v>
          </cell>
          <cell r="BV1490">
            <v>0.52000964840158015</v>
          </cell>
          <cell r="BY1490" t="str">
            <v>3750/0.6/4500</v>
          </cell>
          <cell r="BZ1490">
            <v>2.0706627170997804E-2</v>
          </cell>
          <cell r="CA1490">
            <v>1.9190483178135653E-2</v>
          </cell>
        </row>
        <row r="1491">
          <cell r="BN1491" t="str">
            <v>4750/0.8/6850</v>
          </cell>
          <cell r="BO1491">
            <v>0.60454008901601908</v>
          </cell>
          <cell r="BP1491">
            <v>0.66505232604635156</v>
          </cell>
          <cell r="BQ1491">
            <v>0.62639622282034368</v>
          </cell>
          <cell r="BR1491">
            <v>0.60489984754232273</v>
          </cell>
          <cell r="BS1491">
            <v>0.5701368497221958</v>
          </cell>
          <cell r="BT1491">
            <v>0.46379294179493868</v>
          </cell>
          <cell r="BU1491">
            <v>0.54480369102926285</v>
          </cell>
          <cell r="BV1491">
            <v>0.51730448162586673</v>
          </cell>
          <cell r="BY1491" t="str">
            <v>3750/0.6/4750</v>
          </cell>
          <cell r="BZ1491">
            <v>2.0524208027604962E-2</v>
          </cell>
          <cell r="CA1491">
            <v>1.8965300296782783E-2</v>
          </cell>
        </row>
        <row r="1492">
          <cell r="BN1492" t="str">
            <v>4750/0.8/7500</v>
          </cell>
          <cell r="BO1492">
            <v>0.59344300756719948</v>
          </cell>
          <cell r="BP1492">
            <v>0.65889684626460521</v>
          </cell>
          <cell r="BQ1492">
            <v>0.61541665393273637</v>
          </cell>
          <cell r="BR1492">
            <v>0.5931353596419755</v>
          </cell>
          <cell r="BS1492">
            <v>0.558705956137173</v>
          </cell>
          <cell r="BT1492">
            <v>0.45801665927618851</v>
          </cell>
          <cell r="BU1492">
            <v>0.53843716282109266</v>
          </cell>
          <cell r="BV1492">
            <v>0.51099003994119296</v>
          </cell>
          <cell r="BY1492" t="str">
            <v>3750/0.6/5000</v>
          </cell>
          <cell r="BZ1492">
            <v>2.034178888421212E-2</v>
          </cell>
          <cell r="CA1492">
            <v>1.8740117415429913E-2</v>
          </cell>
        </row>
        <row r="1493">
          <cell r="BN1493" t="str">
            <v>4750/0.8/10000</v>
          </cell>
          <cell r="BO1493">
            <v>0.56900176311928874</v>
          </cell>
          <cell r="BP1493">
            <v>0.64663927255971843</v>
          </cell>
          <cell r="BQ1493">
            <v>0.59115224276461598</v>
          </cell>
          <cell r="BR1493">
            <v>0.56720623163149941</v>
          </cell>
          <cell r="BS1493">
            <v>0.5320077847654936</v>
          </cell>
          <cell r="BT1493">
            <v>0.44465061546944673</v>
          </cell>
          <cell r="BU1493">
            <v>0.52362419772986502</v>
          </cell>
          <cell r="BV1493">
            <v>0.49586646523948019</v>
          </cell>
          <cell r="BY1493" t="str">
            <v>3750/0.6/5250</v>
          </cell>
          <cell r="BZ1493">
            <v>2.0181347203778177E-2</v>
          </cell>
          <cell r="CA1493">
            <v>1.8547013675272672E-2</v>
          </cell>
        </row>
        <row r="1494">
          <cell r="BN1494" t="str">
            <v>4750/0.8/99999</v>
          </cell>
          <cell r="BO1494">
            <v>0.50090395317856473</v>
          </cell>
          <cell r="BP1494">
            <v>0.62227905388832361</v>
          </cell>
          <cell r="BQ1494">
            <v>0.52145441546030158</v>
          </cell>
          <cell r="BR1494">
            <v>0.49513216906507285</v>
          </cell>
          <cell r="BS1494">
            <v>0.48258767374979472</v>
          </cell>
          <cell r="BT1494">
            <v>0.40681567927669215</v>
          </cell>
          <cell r="BU1494">
            <v>0.48234199961188229</v>
          </cell>
          <cell r="BV1494">
            <v>0.46202687787023555</v>
          </cell>
          <cell r="BY1494" t="str">
            <v>3750/0.6/5500</v>
          </cell>
          <cell r="BZ1494">
            <v>2.0020905523344235E-2</v>
          </cell>
          <cell r="CA1494">
            <v>1.8353909935115431E-2</v>
          </cell>
        </row>
        <row r="1495">
          <cell r="BY1495" t="str">
            <v>3750/0.6/5750</v>
          </cell>
          <cell r="BZ1495">
            <v>1.9877183958766642E-2</v>
          </cell>
          <cell r="CA1495">
            <v>1.8182462425391954E-2</v>
          </cell>
        </row>
        <row r="1496">
          <cell r="BN1496" t="str">
            <v>5000/0.8/5500</v>
          </cell>
          <cell r="BO1496">
            <v>0.63766977683805404</v>
          </cell>
          <cell r="BP1496">
            <v>0.68612488945586836</v>
          </cell>
          <cell r="BQ1496">
            <v>0.6595447882699329</v>
          </cell>
          <cell r="BR1496">
            <v>0.63897788552134216</v>
          </cell>
          <cell r="BS1496">
            <v>0.60520589105795264</v>
          </cell>
          <cell r="BT1496">
            <v>0.4815943766626184</v>
          </cell>
          <cell r="BU1496">
            <v>0.56212734362764794</v>
          </cell>
          <cell r="BV1496">
            <v>0.53499695049151408</v>
          </cell>
          <cell r="BY1496" t="str">
            <v>3750/0.6/6000</v>
          </cell>
          <cell r="BZ1496">
            <v>1.973346239418905E-2</v>
          </cell>
          <cell r="CA1496">
            <v>1.8011014915668477E-2</v>
          </cell>
        </row>
        <row r="1497">
          <cell r="BN1497" t="str">
            <v>5000/0.8/5750</v>
          </cell>
          <cell r="BO1497">
            <v>0.62956042011915647</v>
          </cell>
          <cell r="BP1497">
            <v>0.68055226830150861</v>
          </cell>
          <cell r="BQ1497">
            <v>0.65157769196427062</v>
          </cell>
          <cell r="BR1497">
            <v>0.63084694238919381</v>
          </cell>
          <cell r="BS1497">
            <v>0.59637197886879001</v>
          </cell>
          <cell r="BT1497">
            <v>0.47668946205174417</v>
          </cell>
          <cell r="BU1497">
            <v>0.55715448576447868</v>
          </cell>
          <cell r="BV1497">
            <v>0.52942833657431743</v>
          </cell>
          <cell r="BY1497" t="str">
            <v>3750/0.6/6250</v>
          </cell>
          <cell r="BZ1497">
            <v>1.9600309266572302E-2</v>
          </cell>
          <cell r="CA1497">
            <v>1.7871443567941681E-2</v>
          </cell>
        </row>
        <row r="1498">
          <cell r="BN1498" t="str">
            <v>5000/0.8/6000</v>
          </cell>
          <cell r="BO1498">
            <v>0.6214510634002588</v>
          </cell>
          <cell r="BP1498">
            <v>0.67497964714714875</v>
          </cell>
          <cell r="BQ1498">
            <v>0.64361059565860845</v>
          </cell>
          <cell r="BR1498">
            <v>0.62271599925704557</v>
          </cell>
          <cell r="BS1498">
            <v>0.58753806667962738</v>
          </cell>
          <cell r="BT1498">
            <v>0.47178454744086995</v>
          </cell>
          <cell r="BU1498">
            <v>0.55218162790130942</v>
          </cell>
          <cell r="BV1498">
            <v>0.52385972265712077</v>
          </cell>
          <cell r="BY1498" t="str">
            <v>3750/0.6/6350</v>
          </cell>
          <cell r="BZ1498">
            <v>1.9548557659939902E-2</v>
          </cell>
          <cell r="CA1498">
            <v>1.7817716304180609E-2</v>
          </cell>
        </row>
        <row r="1499">
          <cell r="BN1499" t="str">
            <v>5000/0.8/6250</v>
          </cell>
          <cell r="BO1499">
            <v>0.61430113339416315</v>
          </cell>
          <cell r="BP1499">
            <v>0.6711030549301561</v>
          </cell>
          <cell r="BQ1499">
            <v>0.63643981878453237</v>
          </cell>
          <cell r="BR1499">
            <v>0.61557716848962418</v>
          </cell>
          <cell r="BS1499">
            <v>0.57989360708680648</v>
          </cell>
          <cell r="BT1499">
            <v>0.46805748899217964</v>
          </cell>
          <cell r="BU1499">
            <v>0.5480134865519013</v>
          </cell>
          <cell r="BV1499">
            <v>0.51976277800126969</v>
          </cell>
          <cell r="BY1499" t="str">
            <v>3750/0.6/6600</v>
          </cell>
          <cell r="BZ1499">
            <v>1.9423570569030879E-2</v>
          </cell>
          <cell r="CA1499">
            <v>1.7683529960241473E-2</v>
          </cell>
        </row>
        <row r="1500">
          <cell r="BN1500" t="str">
            <v>5000/0.8/6350</v>
          </cell>
          <cell r="BO1500">
            <v>0.61171014839760429</v>
          </cell>
          <cell r="BP1500">
            <v>0.66955392276188286</v>
          </cell>
          <cell r="BQ1500">
            <v>0.63410143699259869</v>
          </cell>
          <cell r="BR1500">
            <v>0.61271138052509944</v>
          </cell>
          <cell r="BS1500">
            <v>0.57718604461091871</v>
          </cell>
          <cell r="BT1500">
            <v>0.46657678220242504</v>
          </cell>
          <cell r="BU1500">
            <v>0.54638441950029837</v>
          </cell>
          <cell r="BV1500">
            <v>0.51810116235095793</v>
          </cell>
          <cell r="BY1500" t="str">
            <v>3750/0.6/6850</v>
          </cell>
          <cell r="BZ1500">
            <v>1.9301051663227708E-2</v>
          </cell>
          <cell r="CA1500">
            <v>1.7549312842623954E-2</v>
          </cell>
        </row>
        <row r="1501">
          <cell r="BN1501" t="str">
            <v>5000/0.8/6600</v>
          </cell>
          <cell r="BO1501">
            <v>0.60673733866546631</v>
          </cell>
          <cell r="BP1501">
            <v>0.66651569095563257</v>
          </cell>
          <cell r="BQ1501">
            <v>0.62911083577527782</v>
          </cell>
          <cell r="BR1501">
            <v>0.60743273404090559</v>
          </cell>
          <cell r="BS1501">
            <v>0.5715976922880317</v>
          </cell>
          <cell r="BT1501">
            <v>0.46310175186511021</v>
          </cell>
          <cell r="BU1501">
            <v>0.54295963131531166</v>
          </cell>
          <cell r="BV1501">
            <v>0.51477633197291983</v>
          </cell>
          <cell r="BY1501" t="str">
            <v>3750/0.6/7500</v>
          </cell>
          <cell r="BZ1501">
            <v>1.8981410682735622E-2</v>
          </cell>
          <cell r="CA1501">
            <v>1.7247771475501938E-2</v>
          </cell>
        </row>
        <row r="1502">
          <cell r="BN1502" t="str">
            <v>5000/0.8/6850</v>
          </cell>
          <cell r="BO1502">
            <v>0.60195174083997771</v>
          </cell>
          <cell r="BP1502">
            <v>0.66375810211003239</v>
          </cell>
          <cell r="BQ1502">
            <v>0.62432562592024843</v>
          </cell>
          <cell r="BR1502">
            <v>0.60264326536273782</v>
          </cell>
          <cell r="BS1502">
            <v>0.56646681045637814</v>
          </cell>
          <cell r="BT1502">
            <v>0.4607948222901927</v>
          </cell>
          <cell r="BU1502">
            <v>0.54020211513053906</v>
          </cell>
          <cell r="BV1502">
            <v>0.51191541639138871</v>
          </cell>
          <cell r="BY1502" t="str">
            <v>3750/0.6/8000</v>
          </cell>
          <cell r="BZ1502">
            <v>1.879116434953787E-2</v>
          </cell>
          <cell r="CA1502">
            <v>1.7059488101111242E-2</v>
          </cell>
        </row>
        <row r="1503">
          <cell r="BN1503" t="str">
            <v>5000/0.8/7500</v>
          </cell>
          <cell r="BO1503">
            <v>0.59007142555479952</v>
          </cell>
          <cell r="BP1503">
            <v>0.65702287840961127</v>
          </cell>
          <cell r="BQ1503">
            <v>0.61256741485452726</v>
          </cell>
          <cell r="BR1503">
            <v>0.58990294881419125</v>
          </cell>
          <cell r="BS1503">
            <v>0.55425085989544087</v>
          </cell>
          <cell r="BT1503">
            <v>0.45455562353474338</v>
          </cell>
          <cell r="BU1503">
            <v>0.53336538681028134</v>
          </cell>
          <cell r="BV1503">
            <v>0.505208829977424</v>
          </cell>
          <cell r="BY1503" t="str">
            <v>3750/0.6/9000</v>
          </cell>
          <cell r="BZ1503">
            <v>1.8467183318630398E-2</v>
          </cell>
          <cell r="CA1503">
            <v>1.6726102340875459E-2</v>
          </cell>
        </row>
        <row r="1504">
          <cell r="BN1504" t="str">
            <v>5000/0.8/10000</v>
          </cell>
          <cell r="BO1504">
            <v>0.56425911536683016</v>
          </cell>
          <cell r="BP1504">
            <v>0.64381594394299002</v>
          </cell>
          <cell r="BQ1504">
            <v>0.58691650996974731</v>
          </cell>
          <cell r="BR1504">
            <v>0.56264223283357417</v>
          </cell>
          <cell r="BS1504">
            <v>0.5261192472811459</v>
          </cell>
          <cell r="BT1504">
            <v>0.44048313274741407</v>
          </cell>
          <cell r="BU1504">
            <v>0.51790785076472579</v>
          </cell>
          <cell r="BV1504">
            <v>0.4892583338112188</v>
          </cell>
          <cell r="BY1504" t="str">
            <v>3750/0.6/10000</v>
          </cell>
          <cell r="BZ1504">
            <v>1.8150158793540649E-2</v>
          </cell>
          <cell r="CA1504">
            <v>1.6431456716639259E-2</v>
          </cell>
        </row>
        <row r="1505">
          <cell r="BN1505" t="str">
            <v>5000/0.8/99999</v>
          </cell>
          <cell r="BO1505">
            <v>0.49564736030326728</v>
          </cell>
          <cell r="BP1505">
            <v>0.61896688943573719</v>
          </cell>
          <cell r="BQ1505">
            <v>0.5158768853663811</v>
          </cell>
          <cell r="BR1505">
            <v>0.49105089521351181</v>
          </cell>
          <cell r="BS1505">
            <v>0.47880084017397528</v>
          </cell>
          <cell r="BT1505">
            <v>0.40192255219038026</v>
          </cell>
          <cell r="BU1505">
            <v>0.4757768523151556</v>
          </cell>
          <cell r="BV1505">
            <v>0.45468407551107531</v>
          </cell>
          <cell r="BY1505" t="str">
            <v>3750/0.6/99999</v>
          </cell>
          <cell r="BZ1505">
            <v>1.4233362499668334E-2</v>
          </cell>
          <cell r="CA1505">
            <v>1.309327375188829E-2</v>
          </cell>
        </row>
        <row r="1506">
          <cell r="BY1506" t="str">
            <v>4000/0.6/4000</v>
          </cell>
          <cell r="BZ1506">
            <v>2.1050995898434843E-2</v>
          </cell>
          <cell r="CA1506">
            <v>1.9699056993988995E-2</v>
          </cell>
        </row>
        <row r="1507">
          <cell r="BN1507" t="str">
            <v>0/0.7/250</v>
          </cell>
          <cell r="BO1507">
            <v>0.96982740552147273</v>
          </cell>
          <cell r="BP1507">
            <v>0.96884615447910971</v>
          </cell>
          <cell r="BQ1507">
            <v>0.96982673592640689</v>
          </cell>
          <cell r="BR1507">
            <v>0.96989899299198978</v>
          </cell>
          <cell r="BS1507">
            <v>0.96597127398380433</v>
          </cell>
          <cell r="BT1507">
            <v>0.97288365296346724</v>
          </cell>
          <cell r="BU1507">
            <v>1.0917993899319163</v>
          </cell>
          <cell r="BV1507">
            <v>1.0876807602245859</v>
          </cell>
          <cell r="BY1507" t="str">
            <v>4000/0.6/4250</v>
          </cell>
          <cell r="BZ1507">
            <v>2.0864239055952472E-2</v>
          </cell>
          <cell r="CA1507">
            <v>1.9410138638839558E-2</v>
          </cell>
        </row>
        <row r="1508">
          <cell r="BN1508" t="str">
            <v>0/0.7/500</v>
          </cell>
          <cell r="BO1508">
            <v>0.93234972795763826</v>
          </cell>
          <cell r="BP1508">
            <v>0.93189620924703065</v>
          </cell>
          <cell r="BQ1508">
            <v>0.93277056723600871</v>
          </cell>
          <cell r="BR1508">
            <v>0.93242207574725267</v>
          </cell>
          <cell r="BS1508">
            <v>0.92541503439586659</v>
          </cell>
          <cell r="BT1508">
            <v>0.92552877657279808</v>
          </cell>
          <cell r="BU1508">
            <v>1.0455129313715874</v>
          </cell>
          <cell r="BV1508">
            <v>1.0372442675113012</v>
          </cell>
          <cell r="BY1508" t="str">
            <v>4000/0.6/4500</v>
          </cell>
          <cell r="BZ1508">
            <v>2.06774822134701E-2</v>
          </cell>
          <cell r="CA1508">
            <v>1.9121220283690121E-2</v>
          </cell>
        </row>
        <row r="1509">
          <cell r="BN1509" t="str">
            <v>0/0.7/750</v>
          </cell>
          <cell r="BO1509">
            <v>0.90367949632487654</v>
          </cell>
          <cell r="BP1509">
            <v>0.90435929081919197</v>
          </cell>
          <cell r="BQ1509">
            <v>0.90482229597521946</v>
          </cell>
          <cell r="BR1509">
            <v>0.90365289134561322</v>
          </cell>
          <cell r="BS1509">
            <v>0.89358560385924735</v>
          </cell>
          <cell r="BT1509">
            <v>0.89015220260112204</v>
          </cell>
          <cell r="BU1509">
            <v>1.0089618012756825</v>
          </cell>
          <cell r="BV1509">
            <v>0.99682322603903983</v>
          </cell>
          <cell r="BY1509" t="str">
            <v>4000/0.6/4750</v>
          </cell>
          <cell r="BZ1509">
            <v>2.0488478613330696E-2</v>
          </cell>
          <cell r="CA1509">
            <v>1.8885194330390487E-2</v>
          </cell>
        </row>
        <row r="1510">
          <cell r="BN1510" t="str">
            <v>0/0.7/1000</v>
          </cell>
          <cell r="BO1510">
            <v>0.87921260598430984</v>
          </cell>
          <cell r="BP1510">
            <v>0.88164227526506189</v>
          </cell>
          <cell r="BQ1510">
            <v>0.88102968612295807</v>
          </cell>
          <cell r="BR1510">
            <v>0.87909796420591557</v>
          </cell>
          <cell r="BS1510">
            <v>0.86631204965485575</v>
          </cell>
          <cell r="BT1510">
            <v>0.8604298299713582</v>
          </cell>
          <cell r="BU1510">
            <v>0.97930676574071895</v>
          </cell>
          <cell r="BV1510">
            <v>0.96383563832979979</v>
          </cell>
          <cell r="BY1510" t="str">
            <v>4000/0.6/5000</v>
          </cell>
          <cell r="BZ1510">
            <v>2.0299475013191293E-2</v>
          </cell>
          <cell r="CA1510">
            <v>1.8649168377090852E-2</v>
          </cell>
        </row>
        <row r="1511">
          <cell r="BN1511" t="str">
            <v>0/0.7/1250</v>
          </cell>
          <cell r="BO1511">
            <v>0.85998877149110708</v>
          </cell>
          <cell r="BP1511">
            <v>0.86457663059135204</v>
          </cell>
          <cell r="BQ1511">
            <v>0.86240924163334165</v>
          </cell>
          <cell r="BR1511">
            <v>0.85978406173974986</v>
          </cell>
          <cell r="BS1511">
            <v>0.84460080428266093</v>
          </cell>
          <cell r="BT1511">
            <v>0.83656711220144819</v>
          </cell>
          <cell r="BU1511">
            <v>0.95419945660857675</v>
          </cell>
          <cell r="BV1511">
            <v>0.93590361156037283</v>
          </cell>
          <cell r="BY1511" t="str">
            <v>4000/0.6/5250</v>
          </cell>
          <cell r="BZ1511">
            <v>2.0132879963312256E-2</v>
          </cell>
          <cell r="CA1511">
            <v>1.8447988271529048E-2</v>
          </cell>
        </row>
        <row r="1512">
          <cell r="BN1512" t="str">
            <v>0/0.7/1500</v>
          </cell>
          <cell r="BO1512">
            <v>0.84283049370632523</v>
          </cell>
          <cell r="BP1512">
            <v>0.84972808280041001</v>
          </cell>
          <cell r="BQ1512">
            <v>0.8458407169573231</v>
          </cell>
          <cell r="BR1512">
            <v>0.84243091620803712</v>
          </cell>
          <cell r="BS1512">
            <v>0.82493849553000542</v>
          </cell>
          <cell r="BT1512">
            <v>0.81507081390704905</v>
          </cell>
          <cell r="BU1512">
            <v>0.93255453784580655</v>
          </cell>
          <cell r="BV1512">
            <v>0.91188122001968852</v>
          </cell>
          <cell r="BY1512" t="str">
            <v>4000/0.6/5500</v>
          </cell>
          <cell r="BZ1512">
            <v>1.9966284913433219E-2</v>
          </cell>
          <cell r="CA1512">
            <v>1.8246808165967243E-2</v>
          </cell>
        </row>
        <row r="1513">
          <cell r="BN1513" t="str">
            <v>0/0.7/1750</v>
          </cell>
          <cell r="BO1513">
            <v>0.82854146613760471</v>
          </cell>
          <cell r="BP1513">
            <v>0.83852171000536768</v>
          </cell>
          <cell r="BQ1513">
            <v>0.83203840660923922</v>
          </cell>
          <cell r="BR1513">
            <v>0.82799709401869315</v>
          </cell>
          <cell r="BS1513">
            <v>0.80816708134747506</v>
          </cell>
          <cell r="BT1513">
            <v>0.79685537286131058</v>
          </cell>
          <cell r="BU1513">
            <v>0.91481347943729907</v>
          </cell>
          <cell r="BV1513">
            <v>0.89207577691371576</v>
          </cell>
          <cell r="BY1513" t="str">
            <v>4000/0.6/5750</v>
          </cell>
          <cell r="BZ1513">
            <v>1.98183062898587E-2</v>
          </cell>
          <cell r="CA1513">
            <v>1.8061904346308388E-2</v>
          </cell>
        </row>
        <row r="1514">
          <cell r="BN1514" t="str">
            <v>0/0.7/2000</v>
          </cell>
          <cell r="BO1514">
            <v>0.81425243856888418</v>
          </cell>
          <cell r="BP1514">
            <v>0.82731533721032524</v>
          </cell>
          <cell r="BQ1514">
            <v>0.81823609626115534</v>
          </cell>
          <cell r="BR1514">
            <v>0.81356327182934929</v>
          </cell>
          <cell r="BS1514">
            <v>0.7913956671649448</v>
          </cell>
          <cell r="BT1514">
            <v>0.77863993181557201</v>
          </cell>
          <cell r="BU1514">
            <v>0.89707242102879159</v>
          </cell>
          <cell r="BV1514">
            <v>0.8722703338077431</v>
          </cell>
          <cell r="BY1514" t="str">
            <v>4000/0.6/6000</v>
          </cell>
          <cell r="BZ1514">
            <v>1.9670327666284182E-2</v>
          </cell>
          <cell r="CA1514">
            <v>1.7877000526649534E-2</v>
          </cell>
        </row>
        <row r="1515">
          <cell r="BN1515" t="str">
            <v>0/0.7/2250</v>
          </cell>
          <cell r="BO1515">
            <v>0.80356527902329999</v>
          </cell>
          <cell r="BP1515">
            <v>0.82037325642215153</v>
          </cell>
          <cell r="BQ1515">
            <v>0.80790922245416286</v>
          </cell>
          <cell r="BR1515">
            <v>0.80271245484452192</v>
          </cell>
          <cell r="BS1515">
            <v>0.77777724058315667</v>
          </cell>
          <cell r="BT1515">
            <v>0.76500303567636185</v>
          </cell>
          <cell r="BU1515">
            <v>0.88212501676484578</v>
          </cell>
          <cell r="BV1515">
            <v>0.858841009265915</v>
          </cell>
          <cell r="BY1515" t="str">
            <v>4000/0.6/6250</v>
          </cell>
          <cell r="BZ1515">
            <v>1.9533226281730487E-2</v>
          </cell>
          <cell r="CA1515">
            <v>1.7732085912751216E-2</v>
          </cell>
        </row>
        <row r="1516">
          <cell r="BN1516" t="str">
            <v>0/0.7/2500</v>
          </cell>
          <cell r="BO1516">
            <v>0.79353892573395557</v>
          </cell>
          <cell r="BP1516">
            <v>0.81425695697582945</v>
          </cell>
          <cell r="BQ1516">
            <v>0.79811758688690182</v>
          </cell>
          <cell r="BR1516">
            <v>0.79248845401114087</v>
          </cell>
          <cell r="BS1516">
            <v>0.76732053535232692</v>
          </cell>
          <cell r="BT1516">
            <v>0.7525503237136858</v>
          </cell>
          <cell r="BU1516">
            <v>0.8686483738203461</v>
          </cell>
          <cell r="BV1516">
            <v>0.84722127046921925</v>
          </cell>
          <cell r="BY1516" t="str">
            <v>4000/0.6/6350</v>
          </cell>
          <cell r="BZ1516">
            <v>1.9480321786552457E-2</v>
          </cell>
          <cell r="CA1516">
            <v>1.7678420980836052E-2</v>
          </cell>
        </row>
        <row r="1517">
          <cell r="BN1517" t="str">
            <v>0/0.7/2750</v>
          </cell>
          <cell r="BO1517">
            <v>0.78419526768041647</v>
          </cell>
          <cell r="BP1517">
            <v>0.80943357503840629</v>
          </cell>
          <cell r="BQ1517">
            <v>0.78877861821932316</v>
          </cell>
          <cell r="BR1517">
            <v>0.78312851833546293</v>
          </cell>
          <cell r="BS1517">
            <v>0.75728415080291744</v>
          </cell>
          <cell r="BT1517">
            <v>0.74194835264977854</v>
          </cell>
          <cell r="BU1517">
            <v>0.85952662202490282</v>
          </cell>
          <cell r="BV1517">
            <v>0.83822953928163491</v>
          </cell>
          <cell r="BY1517" t="str">
            <v>4000/0.6/6600</v>
          </cell>
          <cell r="BZ1517">
            <v>1.9352256790986067E-2</v>
          </cell>
          <cell r="CA1517">
            <v>1.7544140202814251E-2</v>
          </cell>
        </row>
        <row r="1518">
          <cell r="BN1518" t="str">
            <v>0/0.7/3000</v>
          </cell>
          <cell r="BO1518">
            <v>0.77483234646103161</v>
          </cell>
          <cell r="BP1518">
            <v>0.80468759968188575</v>
          </cell>
          <cell r="BQ1518">
            <v>0.77939710397430639</v>
          </cell>
          <cell r="BR1518">
            <v>0.77378201401976821</v>
          </cell>
          <cell r="BS1518">
            <v>0.74720460557100021</v>
          </cell>
          <cell r="BT1518">
            <v>0.73203238285551586</v>
          </cell>
          <cell r="BU1518">
            <v>0.8513308019218091</v>
          </cell>
          <cell r="BV1518">
            <v>0.8301535263070271</v>
          </cell>
          <cell r="BY1518" t="str">
            <v>4000/0.6/6850</v>
          </cell>
          <cell r="BZ1518">
            <v>1.9229600518865686E-2</v>
          </cell>
          <cell r="CA1518">
            <v>1.7410036209145163E-2</v>
          </cell>
        </row>
        <row r="1519">
          <cell r="BN1519" t="str">
            <v>0/0.7/3250</v>
          </cell>
          <cell r="BO1519">
            <v>0.7675254412047442</v>
          </cell>
          <cell r="BP1519">
            <v>0.80099632391256126</v>
          </cell>
          <cell r="BQ1519">
            <v>0.77285802820599181</v>
          </cell>
          <cell r="BR1519">
            <v>0.76588051738380114</v>
          </cell>
          <cell r="BS1519">
            <v>0.73903343659146059</v>
          </cell>
          <cell r="BT1519">
            <v>0.72409934233241713</v>
          </cell>
          <cell r="BU1519">
            <v>0.84399131801947358</v>
          </cell>
          <cell r="BV1519">
            <v>0.82264627737861362</v>
          </cell>
          <cell r="BY1519" t="str">
            <v>4000/0.6/7500</v>
          </cell>
          <cell r="BZ1519">
            <v>1.8910721173680312E-2</v>
          </cell>
          <cell r="CA1519">
            <v>1.7087884235596151E-2</v>
          </cell>
        </row>
        <row r="1520">
          <cell r="BN1520" t="str">
            <v>0/0.7/3500</v>
          </cell>
          <cell r="BO1520">
            <v>0.76021853594845679</v>
          </cell>
          <cell r="BP1520">
            <v>0.79730504814323688</v>
          </cell>
          <cell r="BQ1520">
            <v>0.76631895243767723</v>
          </cell>
          <cell r="BR1520">
            <v>0.75797902074783408</v>
          </cell>
          <cell r="BS1520">
            <v>0.73086226761192108</v>
          </cell>
          <cell r="BT1520">
            <v>0.7161663018093184</v>
          </cell>
          <cell r="BU1520">
            <v>0.83665183411713817</v>
          </cell>
          <cell r="BV1520">
            <v>0.81513902845020014</v>
          </cell>
          <cell r="BY1520" t="str">
            <v>4000/0.6/8000</v>
          </cell>
          <cell r="BZ1520">
            <v>1.8694891649311041E-2</v>
          </cell>
          <cell r="CA1520">
            <v>1.6893106743820052E-2</v>
          </cell>
        </row>
        <row r="1521">
          <cell r="BN1521" t="str">
            <v>0/0.7/3750</v>
          </cell>
          <cell r="BO1521">
            <v>0.75380057579517901</v>
          </cell>
          <cell r="BP1521">
            <v>0.79415558323377233</v>
          </cell>
          <cell r="BQ1521">
            <v>0.75993028154562214</v>
          </cell>
          <cell r="BR1521">
            <v>0.75153174367540443</v>
          </cell>
          <cell r="BS1521">
            <v>0.72500862612468964</v>
          </cell>
          <cell r="BT1521">
            <v>0.7097646808544531</v>
          </cell>
          <cell r="BU1521">
            <v>0.8312770203893578</v>
          </cell>
          <cell r="BV1521">
            <v>0.80957037682825894</v>
          </cell>
          <cell r="BY1521" t="str">
            <v>4000/0.6/9000</v>
          </cell>
          <cell r="BZ1521">
            <v>1.8370998012334327E-2</v>
          </cell>
          <cell r="CA1521">
            <v>1.6550685499775675E-2</v>
          </cell>
        </row>
        <row r="1522">
          <cell r="BN1522" t="str">
            <v>0/0.7/4000</v>
          </cell>
          <cell r="BO1522">
            <v>0.74738261564190123</v>
          </cell>
          <cell r="BP1522">
            <v>0.79100611832430778</v>
          </cell>
          <cell r="BQ1522">
            <v>0.75354161065356717</v>
          </cell>
          <cell r="BR1522">
            <v>0.74508446660297478</v>
          </cell>
          <cell r="BS1522">
            <v>0.71915498463745819</v>
          </cell>
          <cell r="BT1522">
            <v>0.70336305989958769</v>
          </cell>
          <cell r="BU1522">
            <v>0.82590220666157732</v>
          </cell>
          <cell r="BV1522">
            <v>0.80400172520631785</v>
          </cell>
          <cell r="BY1522" t="str">
            <v>4000/0.6/10000</v>
          </cell>
          <cell r="BZ1522">
            <v>1.8046349012811103E-2</v>
          </cell>
          <cell r="CA1522">
            <v>1.6247281937749936E-2</v>
          </cell>
        </row>
        <row r="1523">
          <cell r="BN1523" t="str">
            <v>0/0.7/4250</v>
          </cell>
          <cell r="BO1523">
            <v>0.74162238544798109</v>
          </cell>
          <cell r="BP1523">
            <v>0.7885981349411546</v>
          </cell>
          <cell r="BQ1523">
            <v>0.74800736998569173</v>
          </cell>
          <cell r="BR1523">
            <v>0.7393283470496741</v>
          </cell>
          <cell r="BS1523">
            <v>0.71525385967333199</v>
          </cell>
          <cell r="BT1523">
            <v>0.6990809503554154</v>
          </cell>
          <cell r="BU1523">
            <v>0.82060711081357818</v>
          </cell>
          <cell r="BV1523">
            <v>0.79850121284727571</v>
          </cell>
          <cell r="BY1523" t="str">
            <v>4000/0.6/99999</v>
          </cell>
          <cell r="BZ1523">
            <v>1.4089266114746479E-2</v>
          </cell>
          <cell r="CA1523">
            <v>1.2877732573493672E-2</v>
          </cell>
        </row>
        <row r="1524">
          <cell r="BN1524" t="str">
            <v>0/0.7/4500</v>
          </cell>
          <cell r="BO1524">
            <v>0.73586215525406107</v>
          </cell>
          <cell r="BP1524">
            <v>0.78619015155800154</v>
          </cell>
          <cell r="BQ1524">
            <v>0.74247312931781617</v>
          </cell>
          <cell r="BR1524">
            <v>0.73357222749637352</v>
          </cell>
          <cell r="BS1524">
            <v>0.71135273470920568</v>
          </cell>
          <cell r="BT1524">
            <v>0.6947988408112431</v>
          </cell>
          <cell r="BU1524">
            <v>0.81531201496557892</v>
          </cell>
          <cell r="BV1524">
            <v>0.79300070048823368</v>
          </cell>
          <cell r="BY1524" t="str">
            <v>4250/0.6/5000</v>
          </cell>
          <cell r="BZ1524">
            <v>2.0267179547125203E-2</v>
          </cell>
          <cell r="CA1524">
            <v>1.8608091459180187E-2</v>
          </cell>
        </row>
        <row r="1525">
          <cell r="BN1525" t="str">
            <v>0/0.7/4750</v>
          </cell>
          <cell r="BO1525">
            <v>0.73146216790988405</v>
          </cell>
          <cell r="BP1525">
            <v>0.78446006421538261</v>
          </cell>
          <cell r="BQ1525">
            <v>0.73835965559110184</v>
          </cell>
          <cell r="BR1525">
            <v>0.7287828582130238</v>
          </cell>
          <cell r="BS1525">
            <v>0.70763508397543251</v>
          </cell>
          <cell r="BT1525">
            <v>0.69062460905029943</v>
          </cell>
          <cell r="BU1525">
            <v>0.81059108539287195</v>
          </cell>
          <cell r="BV1525">
            <v>0.7885871842058837</v>
          </cell>
          <cell r="BY1525" t="str">
            <v>4250/0.6/5250</v>
          </cell>
          <cell r="BZ1525">
            <v>2.0101594751300716E-2</v>
          </cell>
          <cell r="CA1525">
            <v>1.8394205353168575E-2</v>
          </cell>
        </row>
        <row r="1526">
          <cell r="BN1526" t="str">
            <v>0/0.7/5000</v>
          </cell>
          <cell r="BO1526">
            <v>0.72706218056570704</v>
          </cell>
          <cell r="BP1526">
            <v>0.78272997687276369</v>
          </cell>
          <cell r="BQ1526">
            <v>0.73424618186438739</v>
          </cell>
          <cell r="BR1526">
            <v>0.72399348892967419</v>
          </cell>
          <cell r="BS1526">
            <v>0.70391743324165934</v>
          </cell>
          <cell r="BT1526">
            <v>0.68645037728935587</v>
          </cell>
          <cell r="BU1526">
            <v>0.80587015582016486</v>
          </cell>
          <cell r="BV1526">
            <v>0.78417366792353371</v>
          </cell>
          <cell r="BY1526" t="str">
            <v>4250/0.6/5500</v>
          </cell>
          <cell r="BZ1526">
            <v>1.993600995547623E-2</v>
          </cell>
          <cell r="CA1526">
            <v>1.8180319247156962E-2</v>
          </cell>
        </row>
        <row r="1527">
          <cell r="BN1527" t="str">
            <v>0/0.7/5250</v>
          </cell>
          <cell r="BO1527">
            <v>0.7238022989025803</v>
          </cell>
          <cell r="BP1527">
            <v>0.78099821756410925</v>
          </cell>
          <cell r="BQ1527">
            <v>0.7301488745534005</v>
          </cell>
          <cell r="BR1527">
            <v>0.72101193308950229</v>
          </cell>
          <cell r="BS1527">
            <v>0.70084811819325155</v>
          </cell>
          <cell r="BT1527">
            <v>0.68249933895859449</v>
          </cell>
          <cell r="BU1527">
            <v>0.80212432004744283</v>
          </cell>
          <cell r="BV1527">
            <v>0.78006293871642129</v>
          </cell>
          <cell r="BY1527" t="str">
            <v>4250/0.6/5750</v>
          </cell>
          <cell r="BZ1527">
            <v>1.9782420280849755E-2</v>
          </cell>
          <cell r="CA1527">
            <v>1.7988112998877565E-2</v>
          </cell>
        </row>
        <row r="1528">
          <cell r="BN1528" t="str">
            <v>0/0.7/5500</v>
          </cell>
          <cell r="BO1528">
            <v>0.72054241723945345</v>
          </cell>
          <cell r="BP1528">
            <v>0.77926645825545482</v>
          </cell>
          <cell r="BQ1528">
            <v>0.7260515672424136</v>
          </cell>
          <cell r="BR1528">
            <v>0.71803037724933039</v>
          </cell>
          <cell r="BS1528">
            <v>0.69777880314484364</v>
          </cell>
          <cell r="BT1528">
            <v>0.67854830062783311</v>
          </cell>
          <cell r="BU1528">
            <v>0.79837848427472091</v>
          </cell>
          <cell r="BV1528">
            <v>0.77595220950930899</v>
          </cell>
          <cell r="BY1528" t="str">
            <v>4250/0.6/6000</v>
          </cell>
          <cell r="BZ1528">
            <v>1.962883060622328E-2</v>
          </cell>
          <cell r="CA1528">
            <v>1.7795906750598167E-2</v>
          </cell>
        </row>
        <row r="1529">
          <cell r="BN1529" t="str">
            <v>0/0.7/5750</v>
          </cell>
          <cell r="BO1529">
            <v>0.71758413197554893</v>
          </cell>
          <cell r="BP1529">
            <v>0.77782067815079436</v>
          </cell>
          <cell r="BQ1529">
            <v>0.72320962669469369</v>
          </cell>
          <cell r="BR1529">
            <v>0.71505389001519304</v>
          </cell>
          <cell r="BS1529">
            <v>0.69465415098269989</v>
          </cell>
          <cell r="BT1529">
            <v>0.67556181831850348</v>
          </cell>
          <cell r="BU1529">
            <v>0.79464892221140182</v>
          </cell>
          <cell r="BV1529">
            <v>0.77219577350074187</v>
          </cell>
          <cell r="BY1529" t="str">
            <v>4250/0.6/6250</v>
          </cell>
          <cell r="BZ1529">
            <v>1.9487412874764909E-2</v>
          </cell>
          <cell r="CA1529">
            <v>1.7640704345498026E-2</v>
          </cell>
        </row>
        <row r="1530">
          <cell r="BN1530" t="str">
            <v>0/0.7/6000</v>
          </cell>
          <cell r="BO1530">
            <v>0.71462584671164453</v>
          </cell>
          <cell r="BP1530">
            <v>0.77637489804613402</v>
          </cell>
          <cell r="BQ1530">
            <v>0.72036768614697377</v>
          </cell>
          <cell r="BR1530">
            <v>0.7120774027810558</v>
          </cell>
          <cell r="BS1530">
            <v>0.69152949882055614</v>
          </cell>
          <cell r="BT1530">
            <v>0.67257533600917374</v>
          </cell>
          <cell r="BU1530">
            <v>0.79091936014808273</v>
          </cell>
          <cell r="BV1530">
            <v>0.76843933749217486</v>
          </cell>
          <cell r="BY1530" t="str">
            <v>4250/0.6/6350</v>
          </cell>
          <cell r="BZ1530">
            <v>1.9432863754009544E-2</v>
          </cell>
          <cell r="CA1530">
            <v>1.7582004796634854E-2</v>
          </cell>
        </row>
        <row r="1531">
          <cell r="BN1531" t="str">
            <v>0/0.7/6250</v>
          </cell>
          <cell r="BO1531">
            <v>0.71236594649894369</v>
          </cell>
          <cell r="BP1531">
            <v>0.77507374338139434</v>
          </cell>
          <cell r="BQ1531">
            <v>0.71811012220915882</v>
          </cell>
          <cell r="BR1531">
            <v>0.70916189305979749</v>
          </cell>
          <cell r="BS1531">
            <v>0.68865646268233838</v>
          </cell>
          <cell r="BT1531">
            <v>0.66960437480191826</v>
          </cell>
          <cell r="BU1531">
            <v>0.7872060549252401</v>
          </cell>
          <cell r="BV1531">
            <v>0.76484709690981068</v>
          </cell>
          <cell r="BY1531" t="str">
            <v>4250/0.6/6600</v>
          </cell>
          <cell r="BZ1531">
            <v>1.9300798237994021E-2</v>
          </cell>
          <cell r="CA1531">
            <v>1.7434950290743267E-2</v>
          </cell>
        </row>
        <row r="1532">
          <cell r="BN1532" t="str">
            <v>0/0.7/6350</v>
          </cell>
          <cell r="BO1532">
            <v>0.71146148367419471</v>
          </cell>
          <cell r="BP1532">
            <v>0.77455310594007487</v>
          </cell>
          <cell r="BQ1532">
            <v>0.71721133239396373</v>
          </cell>
          <cell r="BR1532">
            <v>0.70825794988035351</v>
          </cell>
          <cell r="BS1532">
            <v>0.68767706875624401</v>
          </cell>
          <cell r="BT1532">
            <v>0.66841542687418187</v>
          </cell>
          <cell r="BU1532">
            <v>0.7860728339222629</v>
          </cell>
          <cell r="BV1532">
            <v>0.76340726008102044</v>
          </cell>
          <cell r="BY1532" t="str">
            <v>4250/0.6/6850</v>
          </cell>
          <cell r="BZ1532">
            <v>1.9174557687145766E-2</v>
          </cell>
          <cell r="CA1532">
            <v>1.729587870013799E-2</v>
          </cell>
        </row>
        <row r="1533">
          <cell r="BN1533" t="str">
            <v>0/0.7/6600</v>
          </cell>
          <cell r="BO1533">
            <v>0.7092130383825318</v>
          </cell>
          <cell r="BP1533">
            <v>0.7732510733982183</v>
          </cell>
          <cell r="BQ1533">
            <v>0.71496391173320206</v>
          </cell>
          <cell r="BR1533">
            <v>0.70599906607737428</v>
          </cell>
          <cell r="BS1533">
            <v>0.68539565990175277</v>
          </cell>
          <cell r="BT1533">
            <v>0.66544164844275167</v>
          </cell>
          <cell r="BU1533">
            <v>0.78323728936213388</v>
          </cell>
          <cell r="BV1533">
            <v>0.76059760424433243</v>
          </cell>
          <cell r="BY1533" t="str">
            <v>4250/0.6/7500</v>
          </cell>
          <cell r="BZ1533">
            <v>1.885349614739118E-2</v>
          </cell>
          <cell r="CA1533">
            <v>1.6966933501269266E-2</v>
          </cell>
        </row>
        <row r="1534">
          <cell r="BN1534" t="str">
            <v>0/0.7/6850</v>
          </cell>
          <cell r="BO1534">
            <v>0.70696547918917307</v>
          </cell>
          <cell r="BP1534">
            <v>0.77194841380127965</v>
          </cell>
          <cell r="BQ1534">
            <v>0.71271585375419277</v>
          </cell>
          <cell r="BR1534">
            <v>0.70375198479511336</v>
          </cell>
          <cell r="BS1534">
            <v>0.68311805331771347</v>
          </cell>
          <cell r="BT1534">
            <v>0.66246585770833799</v>
          </cell>
          <cell r="BU1534">
            <v>0.78039818472673639</v>
          </cell>
          <cell r="BV1534">
            <v>0.75776294431181701</v>
          </cell>
          <cell r="BY1534" t="str">
            <v>4250/0.6/8000</v>
          </cell>
          <cell r="BZ1534">
            <v>1.8630346664835595E-2</v>
          </cell>
          <cell r="CA1534">
            <v>1.6756250817151874E-2</v>
          </cell>
        </row>
        <row r="1535">
          <cell r="BN1535" t="str">
            <v>0/0.7/7500</v>
          </cell>
          <cell r="BO1535">
            <v>0.70126948657820698</v>
          </cell>
          <cell r="BP1535">
            <v>0.76856790745248971</v>
          </cell>
          <cell r="BQ1535">
            <v>0.70740543900342046</v>
          </cell>
          <cell r="BR1535">
            <v>0.69790676073528013</v>
          </cell>
          <cell r="BS1535">
            <v>0.67713013291032409</v>
          </cell>
          <cell r="BT1535">
            <v>0.65631093283292063</v>
          </cell>
          <cell r="BU1535">
            <v>0.77307231327115622</v>
          </cell>
          <cell r="BV1535">
            <v>0.75092533873353517</v>
          </cell>
          <cell r="BY1535" t="str">
            <v>4250/0.6/9000</v>
          </cell>
          <cell r="BZ1535">
            <v>1.8288870791653422E-2</v>
          </cell>
          <cell r="CA1535">
            <v>1.6403775523582409E-2</v>
          </cell>
        </row>
        <row r="1536">
          <cell r="BN1536" t="str">
            <v>0/0.7/10000</v>
          </cell>
          <cell r="BO1536">
            <v>0.6843689700494674</v>
          </cell>
          <cell r="BP1536">
            <v>0.7601690045124192</v>
          </cell>
          <cell r="BQ1536">
            <v>0.69104447421288706</v>
          </cell>
          <cell r="BR1536">
            <v>0.67977918727229136</v>
          </cell>
          <cell r="BS1536">
            <v>0.65844551185473599</v>
          </cell>
          <cell r="BT1536">
            <v>0.63655258686908012</v>
          </cell>
          <cell r="BU1536">
            <v>0.75216121027924254</v>
          </cell>
          <cell r="BV1536">
            <v>0.72973981140896049</v>
          </cell>
          <cell r="BY1536" t="str">
            <v>4250/0.6/10000</v>
          </cell>
          <cell r="BZ1536">
            <v>1.7964341422793906E-2</v>
          </cell>
          <cell r="CA1536">
            <v>1.6096330313743301E-2</v>
          </cell>
        </row>
        <row r="1537">
          <cell r="BN1537" t="str">
            <v>0/0.7/99999</v>
          </cell>
          <cell r="BO1537">
            <v>0.59318907544209187</v>
          </cell>
          <cell r="BP1537">
            <v>0.72206330950843478</v>
          </cell>
          <cell r="BQ1537">
            <v>0.60234789270500977</v>
          </cell>
          <cell r="BR1537">
            <v>0.58457428961770008</v>
          </cell>
          <cell r="BS1537">
            <v>0.57948354605695995</v>
          </cell>
          <cell r="BT1537">
            <v>0.53595684743244343</v>
          </cell>
          <cell r="BU1537">
            <v>0.65004343619495619</v>
          </cell>
          <cell r="BV1537">
            <v>0.64632719667806748</v>
          </cell>
          <cell r="BY1537" t="str">
            <v>4250/0.6/99999</v>
          </cell>
          <cell r="BZ1537">
            <v>1.3959981825681311E-2</v>
          </cell>
          <cell r="CA1537">
            <v>1.268562217232766E-2</v>
          </cell>
        </row>
        <row r="1538">
          <cell r="BY1538" t="str">
            <v>4500/0.6/5000</v>
          </cell>
          <cell r="BZ1538">
            <v>2.0234884081059112E-2</v>
          </cell>
          <cell r="CA1538">
            <v>1.8567014541269522E-2</v>
          </cell>
        </row>
        <row r="1539">
          <cell r="BN1539" t="str">
            <v>250/0.7/500</v>
          </cell>
          <cell r="BO1539">
            <v>0.93888414673073506</v>
          </cell>
          <cell r="BP1539">
            <v>0.93826003715716289</v>
          </cell>
          <cell r="BQ1539">
            <v>0.94087382380345597</v>
          </cell>
          <cell r="BR1539">
            <v>0.93905210892091695</v>
          </cell>
          <cell r="BS1539">
            <v>0.93586921720282967</v>
          </cell>
          <cell r="BT1539">
            <v>0.90629501824774472</v>
          </cell>
          <cell r="BU1539">
            <v>1.0299870134777236</v>
          </cell>
          <cell r="BV1539">
            <v>1.022246728533605</v>
          </cell>
          <cell r="BY1539" t="str">
            <v>4500/0.6/5250</v>
          </cell>
          <cell r="BZ1539">
            <v>2.0070309539289177E-2</v>
          </cell>
          <cell r="CA1539">
            <v>1.8340422434808101E-2</v>
          </cell>
        </row>
        <row r="1540">
          <cell r="BN1540" t="str">
            <v>250/0.7/750</v>
          </cell>
          <cell r="BO1540">
            <v>0.90413070996527123</v>
          </cell>
          <cell r="BP1540">
            <v>0.90449521280131784</v>
          </cell>
          <cell r="BQ1540">
            <v>0.90663437671175529</v>
          </cell>
          <cell r="BR1540">
            <v>0.90429517778389001</v>
          </cell>
          <cell r="BS1540">
            <v>0.89820431322953653</v>
          </cell>
          <cell r="BT1540">
            <v>0.86226410217596994</v>
          </cell>
          <cell r="BU1540">
            <v>0.98730227056316344</v>
          </cell>
          <cell r="BV1540">
            <v>0.97572849039970677</v>
          </cell>
          <cell r="BY1540" t="str">
            <v>4500/0.6/5500</v>
          </cell>
          <cell r="BZ1540">
            <v>1.9905734997519242E-2</v>
          </cell>
          <cell r="CA1540">
            <v>1.8113830328346681E-2</v>
          </cell>
        </row>
        <row r="1541">
          <cell r="BN1541" t="str">
            <v>250/0.7/1000</v>
          </cell>
          <cell r="BO1541">
            <v>0.87685780518393708</v>
          </cell>
          <cell r="BP1541">
            <v>0.87848773151484827</v>
          </cell>
          <cell r="BQ1541">
            <v>0.88006054453007954</v>
          </cell>
          <cell r="BR1541">
            <v>0.87696453908975358</v>
          </cell>
          <cell r="BS1541">
            <v>0.86783341280111226</v>
          </cell>
          <cell r="BT1541">
            <v>0.8290949482904697</v>
          </cell>
          <cell r="BU1541">
            <v>0.95322803515320764</v>
          </cell>
          <cell r="BV1541">
            <v>0.93781089216679514</v>
          </cell>
          <cell r="BY1541" t="str">
            <v>4500/0.6/5750</v>
          </cell>
          <cell r="BZ1541">
            <v>1.974653427184081E-2</v>
          </cell>
          <cell r="CA1541">
            <v>1.7914321651446741E-2</v>
          </cell>
        </row>
        <row r="1542">
          <cell r="BN1542" t="str">
            <v>250/0.7/1250</v>
          </cell>
          <cell r="BO1542">
            <v>0.85321055869176698</v>
          </cell>
          <cell r="BP1542">
            <v>0.8565960298104669</v>
          </cell>
          <cell r="BQ1542">
            <v>0.85704940590118861</v>
          </cell>
          <cell r="BR1542">
            <v>0.85323396327335188</v>
          </cell>
          <cell r="BS1542">
            <v>0.84146946515624377</v>
          </cell>
          <cell r="BT1542">
            <v>0.80068126125713979</v>
          </cell>
          <cell r="BU1542">
            <v>0.92502094339367658</v>
          </cell>
          <cell r="BV1542">
            <v>0.90634589448058289</v>
          </cell>
          <cell r="BY1542" t="str">
            <v>4500/0.6/6000</v>
          </cell>
          <cell r="BZ1542">
            <v>1.9587333546162378E-2</v>
          </cell>
          <cell r="CA1542">
            <v>1.7714812974546801E-2</v>
          </cell>
        </row>
        <row r="1543">
          <cell r="BN1543" t="str">
            <v>250/0.7/1500</v>
          </cell>
          <cell r="BO1543">
            <v>0.83452285043270469</v>
          </cell>
          <cell r="BP1543">
            <v>0.84021696613724317</v>
          </cell>
          <cell r="BQ1543">
            <v>0.83905136061517838</v>
          </cell>
          <cell r="BR1543">
            <v>0.83443117853760596</v>
          </cell>
          <cell r="BS1543">
            <v>0.82023825258074723</v>
          </cell>
          <cell r="BT1543">
            <v>0.77773279648184046</v>
          </cell>
          <cell r="BU1543">
            <v>0.90089103806683257</v>
          </cell>
          <cell r="BV1543">
            <v>0.87953357808314503</v>
          </cell>
          <cell r="BY1543" t="str">
            <v>4500/0.6/6250</v>
          </cell>
          <cell r="BZ1543">
            <v>1.9441599467799331E-2</v>
          </cell>
          <cell r="CA1543">
            <v>1.7549322778244836E-2</v>
          </cell>
        </row>
        <row r="1544">
          <cell r="BN1544" t="str">
            <v>250/0.7/1750</v>
          </cell>
          <cell r="BO1544">
            <v>0.81891350803815988</v>
          </cell>
          <cell r="BP1544">
            <v>0.82708858326392631</v>
          </cell>
          <cell r="BQ1544">
            <v>0.8239042630034068</v>
          </cell>
          <cell r="BR1544">
            <v>0.81869089532078831</v>
          </cell>
          <cell r="BS1544">
            <v>0.80223031848794446</v>
          </cell>
          <cell r="BT1544">
            <v>0.75825081321447729</v>
          </cell>
          <cell r="BU1544">
            <v>0.88225162483748876</v>
          </cell>
          <cell r="BV1544">
            <v>0.86222905603873767</v>
          </cell>
          <cell r="BY1544" t="str">
            <v>4500/0.6/6350</v>
          </cell>
          <cell r="BZ1544">
            <v>1.9385405721466631E-2</v>
          </cell>
          <cell r="CA1544">
            <v>1.7485588612433656E-2</v>
          </cell>
        </row>
        <row r="1545">
          <cell r="BN1545" t="str">
            <v>250/0.7/2000</v>
          </cell>
          <cell r="BO1545">
            <v>0.80330416564361506</v>
          </cell>
          <cell r="BP1545">
            <v>0.81396020039060957</v>
          </cell>
          <cell r="BQ1545">
            <v>0.80875716539163511</v>
          </cell>
          <cell r="BR1545">
            <v>0.80295061210397078</v>
          </cell>
          <cell r="BS1545">
            <v>0.78422238439514158</v>
          </cell>
          <cell r="BT1545">
            <v>0.73876882994711413</v>
          </cell>
          <cell r="BU1545">
            <v>0.86361221160814494</v>
          </cell>
          <cell r="BV1545">
            <v>0.84492453399433032</v>
          </cell>
          <cell r="BY1545" t="str">
            <v>4500/0.6/6600</v>
          </cell>
          <cell r="BZ1545">
            <v>1.9249339685001976E-2</v>
          </cell>
          <cell r="CA1545">
            <v>1.7325760378672284E-2</v>
          </cell>
        </row>
        <row r="1546">
          <cell r="BN1546" t="str">
            <v>250/0.7/2250</v>
          </cell>
          <cell r="BO1546">
            <v>0.78987841760489375</v>
          </cell>
          <cell r="BP1546">
            <v>0.80432469242644966</v>
          </cell>
          <cell r="BQ1546">
            <v>0.79579272474371954</v>
          </cell>
          <cell r="BR1546">
            <v>0.78930642634422232</v>
          </cell>
          <cell r="BS1546">
            <v>0.76811326163325</v>
          </cell>
          <cell r="BT1546">
            <v>0.7226879878056951</v>
          </cell>
          <cell r="BU1546">
            <v>0.85179278932638436</v>
          </cell>
          <cell r="BV1546">
            <v>0.83162455465195007</v>
          </cell>
          <cell r="BY1546" t="str">
            <v>4500/0.6/6850</v>
          </cell>
          <cell r="BZ1546">
            <v>1.9119514855425845E-2</v>
          </cell>
          <cell r="CA1546">
            <v>1.7181721191130817E-2</v>
          </cell>
        </row>
        <row r="1547">
          <cell r="BN1547" t="str">
            <v>250/0.7/2500</v>
          </cell>
          <cell r="BO1547">
            <v>0.77933619274526478</v>
          </cell>
          <cell r="BP1547">
            <v>0.79744283878748412</v>
          </cell>
          <cell r="BQ1547">
            <v>0.78558251183850358</v>
          </cell>
          <cell r="BR1547">
            <v>0.7786380352556207</v>
          </cell>
          <cell r="BS1547">
            <v>0.75526548453279385</v>
          </cell>
          <cell r="BT1547">
            <v>0.71304694045063621</v>
          </cell>
          <cell r="BU1547">
            <v>0.84129640358317581</v>
          </cell>
          <cell r="BV1547">
            <v>0.81963861961972406</v>
          </cell>
          <cell r="BY1547" t="str">
            <v>4500/0.6/7500</v>
          </cell>
          <cell r="BZ1547">
            <v>1.8796271121102048E-2</v>
          </cell>
          <cell r="CA1547">
            <v>1.684598276694238E-2</v>
          </cell>
        </row>
        <row r="1548">
          <cell r="BN1548" t="str">
            <v>250/0.7/2750</v>
          </cell>
          <cell r="BO1548">
            <v>0.76945012426852266</v>
          </cell>
          <cell r="BP1548">
            <v>0.79168864864081079</v>
          </cell>
          <cell r="BQ1548">
            <v>0.7758721399144517</v>
          </cell>
          <cell r="BR1548">
            <v>0.76859661442859428</v>
          </cell>
          <cell r="BS1548">
            <v>0.74481332531375666</v>
          </cell>
          <cell r="BT1548">
            <v>0.70427670637030515</v>
          </cell>
          <cell r="BU1548">
            <v>0.83170381009094885</v>
          </cell>
          <cell r="BV1548">
            <v>0.80836835182801414</v>
          </cell>
          <cell r="BY1548" t="str">
            <v>4500/0.6/8000</v>
          </cell>
          <cell r="BZ1548">
            <v>1.856580168036015E-2</v>
          </cell>
          <cell r="CA1548">
            <v>1.6619394890483696E-2</v>
          </cell>
        </row>
        <row r="1549">
          <cell r="BN1549" t="str">
            <v>250/0.7/3000</v>
          </cell>
          <cell r="BO1549">
            <v>0.7601243907646521</v>
          </cell>
          <cell r="BP1549">
            <v>0.78687099513374825</v>
          </cell>
          <cell r="BQ1549">
            <v>0.76652823546094651</v>
          </cell>
          <cell r="BR1549">
            <v>0.75926312178683375</v>
          </cell>
          <cell r="BS1549">
            <v>0.73480349399493439</v>
          </cell>
          <cell r="BT1549">
            <v>0.6967302482052663</v>
          </cell>
          <cell r="BU1549">
            <v>0.82290292365723205</v>
          </cell>
          <cell r="BV1549">
            <v>0.79975241137753539</v>
          </cell>
          <cell r="BY1549" t="str">
            <v>4500/0.6/9000</v>
          </cell>
          <cell r="BZ1549">
            <v>1.8206743570972517E-2</v>
          </cell>
          <cell r="CA1549">
            <v>1.6256865547389143E-2</v>
          </cell>
        </row>
        <row r="1550">
          <cell r="BN1550" t="str">
            <v>250/0.7/3250</v>
          </cell>
          <cell r="BO1550">
            <v>0.75166311286496512</v>
          </cell>
          <cell r="BP1550">
            <v>0.78276170830333314</v>
          </cell>
          <cell r="BQ1550">
            <v>0.75882113270194185</v>
          </cell>
          <cell r="BR1550">
            <v>0.75021204885740556</v>
          </cell>
          <cell r="BS1550">
            <v>0.72663882321251694</v>
          </cell>
          <cell r="BT1550">
            <v>0.68975666036125483</v>
          </cell>
          <cell r="BU1550">
            <v>0.81489250018951775</v>
          </cell>
          <cell r="BV1550">
            <v>0.79187008956763294</v>
          </cell>
          <cell r="BY1550" t="str">
            <v>4500/0.6/10000</v>
          </cell>
          <cell r="BZ1550">
            <v>1.7882333832776709E-2</v>
          </cell>
          <cell r="CA1550">
            <v>1.5945378689736667E-2</v>
          </cell>
        </row>
        <row r="1551">
          <cell r="BN1551" t="str">
            <v>250/0.7/3500</v>
          </cell>
          <cell r="BO1551">
            <v>0.74320183496527814</v>
          </cell>
          <cell r="BP1551">
            <v>0.77865242147291791</v>
          </cell>
          <cell r="BQ1551">
            <v>0.75111402994293719</v>
          </cell>
          <cell r="BR1551">
            <v>0.74116097592797736</v>
          </cell>
          <cell r="BS1551">
            <v>0.71847415243009938</v>
          </cell>
          <cell r="BT1551">
            <v>0.68278307251724335</v>
          </cell>
          <cell r="BU1551">
            <v>0.80688207672180357</v>
          </cell>
          <cell r="BV1551">
            <v>0.78398776775773038</v>
          </cell>
          <cell r="BY1551" t="str">
            <v>4500/0.6/99999</v>
          </cell>
          <cell r="BZ1551">
            <v>1.3830697536616143E-2</v>
          </cell>
          <cell r="CA1551">
            <v>1.2493511771161647E-2</v>
          </cell>
        </row>
        <row r="1552">
          <cell r="BN1552" t="str">
            <v>250/0.7/3750</v>
          </cell>
          <cell r="BO1552">
            <v>0.73674390803251211</v>
          </cell>
          <cell r="BP1552">
            <v>0.77524677353606108</v>
          </cell>
          <cell r="BQ1552">
            <v>0.74468129031629671</v>
          </cell>
          <cell r="BR1552">
            <v>0.7347166781801896</v>
          </cell>
          <cell r="BS1552">
            <v>0.71343782931950028</v>
          </cell>
          <cell r="BT1552">
            <v>0.67585745902729666</v>
          </cell>
          <cell r="BU1552">
            <v>0.80109300191168376</v>
          </cell>
          <cell r="BV1552">
            <v>0.77785680491758002</v>
          </cell>
          <cell r="BY1552" t="str">
            <v>4750/0.6/5000</v>
          </cell>
          <cell r="BZ1552">
            <v>2.0202588614993022E-2</v>
          </cell>
          <cell r="CA1552">
            <v>1.8525937623358857E-2</v>
          </cell>
        </row>
        <row r="1553">
          <cell r="BN1553" t="str">
            <v>250/0.7/4000</v>
          </cell>
          <cell r="BO1553">
            <v>0.73028598109974607</v>
          </cell>
          <cell r="BP1553">
            <v>0.77184112559920437</v>
          </cell>
          <cell r="BQ1553">
            <v>0.73824855068965611</v>
          </cell>
          <cell r="BR1553">
            <v>0.72827238043240183</v>
          </cell>
          <cell r="BS1553">
            <v>0.70840150620890119</v>
          </cell>
          <cell r="BT1553">
            <v>0.66893184553734997</v>
          </cell>
          <cell r="BU1553">
            <v>0.79530392710156395</v>
          </cell>
          <cell r="BV1553">
            <v>0.77172584207742967</v>
          </cell>
          <cell r="BY1553" t="str">
            <v>4750/0.6/5250</v>
          </cell>
          <cell r="BZ1553">
            <v>2.0039024327277638E-2</v>
          </cell>
          <cell r="CA1553">
            <v>1.8286639516447628E-2</v>
          </cell>
        </row>
        <row r="1554">
          <cell r="BN1554" t="str">
            <v>250/0.7/4250</v>
          </cell>
          <cell r="BO1554">
            <v>0.72518229434134129</v>
          </cell>
          <cell r="BP1554">
            <v>0.76908645094181538</v>
          </cell>
          <cell r="BQ1554">
            <v>0.73221102385012427</v>
          </cell>
          <cell r="BR1554">
            <v>0.72341864623388741</v>
          </cell>
          <cell r="BS1554">
            <v>0.70399065852538334</v>
          </cell>
          <cell r="BT1554">
            <v>0.66418723109894717</v>
          </cell>
          <cell r="BU1554">
            <v>0.78994402096153893</v>
          </cell>
          <cell r="BV1554">
            <v>0.76608375963305431</v>
          </cell>
          <cell r="BY1554" t="str">
            <v>4750/0.6/5500</v>
          </cell>
          <cell r="BZ1554">
            <v>1.9875460039562254E-2</v>
          </cell>
          <cell r="CA1554">
            <v>1.8047341409536399E-2</v>
          </cell>
        </row>
        <row r="1555">
          <cell r="BN1555" t="str">
            <v>250/0.7/4500</v>
          </cell>
          <cell r="BO1555">
            <v>0.7200786075829364</v>
          </cell>
          <cell r="BP1555">
            <v>0.7663317762844265</v>
          </cell>
          <cell r="BQ1555">
            <v>0.72617349701059253</v>
          </cell>
          <cell r="BR1555">
            <v>0.71856491203537287</v>
          </cell>
          <cell r="BS1555">
            <v>0.69957981084186549</v>
          </cell>
          <cell r="BT1555">
            <v>0.65944261666054449</v>
          </cell>
          <cell r="BU1555">
            <v>0.7845841148215138</v>
          </cell>
          <cell r="BV1555">
            <v>0.76044167718867894</v>
          </cell>
          <cell r="BY1555" t="str">
            <v>4750/0.6/5750</v>
          </cell>
          <cell r="BZ1555">
            <v>1.9710648262831865E-2</v>
          </cell>
          <cell r="CA1555">
            <v>1.7840530304015917E-2</v>
          </cell>
        </row>
        <row r="1556">
          <cell r="BN1556" t="str">
            <v>250/0.7/4750</v>
          </cell>
          <cell r="BO1556">
            <v>0.71640198299856239</v>
          </cell>
          <cell r="BP1556">
            <v>0.76435103004898575</v>
          </cell>
          <cell r="BQ1556">
            <v>0.72270176782132989</v>
          </cell>
          <cell r="BR1556">
            <v>0.71446650676624046</v>
          </cell>
          <cell r="BS1556">
            <v>0.69568207621656353</v>
          </cell>
          <cell r="BT1556">
            <v>0.65522726448913504</v>
          </cell>
          <cell r="BU1556">
            <v>0.77936051751558288</v>
          </cell>
          <cell r="BV1556">
            <v>0.75565313859162986</v>
          </cell>
          <cell r="BY1556" t="str">
            <v>4750/0.6/6000</v>
          </cell>
          <cell r="BZ1556">
            <v>1.9545836486101476E-2</v>
          </cell>
          <cell r="CA1556">
            <v>1.7633719198495434E-2</v>
          </cell>
        </row>
        <row r="1557">
          <cell r="BN1557" t="str">
            <v>250/0.7/5000</v>
          </cell>
          <cell r="BO1557">
            <v>0.71272535841418827</v>
          </cell>
          <cell r="BP1557">
            <v>0.76237028381354499</v>
          </cell>
          <cell r="BQ1557">
            <v>0.71923003863206736</v>
          </cell>
          <cell r="BR1557">
            <v>0.71036810149710805</v>
          </cell>
          <cell r="BS1557">
            <v>0.69178434159126156</v>
          </cell>
          <cell r="BT1557">
            <v>0.65101191231772559</v>
          </cell>
          <cell r="BU1557">
            <v>0.77413692020965208</v>
          </cell>
          <cell r="BV1557">
            <v>0.75086459999458077</v>
          </cell>
          <cell r="BY1557" t="str">
            <v>4750/0.6/6250</v>
          </cell>
          <cell r="BZ1557">
            <v>1.9395786060833753E-2</v>
          </cell>
          <cell r="CA1557">
            <v>1.7457941210991645E-2</v>
          </cell>
        </row>
        <row r="1558">
          <cell r="BN1558" t="str">
            <v>250/0.7/5250</v>
          </cell>
          <cell r="BO1558">
            <v>0.70974331732241591</v>
          </cell>
          <cell r="BP1558">
            <v>0.76063890370970433</v>
          </cell>
          <cell r="BQ1558">
            <v>0.7162520829163237</v>
          </cell>
          <cell r="BR1558">
            <v>0.70738210691539505</v>
          </cell>
          <cell r="BS1558">
            <v>0.68857386999334191</v>
          </cell>
          <cell r="BT1558">
            <v>0.64683092828534616</v>
          </cell>
          <cell r="BU1558">
            <v>0.77028962366862186</v>
          </cell>
          <cell r="BV1558">
            <v>0.74651803166671105</v>
          </cell>
          <cell r="BY1558" t="str">
            <v>4750/0.6/6350</v>
          </cell>
          <cell r="BZ1558">
            <v>1.9337947688923718E-2</v>
          </cell>
          <cell r="CA1558">
            <v>1.7389172428232458E-2</v>
          </cell>
        </row>
        <row r="1559">
          <cell r="BN1559" t="str">
            <v>250/0.7/5500</v>
          </cell>
          <cell r="BO1559">
            <v>0.70676127623064344</v>
          </cell>
          <cell r="BP1559">
            <v>0.75890752360586378</v>
          </cell>
          <cell r="BQ1559">
            <v>0.71327412720058014</v>
          </cell>
          <cell r="BR1559">
            <v>0.70439611233368205</v>
          </cell>
          <cell r="BS1559">
            <v>0.68536339839542226</v>
          </cell>
          <cell r="BT1559">
            <v>0.64264994425296684</v>
          </cell>
          <cell r="BU1559">
            <v>0.76644232712759175</v>
          </cell>
          <cell r="BV1559">
            <v>0.74217146333884121</v>
          </cell>
          <cell r="BY1559" t="str">
            <v>4750/0.6/6600</v>
          </cell>
          <cell r="BZ1559">
            <v>1.9197881132009931E-2</v>
          </cell>
          <cell r="CA1559">
            <v>1.72165704666013E-2</v>
          </cell>
        </row>
        <row r="1560">
          <cell r="BN1560" t="str">
            <v>250/0.7/5750</v>
          </cell>
          <cell r="BO1560">
            <v>0.70378481515425628</v>
          </cell>
          <cell r="BP1560">
            <v>0.75727205395706032</v>
          </cell>
          <cell r="BQ1560">
            <v>0.710296078908496</v>
          </cell>
          <cell r="BR1560">
            <v>0.70142118550570887</v>
          </cell>
          <cell r="BS1560">
            <v>0.68225399855961522</v>
          </cell>
          <cell r="BT1560">
            <v>0.63947735492035485</v>
          </cell>
          <cell r="BU1560">
            <v>0.76270421336584004</v>
          </cell>
          <cell r="BV1560">
            <v>0.73835293148827419</v>
          </cell>
          <cell r="BY1560" t="str">
            <v>4750/0.6/6850</v>
          </cell>
          <cell r="BZ1560">
            <v>1.9064472023705925E-2</v>
          </cell>
          <cell r="CA1560">
            <v>1.7067563682123643E-2</v>
          </cell>
        </row>
        <row r="1561">
          <cell r="BN1561" t="str">
            <v>250/0.7/6000</v>
          </cell>
          <cell r="BO1561">
            <v>0.70080835407786923</v>
          </cell>
          <cell r="BP1561">
            <v>0.75563658430825675</v>
          </cell>
          <cell r="BQ1561">
            <v>0.70731803061641196</v>
          </cell>
          <cell r="BR1561">
            <v>0.6984462586777358</v>
          </cell>
          <cell r="BS1561">
            <v>0.67914459872380806</v>
          </cell>
          <cell r="BT1561">
            <v>0.63630476558774285</v>
          </cell>
          <cell r="BU1561">
            <v>0.75896609960408834</v>
          </cell>
          <cell r="BV1561">
            <v>0.73453439963770728</v>
          </cell>
          <cell r="BY1561" t="str">
            <v>4750/0.6/7500</v>
          </cell>
          <cell r="BZ1561">
            <v>1.8739046094812917E-2</v>
          </cell>
          <cell r="CA1561">
            <v>1.6725032032615494E-2</v>
          </cell>
        </row>
        <row r="1562">
          <cell r="BN1562" t="str">
            <v>250/0.7/6250</v>
          </cell>
          <cell r="BO1562">
            <v>0.69799729196529237</v>
          </cell>
          <cell r="BP1562">
            <v>0.75433567003444268</v>
          </cell>
          <cell r="BQ1562">
            <v>0.7050189431625391</v>
          </cell>
          <cell r="BR1562">
            <v>0.69546787122990872</v>
          </cell>
          <cell r="BS1562">
            <v>0.67600166126487948</v>
          </cell>
          <cell r="BT1562">
            <v>0.63332146843951698</v>
          </cell>
          <cell r="BU1562">
            <v>0.75523886219197367</v>
          </cell>
          <cell r="BV1562">
            <v>0.73088730476875019</v>
          </cell>
          <cell r="BY1562" t="str">
            <v>4750/0.6/8000</v>
          </cell>
          <cell r="BZ1562">
            <v>1.8501256695884705E-2</v>
          </cell>
          <cell r="CA1562">
            <v>1.6482538963815518E-2</v>
          </cell>
        </row>
        <row r="1563">
          <cell r="BN1563" t="str">
            <v>250/0.7/6350</v>
          </cell>
          <cell r="BO1563">
            <v>0.69709330606610043</v>
          </cell>
          <cell r="BP1563">
            <v>0.75381512522601712</v>
          </cell>
          <cell r="BQ1563">
            <v>0.70411442793178447</v>
          </cell>
          <cell r="BR1563">
            <v>0.69427587026840598</v>
          </cell>
          <cell r="BS1563">
            <v>0.67474800040677352</v>
          </cell>
          <cell r="BT1563">
            <v>0.63213308395661438</v>
          </cell>
          <cell r="BU1563">
            <v>0.75374665219600401</v>
          </cell>
          <cell r="BV1563">
            <v>0.72945037080883102</v>
          </cell>
          <cell r="BY1563" t="str">
            <v>4750/0.6/9000</v>
          </cell>
          <cell r="BZ1563">
            <v>1.8124616350291611E-2</v>
          </cell>
          <cell r="CA1563">
            <v>1.6109955571195878E-2</v>
          </cell>
        </row>
        <row r="1564">
          <cell r="BN1564" t="str">
            <v>250/0.7/6600</v>
          </cell>
          <cell r="BO1564">
            <v>0.69483569160265379</v>
          </cell>
          <cell r="BP1564">
            <v>0.75251331545770606</v>
          </cell>
          <cell r="BQ1564">
            <v>0.70186712363756709</v>
          </cell>
          <cell r="BR1564">
            <v>0.69177128143358879</v>
          </cell>
          <cell r="BS1564">
            <v>0.67231061062871367</v>
          </cell>
          <cell r="BT1564">
            <v>0.62916071413727215</v>
          </cell>
          <cell r="BU1564">
            <v>0.75052798776293606</v>
          </cell>
          <cell r="BV1564">
            <v>0.72598057050934639</v>
          </cell>
          <cell r="BY1564" t="str">
            <v>4750/0.6/10000</v>
          </cell>
          <cell r="BZ1564">
            <v>1.7800326242759512E-2</v>
          </cell>
          <cell r="CA1564">
            <v>1.5794427065730032E-2</v>
          </cell>
        </row>
        <row r="1565">
          <cell r="BN1565" t="str">
            <v>250/0.7/6850</v>
          </cell>
          <cell r="BO1565">
            <v>0.69258853979386759</v>
          </cell>
          <cell r="BP1565">
            <v>0.75121086605046872</v>
          </cell>
          <cell r="BQ1565">
            <v>0.69961948373805283</v>
          </cell>
          <cell r="BR1565">
            <v>0.68951692387794794</v>
          </cell>
          <cell r="BS1565">
            <v>0.67003099256317911</v>
          </cell>
          <cell r="BT1565">
            <v>0.62618633201494722</v>
          </cell>
          <cell r="BU1565">
            <v>0.74769135910785711</v>
          </cell>
          <cell r="BV1565">
            <v>0.72316330056004374</v>
          </cell>
          <cell r="BY1565" t="str">
            <v>4750/0.6/99999</v>
          </cell>
          <cell r="BZ1565">
            <v>1.3701413247550975E-2</v>
          </cell>
          <cell r="CA1565">
            <v>1.2301401369995635E-2</v>
          </cell>
        </row>
        <row r="1566">
          <cell r="BN1566" t="str">
            <v>250/0.7/7500</v>
          </cell>
          <cell r="BO1566">
            <v>0.68674303953408022</v>
          </cell>
          <cell r="BP1566">
            <v>0.74782808586633265</v>
          </cell>
          <cell r="BQ1566">
            <v>0.69392027350480401</v>
          </cell>
          <cell r="BR1566">
            <v>0.68367273555716634</v>
          </cell>
          <cell r="BS1566">
            <v>0.66406762520409179</v>
          </cell>
          <cell r="BT1566">
            <v>0.61952992373134008</v>
          </cell>
          <cell r="BU1566">
            <v>0.74034652803697654</v>
          </cell>
          <cell r="BV1566">
            <v>0.71610552905579594</v>
          </cell>
          <cell r="BY1566" t="str">
            <v>5000/0.6/5000</v>
          </cell>
          <cell r="BZ1566">
            <v>2.0170293148926932E-2</v>
          </cell>
          <cell r="CA1566">
            <v>1.8484860705448192E-2</v>
          </cell>
        </row>
        <row r="1567">
          <cell r="BN1567" t="str">
            <v>250/0.7/10000</v>
          </cell>
          <cell r="BO1567">
            <v>0.66914940002396295</v>
          </cell>
          <cell r="BP1567">
            <v>0.73892242981244449</v>
          </cell>
          <cell r="BQ1567">
            <v>0.67708570959374936</v>
          </cell>
          <cell r="BR1567">
            <v>0.6649296119010889</v>
          </cell>
          <cell r="BS1567">
            <v>0.64472111031710666</v>
          </cell>
          <cell r="BT1567">
            <v>0.59944584599853856</v>
          </cell>
          <cell r="BU1567">
            <v>0.71829597812493895</v>
          </cell>
          <cell r="BV1567">
            <v>0.69436215685701663</v>
          </cell>
          <cell r="BY1567" t="str">
            <v>5000/0.6/5250</v>
          </cell>
          <cell r="BZ1567">
            <v>2.0007739115266099E-2</v>
          </cell>
          <cell r="CA1567">
            <v>1.8232856598087155E-2</v>
          </cell>
        </row>
        <row r="1568">
          <cell r="BN1568" t="str">
            <v>250/0.7/99999</v>
          </cell>
          <cell r="BO1568">
            <v>0.57672919547659984</v>
          </cell>
          <cell r="BP1568">
            <v>0.70589890626847018</v>
          </cell>
          <cell r="BQ1568">
            <v>0.58708883318160121</v>
          </cell>
          <cell r="BR1568">
            <v>0.56817964104345553</v>
          </cell>
          <cell r="BS1568">
            <v>0.56428497246117881</v>
          </cell>
          <cell r="BT1568">
            <v>0.49841193501176956</v>
          </cell>
          <cell r="BU1568">
            <v>0.61442091908465857</v>
          </cell>
          <cell r="BV1568">
            <v>0.60882455893286025</v>
          </cell>
          <cell r="BY1568" t="str">
            <v>5000/0.6/5500</v>
          </cell>
          <cell r="BZ1568">
            <v>1.9845185081605266E-2</v>
          </cell>
          <cell r="CA1568">
            <v>1.7980852490726118E-2</v>
          </cell>
        </row>
        <row r="1569">
          <cell r="BY1569" t="str">
            <v>5000/0.6/5750</v>
          </cell>
          <cell r="BZ1569">
            <v>1.9674762253822919E-2</v>
          </cell>
          <cell r="CA1569">
            <v>1.7766738956585093E-2</v>
          </cell>
        </row>
        <row r="1570">
          <cell r="BN1570" t="str">
            <v>300/0.7/1000</v>
          </cell>
          <cell r="BO1570">
            <v>0.87727805366098999</v>
          </cell>
          <cell r="BP1570">
            <v>0.87880254714054451</v>
          </cell>
          <cell r="BQ1570">
            <v>0.8808044885590508</v>
          </cell>
          <cell r="BR1570">
            <v>0.8774076114031738</v>
          </cell>
          <cell r="BS1570">
            <v>0.86880467982044529</v>
          </cell>
          <cell r="BT1570">
            <v>0.82470453429074475</v>
          </cell>
          <cell r="BU1570">
            <v>0.94896825421562447</v>
          </cell>
          <cell r="BV1570">
            <v>0.93365656605860359</v>
          </cell>
          <cell r="BY1570" t="str">
            <v>5000/0.6/6000</v>
          </cell>
          <cell r="BZ1570">
            <v>1.9504339426040573E-2</v>
          </cell>
          <cell r="CA1570">
            <v>1.7552625422444068E-2</v>
          </cell>
        </row>
        <row r="1571">
          <cell r="BN1571" t="str">
            <v>300/0.7/1250</v>
          </cell>
          <cell r="BO1571">
            <v>0.85320193216970919</v>
          </cell>
          <cell r="BP1571">
            <v>0.85651338344495698</v>
          </cell>
          <cell r="BQ1571">
            <v>0.8573854138959569</v>
          </cell>
          <cell r="BR1571">
            <v>0.85327991222670818</v>
          </cell>
          <cell r="BS1571">
            <v>0.84195416980596105</v>
          </cell>
          <cell r="BT1571">
            <v>0.79579982466721277</v>
          </cell>
          <cell r="BU1571">
            <v>0.92015945783184094</v>
          </cell>
          <cell r="BV1571">
            <v>0.90138995144097389</v>
          </cell>
          <cell r="BY1571" t="str">
            <v>5000/0.6/6250</v>
          </cell>
          <cell r="BZ1571">
            <v>1.9349972653868175E-2</v>
          </cell>
          <cell r="CA1571">
            <v>1.7366559643738455E-2</v>
          </cell>
        </row>
        <row r="1572">
          <cell r="BN1572" t="str">
            <v>300/0.7/1500</v>
          </cell>
          <cell r="BO1572">
            <v>0.83369309492453614</v>
          </cell>
          <cell r="BP1572">
            <v>0.83919058844867844</v>
          </cell>
          <cell r="BQ1572">
            <v>0.83853524404665059</v>
          </cell>
          <cell r="BR1572">
            <v>0.83368687973332101</v>
          </cell>
          <cell r="BS1572">
            <v>0.81997278709980059</v>
          </cell>
          <cell r="BT1572">
            <v>0.7720207720985317</v>
          </cell>
          <cell r="BU1572">
            <v>0.89548573949590693</v>
          </cell>
          <cell r="BV1572">
            <v>0.87405218237630267</v>
          </cell>
          <cell r="BY1572" t="str">
            <v>5000/0.6/6350</v>
          </cell>
          <cell r="BZ1572">
            <v>1.9290489656380805E-2</v>
          </cell>
          <cell r="CA1572">
            <v>1.729275624403126E-2</v>
          </cell>
        </row>
        <row r="1573">
          <cell r="BN1573" t="str">
            <v>300/0.7/1750</v>
          </cell>
          <cell r="BO1573">
            <v>0.81779324556175881</v>
          </cell>
          <cell r="BP1573">
            <v>0.82578284618694298</v>
          </cell>
          <cell r="BQ1573">
            <v>0.82311954675077459</v>
          </cell>
          <cell r="BR1573">
            <v>0.81762967295076949</v>
          </cell>
          <cell r="BS1573">
            <v>0.8016263370683514</v>
          </cell>
          <cell r="BT1573">
            <v>0.75227736557418612</v>
          </cell>
          <cell r="BU1573">
            <v>0.87732074015669304</v>
          </cell>
          <cell r="BV1573">
            <v>0.85717616846416878</v>
          </cell>
          <cell r="BY1573" t="str">
            <v>5000/0.6/6600</v>
          </cell>
          <cell r="BZ1573">
            <v>1.9146422579017885E-2</v>
          </cell>
          <cell r="CA1573">
            <v>1.7107380554530316E-2</v>
          </cell>
        </row>
        <row r="1574">
          <cell r="BN1574" t="str">
            <v>300/0.7/2000</v>
          </cell>
          <cell r="BO1574">
            <v>0.80189339619898148</v>
          </cell>
          <cell r="BP1574">
            <v>0.81237510392520762</v>
          </cell>
          <cell r="BQ1574">
            <v>0.80770384945489848</v>
          </cell>
          <cell r="BR1574">
            <v>0.80157246616821798</v>
          </cell>
          <cell r="BS1574">
            <v>0.7832798870369021</v>
          </cell>
          <cell r="BT1574">
            <v>0.73253395904984042</v>
          </cell>
          <cell r="BU1574">
            <v>0.85915574081747914</v>
          </cell>
          <cell r="BV1574">
            <v>0.84030015455203488</v>
          </cell>
          <cell r="BY1574" t="str">
            <v>5000/0.6/6850</v>
          </cell>
          <cell r="BZ1574">
            <v>1.9009429191986005E-2</v>
          </cell>
          <cell r="CA1574">
            <v>1.695340617311647E-2</v>
          </cell>
        </row>
        <row r="1575">
          <cell r="BN1575" t="str">
            <v>300/0.7/2250</v>
          </cell>
          <cell r="BO1575">
            <v>0.78829358458157017</v>
          </cell>
          <cell r="BP1575">
            <v>0.80232144430072083</v>
          </cell>
          <cell r="BQ1575">
            <v>0.79457678963973943</v>
          </cell>
          <cell r="BR1575">
            <v>0.78779506886766215</v>
          </cell>
          <cell r="BS1575">
            <v>0.76708336490543461</v>
          </cell>
          <cell r="BT1575">
            <v>0.71801726573467062</v>
          </cell>
          <cell r="BU1575">
            <v>0.84712563938112306</v>
          </cell>
          <cell r="BV1575">
            <v>0.82682029983007976</v>
          </cell>
          <cell r="BY1575" t="str">
            <v>5000/0.6/7500</v>
          </cell>
          <cell r="BZ1575">
            <v>1.8681821068523785E-2</v>
          </cell>
          <cell r="CA1575">
            <v>1.6604081298288609E-2</v>
          </cell>
        </row>
        <row r="1576">
          <cell r="BN1576" t="str">
            <v>300/0.7/2500</v>
          </cell>
          <cell r="BO1576">
            <v>0.77724611637292507</v>
          </cell>
          <cell r="BP1576">
            <v>0.79501370215546141</v>
          </cell>
          <cell r="BQ1576">
            <v>0.78388084550654913</v>
          </cell>
          <cell r="BR1576">
            <v>0.77663217830070608</v>
          </cell>
          <cell r="BS1576">
            <v>0.75335945827244899</v>
          </cell>
          <cell r="BT1576">
            <v>0.70792770269869265</v>
          </cell>
          <cell r="BU1576">
            <v>0.83641533312111171</v>
          </cell>
          <cell r="BV1576">
            <v>0.8146615611695901</v>
          </cell>
          <cell r="BY1576" t="str">
            <v>5000/0.6/8000</v>
          </cell>
          <cell r="BZ1576">
            <v>1.8436711711409259E-2</v>
          </cell>
          <cell r="CA1576">
            <v>1.634568303714734E-2</v>
          </cell>
        </row>
        <row r="1577">
          <cell r="BN1577" t="str">
            <v>300/0.7/2750</v>
          </cell>
          <cell r="BO1577">
            <v>0.76728833944898622</v>
          </cell>
          <cell r="BP1577">
            <v>0.78901247995143542</v>
          </cell>
          <cell r="BQ1577">
            <v>0.77413645083887839</v>
          </cell>
          <cell r="BR1577">
            <v>0.76648168296732577</v>
          </cell>
          <cell r="BS1577">
            <v>0.74290317440389464</v>
          </cell>
          <cell r="BT1577">
            <v>0.6990513771991268</v>
          </cell>
          <cell r="BU1577">
            <v>0.8266839262013681</v>
          </cell>
          <cell r="BV1577">
            <v>0.80300871233411597</v>
          </cell>
          <cell r="BY1577" t="str">
            <v>5000/0.6/9000</v>
          </cell>
          <cell r="BZ1577">
            <v>1.8042489129610706E-2</v>
          </cell>
          <cell r="CA1577">
            <v>1.5963045595002612E-2</v>
          </cell>
        </row>
        <row r="1578">
          <cell r="BN1578" t="str">
            <v>300/0.7/3000</v>
          </cell>
          <cell r="BO1578">
            <v>0.75789548341723956</v>
          </cell>
          <cell r="BP1578">
            <v>0.78412808405972845</v>
          </cell>
          <cell r="BQ1578">
            <v>0.76473139395449474</v>
          </cell>
          <cell r="BR1578">
            <v>0.75707197640998036</v>
          </cell>
          <cell r="BS1578">
            <v>0.73281892683236272</v>
          </cell>
          <cell r="BT1578">
            <v>0.69127751927003067</v>
          </cell>
          <cell r="BU1578">
            <v>0.81775833466515713</v>
          </cell>
          <cell r="BV1578">
            <v>0.79424170382593118</v>
          </cell>
          <cell r="BY1578" t="str">
            <v>5000/0.6/10000</v>
          </cell>
          <cell r="BZ1578">
            <v>1.7718318652742315E-2</v>
          </cell>
          <cell r="CA1578">
            <v>1.5643475441723398E-2</v>
          </cell>
        </row>
        <row r="1579">
          <cell r="BN1579" t="str">
            <v>300/0.7/3250</v>
          </cell>
          <cell r="BO1579">
            <v>0.74921248957098807</v>
          </cell>
          <cell r="BP1579">
            <v>0.77993094474388602</v>
          </cell>
          <cell r="BQ1579">
            <v>0.75680043165646427</v>
          </cell>
          <cell r="BR1579">
            <v>0.74780030761808414</v>
          </cell>
          <cell r="BS1579">
            <v>0.72479836294064359</v>
          </cell>
          <cell r="BT1579">
            <v>0.6842949482631181</v>
          </cell>
          <cell r="BU1579">
            <v>0.80972203811881083</v>
          </cell>
          <cell r="BV1579">
            <v>0.7863030495425013</v>
          </cell>
          <cell r="BY1579" t="str">
            <v>5000/0.6/99999</v>
          </cell>
          <cell r="BZ1579">
            <v>1.3572128958485807E-2</v>
          </cell>
          <cell r="CA1579">
            <v>1.2109290968829622E-2</v>
          </cell>
        </row>
        <row r="1580">
          <cell r="BN1580" t="str">
            <v>300/0.7/3500</v>
          </cell>
          <cell r="BO1580">
            <v>0.74052949572473659</v>
          </cell>
          <cell r="BP1580">
            <v>0.77573380542804349</v>
          </cell>
          <cell r="BQ1580">
            <v>0.74886946935843368</v>
          </cell>
          <cell r="BR1580">
            <v>0.7385286388261878</v>
          </cell>
          <cell r="BS1580">
            <v>0.71677779904892458</v>
          </cell>
          <cell r="BT1580">
            <v>0.67731237725620552</v>
          </cell>
          <cell r="BU1580">
            <v>0.80168574157246453</v>
          </cell>
          <cell r="BV1580">
            <v>0.77836439525907142</v>
          </cell>
          <cell r="BY1580" t="str">
            <v>0/0.5/0</v>
          </cell>
          <cell r="BZ1580">
            <v>2.8206809685441092E-2</v>
          </cell>
          <cell r="CA1580">
            <v>2.8350139159793786E-2</v>
          </cell>
        </row>
        <row r="1581">
          <cell r="BN1581" t="str">
            <v>300/0.7/3750</v>
          </cell>
          <cell r="BO1581">
            <v>0.73407628984897422</v>
          </cell>
          <cell r="BP1581">
            <v>0.77227972306617143</v>
          </cell>
          <cell r="BQ1581">
            <v>0.74242822554906573</v>
          </cell>
          <cell r="BR1581">
            <v>0.73208934813961191</v>
          </cell>
          <cell r="BS1581">
            <v>0.71170146528390321</v>
          </cell>
          <cell r="BT1581">
            <v>0.67039334092171998</v>
          </cell>
          <cell r="BU1581">
            <v>0.79568964162101041</v>
          </cell>
          <cell r="BV1581">
            <v>0.77210340904043262</v>
          </cell>
          <cell r="BY1581" t="str">
            <v>0/0.5/250</v>
          </cell>
          <cell r="BZ1581">
            <v>2.7345749429720678E-2</v>
          </cell>
          <cell r="CA1581">
            <v>2.7422739852004163E-2</v>
          </cell>
        </row>
        <row r="1582">
          <cell r="BN1582" t="str">
            <v>300/0.7/4000</v>
          </cell>
          <cell r="BO1582">
            <v>0.72762308397321185</v>
          </cell>
          <cell r="BP1582">
            <v>0.76882564070429937</v>
          </cell>
          <cell r="BQ1582">
            <v>0.73598698173969779</v>
          </cell>
          <cell r="BR1582">
            <v>0.72565005745303601</v>
          </cell>
          <cell r="BS1582">
            <v>0.70662513151888184</v>
          </cell>
          <cell r="BT1582">
            <v>0.66347430458723433</v>
          </cell>
          <cell r="BU1582">
            <v>0.7896935416695563</v>
          </cell>
          <cell r="BV1582">
            <v>0.76584242282179382</v>
          </cell>
          <cell r="BY1582" t="str">
            <v>0/0.5/500</v>
          </cell>
          <cell r="BZ1582">
            <v>2.6709292529012219E-2</v>
          </cell>
          <cell r="CA1582">
            <v>2.6717647764031405E-2</v>
          </cell>
        </row>
        <row r="1583">
          <cell r="BN1583" t="str">
            <v>300/0.7/4250</v>
          </cell>
          <cell r="BO1583">
            <v>0.72283615246375232</v>
          </cell>
          <cell r="BP1583">
            <v>0.7660147931030209</v>
          </cell>
          <cell r="BQ1583">
            <v>0.73005912091840597</v>
          </cell>
          <cell r="BR1583">
            <v>0.72110777128434922</v>
          </cell>
          <cell r="BS1583">
            <v>0.70211478280367412</v>
          </cell>
          <cell r="BT1583">
            <v>0.65852729323208226</v>
          </cell>
          <cell r="BU1583">
            <v>0.78432124221258981</v>
          </cell>
          <cell r="BV1583">
            <v>0.7602095964295239</v>
          </cell>
          <cell r="BY1583" t="str">
            <v>0/0.5/750</v>
          </cell>
          <cell r="BZ1583">
            <v>2.6205336619721464E-2</v>
          </cell>
          <cell r="CA1583">
            <v>2.6165800938591444E-2</v>
          </cell>
        </row>
        <row r="1584">
          <cell r="BN1584" t="str">
            <v>300/0.7/4500</v>
          </cell>
          <cell r="BO1584">
            <v>0.71804922095429291</v>
          </cell>
          <cell r="BP1584">
            <v>0.76320394550174242</v>
          </cell>
          <cell r="BQ1584">
            <v>0.72413126009711404</v>
          </cell>
          <cell r="BR1584">
            <v>0.71656548511566232</v>
          </cell>
          <cell r="BS1584">
            <v>0.6976044340884664</v>
          </cell>
          <cell r="BT1584">
            <v>0.65358028187693029</v>
          </cell>
          <cell r="BU1584">
            <v>0.77894894275562321</v>
          </cell>
          <cell r="BV1584">
            <v>0.75457677003725399</v>
          </cell>
          <cell r="BY1584" t="str">
            <v>0/0.5/1000</v>
          </cell>
          <cell r="BZ1584">
            <v>2.5786392691580451E-2</v>
          </cell>
          <cell r="CA1584">
            <v>2.5710463900771696E-2</v>
          </cell>
        </row>
        <row r="1585">
          <cell r="BN1585" t="str">
            <v>300/0.7/4750</v>
          </cell>
          <cell r="BO1585">
            <v>0.71428090826562074</v>
          </cell>
          <cell r="BP1585">
            <v>0.76116494477742114</v>
          </cell>
          <cell r="BQ1585">
            <v>0.72072766157917778</v>
          </cell>
          <cell r="BR1585">
            <v>0.71237936356634246</v>
          </cell>
          <cell r="BS1585">
            <v>0.69371026740788855</v>
          </cell>
          <cell r="BT1585">
            <v>0.64935714025058477</v>
          </cell>
          <cell r="BU1585">
            <v>0.77372694914721274</v>
          </cell>
          <cell r="BV1585">
            <v>0.74968128394798583</v>
          </cell>
          <cell r="BY1585" t="str">
            <v>0/0.5/1250</v>
          </cell>
          <cell r="BZ1585">
            <v>2.5432205293086652E-2</v>
          </cell>
          <cell r="CA1585">
            <v>2.5316418154484266E-2</v>
          </cell>
        </row>
        <row r="1586">
          <cell r="BN1586" t="str">
            <v>300/0.7/5000</v>
          </cell>
          <cell r="BO1586">
            <v>0.71051259557694868</v>
          </cell>
          <cell r="BP1586">
            <v>0.75912594405309985</v>
          </cell>
          <cell r="BQ1586">
            <v>0.71732406306124163</v>
          </cell>
          <cell r="BR1586">
            <v>0.70819324201702272</v>
          </cell>
          <cell r="BS1586">
            <v>0.68981610072731081</v>
          </cell>
          <cell r="BT1586">
            <v>0.64513399862423926</v>
          </cell>
          <cell r="BU1586">
            <v>0.76850495553880216</v>
          </cell>
          <cell r="BV1586">
            <v>0.74478579785871768</v>
          </cell>
          <cell r="BY1586" t="str">
            <v>0/0.5/1500</v>
          </cell>
          <cell r="BZ1586">
            <v>2.512357223678463E-2</v>
          </cell>
          <cell r="CA1586">
            <v>2.4970651472602912E-2</v>
          </cell>
        </row>
        <row r="1587">
          <cell r="BN1587" t="str">
            <v>300/0.7/5250</v>
          </cell>
          <cell r="BO1587">
            <v>0.7075296446412972</v>
          </cell>
          <cell r="BP1587">
            <v>0.75739465456305743</v>
          </cell>
          <cell r="BQ1587">
            <v>0.71434511966569614</v>
          </cell>
          <cell r="BR1587">
            <v>0.70520230644831239</v>
          </cell>
          <cell r="BS1587">
            <v>0.68654086619526677</v>
          </cell>
          <cell r="BT1587">
            <v>0.64095374175955344</v>
          </cell>
          <cell r="BU1587">
            <v>0.76453605058042595</v>
          </cell>
          <cell r="BV1587">
            <v>0.74041041465979673</v>
          </cell>
          <cell r="BY1587" t="str">
            <v>0/0.5/1750</v>
          </cell>
          <cell r="BZ1587">
            <v>2.4855564832310217E-2</v>
          </cell>
          <cell r="CA1587">
            <v>2.4668402366392561E-2</v>
          </cell>
        </row>
        <row r="1588">
          <cell r="BN1588" t="str">
            <v>300/0.7/5500</v>
          </cell>
          <cell r="BO1588">
            <v>0.70454669370564571</v>
          </cell>
          <cell r="BP1588">
            <v>0.75566336507301513</v>
          </cell>
          <cell r="BQ1588">
            <v>0.71136617627015064</v>
          </cell>
          <cell r="BR1588">
            <v>0.70221137087960217</v>
          </cell>
          <cell r="BS1588">
            <v>0.68326563166322285</v>
          </cell>
          <cell r="BT1588">
            <v>0.63677348489486751</v>
          </cell>
          <cell r="BU1588">
            <v>0.76056714562204975</v>
          </cell>
          <cell r="BV1588">
            <v>0.73603503146087579</v>
          </cell>
          <cell r="BY1588" t="str">
            <v>0/0.5/2000</v>
          </cell>
          <cell r="BZ1588">
            <v>2.4587557427835804E-2</v>
          </cell>
          <cell r="CA1588">
            <v>2.4366153260182211E-2</v>
          </cell>
        </row>
        <row r="1589">
          <cell r="BN1589" t="str">
            <v>300/0.7/5750</v>
          </cell>
          <cell r="BO1589">
            <v>0.70157055815280844</v>
          </cell>
          <cell r="BP1589">
            <v>0.75399304515298937</v>
          </cell>
          <cell r="BQ1589">
            <v>0.70838846505761632</v>
          </cell>
          <cell r="BR1589">
            <v>0.6992367619830131</v>
          </cell>
          <cell r="BS1589">
            <v>0.68015932122435663</v>
          </cell>
          <cell r="BT1589">
            <v>0.63351700184191206</v>
          </cell>
          <cell r="BU1589">
            <v>0.75682736723977873</v>
          </cell>
          <cell r="BV1589">
            <v>0.7322068877755743</v>
          </cell>
          <cell r="BY1589" t="str">
            <v>0/0.5/2250</v>
          </cell>
          <cell r="BZ1589">
            <v>2.434847588955491E-2</v>
          </cell>
          <cell r="CA1589">
            <v>2.4097786390029352E-2</v>
          </cell>
        </row>
        <row r="1590">
          <cell r="BN1590" t="str">
            <v>300/0.7/6000</v>
          </cell>
          <cell r="BO1590">
            <v>0.69859442259997118</v>
          </cell>
          <cell r="BP1590">
            <v>0.75232272523296362</v>
          </cell>
          <cell r="BQ1590">
            <v>0.70541075384508201</v>
          </cell>
          <cell r="BR1590">
            <v>0.69626215308642414</v>
          </cell>
          <cell r="BS1590">
            <v>0.67705301078549041</v>
          </cell>
          <cell r="BT1590">
            <v>0.63026051878895661</v>
          </cell>
          <cell r="BU1590">
            <v>0.75308758885750759</v>
          </cell>
          <cell r="BV1590">
            <v>0.72837874409027281</v>
          </cell>
          <cell r="BY1590" t="str">
            <v>0/0.5/2500</v>
          </cell>
          <cell r="BZ1590">
            <v>2.4130104862806423E-2</v>
          </cell>
          <cell r="CA1590">
            <v>2.3848518561254917E-2</v>
          </cell>
        </row>
        <row r="1591">
          <cell r="BN1591" t="str">
            <v>300/0.7/6250</v>
          </cell>
          <cell r="BO1591">
            <v>0.69567182173354047</v>
          </cell>
          <cell r="BP1591">
            <v>0.75102187154303135</v>
          </cell>
          <cell r="BQ1591">
            <v>0.70299868224509676</v>
          </cell>
          <cell r="BR1591">
            <v>0.69328408201028402</v>
          </cell>
          <cell r="BS1591">
            <v>0.67391314819677051</v>
          </cell>
          <cell r="BT1591">
            <v>0.62727485355489287</v>
          </cell>
          <cell r="BU1591">
            <v>0.74936102867489784</v>
          </cell>
          <cell r="BV1591">
            <v>0.72468688925195857</v>
          </cell>
          <cell r="BY1591" t="str">
            <v>0/0.5/2750</v>
          </cell>
          <cell r="BZ1591">
            <v>2.3928381608811389E-2</v>
          </cell>
          <cell r="CA1591">
            <v>2.3616102666206062E-2</v>
          </cell>
        </row>
        <row r="1592">
          <cell r="BN1592" t="str">
            <v>300/0.7/6350</v>
          </cell>
          <cell r="BO1592">
            <v>0.6947679336382685</v>
          </cell>
          <cell r="BP1592">
            <v>0.75050135037745369</v>
          </cell>
          <cell r="BQ1592">
            <v>0.70209426823388832</v>
          </cell>
          <cell r="BR1592">
            <v>0.69209220730631194</v>
          </cell>
          <cell r="BS1592">
            <v>0.67265094009330906</v>
          </cell>
          <cell r="BT1592">
            <v>0.62608658176095788</v>
          </cell>
          <cell r="BU1592">
            <v>0.74786908957073106</v>
          </cell>
          <cell r="BV1592">
            <v>0.72325171873610783</v>
          </cell>
          <cell r="BY1592" t="str">
            <v>0/0.5/3000</v>
          </cell>
          <cell r="BZ1592">
            <v>2.3737353391181326E-2</v>
          </cell>
          <cell r="CA1592">
            <v>2.3393579898061123E-2</v>
          </cell>
        </row>
        <row r="1593">
          <cell r="BN1593" t="str">
            <v>300/0.7/6600</v>
          </cell>
          <cell r="BO1593">
            <v>0.69250850856235546</v>
          </cell>
          <cell r="BP1593">
            <v>0.74919959823949833</v>
          </cell>
          <cell r="BQ1593">
            <v>0.69984502330749276</v>
          </cell>
          <cell r="BR1593">
            <v>0.68947512543988687</v>
          </cell>
          <cell r="BS1593">
            <v>0.67008604185198561</v>
          </cell>
          <cell r="BT1593">
            <v>0.62311449366403238</v>
          </cell>
          <cell r="BU1593">
            <v>0.74449942858566698</v>
          </cell>
          <cell r="BV1593">
            <v>0.71965726289860832</v>
          </cell>
          <cell r="BY1593" t="str">
            <v>0/0.5/3250</v>
          </cell>
          <cell r="BZ1593">
            <v>2.3559903807474192E-2</v>
          </cell>
          <cell r="CA1593">
            <v>2.3186605340767996E-2</v>
          </cell>
        </row>
        <row r="1594">
          <cell r="BN1594" t="str">
            <v>300/0.7/6850</v>
          </cell>
          <cell r="BO1594">
            <v>0.69026144042687876</v>
          </cell>
          <cell r="BP1594">
            <v>0.74789720435295359</v>
          </cell>
          <cell r="BQ1594">
            <v>0.69759746996554917</v>
          </cell>
          <cell r="BR1594">
            <v>0.68721890178137635</v>
          </cell>
          <cell r="BS1594">
            <v>0.6678055196365934</v>
          </cell>
          <cell r="BT1594">
            <v>0.62014039326412396</v>
          </cell>
          <cell r="BU1594">
            <v>0.74166331378479156</v>
          </cell>
          <cell r="BV1594">
            <v>0.71684331488970399</v>
          </cell>
          <cell r="BY1594" t="str">
            <v>0/0.5/3500</v>
          </cell>
          <cell r="BZ1594">
            <v>2.3382454223767057E-2</v>
          </cell>
          <cell r="CA1594">
            <v>2.2979630783474869E-2</v>
          </cell>
        </row>
        <row r="1595">
          <cell r="BN1595" t="str">
            <v>300/0.7/7500</v>
          </cell>
          <cell r="BO1595">
            <v>0.68441615609019579</v>
          </cell>
          <cell r="BP1595">
            <v>0.74451381028749042</v>
          </cell>
          <cell r="BQ1595">
            <v>0.69182592879474314</v>
          </cell>
          <cell r="BR1595">
            <v>0.68137492535611643</v>
          </cell>
          <cell r="BS1595">
            <v>0.66184714788490351</v>
          </cell>
          <cell r="BT1595">
            <v>0.61338371693935112</v>
          </cell>
          <cell r="BU1595">
            <v>0.73431468370417119</v>
          </cell>
          <cell r="BV1595">
            <v>0.70974538723509095</v>
          </cell>
          <cell r="BY1595" t="str">
            <v>0/0.5/3750</v>
          </cell>
          <cell r="BZ1595">
            <v>2.3225162240689823E-2</v>
          </cell>
          <cell r="CA1595">
            <v>2.2795520480337395E-2</v>
          </cell>
        </row>
        <row r="1596">
          <cell r="BN1596" t="str">
            <v>300/0.7/10000</v>
          </cell>
          <cell r="BO1596">
            <v>0.66666538968435851</v>
          </cell>
          <cell r="BP1596">
            <v>0.73551705581557814</v>
          </cell>
          <cell r="BQ1596">
            <v>0.67490440350554448</v>
          </cell>
          <cell r="BR1596">
            <v>0.66255991533903469</v>
          </cell>
          <cell r="BS1596">
            <v>0.64239919918841171</v>
          </cell>
          <cell r="BT1596">
            <v>0.5932345578908309</v>
          </cell>
          <cell r="BU1596">
            <v>0.71203809542186358</v>
          </cell>
          <cell r="BV1596">
            <v>0.68790035365647595</v>
          </cell>
          <cell r="BY1596" t="str">
            <v>0/0.5/4000</v>
          </cell>
          <cell r="BZ1596">
            <v>2.3067870257612588E-2</v>
          </cell>
          <cell r="CA1596">
            <v>2.261141017719992E-2</v>
          </cell>
        </row>
        <row r="1597">
          <cell r="BN1597" t="str">
            <v>300/0.7/99999</v>
          </cell>
          <cell r="BO1597">
            <v>0.57403001652666596</v>
          </cell>
          <cell r="BP1597">
            <v>0.70330623446497498</v>
          </cell>
          <cell r="BQ1597">
            <v>0.58468634117810736</v>
          </cell>
          <cell r="BR1597">
            <v>0.5654947582234453</v>
          </cell>
          <cell r="BS1597">
            <v>0.56167258144180388</v>
          </cell>
          <cell r="BT1597">
            <v>0.49511732436577588</v>
          </cell>
          <cell r="BU1597">
            <v>0.60781878499321762</v>
          </cell>
          <cell r="BV1597">
            <v>0.60200412019132887</v>
          </cell>
          <cell r="BY1597" t="str">
            <v>0/0.5/4250</v>
          </cell>
          <cell r="BZ1597">
            <v>2.2922735772635261E-2</v>
          </cell>
          <cell r="CA1597">
            <v>2.2433423070970515E-2</v>
          </cell>
        </row>
        <row r="1598">
          <cell r="BY1598" t="str">
            <v>0/0.5/4500</v>
          </cell>
          <cell r="BZ1598">
            <v>2.2777601287657934E-2</v>
          </cell>
          <cell r="CA1598">
            <v>2.225543596474111E-2</v>
          </cell>
        </row>
        <row r="1599">
          <cell r="BN1599" t="str">
            <v>500/0.7/1000</v>
          </cell>
          <cell r="BO1599">
            <v>0.88062034358342334</v>
          </cell>
          <cell r="BP1599">
            <v>0.88235998675370697</v>
          </cell>
          <cell r="BQ1599">
            <v>0.88574307280435616</v>
          </cell>
          <cell r="BR1599">
            <v>0.88089281244559081</v>
          </cell>
          <cell r="BS1599">
            <v>0.8741465693488788</v>
          </cell>
          <cell r="BT1599">
            <v>0.81202329187856237</v>
          </cell>
          <cell r="BU1599">
            <v>0.93556749597754174</v>
          </cell>
          <cell r="BV1599">
            <v>0.92025713971990819</v>
          </cell>
          <cell r="BY1599" t="str">
            <v>0/0.5/4750</v>
          </cell>
          <cell r="BZ1599">
            <v>2.2644164538580647E-2</v>
          </cell>
          <cell r="CA1599">
            <v>2.212075866557961E-2</v>
          </cell>
        </row>
        <row r="1600">
          <cell r="BN1600" t="str">
            <v>500/0.7/1250</v>
          </cell>
          <cell r="BO1600">
            <v>0.85469493159159937</v>
          </cell>
          <cell r="BP1600">
            <v>0.85777648577443211</v>
          </cell>
          <cell r="BQ1600">
            <v>0.8604202141587175</v>
          </cell>
          <cell r="BR1600">
            <v>0.85489322699822445</v>
          </cell>
          <cell r="BS1600">
            <v>0.8452335108681468</v>
          </cell>
          <cell r="BT1600">
            <v>0.78067261300671675</v>
          </cell>
          <cell r="BU1600">
            <v>0.90362775889410063</v>
          </cell>
          <cell r="BV1600">
            <v>0.88463942158926812</v>
          </cell>
          <cell r="BY1600" t="str">
            <v>0/0.5/5000</v>
          </cell>
          <cell r="BZ1600">
            <v>2.251072778950336E-2</v>
          </cell>
          <cell r="CA1600">
            <v>2.1986081366418109E-2</v>
          </cell>
        </row>
        <row r="1601">
          <cell r="BN1601" t="str">
            <v>500/0.7/1500</v>
          </cell>
          <cell r="BO1601">
            <v>0.83182007101636335</v>
          </cell>
          <cell r="BP1601">
            <v>0.83676523722844076</v>
          </cell>
          <cell r="BQ1601">
            <v>0.83815595217343331</v>
          </cell>
          <cell r="BR1601">
            <v>0.83196308999008739</v>
          </cell>
          <cell r="BS1601">
            <v>0.81972816450926067</v>
          </cell>
          <cell r="BT1601">
            <v>0.7534118275352204</v>
          </cell>
          <cell r="BU1601">
            <v>0.87676434943064219</v>
          </cell>
          <cell r="BV1601">
            <v>0.85835139471139288</v>
          </cell>
          <cell r="BY1601" t="str">
            <v>0/0.5/5250</v>
          </cell>
          <cell r="BZ1601">
            <v>2.238672033629685E-2</v>
          </cell>
          <cell r="CA1601">
            <v>2.1851875520217723E-2</v>
          </cell>
        </row>
        <row r="1602">
          <cell r="BN1602" t="str">
            <v>500/0.7/1750</v>
          </cell>
          <cell r="BO1602">
            <v>0.81463872335606791</v>
          </cell>
          <cell r="BP1602">
            <v>0.82199979306319004</v>
          </cell>
          <cell r="BQ1602">
            <v>0.82152308004405916</v>
          </cell>
          <cell r="BR1602">
            <v>0.81464605346083663</v>
          </cell>
          <cell r="BS1602">
            <v>0.80009616861343646</v>
          </cell>
          <cell r="BT1602">
            <v>0.7342975501209823</v>
          </cell>
          <cell r="BU1602">
            <v>0.85996134326114904</v>
          </cell>
          <cell r="BV1602">
            <v>0.8409801315629305</v>
          </cell>
          <cell r="BY1602" t="str">
            <v>0/0.5/5500</v>
          </cell>
          <cell r="BZ1602">
            <v>2.2262712883090341E-2</v>
          </cell>
          <cell r="CA1602">
            <v>2.1717669674017337E-2</v>
          </cell>
        </row>
        <row r="1603">
          <cell r="BN1603" t="str">
            <v>500/0.7/2000</v>
          </cell>
          <cell r="BO1603">
            <v>0.79745737569577246</v>
          </cell>
          <cell r="BP1603">
            <v>0.80723434889793932</v>
          </cell>
          <cell r="BQ1603">
            <v>0.80489020791468513</v>
          </cell>
          <cell r="BR1603">
            <v>0.79732901693158575</v>
          </cell>
          <cell r="BS1603">
            <v>0.78046417271761226</v>
          </cell>
          <cell r="BT1603">
            <v>0.71518327270674431</v>
          </cell>
          <cell r="BU1603">
            <v>0.84315833709165577</v>
          </cell>
          <cell r="BV1603">
            <v>0.82360886841446812</v>
          </cell>
          <cell r="BY1603" t="str">
            <v>0/0.5/5750</v>
          </cell>
          <cell r="BZ1603">
            <v>2.2140309929751245E-2</v>
          </cell>
          <cell r="CA1603">
            <v>2.158606176471467E-2</v>
          </cell>
        </row>
        <row r="1604">
          <cell r="BN1604" t="str">
            <v>500/0.7/2250</v>
          </cell>
          <cell r="BO1604">
            <v>0.78322004583051519</v>
          </cell>
          <cell r="BP1604">
            <v>0.79553129700122593</v>
          </cell>
          <cell r="BQ1604">
            <v>0.7911059746148027</v>
          </cell>
          <cell r="BR1604">
            <v>0.78298555804435921</v>
          </cell>
          <cell r="BS1604">
            <v>0.76381009253426413</v>
          </cell>
          <cell r="BT1604">
            <v>0.70224335754381706</v>
          </cell>
          <cell r="BU1604">
            <v>0.83035556975124647</v>
          </cell>
          <cell r="BV1604">
            <v>0.80928040588171168</v>
          </cell>
          <cell r="BY1604" t="str">
            <v>0/0.5/6000</v>
          </cell>
          <cell r="BZ1604">
            <v>2.2017906976412149E-2</v>
          </cell>
          <cell r="CA1604">
            <v>2.1454453855412003E-2</v>
          </cell>
        </row>
        <row r="1605">
          <cell r="BN1605" t="str">
            <v>500/0.7/2500</v>
          </cell>
          <cell r="BO1605">
            <v>0.77010084382342181</v>
          </cell>
          <cell r="BP1605">
            <v>0.78656022071696652</v>
          </cell>
          <cell r="BQ1605">
            <v>0.77842826079868965</v>
          </cell>
          <cell r="BR1605">
            <v>0.76969927546108063</v>
          </cell>
          <cell r="BS1605">
            <v>0.74793220943297412</v>
          </cell>
          <cell r="BT1605">
            <v>0.69025148516825841</v>
          </cell>
          <cell r="BU1605">
            <v>0.81886404140890501</v>
          </cell>
          <cell r="BV1605">
            <v>0.79634397030706361</v>
          </cell>
          <cell r="BY1605" t="str">
            <v>0/0.5/6250</v>
          </cell>
          <cell r="BZ1605">
            <v>2.1894947193344061E-2</v>
          </cell>
          <cell r="CA1605">
            <v>2.1339063493590382E-2</v>
          </cell>
        </row>
        <row r="1606">
          <cell r="BN1606" t="str">
            <v>500/0.7/2750</v>
          </cell>
          <cell r="BO1606">
            <v>0.75977535037863497</v>
          </cell>
          <cell r="BP1606">
            <v>0.7797318882087243</v>
          </cell>
          <cell r="BQ1606">
            <v>0.76841352355567816</v>
          </cell>
          <cell r="BR1606">
            <v>0.75919756709917452</v>
          </cell>
          <cell r="BS1606">
            <v>0.73591967185624307</v>
          </cell>
          <cell r="BT1606">
            <v>0.68095506904824132</v>
          </cell>
          <cell r="BU1606">
            <v>0.80861809577551147</v>
          </cell>
          <cell r="BV1606">
            <v>0.78455739477133124</v>
          </cell>
          <cell r="BY1606" t="str">
            <v>0/0.5/6350</v>
          </cell>
          <cell r="BZ1606">
            <v>2.1845659338567636E-2</v>
          </cell>
          <cell r="CA1606">
            <v>2.1298365604009772E-2</v>
          </cell>
        </row>
        <row r="1607">
          <cell r="BN1607" t="str">
            <v>500/0.7/3000</v>
          </cell>
          <cell r="BO1607">
            <v>0.75001478470620531</v>
          </cell>
          <cell r="BP1607">
            <v>0.77441281978395227</v>
          </cell>
          <cell r="BQ1607">
            <v>0.75872765032852341</v>
          </cell>
          <cell r="BR1607">
            <v>0.74931766545806422</v>
          </cell>
          <cell r="BS1607">
            <v>0.72548952397292932</v>
          </cell>
          <cell r="BT1607">
            <v>0.67233832265527416</v>
          </cell>
          <cell r="BU1607">
            <v>0.79925039878059678</v>
          </cell>
          <cell r="BV1607">
            <v>0.77403443692819474</v>
          </cell>
          <cell r="BY1607" t="str">
            <v>0/0.5/6600</v>
          </cell>
          <cell r="BZ1607">
            <v>2.1722179847752487E-2</v>
          </cell>
          <cell r="CA1607">
            <v>2.1196347398227511E-2</v>
          </cell>
        </row>
        <row r="1608">
          <cell r="BN1608" t="str">
            <v>500/0.7/3250</v>
          </cell>
          <cell r="BO1608">
            <v>0.74066283659169008</v>
          </cell>
          <cell r="BP1608">
            <v>0.76986902195495133</v>
          </cell>
          <cell r="BQ1608">
            <v>0.74990999868024966</v>
          </cell>
          <cell r="BR1608">
            <v>0.73998198221114586</v>
          </cell>
          <cell r="BS1608">
            <v>0.71810527008273417</v>
          </cell>
          <cell r="BT1608">
            <v>0.66522637782666394</v>
          </cell>
          <cell r="BU1608">
            <v>0.79097475572268361</v>
          </cell>
          <cell r="BV1608">
            <v>0.76584016440149827</v>
          </cell>
          <cell r="BY1608" t="str">
            <v>0/0.5/6850</v>
          </cell>
          <cell r="BZ1608">
            <v>2.1629678061003244E-2</v>
          </cell>
          <cell r="CA1608">
            <v>2.1102612096206341E-2</v>
          </cell>
        </row>
        <row r="1609">
          <cell r="BN1609" t="str">
            <v>500/0.7/3500</v>
          </cell>
          <cell r="BO1609">
            <v>0.73131088847717496</v>
          </cell>
          <cell r="BP1609">
            <v>0.7653252241259505</v>
          </cell>
          <cell r="BQ1609">
            <v>0.74109234703197591</v>
          </cell>
          <cell r="BR1609">
            <v>0.7306462989642275</v>
          </cell>
          <cell r="BS1609">
            <v>0.71072101619253913</v>
          </cell>
          <cell r="BT1609">
            <v>0.65811443299805372</v>
          </cell>
          <cell r="BU1609">
            <v>0.78269911266477044</v>
          </cell>
          <cell r="BV1609">
            <v>0.75764589187480191</v>
          </cell>
          <cell r="BY1609" t="str">
            <v>0/0.5/7500</v>
          </cell>
          <cell r="BZ1609">
            <v>2.141812936470977E-2</v>
          </cell>
          <cell r="CA1609">
            <v>2.0865454362715807E-2</v>
          </cell>
        </row>
        <row r="1610">
          <cell r="BN1610" t="str">
            <v>500/0.7/3750</v>
          </cell>
          <cell r="BO1610">
            <v>0.72562634320576103</v>
          </cell>
          <cell r="BP1610">
            <v>0.76168016821700624</v>
          </cell>
          <cell r="BQ1610">
            <v>0.73464306835042104</v>
          </cell>
          <cell r="BR1610">
            <v>0.72462697787333363</v>
          </cell>
          <cell r="BS1610">
            <v>0.70535606607879853</v>
          </cell>
          <cell r="BT1610">
            <v>0.65122021789666951</v>
          </cell>
          <cell r="BU1610">
            <v>0.77591856855800567</v>
          </cell>
          <cell r="BV1610">
            <v>0.75071072613799106</v>
          </cell>
          <cell r="BY1610" t="str">
            <v>0/0.5/8000</v>
          </cell>
          <cell r="BZ1610">
            <v>2.1256221591732016E-2</v>
          </cell>
          <cell r="CA1610">
            <v>2.0692734054128303E-2</v>
          </cell>
        </row>
        <row r="1611">
          <cell r="BN1611" t="str">
            <v>500/0.7/4000</v>
          </cell>
          <cell r="BO1611">
            <v>0.71994179793434709</v>
          </cell>
          <cell r="BP1611">
            <v>0.75803511230806198</v>
          </cell>
          <cell r="BQ1611">
            <v>0.72819378966886605</v>
          </cell>
          <cell r="BR1611">
            <v>0.71860765678243965</v>
          </cell>
          <cell r="BS1611">
            <v>0.69999111596505781</v>
          </cell>
          <cell r="BT1611">
            <v>0.64432600279528529</v>
          </cell>
          <cell r="BU1611">
            <v>0.76913802445124091</v>
          </cell>
          <cell r="BV1611">
            <v>0.74377556040118031</v>
          </cell>
          <cell r="BY1611" t="str">
            <v>0/0.5/9000</v>
          </cell>
          <cell r="BZ1611">
            <v>2.0931629236560889E-2</v>
          </cell>
          <cell r="CA1611">
            <v>2.0387200045933529E-2</v>
          </cell>
        </row>
        <row r="1612">
          <cell r="BN1612" t="str">
            <v>500/0.7/4250</v>
          </cell>
          <cell r="BO1612">
            <v>0.71532372381828024</v>
          </cell>
          <cell r="BP1612">
            <v>0.75500133786762746</v>
          </cell>
          <cell r="BQ1612">
            <v>0.72315985392999038</v>
          </cell>
          <cell r="BR1612">
            <v>0.71396619422906271</v>
          </cell>
          <cell r="BS1612">
            <v>0.69508748000677234</v>
          </cell>
          <cell r="BT1612">
            <v>0.63857507016694814</v>
          </cell>
          <cell r="BU1612">
            <v>0.76373938479598935</v>
          </cell>
          <cell r="BV1612">
            <v>0.73817671150857889</v>
          </cell>
          <cell r="BY1612" t="str">
            <v>0/0.5/10000</v>
          </cell>
          <cell r="BZ1612">
            <v>2.0650367818368709E-2</v>
          </cell>
          <cell r="CA1612">
            <v>2.0108431578414798E-2</v>
          </cell>
        </row>
        <row r="1613">
          <cell r="BN1613" t="str">
            <v>500/0.7/4500</v>
          </cell>
          <cell r="BO1613">
            <v>0.71070564970221339</v>
          </cell>
          <cell r="BP1613">
            <v>0.75196756342719295</v>
          </cell>
          <cell r="BQ1613">
            <v>0.71812591819111482</v>
          </cell>
          <cell r="BR1613">
            <v>0.70932473167568577</v>
          </cell>
          <cell r="BS1613">
            <v>0.69018384404848698</v>
          </cell>
          <cell r="BT1613">
            <v>0.63282413753861089</v>
          </cell>
          <cell r="BU1613">
            <v>0.75834074514073779</v>
          </cell>
          <cell r="BV1613">
            <v>0.73257786261597735</v>
          </cell>
          <cell r="BY1613" t="str">
            <v>0/0.5/99999</v>
          </cell>
          <cell r="BZ1613">
            <v>1.6103073108461707E-2</v>
          </cell>
          <cell r="CA1613">
            <v>1.6032581511598476E-2</v>
          </cell>
        </row>
        <row r="1614">
          <cell r="BN1614" t="str">
            <v>500/0.7/4750</v>
          </cell>
          <cell r="BO1614">
            <v>0.70657610666198467</v>
          </cell>
          <cell r="BP1614">
            <v>0.74969975356968943</v>
          </cell>
          <cell r="BQ1614">
            <v>0.7143554055133694</v>
          </cell>
          <cell r="BR1614">
            <v>0.70514195749552533</v>
          </cell>
          <cell r="BS1614">
            <v>0.68630401179364797</v>
          </cell>
          <cell r="BT1614">
            <v>0.62857128684971242</v>
          </cell>
          <cell r="BU1614">
            <v>0.75310710543600679</v>
          </cell>
          <cell r="BV1614">
            <v>0.7272688424960827</v>
          </cell>
          <cell r="BY1614" t="str">
            <v>250/0.5/250</v>
          </cell>
          <cell r="BZ1614">
            <v>2.714531514351326E-2</v>
          </cell>
          <cell r="CA1614">
            <v>2.7349303420450832E-2</v>
          </cell>
        </row>
        <row r="1615">
          <cell r="BN1615" t="str">
            <v>500/0.7/5000</v>
          </cell>
          <cell r="BO1615">
            <v>0.70244656362175584</v>
          </cell>
          <cell r="BP1615">
            <v>0.74743194371218602</v>
          </cell>
          <cell r="BQ1615">
            <v>0.71058489283562409</v>
          </cell>
          <cell r="BR1615">
            <v>0.70095918331536489</v>
          </cell>
          <cell r="BS1615">
            <v>0.68242417953880896</v>
          </cell>
          <cell r="BT1615">
            <v>0.62431843616081384</v>
          </cell>
          <cell r="BU1615">
            <v>0.74787346573127589</v>
          </cell>
          <cell r="BV1615">
            <v>0.72195982237618805</v>
          </cell>
          <cell r="BY1615" t="str">
            <v>250/0.5/500</v>
          </cell>
          <cell r="BZ1615">
            <v>2.6485874689932354E-2</v>
          </cell>
          <cell r="CA1615">
            <v>2.6549050989757461E-2</v>
          </cell>
        </row>
        <row r="1616">
          <cell r="BN1616" t="str">
            <v>500/0.7/5250</v>
          </cell>
          <cell r="BO1616">
            <v>0.69946014785171118</v>
          </cell>
          <cell r="BP1616">
            <v>0.74570104206026833</v>
          </cell>
          <cell r="BQ1616">
            <v>0.707602173547486</v>
          </cell>
          <cell r="BR1616">
            <v>0.69760415174993173</v>
          </cell>
          <cell r="BS1616">
            <v>0.67888969490567186</v>
          </cell>
          <cell r="BT1616">
            <v>0.62014108796690026</v>
          </cell>
          <cell r="BU1616">
            <v>0.74345193456920811</v>
          </cell>
          <cell r="BV1616">
            <v>0.71760593503684822</v>
          </cell>
          <cell r="BY1616" t="str">
            <v>250/0.5/750</v>
          </cell>
          <cell r="BZ1616">
            <v>2.5924079422230406E-2</v>
          </cell>
          <cell r="CA1616">
            <v>2.5916907442616655E-2</v>
          </cell>
        </row>
        <row r="1617">
          <cell r="BN1617" t="str">
            <v>500/0.7/5500</v>
          </cell>
          <cell r="BO1617">
            <v>0.69647373208166652</v>
          </cell>
          <cell r="BP1617">
            <v>0.74397014040835063</v>
          </cell>
          <cell r="BQ1617">
            <v>0.70461945425934791</v>
          </cell>
          <cell r="BR1617">
            <v>0.69424912018449858</v>
          </cell>
          <cell r="BS1617">
            <v>0.67535521027253476</v>
          </cell>
          <cell r="BT1617">
            <v>0.61596373977298657</v>
          </cell>
          <cell r="BU1617">
            <v>0.73903040340714043</v>
          </cell>
          <cell r="BV1617">
            <v>0.71325204769750827</v>
          </cell>
          <cell r="BY1617" t="str">
            <v>250/0.5/1000</v>
          </cell>
          <cell r="BZ1617">
            <v>2.5465011558103212E-2</v>
          </cell>
          <cell r="CA1617">
            <v>2.5414119849873629E-2</v>
          </cell>
        </row>
        <row r="1618">
          <cell r="BN1618" t="str">
            <v>500/0.7/5750</v>
          </cell>
          <cell r="BO1618">
            <v>0.6934989108439682</v>
          </cell>
          <cell r="BP1618">
            <v>0.74223750659896726</v>
          </cell>
          <cell r="BQ1618">
            <v>0.70164310731093149</v>
          </cell>
          <cell r="BR1618">
            <v>0.69127201896513646</v>
          </cell>
          <cell r="BS1618">
            <v>0.67226550982888889</v>
          </cell>
          <cell r="BT1618">
            <v>0.6123718284797548</v>
          </cell>
          <cell r="BU1618">
            <v>0.73528477607274545</v>
          </cell>
          <cell r="BV1618">
            <v>0.70925377855488747</v>
          </cell>
          <cell r="BY1618" t="str">
            <v>250/0.5/1250</v>
          </cell>
          <cell r="BZ1618">
            <v>2.5080846911443855E-2</v>
          </cell>
          <cell r="CA1618">
            <v>2.4983147456941079E-2</v>
          </cell>
        </row>
        <row r="1619">
          <cell r="BN1619" t="str">
            <v>500/0.7/6000</v>
          </cell>
          <cell r="BO1619">
            <v>0.69052408960626976</v>
          </cell>
          <cell r="BP1619">
            <v>0.74050487278958377</v>
          </cell>
          <cell r="BQ1619">
            <v>0.69866676036251518</v>
          </cell>
          <cell r="BR1619">
            <v>0.68829491774577423</v>
          </cell>
          <cell r="BS1619">
            <v>0.66917580938524301</v>
          </cell>
          <cell r="BT1619">
            <v>0.60877991718652302</v>
          </cell>
          <cell r="BU1619">
            <v>0.73153914873835058</v>
          </cell>
          <cell r="BV1619">
            <v>0.70525550941226667</v>
          </cell>
          <cell r="BY1619" t="str">
            <v>250/0.5/1500</v>
          </cell>
          <cell r="BZ1619">
            <v>2.4752885931042634E-2</v>
          </cell>
          <cell r="CA1619">
            <v>2.4612650404827185E-2</v>
          </cell>
        </row>
        <row r="1620">
          <cell r="BN1620" t="str">
            <v>500/0.7/6250</v>
          </cell>
          <cell r="BO1620">
            <v>0.68754569364838614</v>
          </cell>
          <cell r="BP1620">
            <v>0.73905582342632858</v>
          </cell>
          <cell r="BQ1620">
            <v>0.69580818313427262</v>
          </cell>
          <cell r="BR1620">
            <v>0.68531812204721498</v>
          </cell>
          <cell r="BS1620">
            <v>0.66604831011001908</v>
          </cell>
          <cell r="BT1620">
            <v>0.60579306510547237</v>
          </cell>
          <cell r="BU1620">
            <v>0.72781508412724927</v>
          </cell>
          <cell r="BV1620">
            <v>0.70139682815563309</v>
          </cell>
          <cell r="BY1620" t="str">
            <v>250/0.5/1750</v>
          </cell>
          <cell r="BZ1620">
            <v>2.4472717353985929E-2</v>
          </cell>
          <cell r="CA1620">
            <v>2.4293566259500188E-2</v>
          </cell>
        </row>
        <row r="1621">
          <cell r="BN1621" t="str">
            <v>500/0.7/6350</v>
          </cell>
          <cell r="BO1621">
            <v>0.68635366798413155</v>
          </cell>
          <cell r="BP1621">
            <v>0.73853540538515894</v>
          </cell>
          <cell r="BQ1621">
            <v>0.69490417915630165</v>
          </cell>
          <cell r="BR1621">
            <v>0.68412675640102905</v>
          </cell>
          <cell r="BS1621">
            <v>0.66479103679761975</v>
          </cell>
          <cell r="BT1621">
            <v>0.60459728891223152</v>
          </cell>
          <cell r="BU1621">
            <v>0.72632414059670714</v>
          </cell>
          <cell r="BV1621">
            <v>0.6999634554766494</v>
          </cell>
          <cell r="BY1621" t="str">
            <v>250/0.5/2000</v>
          </cell>
          <cell r="BZ1621">
            <v>2.4192548776929224E-2</v>
          </cell>
          <cell r="CA1621">
            <v>2.397448211417319E-2</v>
          </cell>
        </row>
        <row r="1622">
          <cell r="BN1622" t="str">
            <v>500/0.7/6600</v>
          </cell>
          <cell r="BO1622">
            <v>0.68399922043833661</v>
          </cell>
          <cell r="BP1622">
            <v>0.73723390554171908</v>
          </cell>
          <cell r="BQ1622">
            <v>0.69264732491139835</v>
          </cell>
          <cell r="BR1622">
            <v>0.68114672386865549</v>
          </cell>
          <cell r="BS1622">
            <v>0.6617981011824664</v>
          </cell>
          <cell r="BT1622">
            <v>0.60162632770497582</v>
          </cell>
          <cell r="BU1622">
            <v>0.72259348755509489</v>
          </cell>
          <cell r="BV1622">
            <v>0.6963697716401831</v>
          </cell>
          <cell r="BY1622" t="str">
            <v>250/0.5/2250</v>
          </cell>
          <cell r="BZ1622">
            <v>2.3945020249479754E-2</v>
          </cell>
          <cell r="CA1622">
            <v>2.3695314798001688E-2</v>
          </cell>
        </row>
        <row r="1623">
          <cell r="BN1623" t="str">
            <v>500/0.7/6850</v>
          </cell>
          <cell r="BO1623">
            <v>0.68174598552583798</v>
          </cell>
          <cell r="BP1623">
            <v>0.73593175606896744</v>
          </cell>
          <cell r="BQ1623">
            <v>0.69040012245457927</v>
          </cell>
          <cell r="BR1623">
            <v>0.67880721268905519</v>
          </cell>
          <cell r="BS1623">
            <v>0.65940682859419686</v>
          </cell>
          <cell r="BT1623">
            <v>0.59865335419473842</v>
          </cell>
          <cell r="BU1623">
            <v>0.71956853691273781</v>
          </cell>
          <cell r="BV1623">
            <v>0.69308629665933918</v>
          </cell>
          <cell r="BY1623" t="str">
            <v>250/0.5/2500</v>
          </cell>
          <cell r="BZ1623">
            <v>2.3715414428834736E-2</v>
          </cell>
          <cell r="CA1623">
            <v>2.3434616028973787E-2</v>
          </cell>
        </row>
        <row r="1624">
          <cell r="BN1624" t="str">
            <v>500/0.7/7500</v>
          </cell>
          <cell r="BO1624">
            <v>0.67590157445245469</v>
          </cell>
          <cell r="BP1624">
            <v>0.73254571107915423</v>
          </cell>
          <cell r="BQ1624">
            <v>0.68455439395881645</v>
          </cell>
          <cell r="BR1624">
            <v>0.67296103361828052</v>
          </cell>
          <cell r="BS1624">
            <v>0.6534637046320666</v>
          </cell>
          <cell r="BT1624">
            <v>0.59149570117352912</v>
          </cell>
          <cell r="BU1624">
            <v>0.71220657991113989</v>
          </cell>
          <cell r="BV1624">
            <v>0.68583523105319066</v>
          </cell>
          <cell r="BY1624" t="str">
            <v>250/0.5/2750</v>
          </cell>
          <cell r="BZ1624">
            <v>2.3506257251439067E-2</v>
          </cell>
          <cell r="CA1624">
            <v>2.3194287927035484E-2</v>
          </cell>
        </row>
        <row r="1625">
          <cell r="BN1625" t="str">
            <v>500/0.7/10000</v>
          </cell>
          <cell r="BO1625">
            <v>0.65753468125557735</v>
          </cell>
          <cell r="BP1625">
            <v>0.72368827657305457</v>
          </cell>
          <cell r="BQ1625">
            <v>0.6670792874852719</v>
          </cell>
          <cell r="BR1625">
            <v>0.65386413535295818</v>
          </cell>
          <cell r="BS1625">
            <v>0.63364147764626022</v>
          </cell>
          <cell r="BT1625">
            <v>0.57108643365571488</v>
          </cell>
          <cell r="BU1625">
            <v>0.68912958601446161</v>
          </cell>
          <cell r="BV1625">
            <v>0.66360286505034127</v>
          </cell>
          <cell r="BY1625" t="str">
            <v>250/0.5/3000</v>
          </cell>
          <cell r="BZ1625">
            <v>2.3310670279378165E-2</v>
          </cell>
          <cell r="CA1625">
            <v>2.2964938154747871E-2</v>
          </cell>
        </row>
        <row r="1626">
          <cell r="BN1626" t="str">
            <v>500/0.7/99999</v>
          </cell>
          <cell r="BO1626">
            <v>0.56407061587829022</v>
          </cell>
          <cell r="BP1626">
            <v>0.69390045850677695</v>
          </cell>
          <cell r="BQ1626">
            <v>0.57600276613110679</v>
          </cell>
          <cell r="BR1626">
            <v>0.55557905630736804</v>
          </cell>
          <cell r="BS1626">
            <v>0.55176263643415702</v>
          </cell>
          <cell r="BT1626">
            <v>0.48331545929973962</v>
          </cell>
          <cell r="BU1626">
            <v>0.58985218134488715</v>
          </cell>
          <cell r="BV1626">
            <v>0.58604811159007464</v>
          </cell>
          <cell r="BY1626" t="str">
            <v>250/0.5/3250</v>
          </cell>
          <cell r="BZ1626">
            <v>2.312921891924502E-2</v>
          </cell>
          <cell r="CA1626">
            <v>2.2751695632303282E-2</v>
          </cell>
        </row>
        <row r="1627">
          <cell r="BY1627" t="str">
            <v>250/0.5/3500</v>
          </cell>
          <cell r="BZ1627">
            <v>2.2947767559111876E-2</v>
          </cell>
          <cell r="CA1627">
            <v>2.2538453109858692E-2</v>
          </cell>
        </row>
        <row r="1628">
          <cell r="BN1628" t="str">
            <v>750/0.7/1250</v>
          </cell>
          <cell r="BO1628">
            <v>0.85941756611356401</v>
          </cell>
          <cell r="BP1628">
            <v>0.86286351990621235</v>
          </cell>
          <cell r="BQ1628">
            <v>0.86713911638080643</v>
          </cell>
          <cell r="BR1628">
            <v>0.85976430304929718</v>
          </cell>
          <cell r="BS1628">
            <v>0.85170471549964821</v>
          </cell>
          <cell r="BT1628">
            <v>0.76945755187336928</v>
          </cell>
          <cell r="BU1628">
            <v>0.88860123326221618</v>
          </cell>
          <cell r="BV1628">
            <v>0.8694564043367079</v>
          </cell>
          <cell r="BY1628" t="str">
            <v>250/0.5/3750</v>
          </cell>
          <cell r="BZ1628">
            <v>2.2785249201056179E-2</v>
          </cell>
          <cell r="CA1628">
            <v>2.2350873022386142E-2</v>
          </cell>
        </row>
        <row r="1629">
          <cell r="BN1629" t="str">
            <v>750/0.7/1500</v>
          </cell>
          <cell r="BO1629">
            <v>0.83458068153588361</v>
          </cell>
          <cell r="BP1629">
            <v>0.8395699571140276</v>
          </cell>
          <cell r="BQ1629">
            <v>0.84291129339594095</v>
          </cell>
          <cell r="BR1629">
            <v>0.83490262958326666</v>
          </cell>
          <cell r="BS1629">
            <v>0.82395257528423405</v>
          </cell>
          <cell r="BT1629">
            <v>0.73974660265907288</v>
          </cell>
          <cell r="BU1629">
            <v>0.8611518268207653</v>
          </cell>
          <cell r="BV1629">
            <v>0.84467684473087223</v>
          </cell>
          <cell r="BY1629" t="str">
            <v>250/0.5/4000</v>
          </cell>
          <cell r="BZ1629">
            <v>2.2622730843000483E-2</v>
          </cell>
          <cell r="CA1629">
            <v>2.2163292934913592E-2</v>
          </cell>
        </row>
        <row r="1630">
          <cell r="BN1630" t="str">
            <v>750/0.7/1750</v>
          </cell>
          <cell r="BO1630">
            <v>0.81477734704663574</v>
          </cell>
          <cell r="BP1630">
            <v>0.82191705782086599</v>
          </cell>
          <cell r="BQ1630">
            <v>0.82370078248515144</v>
          </cell>
          <cell r="BR1630">
            <v>0.81501676469426032</v>
          </cell>
          <cell r="BS1630">
            <v>0.80166388226739393</v>
          </cell>
          <cell r="BT1630">
            <v>0.72043904229187095</v>
          </cell>
          <cell r="BU1630">
            <v>0.84379459127942114</v>
          </cell>
          <cell r="BV1630">
            <v>0.82534800112818063</v>
          </cell>
          <cell r="BY1630" t="str">
            <v>250/0.5/4250</v>
          </cell>
          <cell r="BZ1630">
            <v>2.2474156283238678E-2</v>
          </cell>
          <cell r="CA1630">
            <v>2.1978946960460544E-2</v>
          </cell>
        </row>
        <row r="1631">
          <cell r="BN1631" t="str">
            <v>750/0.7/2000</v>
          </cell>
          <cell r="BO1631">
            <v>0.79497401255738787</v>
          </cell>
          <cell r="BP1631">
            <v>0.80426415852770439</v>
          </cell>
          <cell r="BQ1631">
            <v>0.80449027157436204</v>
          </cell>
          <cell r="BR1631">
            <v>0.79513089980525398</v>
          </cell>
          <cell r="BS1631">
            <v>0.77937518925055382</v>
          </cell>
          <cell r="BT1631">
            <v>0.70113148192466901</v>
          </cell>
          <cell r="BU1631">
            <v>0.82643735573807697</v>
          </cell>
          <cell r="BV1631">
            <v>0.80601915752548892</v>
          </cell>
          <cell r="BY1631" t="str">
            <v>250/0.5/4500</v>
          </cell>
          <cell r="BZ1631">
            <v>2.2325581723476873E-2</v>
          </cell>
          <cell r="CA1631">
            <v>2.1794600986007495E-2</v>
          </cell>
        </row>
        <row r="1632">
          <cell r="BN1632" t="str">
            <v>750/0.7/2250</v>
          </cell>
          <cell r="BO1632">
            <v>0.77903091141476988</v>
          </cell>
          <cell r="BP1632">
            <v>0.79099992855339074</v>
          </cell>
          <cell r="BQ1632">
            <v>0.78898784250683107</v>
          </cell>
          <cell r="BR1632">
            <v>0.77907383722851919</v>
          </cell>
          <cell r="BS1632">
            <v>0.76100885036627186</v>
          </cell>
          <cell r="BT1632">
            <v>0.68727221927308768</v>
          </cell>
          <cell r="BU1632">
            <v>0.812513028988465</v>
          </cell>
          <cell r="BV1632">
            <v>0.7905226386470533</v>
          </cell>
          <cell r="BY1632" t="str">
            <v>250/0.5/4750</v>
          </cell>
          <cell r="BZ1632">
            <v>2.2189517574477624E-2</v>
          </cell>
          <cell r="CA1632">
            <v>2.1652684923677334E-2</v>
          </cell>
        </row>
        <row r="1633">
          <cell r="BN1633" t="str">
            <v>750/0.7/2500</v>
          </cell>
          <cell r="BO1633">
            <v>0.76515392705903451</v>
          </cell>
          <cell r="BP1633">
            <v>0.78010809590145991</v>
          </cell>
          <cell r="BQ1633">
            <v>0.77554278420732192</v>
          </cell>
          <cell r="BR1633">
            <v>0.76501501651012671</v>
          </cell>
          <cell r="BS1633">
            <v>0.7445672287398426</v>
          </cell>
          <cell r="BT1633">
            <v>0.67472981260577525</v>
          </cell>
          <cell r="BU1633">
            <v>0.8000710911143023</v>
          </cell>
          <cell r="BV1633">
            <v>0.77660078656911036</v>
          </cell>
          <cell r="BY1633" t="str">
            <v>250/0.5/5000</v>
          </cell>
          <cell r="BZ1633">
            <v>2.2053453425478375E-2</v>
          </cell>
          <cell r="CA1633">
            <v>2.1510768861347174E-2</v>
          </cell>
        </row>
        <row r="1634">
          <cell r="BN1634" t="str">
            <v>750/0.7/2750</v>
          </cell>
          <cell r="BO1634">
            <v>0.75232924264846635</v>
          </cell>
          <cell r="BP1634">
            <v>0.77117506166178817</v>
          </cell>
          <cell r="BQ1634">
            <v>0.76304823740280792</v>
          </cell>
          <cell r="BR1634">
            <v>0.7520176378895107</v>
          </cell>
          <cell r="BS1634">
            <v>0.72890564532908431</v>
          </cell>
          <cell r="BT1634">
            <v>0.66304678291945118</v>
          </cell>
          <cell r="BU1634">
            <v>0.78900842645418101</v>
          </cell>
          <cell r="BV1634">
            <v>0.76406164952809363</v>
          </cell>
          <cell r="BY1634" t="str">
            <v>250/0.5/5250</v>
          </cell>
          <cell r="BZ1634">
            <v>2.1927516461092367E-2</v>
          </cell>
          <cell r="CA1634">
            <v>2.1376805843978608E-2</v>
          </cell>
        </row>
        <row r="1635">
          <cell r="BN1635" t="str">
            <v>750/0.7/3000</v>
          </cell>
          <cell r="BO1635">
            <v>0.74214939923318346</v>
          </cell>
          <cell r="BP1635">
            <v>0.76465724094142817</v>
          </cell>
          <cell r="BQ1635">
            <v>0.75318146195449531</v>
          </cell>
          <cell r="BR1635">
            <v>0.74171673264885341</v>
          </cell>
          <cell r="BS1635">
            <v>0.71976136478687802</v>
          </cell>
          <cell r="BT1635">
            <v>0.6539921583983499</v>
          </cell>
          <cell r="BU1635">
            <v>0.77903856748327693</v>
          </cell>
          <cell r="BV1635">
            <v>0.75236814492184767</v>
          </cell>
          <cell r="BY1635" t="str">
            <v>250/0.5/5500</v>
          </cell>
          <cell r="BZ1635">
            <v>2.1801579496706358E-2</v>
          </cell>
          <cell r="CA1635">
            <v>2.1242842826610042E-2</v>
          </cell>
        </row>
        <row r="1636">
          <cell r="BN1636" t="str">
            <v>750/0.7/3250</v>
          </cell>
          <cell r="BO1636">
            <v>0.73290018810149582</v>
          </cell>
          <cell r="BP1636">
            <v>0.7596857076757646</v>
          </cell>
          <cell r="BQ1636">
            <v>0.74367196311508188</v>
          </cell>
          <cell r="BR1636">
            <v>0.73250402382162016</v>
          </cell>
          <cell r="BS1636">
            <v>0.71234889625339104</v>
          </cell>
          <cell r="BT1636">
            <v>0.64618369535144693</v>
          </cell>
          <cell r="BU1636">
            <v>0.77025806733303792</v>
          </cell>
          <cell r="BV1636">
            <v>0.74340924058533464</v>
          </cell>
          <cell r="BY1636" t="str">
            <v>250/0.5/5750</v>
          </cell>
          <cell r="BZ1636">
            <v>2.167935152871181E-2</v>
          </cell>
          <cell r="CA1636">
            <v>2.110937234020771E-2</v>
          </cell>
        </row>
        <row r="1637">
          <cell r="BN1637" t="str">
            <v>750/0.7/3500</v>
          </cell>
          <cell r="BO1637">
            <v>0.72365097696980818</v>
          </cell>
          <cell r="BP1637">
            <v>0.75471417441010114</v>
          </cell>
          <cell r="BQ1637">
            <v>0.73416246427566845</v>
          </cell>
          <cell r="BR1637">
            <v>0.72329131499438692</v>
          </cell>
          <cell r="BS1637">
            <v>0.70493642771990417</v>
          </cell>
          <cell r="BT1637">
            <v>0.63837523230454396</v>
          </cell>
          <cell r="BU1637">
            <v>0.76147756718279891</v>
          </cell>
          <cell r="BV1637">
            <v>0.73445033624882161</v>
          </cell>
          <cell r="BY1637" t="str">
            <v>250/0.5/6000</v>
          </cell>
          <cell r="BZ1637">
            <v>2.1557123560717262E-2</v>
          </cell>
          <cell r="CA1637">
            <v>2.0975901853805379E-2</v>
          </cell>
        </row>
        <row r="1638">
          <cell r="BN1638" t="str">
            <v>750/0.7/3750</v>
          </cell>
          <cell r="BO1638">
            <v>0.71804425045327502</v>
          </cell>
          <cell r="BP1638">
            <v>0.75087195742159174</v>
          </cell>
          <cell r="BQ1638">
            <v>0.72782846925177147</v>
          </cell>
          <cell r="BR1638">
            <v>0.71726404039595892</v>
          </cell>
          <cell r="BS1638">
            <v>0.69869465286045873</v>
          </cell>
          <cell r="BT1638">
            <v>0.63158692251801041</v>
          </cell>
          <cell r="BU1638">
            <v>0.75372190094413072</v>
          </cell>
          <cell r="BV1638">
            <v>0.72670013000681855</v>
          </cell>
          <cell r="BY1638" t="str">
            <v>250/0.5/6250</v>
          </cell>
          <cell r="BZ1638">
            <v>2.1434337185084695E-2</v>
          </cell>
          <cell r="CA1638">
            <v>2.0848037851376233E-2</v>
          </cell>
        </row>
        <row r="1639">
          <cell r="BN1639" t="str">
            <v>750/0.7/4000</v>
          </cell>
          <cell r="BO1639">
            <v>0.71243752393674187</v>
          </cell>
          <cell r="BP1639">
            <v>0.74702974043308235</v>
          </cell>
          <cell r="BQ1639">
            <v>0.72149447422787449</v>
          </cell>
          <cell r="BR1639">
            <v>0.71123676579753081</v>
          </cell>
          <cell r="BS1639">
            <v>0.69245287800101341</v>
          </cell>
          <cell r="BT1639">
            <v>0.62479861273147674</v>
          </cell>
          <cell r="BU1639">
            <v>0.74596623470546242</v>
          </cell>
          <cell r="BV1639">
            <v>0.71894992376481559</v>
          </cell>
          <cell r="BY1639" t="str">
            <v>250/0.5/6350</v>
          </cell>
          <cell r="BZ1639">
            <v>2.1385118398739023E-2</v>
          </cell>
          <cell r="CA1639">
            <v>2.0806146772736511E-2</v>
          </cell>
        </row>
        <row r="1640">
          <cell r="BN1640" t="str">
            <v>750/0.7/4250</v>
          </cell>
          <cell r="BO1640">
            <v>0.70778433377159211</v>
          </cell>
          <cell r="BP1640">
            <v>0.74379597244250484</v>
          </cell>
          <cell r="BQ1640">
            <v>0.71685957754040608</v>
          </cell>
          <cell r="BR1640">
            <v>0.7065626330145367</v>
          </cell>
          <cell r="BS1640">
            <v>0.68741735872904997</v>
          </cell>
          <cell r="BT1640">
            <v>0.6183431844150471</v>
          </cell>
          <cell r="BU1640">
            <v>0.74059521022035346</v>
          </cell>
          <cell r="BV1640">
            <v>0.71327555769014162</v>
          </cell>
          <cell r="BY1640" t="str">
            <v>250/0.5/6600</v>
          </cell>
          <cell r="BZ1640">
            <v>2.1261810842643891E-2</v>
          </cell>
          <cell r="CA1640">
            <v>2.0704339583411446E-2</v>
          </cell>
        </row>
        <row r="1641">
          <cell r="BN1641" t="str">
            <v>750/0.7/4500</v>
          </cell>
          <cell r="BO1641">
            <v>0.70313114360644235</v>
          </cell>
          <cell r="BP1641">
            <v>0.74056220445192733</v>
          </cell>
          <cell r="BQ1641">
            <v>0.71222468085293766</v>
          </cell>
          <cell r="BR1641">
            <v>0.70188850023154259</v>
          </cell>
          <cell r="BS1641">
            <v>0.68238183945708664</v>
          </cell>
          <cell r="BT1641">
            <v>0.61188775609861734</v>
          </cell>
          <cell r="BU1641">
            <v>0.73522418573524451</v>
          </cell>
          <cell r="BV1641">
            <v>0.70760119161546764</v>
          </cell>
          <cell r="BY1641" t="str">
            <v>250/0.5/6850</v>
          </cell>
          <cell r="BZ1641">
            <v>2.1148186712093509E-2</v>
          </cell>
          <cell r="CA1641">
            <v>2.060457367512214E-2</v>
          </cell>
        </row>
        <row r="1642">
          <cell r="BN1642" t="str">
            <v>750/0.7/4750</v>
          </cell>
          <cell r="BO1642">
            <v>0.69875250145956058</v>
          </cell>
          <cell r="BP1642">
            <v>0.73781204446133031</v>
          </cell>
          <cell r="BQ1642">
            <v>0.70784144407157545</v>
          </cell>
          <cell r="BR1642">
            <v>0.69751306378576206</v>
          </cell>
          <cell r="BS1642">
            <v>0.67816858729759044</v>
          </cell>
          <cell r="BT1642">
            <v>0.6073179801603934</v>
          </cell>
          <cell r="BU1642">
            <v>0.72992069544534777</v>
          </cell>
          <cell r="BV1642">
            <v>0.70196159497494226</v>
          </cell>
          <cell r="BY1642" t="str">
            <v>250/0.5/7500</v>
          </cell>
          <cell r="BZ1642">
            <v>2.0935607315309746E-2</v>
          </cell>
          <cell r="CA1642">
            <v>2.0367858581254561E-2</v>
          </cell>
        </row>
        <row r="1643">
          <cell r="BN1643" t="str">
            <v>750/0.7/5000</v>
          </cell>
          <cell r="BO1643">
            <v>0.69437385931267892</v>
          </cell>
          <cell r="BP1643">
            <v>0.7350618844707334</v>
          </cell>
          <cell r="BQ1643">
            <v>0.70345820729021336</v>
          </cell>
          <cell r="BR1643">
            <v>0.69313762733998152</v>
          </cell>
          <cell r="BS1643">
            <v>0.67395533513809425</v>
          </cell>
          <cell r="BT1643">
            <v>0.60274820422216935</v>
          </cell>
          <cell r="BU1643">
            <v>0.72461720515545103</v>
          </cell>
          <cell r="BV1643">
            <v>0.69632199833441677</v>
          </cell>
          <cell r="BY1643" t="str">
            <v>250/0.5/8000</v>
          </cell>
          <cell r="BZ1643">
            <v>2.0773757635933476E-2</v>
          </cell>
          <cell r="CA1643">
            <v>2.01869234057932E-2</v>
          </cell>
        </row>
        <row r="1644">
          <cell r="BN1644" t="str">
            <v>750/0.7/5250</v>
          </cell>
          <cell r="BO1644">
            <v>0.69099746597943068</v>
          </cell>
          <cell r="BP1644">
            <v>0.7332555343467797</v>
          </cell>
          <cell r="BQ1644">
            <v>0.70043462017730318</v>
          </cell>
          <cell r="BR1644">
            <v>0.68933887506842551</v>
          </cell>
          <cell r="BS1644">
            <v>0.67010077893229014</v>
          </cell>
          <cell r="BT1644">
            <v>0.5985678763683242</v>
          </cell>
          <cell r="BU1644">
            <v>0.71963205956036069</v>
          </cell>
          <cell r="BV1644">
            <v>0.69182681472038676</v>
          </cell>
          <cell r="BY1644" t="str">
            <v>250/0.5/9000</v>
          </cell>
          <cell r="BZ1644">
            <v>2.0449279266692155E-2</v>
          </cell>
          <cell r="CA1644">
            <v>1.9881999802082717E-2</v>
          </cell>
        </row>
        <row r="1645">
          <cell r="BN1645" t="str">
            <v>750/0.7/5500</v>
          </cell>
          <cell r="BO1645">
            <v>0.68762107264618244</v>
          </cell>
          <cell r="BP1645">
            <v>0.73144918422282601</v>
          </cell>
          <cell r="BQ1645">
            <v>0.697411033064393</v>
          </cell>
          <cell r="BR1645">
            <v>0.6855401227968696</v>
          </cell>
          <cell r="BS1645">
            <v>0.66624622272648615</v>
          </cell>
          <cell r="BT1645">
            <v>0.59438754851447906</v>
          </cell>
          <cell r="BU1645">
            <v>0.71464691396527047</v>
          </cell>
          <cell r="BV1645">
            <v>0.68733163110635676</v>
          </cell>
          <cell r="BY1645" t="str">
            <v>250/0.5/10000</v>
          </cell>
          <cell r="BZ1645">
            <v>2.0155428109799756E-2</v>
          </cell>
          <cell r="CA1645">
            <v>1.9594960082822466E-2</v>
          </cell>
        </row>
        <row r="1646">
          <cell r="BN1646" t="str">
            <v>750/0.7/5750</v>
          </cell>
          <cell r="BO1646">
            <v>0.68464325905074874</v>
          </cell>
          <cell r="BP1646">
            <v>0.72971705660457298</v>
          </cell>
          <cell r="BQ1646">
            <v>0.69443641651048349</v>
          </cell>
          <cell r="BR1646">
            <v>0.68255805413899684</v>
          </cell>
          <cell r="BS1646">
            <v>0.66317947285448953</v>
          </cell>
          <cell r="BT1646">
            <v>0.59037668186337255</v>
          </cell>
          <cell r="BU1646">
            <v>0.71090161387934525</v>
          </cell>
          <cell r="BV1646">
            <v>0.68312085228758401</v>
          </cell>
          <cell r="BY1646" t="str">
            <v>250/0.5/99999</v>
          </cell>
          <cell r="BZ1646">
            <v>1.5576736235616728E-2</v>
          </cell>
          <cell r="CA1646">
            <v>1.5491813066322635E-2</v>
          </cell>
        </row>
        <row r="1647">
          <cell r="BN1647" t="str">
            <v>750/0.7/6000</v>
          </cell>
          <cell r="BO1647">
            <v>0.68166544545531516</v>
          </cell>
          <cell r="BP1647">
            <v>0.72798492898631983</v>
          </cell>
          <cell r="BQ1647">
            <v>0.69146179995657386</v>
          </cell>
          <cell r="BR1647">
            <v>0.67957598548112419</v>
          </cell>
          <cell r="BS1647">
            <v>0.66011272298249279</v>
          </cell>
          <cell r="BT1647">
            <v>0.58636581521226605</v>
          </cell>
          <cell r="BU1647">
            <v>0.70715631379342003</v>
          </cell>
          <cell r="BV1647">
            <v>0.67891007346881138</v>
          </cell>
          <cell r="BY1647" t="str">
            <v>300/0.5/500</v>
          </cell>
          <cell r="BZ1647">
            <v>2.6462753341095935E-2</v>
          </cell>
          <cell r="CA1647">
            <v>2.6530236172201294E-2</v>
          </cell>
        </row>
        <row r="1648">
          <cell r="BN1648" t="str">
            <v>750/0.7/6250</v>
          </cell>
          <cell r="BO1648">
            <v>0.67868870491585986</v>
          </cell>
          <cell r="BP1648">
            <v>0.72625148435179909</v>
          </cell>
          <cell r="BQ1648">
            <v>0.68848349060412639</v>
          </cell>
          <cell r="BR1648">
            <v>0.67660080134820177</v>
          </cell>
          <cell r="BS1648">
            <v>0.65700079663683986</v>
          </cell>
          <cell r="BT1648">
            <v>0.58338155153326487</v>
          </cell>
          <cell r="BU1648">
            <v>0.70342116747610983</v>
          </cell>
          <cell r="BV1648">
            <v>0.67508311534583187</v>
          </cell>
          <cell r="BY1648" t="str">
            <v>300/0.5/750</v>
          </cell>
          <cell r="BZ1648">
            <v>2.5887381409718468E-2</v>
          </cell>
          <cell r="CA1648">
            <v>2.5881353440992294E-2</v>
          </cell>
        </row>
        <row r="1649">
          <cell r="BN1649" t="str">
            <v>750/0.7/6350</v>
          </cell>
          <cell r="BO1649">
            <v>0.67749733980873772</v>
          </cell>
          <cell r="BP1649">
            <v>0.72568339557023198</v>
          </cell>
          <cell r="BQ1649">
            <v>0.68729147754075304</v>
          </cell>
          <cell r="BR1649">
            <v>0.67541007907317141</v>
          </cell>
          <cell r="BS1649">
            <v>0.65574973977292128</v>
          </cell>
          <cell r="BT1649">
            <v>0.58218681070084488</v>
          </cell>
          <cell r="BU1649">
            <v>0.70193151006397281</v>
          </cell>
          <cell r="BV1649">
            <v>0.67353921807063755</v>
          </cell>
          <cell r="BY1649" t="str">
            <v>300/0.5/1000</v>
          </cell>
          <cell r="BZ1649">
            <v>2.5420356472364514E-2</v>
          </cell>
          <cell r="CA1649">
            <v>2.5367650808920894E-2</v>
          </cell>
        </row>
        <row r="1650">
          <cell r="BN1650" t="str">
            <v>750/0.7/6600</v>
          </cell>
          <cell r="BO1650">
            <v>0.6746055632769512</v>
          </cell>
          <cell r="BP1650">
            <v>0.72455125799451092</v>
          </cell>
          <cell r="BQ1650">
            <v>0.68489215337113063</v>
          </cell>
          <cell r="BR1650">
            <v>0.67243165183094555</v>
          </cell>
          <cell r="BS1650">
            <v>0.65260638179898123</v>
          </cell>
          <cell r="BT1650">
            <v>0.57920351355261845</v>
          </cell>
          <cell r="BU1650">
            <v>0.69820406663218249</v>
          </cell>
          <cell r="BV1650">
            <v>0.66985414314488423</v>
          </cell>
          <cell r="BY1650" t="str">
            <v>300/0.5/1250</v>
          </cell>
          <cell r="BZ1650">
            <v>2.503059091891835E-2</v>
          </cell>
          <cell r="CA1650">
            <v>2.4929246185641185E-2</v>
          </cell>
        </row>
        <row r="1651">
          <cell r="BN1651" t="str">
            <v>750/0.7/6850</v>
          </cell>
          <cell r="BO1651">
            <v>0.67234500443693812</v>
          </cell>
          <cell r="BP1651">
            <v>0.72360609714207691</v>
          </cell>
          <cell r="BQ1651">
            <v>0.68263947047953133</v>
          </cell>
          <cell r="BR1651">
            <v>0.66955149053680463</v>
          </cell>
          <cell r="BS1651">
            <v>0.64977141144964956</v>
          </cell>
          <cell r="BT1651">
            <v>0.57623194865446892</v>
          </cell>
          <cell r="BU1651">
            <v>0.69449159533166815</v>
          </cell>
          <cell r="BV1651">
            <v>0.66624940491218176</v>
          </cell>
          <cell r="BY1651" t="str">
            <v>300/0.5/1500</v>
          </cell>
          <cell r="BZ1651">
            <v>2.4697108346503516E-2</v>
          </cell>
          <cell r="CA1651">
            <v>2.4552341535356126E-2</v>
          </cell>
        </row>
        <row r="1652">
          <cell r="BN1652" t="str">
            <v>750/0.7/7500</v>
          </cell>
          <cell r="BO1652">
            <v>0.66649978202165427</v>
          </cell>
          <cell r="BP1652">
            <v>0.72114644116391324</v>
          </cell>
          <cell r="BQ1652">
            <v>0.67679489368591761</v>
          </cell>
          <cell r="BR1652">
            <v>0.66369648221113908</v>
          </cell>
          <cell r="BS1652">
            <v>0.64378231871267655</v>
          </cell>
          <cell r="BT1652">
            <v>0.56857328956624076</v>
          </cell>
          <cell r="BU1652">
            <v>0.68711335367856086</v>
          </cell>
          <cell r="BV1652">
            <v>0.65862422388949304</v>
          </cell>
          <cell r="BY1652" t="str">
            <v>300/0.5/1750</v>
          </cell>
          <cell r="BZ1652">
            <v>2.441412513936736E-2</v>
          </cell>
          <cell r="CA1652">
            <v>2.4229861671857367E-2</v>
          </cell>
        </row>
        <row r="1653">
          <cell r="BN1653" t="str">
            <v>750/0.7/10000</v>
          </cell>
          <cell r="BO1653">
            <v>0.64762114481730759</v>
          </cell>
          <cell r="BP1653">
            <v>0.71404414288621909</v>
          </cell>
          <cell r="BQ1653">
            <v>0.65855152447150955</v>
          </cell>
          <cell r="BR1653">
            <v>0.64425589904600522</v>
          </cell>
          <cell r="BS1653">
            <v>0.62362013865319343</v>
          </cell>
          <cell r="BT1653">
            <v>0.54783937424736262</v>
          </cell>
          <cell r="BU1653">
            <v>0.66304539523604078</v>
          </cell>
          <cell r="BV1653">
            <v>0.63583638909021289</v>
          </cell>
          <cell r="BY1653" t="str">
            <v>300/0.5/2000</v>
          </cell>
          <cell r="BZ1653">
            <v>2.4131141932231204E-2</v>
          </cell>
          <cell r="CA1653">
            <v>2.3907381808358608E-2</v>
          </cell>
        </row>
        <row r="1654">
          <cell r="BN1654" t="str">
            <v>750/0.7/99999</v>
          </cell>
          <cell r="BO1654">
            <v>0.55293345092772794</v>
          </cell>
          <cell r="BP1654">
            <v>0.68372408037728061</v>
          </cell>
          <cell r="BQ1654">
            <v>0.56644726972253123</v>
          </cell>
          <cell r="BR1654">
            <v>0.54450919061993586</v>
          </cell>
          <cell r="BS1654">
            <v>0.54022960301390677</v>
          </cell>
          <cell r="BT1654">
            <v>0.47082838127989707</v>
          </cell>
          <cell r="BU1654">
            <v>0.57587354567279625</v>
          </cell>
          <cell r="BV1654">
            <v>0.57108924818594065</v>
          </cell>
          <cell r="BY1654" t="str">
            <v>300/0.5/2250</v>
          </cell>
          <cell r="BZ1654">
            <v>2.3882216820027002E-2</v>
          </cell>
          <cell r="CA1654">
            <v>2.3626051102578316E-2</v>
          </cell>
        </row>
        <row r="1655">
          <cell r="BY1655" t="str">
            <v>300/0.5/2500</v>
          </cell>
          <cell r="BZ1655">
            <v>2.3650016971434873E-2</v>
          </cell>
          <cell r="CA1655">
            <v>2.336193308524992E-2</v>
          </cell>
        </row>
        <row r="1656">
          <cell r="BN1656" t="str">
            <v>1000/0.7/1500</v>
          </cell>
          <cell r="BO1656">
            <v>0.83967848621433061</v>
          </cell>
          <cell r="BP1656">
            <v>0.84517463911028601</v>
          </cell>
          <cell r="BQ1656">
            <v>0.84976041358151944</v>
          </cell>
          <cell r="BR1656">
            <v>0.84011901952895862</v>
          </cell>
          <cell r="BS1656">
            <v>0.83012887631532384</v>
          </cell>
          <cell r="BT1656">
            <v>0.7318744430446753</v>
          </cell>
          <cell r="BU1656">
            <v>0.85147211126168876</v>
          </cell>
          <cell r="BV1656">
            <v>0.8346634407896123</v>
          </cell>
          <cell r="BY1656" t="str">
            <v>300/0.5/2750</v>
          </cell>
          <cell r="BZ1656">
            <v>2.3439751070108539E-2</v>
          </cell>
          <cell r="CA1656">
            <v>2.3120298291590347E-2</v>
          </cell>
        </row>
        <row r="1657">
          <cell r="BN1657" t="str">
            <v>1000/0.7/1750</v>
          </cell>
          <cell r="BO1657">
            <v>0.8170042102542292</v>
          </cell>
          <cell r="BP1657">
            <v>0.82444908245731185</v>
          </cell>
          <cell r="BQ1657">
            <v>0.82767527589470746</v>
          </cell>
          <cell r="BR1657">
            <v>0.81741372612380614</v>
          </cell>
          <cell r="BS1657">
            <v>0.80482485829750128</v>
          </cell>
          <cell r="BT1657">
            <v>0.71143309249308695</v>
          </cell>
          <cell r="BU1657">
            <v>0.83219346111519377</v>
          </cell>
          <cell r="BV1657">
            <v>0.81314522215385843</v>
          </cell>
          <cell r="BY1657" t="str">
            <v>300/0.5/3000</v>
          </cell>
          <cell r="BZ1657">
            <v>2.3242889796895261E-2</v>
          </cell>
          <cell r="CA1657">
            <v>2.2889974000749325E-2</v>
          </cell>
        </row>
        <row r="1658">
          <cell r="BN1658" t="str">
            <v>1000/0.7/2000</v>
          </cell>
          <cell r="BO1658">
            <v>0.79432993429412779</v>
          </cell>
          <cell r="BP1658">
            <v>0.8037235258043377</v>
          </cell>
          <cell r="BQ1658">
            <v>0.80559013820789549</v>
          </cell>
          <cell r="BR1658">
            <v>0.79470843271865377</v>
          </cell>
          <cell r="BS1658">
            <v>0.77952084027967861</v>
          </cell>
          <cell r="BT1658">
            <v>0.69099174194149859</v>
          </cell>
          <cell r="BU1658">
            <v>0.81291481096869878</v>
          </cell>
          <cell r="BV1658">
            <v>0.79162700351810467</v>
          </cell>
          <cell r="BY1658" t="str">
            <v>300/0.5/3250</v>
          </cell>
          <cell r="BZ1658">
            <v>2.306039234708479E-2</v>
          </cell>
          <cell r="CA1658">
            <v>2.2675775886224714E-2</v>
          </cell>
        </row>
        <row r="1659">
          <cell r="BN1659" t="str">
            <v>1000/0.7/2250</v>
          </cell>
          <cell r="BO1659">
            <v>0.77747054022885986</v>
          </cell>
          <cell r="BP1659">
            <v>0.7891627270425593</v>
          </cell>
          <cell r="BQ1659">
            <v>0.78922357675030541</v>
          </cell>
          <cell r="BR1659">
            <v>0.77770002322592136</v>
          </cell>
          <cell r="BS1659">
            <v>0.76016817843870244</v>
          </cell>
          <cell r="BT1659">
            <v>0.67602696219463854</v>
          </cell>
          <cell r="BU1659">
            <v>0.79756635697048783</v>
          </cell>
          <cell r="BV1659">
            <v>0.77450213156684466</v>
          </cell>
          <cell r="BY1659" t="str">
            <v>300/0.5/3500</v>
          </cell>
          <cell r="BZ1659">
            <v>2.287789489727432E-2</v>
          </cell>
          <cell r="CA1659">
            <v>2.2461577771700103E-2</v>
          </cell>
        </row>
        <row r="1660">
          <cell r="BN1660" t="str">
            <v>1000/0.7/2500</v>
          </cell>
          <cell r="BO1660">
            <v>0.76187417248894029</v>
          </cell>
          <cell r="BP1660">
            <v>0.77625094901518688</v>
          </cell>
          <cell r="BQ1660">
            <v>0.7740490896431429</v>
          </cell>
          <cell r="BR1660">
            <v>0.76198413544666554</v>
          </cell>
          <cell r="BS1660">
            <v>0.74216747663368299</v>
          </cell>
          <cell r="BT1660">
            <v>0.66264328965540675</v>
          </cell>
          <cell r="BU1660">
            <v>0.78412427113194461</v>
          </cell>
          <cell r="BV1660">
            <v>0.75947054048258622</v>
          </cell>
          <cell r="BY1660" t="str">
            <v>300/0.5/3750</v>
          </cell>
          <cell r="BZ1660">
            <v>2.271432746072688E-2</v>
          </cell>
          <cell r="CA1660">
            <v>2.2272649493128793E-2</v>
          </cell>
        </row>
        <row r="1661">
          <cell r="BN1661" t="str">
            <v>1000/0.7/2750</v>
          </cell>
          <cell r="BO1661">
            <v>0.74830537896445137</v>
          </cell>
          <cell r="BP1661">
            <v>0.76619736690673945</v>
          </cell>
          <cell r="BQ1661">
            <v>0.76092145004993739</v>
          </cell>
          <cell r="BR1661">
            <v>0.74826303009638007</v>
          </cell>
          <cell r="BS1661">
            <v>0.72600941894467286</v>
          </cell>
          <cell r="BT1661">
            <v>0.65038887934727485</v>
          </cell>
          <cell r="BU1661">
            <v>0.77207272993121834</v>
          </cell>
          <cell r="BV1661">
            <v>0.74595402800799571</v>
          </cell>
          <cell r="BY1661" t="str">
            <v>300/0.5/4000</v>
          </cell>
          <cell r="BZ1661">
            <v>2.2550760024179439E-2</v>
          </cell>
          <cell r="CA1661">
            <v>2.2083721214557483E-2</v>
          </cell>
        </row>
        <row r="1662">
          <cell r="BN1662" t="str">
            <v>1000/0.7/3000</v>
          </cell>
          <cell r="BO1662">
            <v>0.73571296371766814</v>
          </cell>
          <cell r="BP1662">
            <v>0.75732171335316312</v>
          </cell>
          <cell r="BQ1662">
            <v>0.74865510740028463</v>
          </cell>
          <cell r="BR1662">
            <v>0.73555910425735249</v>
          </cell>
          <cell r="BS1662">
            <v>0.71455926169462436</v>
          </cell>
          <cell r="BT1662">
            <v>0.63902427962378838</v>
          </cell>
          <cell r="BU1662">
            <v>0.76134070587183922</v>
          </cell>
          <cell r="BV1662">
            <v>0.733749467049569</v>
          </cell>
          <cell r="BY1662" t="str">
            <v>300/0.5/4250</v>
          </cell>
          <cell r="BZ1662">
            <v>2.2401655607657722E-2</v>
          </cell>
          <cell r="CA1662">
            <v>2.1899410868945202E-2</v>
          </cell>
        </row>
        <row r="1663">
          <cell r="BN1663" t="str">
            <v>1000/0.7/3250</v>
          </cell>
          <cell r="BO1663">
            <v>0.7271280799355303</v>
          </cell>
          <cell r="BP1663">
            <v>0.75173162363404533</v>
          </cell>
          <cell r="BQ1663">
            <v>0.7389514515114961</v>
          </cell>
          <cell r="BR1663">
            <v>0.7269244699440518</v>
          </cell>
          <cell r="BS1663">
            <v>0.70702179470935955</v>
          </cell>
          <cell r="BT1663">
            <v>0.63050763949641886</v>
          </cell>
          <cell r="BU1663">
            <v>0.75198833992919345</v>
          </cell>
          <cell r="BV1663">
            <v>0.72343927255594975</v>
          </cell>
          <cell r="BY1663" t="str">
            <v>300/0.5/4500</v>
          </cell>
          <cell r="BZ1663">
            <v>2.2252551191136005E-2</v>
          </cell>
          <cell r="CA1663">
            <v>2.171510052333292E-2</v>
          </cell>
        </row>
        <row r="1664">
          <cell r="BN1664" t="str">
            <v>1000/0.7/3500</v>
          </cell>
          <cell r="BO1664">
            <v>0.71854319615339246</v>
          </cell>
          <cell r="BP1664">
            <v>0.74614153391492755</v>
          </cell>
          <cell r="BQ1664">
            <v>0.72924779562270747</v>
          </cell>
          <cell r="BR1664">
            <v>0.71828983563075122</v>
          </cell>
          <cell r="BS1664">
            <v>0.69948432772409463</v>
          </cell>
          <cell r="BT1664">
            <v>0.62199099936904934</v>
          </cell>
          <cell r="BU1664">
            <v>0.74263597398654768</v>
          </cell>
          <cell r="BV1664">
            <v>0.71312907806233039</v>
          </cell>
          <cell r="BY1664" t="str">
            <v>300/0.5/4750</v>
          </cell>
          <cell r="BZ1664">
            <v>2.2115959439698574E-2</v>
          </cell>
          <cell r="CA1664">
            <v>2.1570542469708909E-2</v>
          </cell>
        </row>
        <row r="1665">
          <cell r="BN1665" t="str">
            <v>1000/0.7/3750</v>
          </cell>
          <cell r="BO1665">
            <v>0.71216151324403343</v>
          </cell>
          <cell r="BP1665">
            <v>0.74188205980071231</v>
          </cell>
          <cell r="BQ1665">
            <v>0.72280195275953174</v>
          </cell>
          <cell r="BR1665">
            <v>0.71150267860941674</v>
          </cell>
          <cell r="BS1665">
            <v>0.69246416437789304</v>
          </cell>
          <cell r="BT1665">
            <v>0.61516161419008242</v>
          </cell>
          <cell r="BU1665">
            <v>0.73458368817407238</v>
          </cell>
          <cell r="BV1665">
            <v>0.70515035313079411</v>
          </cell>
          <cell r="BY1665" t="str">
            <v>300/0.5/5000</v>
          </cell>
          <cell r="BZ1665">
            <v>2.1979367688261142E-2</v>
          </cell>
          <cell r="CA1665">
            <v>2.1425984416084898E-2</v>
          </cell>
        </row>
        <row r="1666">
          <cell r="BN1666" t="str">
            <v>1000/0.7/4000</v>
          </cell>
          <cell r="BO1666">
            <v>0.7057798303346744</v>
          </cell>
          <cell r="BP1666">
            <v>0.73762258568649697</v>
          </cell>
          <cell r="BQ1666">
            <v>0.71635610989635601</v>
          </cell>
          <cell r="BR1666">
            <v>0.70471552158808226</v>
          </cell>
          <cell r="BS1666">
            <v>0.68544400103169134</v>
          </cell>
          <cell r="BT1666">
            <v>0.6083322290111155</v>
          </cell>
          <cell r="BU1666">
            <v>0.72653140236159697</v>
          </cell>
          <cell r="BV1666">
            <v>0.69717162819925793</v>
          </cell>
          <cell r="BY1666" t="str">
            <v>300/0.5/5250</v>
          </cell>
          <cell r="BZ1666">
            <v>2.1852875805301042E-2</v>
          </cell>
          <cell r="CA1666">
            <v>2.1291984334787739E-2</v>
          </cell>
        </row>
        <row r="1667">
          <cell r="BN1667" t="str">
            <v>1000/0.7/4250</v>
          </cell>
          <cell r="BO1667">
            <v>0.70110407525137974</v>
          </cell>
          <cell r="BP1667">
            <v>0.73415680594794053</v>
          </cell>
          <cell r="BQ1667">
            <v>0.71168696778656948</v>
          </cell>
          <cell r="BR1667">
            <v>0.70004052683497375</v>
          </cell>
          <cell r="BS1667">
            <v>0.68036479148337792</v>
          </cell>
          <cell r="BT1667">
            <v>0.60144774607275509</v>
          </cell>
          <cell r="BU1667">
            <v>0.72040109137229891</v>
          </cell>
          <cell r="BV1667">
            <v>0.6908597101221039</v>
          </cell>
          <cell r="BY1667" t="str">
            <v>300/0.5/5500</v>
          </cell>
          <cell r="BZ1667">
            <v>2.1726383922340942E-2</v>
          </cell>
          <cell r="CA1667">
            <v>2.115798425349058E-2</v>
          </cell>
        </row>
        <row r="1668">
          <cell r="BN1668" t="str">
            <v>1000/0.7/4500</v>
          </cell>
          <cell r="BO1668">
            <v>0.69642832016808498</v>
          </cell>
          <cell r="BP1668">
            <v>0.73069102620938409</v>
          </cell>
          <cell r="BQ1668">
            <v>0.70701782567678295</v>
          </cell>
          <cell r="BR1668">
            <v>0.69536553208186525</v>
          </cell>
          <cell r="BS1668">
            <v>0.67528558193506449</v>
          </cell>
          <cell r="BT1668">
            <v>0.59456326313439467</v>
          </cell>
          <cell r="BU1668">
            <v>0.71427078038300085</v>
          </cell>
          <cell r="BV1668">
            <v>0.68454779204494987</v>
          </cell>
          <cell r="BY1668" t="str">
            <v>300/0.5/5750</v>
          </cell>
          <cell r="BZ1668">
            <v>2.1604191717066401E-2</v>
          </cell>
          <cell r="CA1668">
            <v>2.1024154874069501E-2</v>
          </cell>
        </row>
        <row r="1669">
          <cell r="BN1669" t="str">
            <v>1000/0.7/4750</v>
          </cell>
          <cell r="BO1669">
            <v>0.69185094533218949</v>
          </cell>
          <cell r="BP1669">
            <v>0.72771500407019751</v>
          </cell>
          <cell r="BQ1669">
            <v>0.70244242849987004</v>
          </cell>
          <cell r="BR1669">
            <v>0.69076289702034543</v>
          </cell>
          <cell r="BS1669">
            <v>0.67059045594588351</v>
          </cell>
          <cell r="BT1669">
            <v>0.58945252022099437</v>
          </cell>
          <cell r="BU1669">
            <v>0.70890509435473947</v>
          </cell>
          <cell r="BV1669">
            <v>0.67890932166573448</v>
          </cell>
          <cell r="BY1669" t="str">
            <v>300/0.5/6000</v>
          </cell>
          <cell r="BZ1669">
            <v>2.1481999511791861E-2</v>
          </cell>
          <cell r="CA1669">
            <v>2.0890325494648421E-2</v>
          </cell>
        </row>
        <row r="1670">
          <cell r="BN1670" t="str">
            <v>1000/0.7/5000</v>
          </cell>
          <cell r="BO1670">
            <v>0.68727357049629401</v>
          </cell>
          <cell r="BP1670">
            <v>0.72473898193101094</v>
          </cell>
          <cell r="BQ1670">
            <v>0.69786703132295702</v>
          </cell>
          <cell r="BR1670">
            <v>0.68616026195882573</v>
          </cell>
          <cell r="BS1670">
            <v>0.66589532995670264</v>
          </cell>
          <cell r="BT1670">
            <v>0.58434177730759396</v>
          </cell>
          <cell r="BU1670">
            <v>0.70353940832647799</v>
          </cell>
          <cell r="BV1670">
            <v>0.67327085128651909</v>
          </cell>
          <cell r="BY1670" t="str">
            <v>300/0.5/6250</v>
          </cell>
          <cell r="BZ1670">
            <v>2.1359248618608273E-2</v>
          </cell>
          <cell r="CA1670">
            <v>2.076251911825655E-2</v>
          </cell>
        </row>
        <row r="1671">
          <cell r="BN1671" t="str">
            <v>1000/0.7/5250</v>
          </cell>
          <cell r="BO1671">
            <v>0.6834596651486764</v>
          </cell>
          <cell r="BP1671">
            <v>0.72322863052968878</v>
          </cell>
          <cell r="BQ1671">
            <v>0.69439842157872567</v>
          </cell>
          <cell r="BR1671">
            <v>0.68197398695370559</v>
          </cell>
          <cell r="BS1671">
            <v>0.6620003670101301</v>
          </cell>
          <cell r="BT1671">
            <v>0.58012084645656525</v>
          </cell>
          <cell r="BU1671">
            <v>0.69831647239487826</v>
          </cell>
          <cell r="BV1671">
            <v>0.66831285869374468</v>
          </cell>
          <cell r="BY1671" t="str">
            <v>300/0.5/6350</v>
          </cell>
          <cell r="BZ1671">
            <v>2.1310043972925019E-2</v>
          </cell>
          <cell r="CA1671">
            <v>2.0717894866059794E-2</v>
          </cell>
        </row>
        <row r="1672">
          <cell r="BN1672" t="str">
            <v>1000/0.7/5500</v>
          </cell>
          <cell r="BO1672">
            <v>0.6796457598010589</v>
          </cell>
          <cell r="BP1672">
            <v>0.72171827912836661</v>
          </cell>
          <cell r="BQ1672">
            <v>0.69092981183449431</v>
          </cell>
          <cell r="BR1672">
            <v>0.67778771194858534</v>
          </cell>
          <cell r="BS1672">
            <v>0.65810540406355755</v>
          </cell>
          <cell r="BT1672">
            <v>0.57589991560553655</v>
          </cell>
          <cell r="BU1672">
            <v>0.69309353646327854</v>
          </cell>
          <cell r="BV1672">
            <v>0.66335486610097028</v>
          </cell>
          <cell r="BY1672" t="str">
            <v>300/0.5/6600</v>
          </cell>
          <cell r="BZ1672">
            <v>2.1186771637692781E-2</v>
          </cell>
          <cell r="CA1672">
            <v>2.0616129880026035E-2</v>
          </cell>
        </row>
        <row r="1673">
          <cell r="BN1673" t="str">
            <v>1000/0.7/5750</v>
          </cell>
          <cell r="BO1673">
            <v>0.67666308941765552</v>
          </cell>
          <cell r="BP1673">
            <v>0.72046108353765159</v>
          </cell>
          <cell r="BQ1673">
            <v>0.68795100688064714</v>
          </cell>
          <cell r="BR1673">
            <v>0.674751991000347</v>
          </cell>
          <cell r="BS1673">
            <v>0.65478722649181431</v>
          </cell>
          <cell r="BT1673">
            <v>0.57171945097865229</v>
          </cell>
          <cell r="BU1673">
            <v>0.68904551296625116</v>
          </cell>
          <cell r="BV1673">
            <v>0.65897508128930671</v>
          </cell>
          <cell r="BY1673" t="str">
            <v>300/0.5/6850</v>
          </cell>
          <cell r="BZ1673">
            <v>2.1068852868816546E-2</v>
          </cell>
          <cell r="CA1673">
            <v>2.0515183853461405E-2</v>
          </cell>
        </row>
        <row r="1674">
          <cell r="BN1674" t="str">
            <v>1000/0.7/6000</v>
          </cell>
          <cell r="BO1674">
            <v>0.67368041903425224</v>
          </cell>
          <cell r="BP1674">
            <v>0.71920388794693657</v>
          </cell>
          <cell r="BQ1674">
            <v>0.68497220192679986</v>
          </cell>
          <cell r="BR1674">
            <v>0.67171627005210877</v>
          </cell>
          <cell r="BS1674">
            <v>0.65146904892007107</v>
          </cell>
          <cell r="BT1674">
            <v>0.56753898635176814</v>
          </cell>
          <cell r="BU1674">
            <v>0.68499748946922367</v>
          </cell>
          <cell r="BV1674">
            <v>0.65459529647764314</v>
          </cell>
          <cell r="BY1674" t="str">
            <v>300/0.5/7500</v>
          </cell>
          <cell r="BZ1674">
            <v>2.0856067425737423E-2</v>
          </cell>
          <cell r="CA1674">
            <v>2.0278557647480211E-2</v>
          </cell>
        </row>
        <row r="1675">
          <cell r="BN1675" t="str">
            <v>1000/0.7/6250</v>
          </cell>
          <cell r="BO1675">
            <v>0.67070535198051517</v>
          </cell>
          <cell r="BP1675">
            <v>0.71794572407262103</v>
          </cell>
          <cell r="BQ1675">
            <v>0.68199563333842805</v>
          </cell>
          <cell r="BR1675">
            <v>0.66874271159897336</v>
          </cell>
          <cell r="BS1675">
            <v>0.64837278770798279</v>
          </cell>
          <cell r="BT1675">
            <v>0.56405932951611404</v>
          </cell>
          <cell r="BU1675">
            <v>0.681245616941629</v>
          </cell>
          <cell r="BV1675">
            <v>0.65072168281832476</v>
          </cell>
          <cell r="BY1675" t="str">
            <v>300/0.5/8000</v>
          </cell>
          <cell r="BZ1675">
            <v>2.0694229697794331E-2</v>
          </cell>
          <cell r="CA1675">
            <v>2.0096024500910525E-2</v>
          </cell>
        </row>
        <row r="1676">
          <cell r="BN1676" t="str">
            <v>1000/0.7/6350</v>
          </cell>
          <cell r="BO1676">
            <v>0.66951465474711613</v>
          </cell>
          <cell r="BP1676">
            <v>0.71744227777662317</v>
          </cell>
          <cell r="BQ1676">
            <v>0.68080431498240956</v>
          </cell>
          <cell r="BR1676">
            <v>0.66755263841109169</v>
          </cell>
          <cell r="BS1676">
            <v>0.64712798419221096</v>
          </cell>
          <cell r="BT1676">
            <v>0.56286562404451379</v>
          </cell>
          <cell r="BU1676">
            <v>0.67975447276812317</v>
          </cell>
          <cell r="BV1676">
            <v>0.64918848590315026</v>
          </cell>
          <cell r="BY1676" t="str">
            <v>300/0.5/9000</v>
          </cell>
          <cell r="BZ1676">
            <v>2.0369774840425237E-2</v>
          </cell>
          <cell r="CA1676">
            <v>1.9791222978096989E-2</v>
          </cell>
        </row>
        <row r="1677">
          <cell r="BN1677" t="str">
            <v>1000/0.7/6600</v>
          </cell>
          <cell r="BO1677">
            <v>0.66653623563385644</v>
          </cell>
          <cell r="BP1677">
            <v>0.71635249088899777</v>
          </cell>
          <cell r="BQ1677">
            <v>0.67786742940483879</v>
          </cell>
          <cell r="BR1677">
            <v>0.66457583092481864</v>
          </cell>
          <cell r="BS1677">
            <v>0.64400022782543853</v>
          </cell>
          <cell r="BT1677">
            <v>0.55987877196346336</v>
          </cell>
          <cell r="BU1677">
            <v>0.67603019247085638</v>
          </cell>
          <cell r="BV1677">
            <v>0.64532774073831689</v>
          </cell>
          <cell r="BY1677" t="str">
            <v>300/0.5/10000</v>
          </cell>
          <cell r="BZ1677">
            <v>2.0073342669650218E-2</v>
          </cell>
          <cell r="CA1677">
            <v>1.9502585713978116E-2</v>
          </cell>
        </row>
        <row r="1678">
          <cell r="BN1678" t="str">
            <v>1000/0.7/6850</v>
          </cell>
          <cell r="BO1678">
            <v>0.66383453488486788</v>
          </cell>
          <cell r="BP1678">
            <v>0.71540760384763535</v>
          </cell>
          <cell r="BQ1678">
            <v>0.67560685777693341</v>
          </cell>
          <cell r="BR1678">
            <v>0.66159670270058779</v>
          </cell>
          <cell r="BS1678">
            <v>0.64084997491960916</v>
          </cell>
          <cell r="BT1678">
            <v>0.55690066052222797</v>
          </cell>
          <cell r="BU1678">
            <v>0.67230118704153052</v>
          </cell>
          <cell r="BV1678">
            <v>0.64171554238014794</v>
          </cell>
          <cell r="BY1678" t="str">
            <v>300/0.5/99999</v>
          </cell>
          <cell r="BZ1678">
            <v>1.5487972253518389E-2</v>
          </cell>
          <cell r="CA1678">
            <v>1.5394459850930353E-2</v>
          </cell>
        </row>
        <row r="1679">
          <cell r="BN1679" t="str">
            <v>1000/0.7/7500</v>
          </cell>
          <cell r="BO1679">
            <v>0.65798044065560091</v>
          </cell>
          <cell r="BP1679">
            <v>0.71294863151138632</v>
          </cell>
          <cell r="BQ1679">
            <v>0.6697619275331077</v>
          </cell>
          <cell r="BR1679">
            <v>0.65530076732034714</v>
          </cell>
          <cell r="BS1679">
            <v>0.63453340812000247</v>
          </cell>
          <cell r="BT1679">
            <v>0.54916883660050952</v>
          </cell>
          <cell r="BU1679">
            <v>0.66428411840753065</v>
          </cell>
          <cell r="BV1679">
            <v>0.63352218325390242</v>
          </cell>
          <cell r="BY1679" t="str">
            <v>500/0.5/500</v>
          </cell>
          <cell r="BZ1679">
            <v>2.6324212498694877E-2</v>
          </cell>
          <cell r="CA1679">
            <v>2.6494714523038976E-2</v>
          </cell>
        </row>
        <row r="1680">
          <cell r="BN1680" t="str">
            <v>1000/0.7/10000</v>
          </cell>
          <cell r="BO1680">
            <v>0.63876788335767365</v>
          </cell>
          <cell r="BP1680">
            <v>0.70553996357913729</v>
          </cell>
          <cell r="BQ1680">
            <v>0.65090378418746464</v>
          </cell>
          <cell r="BR1680">
            <v>0.63552274934680353</v>
          </cell>
          <cell r="BS1680">
            <v>0.61403908029393406</v>
          </cell>
          <cell r="BT1680">
            <v>0.52768321290157383</v>
          </cell>
          <cell r="BU1680">
            <v>0.63977852618221109</v>
          </cell>
          <cell r="BV1680">
            <v>0.61006793707747364</v>
          </cell>
          <cell r="BY1680" t="str">
            <v>500/0.5/750</v>
          </cell>
          <cell r="BZ1680">
            <v>2.5791847827771885E-2</v>
          </cell>
          <cell r="CA1680">
            <v>2.5781982460613584E-2</v>
          </cell>
        </row>
        <row r="1681">
          <cell r="BN1681" t="str">
            <v>1000/0.7/99999</v>
          </cell>
          <cell r="BO1681">
            <v>0.5427240442006559</v>
          </cell>
          <cell r="BP1681">
            <v>0.67471425513945082</v>
          </cell>
          <cell r="BQ1681">
            <v>0.55768372591881943</v>
          </cell>
          <cell r="BR1681">
            <v>0.5343560753313753</v>
          </cell>
          <cell r="BS1681">
            <v>0.52917363271546802</v>
          </cell>
          <cell r="BT1681">
            <v>0.45991897138774868</v>
          </cell>
          <cell r="BU1681">
            <v>0.56315500225356374</v>
          </cell>
          <cell r="BV1681">
            <v>0.55720160535838237</v>
          </cell>
          <cell r="BY1681" t="str">
            <v>500/0.5/1000</v>
          </cell>
          <cell r="BZ1681">
            <v>2.5289825589523085E-2</v>
          </cell>
          <cell r="CA1681">
            <v>2.5214887783380879E-2</v>
          </cell>
        </row>
        <row r="1682">
          <cell r="BY1682" t="str">
            <v>500/0.5/1250</v>
          </cell>
          <cell r="BZ1682">
            <v>2.4871461911501136E-2</v>
          </cell>
          <cell r="CA1682">
            <v>2.474559366726381E-2</v>
          </cell>
        </row>
        <row r="1683">
          <cell r="BN1683" t="str">
            <v>1250/0.7/2000</v>
          </cell>
          <cell r="BO1683">
            <v>0.79181336419296255</v>
          </cell>
          <cell r="BP1683">
            <v>0.80166964484979286</v>
          </cell>
          <cell r="BQ1683">
            <v>0.80456956573676375</v>
          </cell>
          <cell r="BR1683">
            <v>0.7923653664575131</v>
          </cell>
          <cell r="BS1683">
            <v>0.77765912431850215</v>
          </cell>
          <cell r="BT1683">
            <v>0.68171077024970894</v>
          </cell>
          <cell r="BU1683">
            <v>0.80275856676442026</v>
          </cell>
          <cell r="BV1683">
            <v>0.78064403279423134</v>
          </cell>
          <cell r="BY1683" t="str">
            <v>500/0.5/1500</v>
          </cell>
          <cell r="BZ1683">
            <v>2.451724226585883E-2</v>
          </cell>
          <cell r="CA1683">
            <v>2.4339571336252641E-2</v>
          </cell>
        </row>
        <row r="1684">
          <cell r="BN1684" t="str">
            <v>1250/0.7/2250</v>
          </cell>
          <cell r="BO1684">
            <v>0.77382196473170051</v>
          </cell>
          <cell r="BP1684">
            <v>0.78590101572830529</v>
          </cell>
          <cell r="BQ1684">
            <v>0.78716086091827953</v>
          </cell>
          <cell r="BR1684">
            <v>0.77425000225488072</v>
          </cell>
          <cell r="BS1684">
            <v>0.75713910904715032</v>
          </cell>
          <cell r="BT1684">
            <v>0.66510490035381242</v>
          </cell>
          <cell r="BU1684">
            <v>0.78563768876275442</v>
          </cell>
          <cell r="BV1684">
            <v>0.76160313865366402</v>
          </cell>
          <cell r="BY1684" t="str">
            <v>500/0.5/1750</v>
          </cell>
          <cell r="BZ1684">
            <v>2.4223240778914135E-2</v>
          </cell>
          <cell r="CA1684">
            <v>2.4001170446368736E-2</v>
          </cell>
        </row>
        <row r="1685">
          <cell r="BN1685" t="str">
            <v>1250/0.7/2500</v>
          </cell>
          <cell r="BO1685">
            <v>0.75813508814349506</v>
          </cell>
          <cell r="BP1685">
            <v>0.772661206806602</v>
          </cell>
          <cell r="BQ1685">
            <v>0.77196341710037486</v>
          </cell>
          <cell r="BR1685">
            <v>0.75850931537015642</v>
          </cell>
          <cell r="BS1685">
            <v>0.73903437391736937</v>
          </cell>
          <cell r="BT1685">
            <v>0.65123033226677274</v>
          </cell>
          <cell r="BU1685">
            <v>0.77097763247097306</v>
          </cell>
          <cell r="BV1685">
            <v>0.74522858347671717</v>
          </cell>
          <cell r="BY1685" t="str">
            <v>500/0.5/2000</v>
          </cell>
          <cell r="BZ1685">
            <v>2.392923929196944E-2</v>
          </cell>
          <cell r="CA1685">
            <v>2.3662769556484831E-2</v>
          </cell>
        </row>
        <row r="1686">
          <cell r="BN1686" t="str">
            <v>1250/0.7/2750</v>
          </cell>
          <cell r="BO1686">
            <v>0.74363402558381642</v>
          </cell>
          <cell r="BP1686">
            <v>0.76068692796390769</v>
          </cell>
          <cell r="BQ1686">
            <v>0.75786282908647684</v>
          </cell>
          <cell r="BR1686">
            <v>0.74391993862008299</v>
          </cell>
          <cell r="BS1686">
            <v>0.72293519720766652</v>
          </cell>
          <cell r="BT1686">
            <v>0.63868932167919246</v>
          </cell>
          <cell r="BU1686">
            <v>0.75795018693519656</v>
          </cell>
          <cell r="BV1686">
            <v>0.73067117863750852</v>
          </cell>
          <cell r="BY1686" t="str">
            <v>500/0.5/2250</v>
          </cell>
          <cell r="BZ1686">
            <v>2.3672401188703285E-2</v>
          </cell>
          <cell r="CA1686">
            <v>2.337023182256015E-2</v>
          </cell>
        </row>
        <row r="1687">
          <cell r="BN1687" t="str">
            <v>1250/0.7/3000</v>
          </cell>
          <cell r="BO1687">
            <v>0.73151341710474804</v>
          </cell>
          <cell r="BP1687">
            <v>0.75257138361723208</v>
          </cell>
          <cell r="BQ1687">
            <v>0.74615650284756108</v>
          </cell>
          <cell r="BR1687">
            <v>0.73161134872696387</v>
          </cell>
          <cell r="BS1687">
            <v>0.71214080272422409</v>
          </cell>
          <cell r="BT1687">
            <v>0.62773090546611343</v>
          </cell>
          <cell r="BU1687">
            <v>0.7462368263788336</v>
          </cell>
          <cell r="BV1687">
            <v>0.7175154358982927</v>
          </cell>
          <cell r="BY1687" t="str">
            <v>500/0.5/2500</v>
          </cell>
          <cell r="BZ1687">
            <v>2.3433108130271885E-2</v>
          </cell>
          <cell r="CA1687">
            <v>2.3099579350200017E-2</v>
          </cell>
        </row>
        <row r="1688">
          <cell r="BN1688" t="str">
            <v>1250/0.7/3250</v>
          </cell>
          <cell r="BO1688">
            <v>0.72295871674144929</v>
          </cell>
          <cell r="BP1688">
            <v>0.74592090167453062</v>
          </cell>
          <cell r="BQ1688">
            <v>0.73581249370902491</v>
          </cell>
          <cell r="BR1688">
            <v>0.72294812475676684</v>
          </cell>
          <cell r="BS1688">
            <v>0.70349273399926116</v>
          </cell>
          <cell r="BT1688">
            <v>0.61836309888778795</v>
          </cell>
          <cell r="BU1688">
            <v>0.73631251370744033</v>
          </cell>
          <cell r="BV1688">
            <v>0.70599568146215097</v>
          </cell>
          <cell r="BY1688" t="str">
            <v>500/0.5/2750</v>
          </cell>
          <cell r="BZ1688">
            <v>2.3214456157805374E-2</v>
          </cell>
          <cell r="CA1688">
            <v>2.2848157517051382E-2</v>
          </cell>
        </row>
        <row r="1689">
          <cell r="BN1689" t="str">
            <v>1250/0.7/3500</v>
          </cell>
          <cell r="BO1689">
            <v>0.71440401637815043</v>
          </cell>
          <cell r="BP1689">
            <v>0.73927041973182916</v>
          </cell>
          <cell r="BQ1689">
            <v>0.72546848457048874</v>
          </cell>
          <cell r="BR1689">
            <v>0.7142849007865697</v>
          </cell>
          <cell r="BS1689">
            <v>0.69484466527429833</v>
          </cell>
          <cell r="BT1689">
            <v>0.60899529230946259</v>
          </cell>
          <cell r="BU1689">
            <v>0.72638820103604707</v>
          </cell>
          <cell r="BV1689">
            <v>0.69447592702600924</v>
          </cell>
          <cell r="BY1689" t="str">
            <v>500/0.5/3000</v>
          </cell>
          <cell r="BZ1689">
            <v>2.3012305498060881E-2</v>
          </cell>
          <cell r="CA1689">
            <v>2.2613093583448984E-2</v>
          </cell>
        </row>
        <row r="1690">
          <cell r="BN1690" t="str">
            <v>1250/0.7/3750</v>
          </cell>
          <cell r="BO1690">
            <v>0.70751053335682257</v>
          </cell>
          <cell r="BP1690">
            <v>0.73448348948898901</v>
          </cell>
          <cell r="BQ1690">
            <v>0.71868816012893233</v>
          </cell>
          <cell r="BR1690">
            <v>0.70739876939037361</v>
          </cell>
          <cell r="BS1690">
            <v>0.6874314286203449</v>
          </cell>
          <cell r="BT1690">
            <v>0.60152561824101547</v>
          </cell>
          <cell r="BU1690">
            <v>0.71801030894704254</v>
          </cell>
          <cell r="BV1690">
            <v>0.68623936369186989</v>
          </cell>
          <cell r="BY1690" t="str">
            <v>500/0.5/3250</v>
          </cell>
          <cell r="BZ1690">
            <v>2.2825601140402219E-2</v>
          </cell>
          <cell r="CA1690">
            <v>2.2394266863310253E-2</v>
          </cell>
        </row>
        <row r="1691">
          <cell r="BN1691" t="str">
            <v>1250/0.7/4000</v>
          </cell>
          <cell r="BO1691">
            <v>0.70061705033549482</v>
          </cell>
          <cell r="BP1691">
            <v>0.72969655924614885</v>
          </cell>
          <cell r="BQ1691">
            <v>0.71190783568737581</v>
          </cell>
          <cell r="BR1691">
            <v>0.7005126379941774</v>
          </cell>
          <cell r="BS1691">
            <v>0.68001819196639157</v>
          </cell>
          <cell r="BT1691">
            <v>0.59405594417256835</v>
          </cell>
          <cell r="BU1691">
            <v>0.70963241685803802</v>
          </cell>
          <cell r="BV1691">
            <v>0.67800280035773053</v>
          </cell>
          <cell r="BY1691" t="str">
            <v>500/0.5/3500</v>
          </cell>
          <cell r="BZ1691">
            <v>2.2638896782743556E-2</v>
          </cell>
          <cell r="CA1691">
            <v>2.2175440143171521E-2</v>
          </cell>
        </row>
        <row r="1692">
          <cell r="BN1692" t="str">
            <v>1250/0.7/4250</v>
          </cell>
          <cell r="BO1692">
            <v>0.69558627447942711</v>
          </cell>
          <cell r="BP1692">
            <v>0.72634842937548161</v>
          </cell>
          <cell r="BQ1692">
            <v>0.7071952191504729</v>
          </cell>
          <cell r="BR1692">
            <v>0.69507132093316204</v>
          </cell>
          <cell r="BS1692">
            <v>0.6744140199273535</v>
          </cell>
          <cell r="BT1692">
            <v>0.58733959561221161</v>
          </cell>
          <cell r="BU1692">
            <v>0.7025499163850919</v>
          </cell>
          <cell r="BV1692">
            <v>0.67080981158857456</v>
          </cell>
          <cell r="BY1692" t="str">
            <v>500/0.5/3750</v>
          </cell>
          <cell r="BZ1692">
            <v>2.2471860131427546E-2</v>
          </cell>
          <cell r="CA1692">
            <v>2.1981256332724963E-2</v>
          </cell>
        </row>
        <row r="1693">
          <cell r="BN1693" t="str">
            <v>1250/0.7/4500</v>
          </cell>
          <cell r="BO1693">
            <v>0.69055549862335941</v>
          </cell>
          <cell r="BP1693">
            <v>0.72300029950481448</v>
          </cell>
          <cell r="BQ1693">
            <v>0.70248260261356987</v>
          </cell>
          <cell r="BR1693">
            <v>0.68963000387214679</v>
          </cell>
          <cell r="BS1693">
            <v>0.66880984788831543</v>
          </cell>
          <cell r="BT1693">
            <v>0.58062324705185497</v>
          </cell>
          <cell r="BU1693">
            <v>0.69546741591214578</v>
          </cell>
          <cell r="BV1693">
            <v>0.66361682281941847</v>
          </cell>
          <cell r="BY1693" t="str">
            <v>500/0.5/4000</v>
          </cell>
          <cell r="BZ1693">
            <v>2.2304823480111535E-2</v>
          </cell>
          <cell r="CA1693">
            <v>2.1787072522278406E-2</v>
          </cell>
        </row>
        <row r="1694">
          <cell r="BN1694" t="str">
            <v>1250/0.7/4750</v>
          </cell>
          <cell r="BO1694">
            <v>0.68593855679386428</v>
          </cell>
          <cell r="BP1694">
            <v>0.72078513366382135</v>
          </cell>
          <cell r="BQ1694">
            <v>0.69788396424378563</v>
          </cell>
          <cell r="BR1694">
            <v>0.68499040912437259</v>
          </cell>
          <cell r="BS1694">
            <v>0.66382947467550335</v>
          </cell>
          <cell r="BT1694">
            <v>0.57480317082331922</v>
          </cell>
          <cell r="BU1694">
            <v>0.69007179070754776</v>
          </cell>
          <cell r="BV1694">
            <v>0.65802139932707371</v>
          </cell>
          <cell r="BY1694" t="str">
            <v>500/0.5/4250</v>
          </cell>
          <cell r="BZ1694">
            <v>2.2153660401541653E-2</v>
          </cell>
          <cell r="CA1694">
            <v>2.1603107958814372E-2</v>
          </cell>
        </row>
        <row r="1695">
          <cell r="BN1695" t="str">
            <v>1250/0.7/5000</v>
          </cell>
          <cell r="BO1695">
            <v>0.68132161496436916</v>
          </cell>
          <cell r="BP1695">
            <v>0.71856996782282834</v>
          </cell>
          <cell r="BQ1695">
            <v>0.69328532587400138</v>
          </cell>
          <cell r="BR1695">
            <v>0.6803508143765985</v>
          </cell>
          <cell r="BS1695">
            <v>0.65884910146269116</v>
          </cell>
          <cell r="BT1695">
            <v>0.56898309459478336</v>
          </cell>
          <cell r="BU1695">
            <v>0.68467616550294974</v>
          </cell>
          <cell r="BV1695">
            <v>0.65242597583472894</v>
          </cell>
          <cell r="BY1695" t="str">
            <v>500/0.5/4500</v>
          </cell>
          <cell r="BZ1695">
            <v>2.200249732297177E-2</v>
          </cell>
          <cell r="CA1695">
            <v>2.1419143395350337E-2</v>
          </cell>
        </row>
        <row r="1696">
          <cell r="BN1696" t="str">
            <v>1250/0.7/5250</v>
          </cell>
          <cell r="BO1696">
            <v>0.67694321016514047</v>
          </cell>
          <cell r="BP1696">
            <v>0.71666276426889675</v>
          </cell>
          <cell r="BQ1696">
            <v>0.68918369250340739</v>
          </cell>
          <cell r="BR1696">
            <v>0.67597566496131067</v>
          </cell>
          <cell r="BS1696">
            <v>0.65478290134561523</v>
          </cell>
          <cell r="BT1696">
            <v>0.5644474419103882</v>
          </cell>
          <cell r="BU1696">
            <v>0.67943528320049218</v>
          </cell>
          <cell r="BV1696">
            <v>0.64700668341082557</v>
          </cell>
          <cell r="BY1696" t="str">
            <v>500/0.5/4750</v>
          </cell>
          <cell r="BZ1696">
            <v>2.1862982891300509E-2</v>
          </cell>
          <cell r="CA1696">
            <v>2.1263964860633755E-2</v>
          </cell>
        </row>
        <row r="1697">
          <cell r="BN1697" t="str">
            <v>1250/0.7/5500</v>
          </cell>
          <cell r="BO1697">
            <v>0.6725648053659119</v>
          </cell>
          <cell r="BP1697">
            <v>0.71475556071496527</v>
          </cell>
          <cell r="BQ1697">
            <v>0.68508205913281339</v>
          </cell>
          <cell r="BR1697">
            <v>0.67160051554602296</v>
          </cell>
          <cell r="BS1697">
            <v>0.6507167012285392</v>
          </cell>
          <cell r="BT1697">
            <v>0.55991178922599305</v>
          </cell>
          <cell r="BU1697">
            <v>0.67419440089803462</v>
          </cell>
          <cell r="BV1697">
            <v>0.64158739098692219</v>
          </cell>
          <cell r="BY1697" t="str">
            <v>500/0.5/5000</v>
          </cell>
          <cell r="BZ1697">
            <v>2.1723468459629247E-2</v>
          </cell>
          <cell r="CA1697">
            <v>2.1108786325917173E-2</v>
          </cell>
        </row>
        <row r="1698">
          <cell r="BN1698" t="str">
            <v>1250/0.7/5750</v>
          </cell>
          <cell r="BO1698">
            <v>0.66951654422139395</v>
          </cell>
          <cell r="BP1698">
            <v>0.71349878830656599</v>
          </cell>
          <cell r="BQ1698">
            <v>0.68209849753628737</v>
          </cell>
          <cell r="BR1698">
            <v>0.66812988232380821</v>
          </cell>
          <cell r="BS1698">
            <v>0.64708782338183712</v>
          </cell>
          <cell r="BT1698">
            <v>0.55573496043757453</v>
          </cell>
          <cell r="BU1698">
            <v>0.66960513230041641</v>
          </cell>
          <cell r="BV1698">
            <v>0.63719981185893793</v>
          </cell>
          <cell r="BY1698" t="str">
            <v>500/0.5/5250</v>
          </cell>
          <cell r="BZ1698">
            <v>2.1594737325193236E-2</v>
          </cell>
          <cell r="CA1698">
            <v>2.0974643768662427E-2</v>
          </cell>
        </row>
        <row r="1699">
          <cell r="BN1699" t="str">
            <v>1250/0.7/6000</v>
          </cell>
          <cell r="BO1699">
            <v>0.66646828307687589</v>
          </cell>
          <cell r="BP1699">
            <v>0.71224201589816682</v>
          </cell>
          <cell r="BQ1699">
            <v>0.67911493593976147</v>
          </cell>
          <cell r="BR1699">
            <v>0.66465924910159346</v>
          </cell>
          <cell r="BS1699">
            <v>0.64345894553513494</v>
          </cell>
          <cell r="BT1699">
            <v>0.55155813164915601</v>
          </cell>
          <cell r="BU1699">
            <v>0.66501586370279808</v>
          </cell>
          <cell r="BV1699">
            <v>0.63281223273095366</v>
          </cell>
          <cell r="BY1699" t="str">
            <v>500/0.5/5500</v>
          </cell>
          <cell r="BZ1699">
            <v>2.1466006190757225E-2</v>
          </cell>
          <cell r="CA1699">
            <v>2.084050121140768E-2</v>
          </cell>
        </row>
        <row r="1700">
          <cell r="BN1700" t="str">
            <v>1250/0.7/6250</v>
          </cell>
          <cell r="BO1700">
            <v>0.66349490610862139</v>
          </cell>
          <cell r="BP1700">
            <v>0.71098426401356551</v>
          </cell>
          <cell r="BQ1700">
            <v>0.67614012571318582</v>
          </cell>
          <cell r="BR1700">
            <v>0.66167766761689284</v>
          </cell>
          <cell r="BS1700">
            <v>0.64038921631436008</v>
          </cell>
          <cell r="BT1700">
            <v>0.54737351177831239</v>
          </cell>
          <cell r="BU1700">
            <v>0.66126940610289398</v>
          </cell>
          <cell r="BV1700">
            <v>0.62849430297232223</v>
          </cell>
          <cell r="BY1700" t="str">
            <v>500/0.5/5750</v>
          </cell>
          <cell r="BZ1700">
            <v>2.134395903657138E-2</v>
          </cell>
          <cell r="CA1700">
            <v>2.0705613900421471E-2</v>
          </cell>
        </row>
        <row r="1701">
          <cell r="BN1701" t="str">
            <v>1250/0.7/6350</v>
          </cell>
          <cell r="BO1701">
            <v>0.66230488347125294</v>
          </cell>
          <cell r="BP1701">
            <v>0.71048098042416652</v>
          </cell>
          <cell r="BQ1701">
            <v>0.67494950919236851</v>
          </cell>
          <cell r="BR1701">
            <v>0.66048824886710578</v>
          </cell>
          <cell r="BS1701">
            <v>0.63915071378653066</v>
          </cell>
          <cell r="BT1701">
            <v>0.54604467712307392</v>
          </cell>
          <cell r="BU1701">
            <v>0.6597685842122657</v>
          </cell>
          <cell r="BV1701">
            <v>0.62697772159193377</v>
          </cell>
          <cell r="BY1701" t="str">
            <v>500/0.5/6000</v>
          </cell>
          <cell r="BZ1701">
            <v>2.1221911882385536E-2</v>
          </cell>
          <cell r="CA1701">
            <v>2.0570726589435262E-2</v>
          </cell>
        </row>
        <row r="1702">
          <cell r="BN1702" t="str">
            <v>1250/0.7/6600</v>
          </cell>
          <cell r="BO1702">
            <v>0.6593281472526632</v>
          </cell>
          <cell r="BP1702">
            <v>0.70922231436177519</v>
          </cell>
          <cell r="BQ1702">
            <v>0.67197123681485926</v>
          </cell>
          <cell r="BR1702">
            <v>0.65751307468446407</v>
          </cell>
          <cell r="BS1702">
            <v>0.63603867910875711</v>
          </cell>
          <cell r="BT1702">
            <v>0.54306041344407319</v>
          </cell>
          <cell r="BU1702">
            <v>0.65603497816236422</v>
          </cell>
          <cell r="BV1702">
            <v>0.62314799182550562</v>
          </cell>
          <cell r="BY1702" t="str">
            <v>500/0.5/6250</v>
          </cell>
          <cell r="BZ1702">
            <v>2.1099305008693836E-2</v>
          </cell>
          <cell r="CA1702">
            <v>2.044248625218037E-2</v>
          </cell>
        </row>
        <row r="1703">
          <cell r="BN1703" t="str">
            <v>1250/0.7/6850</v>
          </cell>
          <cell r="BO1703">
            <v>0.65634901156954839</v>
          </cell>
          <cell r="BP1703">
            <v>0.70821277315513131</v>
          </cell>
          <cell r="BQ1703">
            <v>0.66922386130801448</v>
          </cell>
          <cell r="BR1703">
            <v>0.65453557577585864</v>
          </cell>
          <cell r="BS1703">
            <v>0.63290410391926988</v>
          </cell>
          <cell r="BT1703">
            <v>0.54007245204785737</v>
          </cell>
          <cell r="BU1703">
            <v>0.65230915431429048</v>
          </cell>
          <cell r="BV1703">
            <v>0.61933306332457738</v>
          </cell>
          <cell r="BY1703" t="str">
            <v>500/0.5/6350</v>
          </cell>
          <cell r="BZ1703">
            <v>2.1050157778242706E-2</v>
          </cell>
          <cell r="CA1703">
            <v>2.0391306534135678E-2</v>
          </cell>
        </row>
        <row r="1704">
          <cell r="BN1704" t="str">
            <v>1250/0.7/7500</v>
          </cell>
          <cell r="BO1704">
            <v>0.65024106296594797</v>
          </cell>
          <cell r="BP1704">
            <v>0.70575454316750075</v>
          </cell>
          <cell r="BQ1704">
            <v>0.66336993281247003</v>
          </cell>
          <cell r="BR1704">
            <v>0.64770536653929345</v>
          </cell>
          <cell r="BS1704">
            <v>0.62594097207106958</v>
          </cell>
          <cell r="BT1704">
            <v>0.53234227644755983</v>
          </cell>
          <cell r="BU1704">
            <v>0.64364504756693475</v>
          </cell>
          <cell r="BV1704">
            <v>0.61059015084940005</v>
          </cell>
          <cell r="BY1704" t="str">
            <v>500/0.5/6600</v>
          </cell>
          <cell r="BZ1704">
            <v>2.0927028499678979E-2</v>
          </cell>
          <cell r="CA1704">
            <v>2.028549272700908E-2</v>
          </cell>
        </row>
        <row r="1705">
          <cell r="BN1705" t="str">
            <v>1250/0.7/10000</v>
          </cell>
          <cell r="BO1705">
            <v>0.63069908411919118</v>
          </cell>
          <cell r="BP1705">
            <v>0.69804329419672229</v>
          </cell>
          <cell r="BQ1705">
            <v>0.64417777475711224</v>
          </cell>
          <cell r="BR1705">
            <v>0.62759456814405401</v>
          </cell>
          <cell r="BS1705">
            <v>0.60512196165583387</v>
          </cell>
          <cell r="BT1705">
            <v>0.5100288977981835</v>
          </cell>
          <cell r="BU1705">
            <v>0.61870938986127477</v>
          </cell>
          <cell r="BV1705">
            <v>0.59119220802771744</v>
          </cell>
          <cell r="BY1705" t="str">
            <v>500/0.5/6850</v>
          </cell>
          <cell r="BZ1705">
            <v>2.0803526074778089E-2</v>
          </cell>
          <cell r="CA1705">
            <v>2.018350586581219E-2</v>
          </cell>
        </row>
        <row r="1706">
          <cell r="BN1706" t="str">
            <v>1250/0.7/99999</v>
          </cell>
          <cell r="BO1706">
            <v>0.53333130808893037</v>
          </cell>
          <cell r="BP1706">
            <v>0.66672578712820429</v>
          </cell>
          <cell r="BQ1706">
            <v>0.54960514849633124</v>
          </cell>
          <cell r="BR1706">
            <v>0.52504027107946627</v>
          </cell>
          <cell r="BS1706">
            <v>0.51881762162876299</v>
          </cell>
          <cell r="BT1706">
            <v>0.45028658369430169</v>
          </cell>
          <cell r="BU1706">
            <v>0.551597428156826</v>
          </cell>
          <cell r="BV1706">
            <v>0.54446532461224428</v>
          </cell>
          <cell r="BY1706" t="str">
            <v>500/0.5/7500</v>
          </cell>
          <cell r="BZ1706">
            <v>2.0578148689812004E-2</v>
          </cell>
          <cell r="CA1706">
            <v>1.9943613622925183E-2</v>
          </cell>
        </row>
        <row r="1707">
          <cell r="BY1707" t="str">
            <v>500/0.5/8000</v>
          </cell>
          <cell r="BZ1707">
            <v>2.0416359631655112E-2</v>
          </cell>
          <cell r="CA1707">
            <v>1.9760307932031651E-2</v>
          </cell>
        </row>
        <row r="1708">
          <cell r="BN1708" t="str">
            <v>1500/0.7/2000</v>
          </cell>
          <cell r="BO1708">
            <v>0.79456717036150326</v>
          </cell>
          <cell r="BP1708">
            <v>0.80531577716369418</v>
          </cell>
          <cell r="BQ1708">
            <v>0.80870385149166679</v>
          </cell>
          <cell r="BR1708">
            <v>0.79520912524982246</v>
          </cell>
          <cell r="BS1708">
            <v>0.78120876239844406</v>
          </cell>
          <cell r="BT1708">
            <v>0.67807358334745693</v>
          </cell>
          <cell r="BU1708">
            <v>0.79523620783412929</v>
          </cell>
          <cell r="BV1708">
            <v>0.77299529823621116</v>
          </cell>
          <cell r="BY1708" t="str">
            <v>500/0.5/9000</v>
          </cell>
          <cell r="BZ1708">
            <v>2.0092000674722721E-2</v>
          </cell>
          <cell r="CA1708">
            <v>1.945050030570461E-2</v>
          </cell>
        </row>
        <row r="1709">
          <cell r="BN1709" t="str">
            <v>1500/0.7/2250</v>
          </cell>
          <cell r="BO1709">
            <v>0.77518243278524046</v>
          </cell>
          <cell r="BP1709">
            <v>0.78792541501791102</v>
          </cell>
          <cell r="BQ1709">
            <v>0.78992934078572541</v>
          </cell>
          <cell r="BR1709">
            <v>0.77582511365575779</v>
          </cell>
          <cell r="BS1709">
            <v>0.75926031249208725</v>
          </cell>
          <cell r="BT1709">
            <v>0.66013063576531472</v>
          </cell>
          <cell r="BU1709">
            <v>0.77640214346784242</v>
          </cell>
          <cell r="BV1709">
            <v>0.7519234194391976</v>
          </cell>
          <cell r="BY1709" t="str">
            <v>500/0.5/10000</v>
          </cell>
          <cell r="BZ1709">
            <v>1.9785114614304877E-2</v>
          </cell>
          <cell r="CA1709">
            <v>1.9155617740208353E-2</v>
          </cell>
        </row>
        <row r="1710">
          <cell r="BN1710" t="str">
            <v>1500/0.7/2500</v>
          </cell>
          <cell r="BO1710">
            <v>0.75785474999403712</v>
          </cell>
          <cell r="BP1710">
            <v>0.77284595364268605</v>
          </cell>
          <cell r="BQ1710">
            <v>0.77310321844991625</v>
          </cell>
          <cell r="BR1710">
            <v>0.75840153749717032</v>
          </cell>
          <cell r="BS1710">
            <v>0.73940000557860219</v>
          </cell>
          <cell r="BT1710">
            <v>0.64405661262393521</v>
          </cell>
          <cell r="BU1710">
            <v>0.76000397033124611</v>
          </cell>
          <cell r="BV1710">
            <v>0.73367766681531865</v>
          </cell>
          <cell r="BY1710" t="str">
            <v>500/0.5/99999</v>
          </cell>
          <cell r="BZ1710">
            <v>1.5172484025439026E-2</v>
          </cell>
          <cell r="CA1710">
            <v>1.5028833889598081E-2</v>
          </cell>
        </row>
        <row r="1711">
          <cell r="BN1711" t="str">
            <v>1500/0.7/2750</v>
          </cell>
          <cell r="BO1711">
            <v>0.74258866437620763</v>
          </cell>
          <cell r="BP1711">
            <v>0.76018359993356732</v>
          </cell>
          <cell r="BQ1711">
            <v>0.75827464379319043</v>
          </cell>
          <cell r="BR1711">
            <v>0.74305008717907328</v>
          </cell>
          <cell r="BS1711">
            <v>0.72263954976980183</v>
          </cell>
          <cell r="BT1711">
            <v>0.63066811341331119</v>
          </cell>
          <cell r="BU1711">
            <v>0.74587497170682149</v>
          </cell>
          <cell r="BV1711">
            <v>0.71791107539962895</v>
          </cell>
          <cell r="BY1711" t="str">
            <v>750/0.5/750</v>
          </cell>
          <cell r="BZ1711">
            <v>2.5656451953300241E-2</v>
          </cell>
          <cell r="CA1711">
            <v>2.5745897161148834E-2</v>
          </cell>
        </row>
        <row r="1712">
          <cell r="BN1712" t="str">
            <v>1500/0.7/3000</v>
          </cell>
          <cell r="BO1712">
            <v>0.72839385829748227</v>
          </cell>
          <cell r="BP1712">
            <v>0.74878576621769521</v>
          </cell>
          <cell r="BQ1712">
            <v>0.74448763019177877</v>
          </cell>
          <cell r="BR1712">
            <v>0.72874087972714408</v>
          </cell>
          <cell r="BS1712">
            <v>0.71055540083814472</v>
          </cell>
          <cell r="BT1712">
            <v>0.61854547673900484</v>
          </cell>
          <cell r="BU1712">
            <v>0.73331365407903115</v>
          </cell>
          <cell r="BV1712">
            <v>0.70381673264680211</v>
          </cell>
          <cell r="BY1712" t="str">
            <v>750/0.5/1000</v>
          </cell>
          <cell r="BZ1712">
            <v>2.5213640500618917E-2</v>
          </cell>
          <cell r="CA1712">
            <v>2.5100996277036103E-2</v>
          </cell>
        </row>
        <row r="1713">
          <cell r="BN1713" t="str">
            <v>1500/0.7/3250</v>
          </cell>
          <cell r="BO1713">
            <v>0.71960485935916874</v>
          </cell>
          <cell r="BP1713">
            <v>0.74106122323123036</v>
          </cell>
          <cell r="BQ1713">
            <v>0.73373907926426685</v>
          </cell>
          <cell r="BR1713">
            <v>0.71980875686380219</v>
          </cell>
          <cell r="BS1713">
            <v>0.70071319009832478</v>
          </cell>
          <cell r="BT1713">
            <v>0.60826933481419121</v>
          </cell>
          <cell r="BU1713">
            <v>0.7226170886511798</v>
          </cell>
          <cell r="BV1713">
            <v>0.69155942969116579</v>
          </cell>
          <cell r="BY1713" t="str">
            <v>750/0.5/1250</v>
          </cell>
          <cell r="BZ1713">
            <v>2.4757168538912078E-2</v>
          </cell>
          <cell r="CA1713">
            <v>2.4582004129083179E-2</v>
          </cell>
        </row>
        <row r="1714">
          <cell r="BN1714" t="str">
            <v>1500/0.7/3500</v>
          </cell>
          <cell r="BO1714">
            <v>0.71081586042085521</v>
          </cell>
          <cell r="BP1714">
            <v>0.73333668024476539</v>
          </cell>
          <cell r="BQ1714">
            <v>0.72299052833675481</v>
          </cell>
          <cell r="BR1714">
            <v>0.71087663400046031</v>
          </cell>
          <cell r="BS1714">
            <v>0.69087097935850472</v>
          </cell>
          <cell r="BT1714">
            <v>0.59799319288937747</v>
          </cell>
          <cell r="BU1714">
            <v>0.71192052322332833</v>
          </cell>
          <cell r="BV1714">
            <v>0.67930212673552959</v>
          </cell>
          <cell r="BY1714" t="str">
            <v>750/0.5/1500</v>
          </cell>
          <cell r="BZ1714">
            <v>2.437322897651395E-2</v>
          </cell>
          <cell r="CA1714">
            <v>2.4137758396610254E-2</v>
          </cell>
        </row>
        <row r="1715">
          <cell r="BN1715" t="str">
            <v>1500/0.7/3750</v>
          </cell>
          <cell r="BO1715">
            <v>0.70380312578843141</v>
          </cell>
          <cell r="BP1715">
            <v>0.72847472141261393</v>
          </cell>
          <cell r="BQ1715">
            <v>0.71597490580195156</v>
          </cell>
          <cell r="BR1715">
            <v>0.70382988693163484</v>
          </cell>
          <cell r="BS1715">
            <v>0.68335770280808106</v>
          </cell>
          <cell r="BT1715">
            <v>0.5898350628559903</v>
          </cell>
          <cell r="BU1715">
            <v>0.70303206874349877</v>
          </cell>
          <cell r="BV1715">
            <v>0.67002643043733934</v>
          </cell>
          <cell r="BY1715" t="str">
            <v>750/0.5/1750</v>
          </cell>
          <cell r="BZ1715">
            <v>2.4062476763876628E-2</v>
          </cell>
          <cell r="CA1715">
            <v>2.377700314406872E-2</v>
          </cell>
        </row>
        <row r="1716">
          <cell r="BN1716" t="str">
            <v>1500/0.7/4000</v>
          </cell>
          <cell r="BO1716">
            <v>0.69679039115600749</v>
          </cell>
          <cell r="BP1716">
            <v>0.72361276258046259</v>
          </cell>
          <cell r="BQ1716">
            <v>0.70895928326714841</v>
          </cell>
          <cell r="BR1716">
            <v>0.69678313986280938</v>
          </cell>
          <cell r="BS1716">
            <v>0.67584442625765739</v>
          </cell>
          <cell r="BT1716">
            <v>0.58167693282260324</v>
          </cell>
          <cell r="BU1716">
            <v>0.69414361426366933</v>
          </cell>
          <cell r="BV1716">
            <v>0.6607507341391492</v>
          </cell>
          <cell r="BY1716" t="str">
            <v>750/0.5/2000</v>
          </cell>
          <cell r="BZ1716">
            <v>2.3751724551239306E-2</v>
          </cell>
          <cell r="CA1716">
            <v>2.3416247891527187E-2</v>
          </cell>
        </row>
        <row r="1717">
          <cell r="BN1717" t="str">
            <v>1500/0.7/4250</v>
          </cell>
          <cell r="BO1717">
            <v>0.69099594308669432</v>
          </cell>
          <cell r="BP1717">
            <v>0.72073363132119028</v>
          </cell>
          <cell r="BQ1717">
            <v>0.70367087435026154</v>
          </cell>
          <cell r="BR1717">
            <v>0.69058530169975862</v>
          </cell>
          <cell r="BS1717">
            <v>0.66938891892955588</v>
          </cell>
          <cell r="BT1717">
            <v>0.5750346725064448</v>
          </cell>
          <cell r="BU1717">
            <v>0.68617244801550958</v>
          </cell>
          <cell r="BV1717">
            <v>0.65292763223931316</v>
          </cell>
          <cell r="BY1717" t="str">
            <v>750/0.5/2250</v>
          </cell>
          <cell r="BZ1717">
            <v>2.3484075014479355E-2</v>
          </cell>
          <cell r="CA1717">
            <v>2.3106640519229726E-2</v>
          </cell>
        </row>
        <row r="1718">
          <cell r="BN1718" t="str">
            <v>1500/0.7/4500</v>
          </cell>
          <cell r="BO1718">
            <v>0.68520149501738103</v>
          </cell>
          <cell r="BP1718">
            <v>0.71785450006191787</v>
          </cell>
          <cell r="BQ1718">
            <v>0.69838246543337457</v>
          </cell>
          <cell r="BR1718">
            <v>0.68438746353670787</v>
          </cell>
          <cell r="BS1718">
            <v>0.66293341160145436</v>
          </cell>
          <cell r="BT1718">
            <v>0.56839241219028624</v>
          </cell>
          <cell r="BU1718">
            <v>0.67820128176734984</v>
          </cell>
          <cell r="BV1718">
            <v>0.64510453033947701</v>
          </cell>
          <cell r="BY1718" t="str">
            <v>750/0.5/2500</v>
          </cell>
          <cell r="BZ1718">
            <v>2.3236229337138203E-2</v>
          </cell>
          <cell r="CA1718">
            <v>2.2823840192449873E-2</v>
          </cell>
        </row>
        <row r="1719">
          <cell r="BN1719" t="str">
            <v>1500/0.7/4750</v>
          </cell>
          <cell r="BO1719">
            <v>0.68054925807980116</v>
          </cell>
          <cell r="BP1719">
            <v>0.71547370783170483</v>
          </cell>
          <cell r="BQ1719">
            <v>0.69374538064579583</v>
          </cell>
          <cell r="BR1719">
            <v>0.67971563010709124</v>
          </cell>
          <cell r="BS1719">
            <v>0.65791098761618727</v>
          </cell>
          <cell r="BT1719">
            <v>0.56186365633407043</v>
          </cell>
          <cell r="BU1719">
            <v>0.67276253113785189</v>
          </cell>
          <cell r="BV1719">
            <v>0.63928502096280904</v>
          </cell>
          <cell r="BY1719" t="str">
            <v>750/0.5/2750</v>
          </cell>
          <cell r="BZ1719">
            <v>2.3005990755046613E-2</v>
          </cell>
          <cell r="CA1719">
            <v>2.2558938782892612E-2</v>
          </cell>
        </row>
        <row r="1720">
          <cell r="BN1720" t="str">
            <v>1500/0.7/5000</v>
          </cell>
          <cell r="BO1720">
            <v>0.67589702114222128</v>
          </cell>
          <cell r="BP1720">
            <v>0.71309291560149191</v>
          </cell>
          <cell r="BQ1720">
            <v>0.6891082958582172</v>
          </cell>
          <cell r="BR1720">
            <v>0.67504379667747449</v>
          </cell>
          <cell r="BS1720">
            <v>0.65288856363092018</v>
          </cell>
          <cell r="BT1720">
            <v>0.55533490047785472</v>
          </cell>
          <cell r="BU1720">
            <v>0.66732378050835395</v>
          </cell>
          <cell r="BV1720">
            <v>0.63346551158614106</v>
          </cell>
          <cell r="BY1720" t="str">
            <v>750/0.5/3000</v>
          </cell>
          <cell r="BZ1720">
            <v>2.2796654117161586E-2</v>
          </cell>
          <cell r="CA1720">
            <v>2.231669532514835E-2</v>
          </cell>
        </row>
        <row r="1721">
          <cell r="BN1721" t="str">
            <v>1500/0.7/5250</v>
          </cell>
          <cell r="BO1721">
            <v>0.67133176972143982</v>
          </cell>
          <cell r="BP1721">
            <v>0.71090158123056468</v>
          </cell>
          <cell r="BQ1721">
            <v>0.68453559637412931</v>
          </cell>
          <cell r="BR1721">
            <v>0.67048118929012523</v>
          </cell>
          <cell r="BS1721">
            <v>0.64841486493780387</v>
          </cell>
          <cell r="BT1721">
            <v>0.55050919507604124</v>
          </cell>
          <cell r="BU1721">
            <v>0.66201411984103853</v>
          </cell>
          <cell r="BV1721">
            <v>0.62778355501571004</v>
          </cell>
          <cell r="BY1721" t="str">
            <v>750/0.5/3250</v>
          </cell>
          <cell r="BZ1721">
            <v>2.260560297381109E-2</v>
          </cell>
          <cell r="CA1721">
            <v>2.2091920204000304E-2</v>
          </cell>
        </row>
        <row r="1722">
          <cell r="BN1722" t="str">
            <v>1500/0.7/5500</v>
          </cell>
          <cell r="BO1722">
            <v>0.66676651830065825</v>
          </cell>
          <cell r="BP1722">
            <v>0.70871024685963746</v>
          </cell>
          <cell r="BQ1722">
            <v>0.67996289689004152</v>
          </cell>
          <cell r="BR1722">
            <v>0.66591858190277597</v>
          </cell>
          <cell r="BS1722">
            <v>0.64394116624468745</v>
          </cell>
          <cell r="BT1722">
            <v>0.54568348967422786</v>
          </cell>
          <cell r="BU1722">
            <v>0.65670445917372322</v>
          </cell>
          <cell r="BV1722">
            <v>0.62210159844527901</v>
          </cell>
          <cell r="BY1722" t="str">
            <v>750/0.5/3500</v>
          </cell>
          <cell r="BZ1722">
            <v>2.2414551830460594E-2</v>
          </cell>
          <cell r="CA1722">
            <v>2.1867145082852257E-2</v>
          </cell>
        </row>
        <row r="1723">
          <cell r="BN1723" t="str">
            <v>1500/0.7/5750</v>
          </cell>
          <cell r="BO1723">
            <v>0.66328789114508901</v>
          </cell>
          <cell r="BP1723">
            <v>0.7073449599794206</v>
          </cell>
          <cell r="BQ1723">
            <v>0.67682105743354926</v>
          </cell>
          <cell r="BR1723">
            <v>0.66202046656307423</v>
          </cell>
          <cell r="BS1723">
            <v>0.64004153452161916</v>
          </cell>
          <cell r="BT1723">
            <v>0.54149713964366375</v>
          </cell>
          <cell r="BU1723">
            <v>0.65157833125707587</v>
          </cell>
          <cell r="BV1723">
            <v>0.61753247013935852</v>
          </cell>
          <cell r="BY1723" t="str">
            <v>750/0.5/3750</v>
          </cell>
          <cell r="BZ1723">
            <v>2.224196127300293E-2</v>
          </cell>
          <cell r="CA1723">
            <v>2.1665435033160318E-2</v>
          </cell>
        </row>
        <row r="1724">
          <cell r="BN1724" t="str">
            <v>1500/0.7/6000</v>
          </cell>
          <cell r="BO1724">
            <v>0.65980926398951978</v>
          </cell>
          <cell r="BP1724">
            <v>0.70597967309920362</v>
          </cell>
          <cell r="BQ1724">
            <v>0.67367921797705699</v>
          </cell>
          <cell r="BR1724">
            <v>0.65812235122337237</v>
          </cell>
          <cell r="BS1724">
            <v>0.63614190279855087</v>
          </cell>
          <cell r="BT1724">
            <v>0.53731078961309964</v>
          </cell>
          <cell r="BU1724">
            <v>0.64645220334042852</v>
          </cell>
          <cell r="BV1724">
            <v>0.61296334183343792</v>
          </cell>
          <cell r="BY1724" t="str">
            <v>750/0.5/4000</v>
          </cell>
          <cell r="BZ1724">
            <v>2.2069370715545267E-2</v>
          </cell>
          <cell r="CA1724">
            <v>2.146372498346838E-2</v>
          </cell>
        </row>
        <row r="1725">
          <cell r="BN1725" t="str">
            <v>1500/0.7/6250</v>
          </cell>
          <cell r="BO1725">
            <v>0.65682596686888317</v>
          </cell>
          <cell r="BP1725">
            <v>0.70472235527481675</v>
          </cell>
          <cell r="BQ1725">
            <v>0.67070540281680302</v>
          </cell>
          <cell r="BR1725">
            <v>0.65513320299440647</v>
          </cell>
          <cell r="BS1725">
            <v>0.63302235600855317</v>
          </cell>
          <cell r="BT1725">
            <v>0.5331298055807201</v>
          </cell>
          <cell r="BU1725">
            <v>0.64271120822848304</v>
          </cell>
          <cell r="BV1725">
            <v>0.6085773882450628</v>
          </cell>
          <cell r="BY1725" t="str">
            <v>750/0.5/4250</v>
          </cell>
          <cell r="BZ1725">
            <v>2.1914278546736554E-2</v>
          </cell>
          <cell r="CA1725">
            <v>2.1280027176456828E-2</v>
          </cell>
        </row>
        <row r="1726">
          <cell r="BN1726" t="str">
            <v>1500/0.7/6350</v>
          </cell>
          <cell r="BO1726">
            <v>0.65563662439682102</v>
          </cell>
          <cell r="BP1726">
            <v>0.70421924332838959</v>
          </cell>
          <cell r="BQ1726">
            <v>0.66951549395503496</v>
          </cell>
          <cell r="BR1726">
            <v>0.65394048763468349</v>
          </cell>
          <cell r="BS1726">
            <v>0.63179462954711496</v>
          </cell>
          <cell r="BT1726">
            <v>0.53145595763238251</v>
          </cell>
          <cell r="BU1726">
            <v>0.64121256647558234</v>
          </cell>
          <cell r="BV1726">
            <v>0.60681164599852955</v>
          </cell>
          <cell r="BY1726" t="str">
            <v>750/0.5/4500</v>
          </cell>
          <cell r="BZ1726">
            <v>2.1759186377927842E-2</v>
          </cell>
          <cell r="CA1726">
            <v>2.1096329369445277E-2</v>
          </cell>
        </row>
        <row r="1727">
          <cell r="BN1727" t="str">
            <v>1500/0.7/6600</v>
          </cell>
          <cell r="BO1727">
            <v>0.65266158512918582</v>
          </cell>
          <cell r="BP1727">
            <v>0.70296100142063966</v>
          </cell>
          <cell r="BQ1727">
            <v>0.66653898708907233</v>
          </cell>
          <cell r="BR1727">
            <v>0.650966957602789</v>
          </cell>
          <cell r="BS1727">
            <v>0.62869843732567721</v>
          </cell>
          <cell r="BT1727">
            <v>0.52797630079672908</v>
          </cell>
          <cell r="BU1727">
            <v>0.63746035282301705</v>
          </cell>
          <cell r="BV1727">
            <v>0.60291904900995119</v>
          </cell>
          <cell r="BY1727" t="str">
            <v>750/0.5/4750</v>
          </cell>
          <cell r="BZ1727">
            <v>2.1616284336937075E-2</v>
          </cell>
          <cell r="CA1727">
            <v>2.092788889236985E-2</v>
          </cell>
        </row>
        <row r="1728">
          <cell r="BN1728" t="str">
            <v>1500/0.7/6850</v>
          </cell>
          <cell r="BO1728">
            <v>0.64968414145086406</v>
          </cell>
          <cell r="BP1728">
            <v>0.70171967678724556</v>
          </cell>
          <cell r="BQ1728">
            <v>0.66356000206376464</v>
          </cell>
          <cell r="BR1728">
            <v>0.64799109900120055</v>
          </cell>
          <cell r="BS1728">
            <v>0.62557966226921846</v>
          </cell>
          <cell r="BT1728">
            <v>0.5249909278025634</v>
          </cell>
          <cell r="BU1728">
            <v>0.63373660437643298</v>
          </cell>
          <cell r="BV1728">
            <v>0.59907023557778438</v>
          </cell>
          <cell r="BY1728" t="str">
            <v>750/0.5/5000</v>
          </cell>
          <cell r="BZ1728">
            <v>2.1473382295946308E-2</v>
          </cell>
          <cell r="CA1728">
            <v>2.0759448415294424E-2</v>
          </cell>
        </row>
        <row r="1729">
          <cell r="BN1729" t="str">
            <v>1500/0.7/7500</v>
          </cell>
          <cell r="BO1729">
            <v>0.643049490073487</v>
          </cell>
          <cell r="BP1729">
            <v>0.69926223535471665</v>
          </cell>
          <cell r="BQ1729">
            <v>0.65740683792449472</v>
          </cell>
          <cell r="BR1729">
            <v>0.64063949529967201</v>
          </cell>
          <cell r="BS1729">
            <v>0.61798764703609033</v>
          </cell>
          <cell r="BT1729">
            <v>0.51725078801963142</v>
          </cell>
          <cell r="BU1729">
            <v>0.62443190937313031</v>
          </cell>
          <cell r="BV1729">
            <v>0.59280704687710817</v>
          </cell>
          <cell r="BY1729" t="str">
            <v>750/0.5/5250</v>
          </cell>
          <cell r="BZ1729">
            <v>2.1342764252340718E-2</v>
          </cell>
          <cell r="CA1729">
            <v>2.0625335005770573E-2</v>
          </cell>
        </row>
        <row r="1730">
          <cell r="BN1730" t="str">
            <v>1500/0.7/10000</v>
          </cell>
          <cell r="BO1730">
            <v>0.62318200991250272</v>
          </cell>
          <cell r="BP1730">
            <v>0.69125155241524361</v>
          </cell>
          <cell r="BQ1730">
            <v>0.63788580345875656</v>
          </cell>
          <cell r="BR1730">
            <v>0.6201947610506815</v>
          </cell>
          <cell r="BS1730">
            <v>0.59684288609932501</v>
          </cell>
          <cell r="BT1730">
            <v>0.49661508809314808</v>
          </cell>
          <cell r="BU1730">
            <v>0.59907199112484277</v>
          </cell>
          <cell r="BV1730">
            <v>0.58018911165099751</v>
          </cell>
          <cell r="BY1730" t="str">
            <v>750/0.5/5500</v>
          </cell>
          <cell r="BZ1730">
            <v>2.1212146208735128E-2</v>
          </cell>
          <cell r="CA1730">
            <v>2.0491221596246723E-2</v>
          </cell>
        </row>
        <row r="1731">
          <cell r="BN1731" t="str">
            <v>1500/0.7/99999</v>
          </cell>
          <cell r="BO1731">
            <v>0.52451801210036109</v>
          </cell>
          <cell r="BP1731">
            <v>0.65945150998658852</v>
          </cell>
          <cell r="BQ1731">
            <v>0.54199595434806158</v>
          </cell>
          <cell r="BR1731">
            <v>0.5162837367810289</v>
          </cell>
          <cell r="BS1731">
            <v>0.50912843589847134</v>
          </cell>
          <cell r="BT1731">
            <v>0.44154026289033654</v>
          </cell>
          <cell r="BU1731">
            <v>0.54079564053623375</v>
          </cell>
          <cell r="BV1731">
            <v>0.53286376961104542</v>
          </cell>
          <cell r="BY1731" t="str">
            <v>750/0.5/5750</v>
          </cell>
          <cell r="BZ1731">
            <v>2.10890625956488E-2</v>
          </cell>
          <cell r="CA1731">
            <v>2.0356818684730271E-2</v>
          </cell>
        </row>
        <row r="1732">
          <cell r="BY1732" t="str">
            <v>750/0.5/6000</v>
          </cell>
          <cell r="BZ1732">
            <v>2.0965978982562472E-2</v>
          </cell>
          <cell r="CA1732">
            <v>2.022241577321382E-2</v>
          </cell>
        </row>
        <row r="1733">
          <cell r="BN1733" t="str">
            <v>1750/0.7/2250</v>
          </cell>
          <cell r="BO1733">
            <v>0.77801457162036458</v>
          </cell>
          <cell r="BP1733">
            <v>0.79186341535344351</v>
          </cell>
          <cell r="BQ1733">
            <v>0.79391456484087974</v>
          </cell>
          <cell r="BR1733">
            <v>0.77876812696109821</v>
          </cell>
          <cell r="BS1733">
            <v>0.76256141209959538</v>
          </cell>
          <cell r="BT1733">
            <v>0.65738054003777768</v>
          </cell>
          <cell r="BU1733">
            <v>0.76948446423268224</v>
          </cell>
          <cell r="BV1733">
            <v>0.74480742332731731</v>
          </cell>
          <cell r="BY1733" t="str">
            <v>750/0.5/6250</v>
          </cell>
          <cell r="BZ1733">
            <v>2.0843555946070014E-2</v>
          </cell>
          <cell r="CA1733">
            <v>2.0089775521015873E-2</v>
          </cell>
        </row>
        <row r="1734">
          <cell r="BN1734" t="str">
            <v>1750/0.7/2500</v>
          </cell>
          <cell r="BO1734">
            <v>0.75934916617304316</v>
          </cell>
          <cell r="BP1734">
            <v>0.77519902786530415</v>
          </cell>
          <cell r="BQ1734">
            <v>0.77578440901247669</v>
          </cell>
          <cell r="BR1734">
            <v>0.76009403529867348</v>
          </cell>
          <cell r="BS1734">
            <v>0.7413941437921634</v>
          </cell>
          <cell r="BT1734">
            <v>0.64008916077007938</v>
          </cell>
          <cell r="BU1734">
            <v>0.75145569986035721</v>
          </cell>
          <cell r="BV1734">
            <v>0.72465492191226144</v>
          </cell>
          <cell r="BY1734" t="str">
            <v>750/0.5/6350</v>
          </cell>
          <cell r="BZ1734">
            <v>2.0794482039296236E-2</v>
          </cell>
          <cell r="CA1734">
            <v>2.0038711055045955E-2</v>
          </cell>
        </row>
        <row r="1735">
          <cell r="BN1735" t="str">
            <v>1750/0.7/2750</v>
          </cell>
          <cell r="BO1735">
            <v>0.74256513834000848</v>
          </cell>
          <cell r="BP1735">
            <v>0.76075953135217322</v>
          </cell>
          <cell r="BQ1735">
            <v>0.75952093863915793</v>
          </cell>
          <cell r="BR1735">
            <v>0.74320655015048043</v>
          </cell>
          <cell r="BS1735">
            <v>0.72293369033483956</v>
          </cell>
          <cell r="BT1735">
            <v>0.62454474976165886</v>
          </cell>
          <cell r="BU1735">
            <v>0.73580054286604524</v>
          </cell>
          <cell r="BV1735">
            <v>0.70720337868155869</v>
          </cell>
          <cell r="BY1735" t="str">
            <v>750/0.5/6600</v>
          </cell>
          <cell r="BZ1735">
            <v>2.0671535541919139E-2</v>
          </cell>
          <cell r="CA1735">
            <v>1.9919815081290038E-2</v>
          </cell>
        </row>
        <row r="1736">
          <cell r="BN1736" t="str">
            <v>1750/0.7/3000</v>
          </cell>
          <cell r="BO1736">
            <v>0.72766564906827635</v>
          </cell>
          <cell r="BP1736">
            <v>0.74855076385048214</v>
          </cell>
          <cell r="BQ1736">
            <v>0.74505450188009914</v>
          </cell>
          <cell r="BR1736">
            <v>0.72821491502011348</v>
          </cell>
          <cell r="BS1736">
            <v>0.71039690689072932</v>
          </cell>
          <cell r="BT1736">
            <v>0.61166339461834307</v>
          </cell>
          <cell r="BU1736">
            <v>0.72219394079651367</v>
          </cell>
          <cell r="BV1736">
            <v>0.69198441888337292</v>
          </cell>
          <cell r="BY1736" t="str">
            <v>750/0.5/6850</v>
          </cell>
          <cell r="BZ1736">
            <v>2.0548215143910475E-2</v>
          </cell>
          <cell r="CA1736">
            <v>1.9818039236550344E-2</v>
          </cell>
        </row>
        <row r="1737">
          <cell r="BN1737" t="str">
            <v>1750/0.7/3250</v>
          </cell>
          <cell r="BO1737">
            <v>0.71808182495542972</v>
          </cell>
          <cell r="BP1737">
            <v>0.73938457199049668</v>
          </cell>
          <cell r="BQ1737">
            <v>0.73335869753149319</v>
          </cell>
          <cell r="BR1737">
            <v>0.71847366032315629</v>
          </cell>
          <cell r="BS1737">
            <v>0.69917296757397962</v>
          </cell>
          <cell r="BT1737">
            <v>0.6005149274369741</v>
          </cell>
          <cell r="BU1737">
            <v>0.71061446891487479</v>
          </cell>
          <cell r="BV1737">
            <v>0.67891357615029513</v>
          </cell>
          <cell r="BY1737" t="str">
            <v>750/0.5/7500</v>
          </cell>
          <cell r="BZ1737">
            <v>2.0299667070409422E-2</v>
          </cell>
          <cell r="CA1737">
            <v>1.9572634559629654E-2</v>
          </cell>
        </row>
        <row r="1738">
          <cell r="BN1738" t="str">
            <v>1750/0.7/3500</v>
          </cell>
          <cell r="BO1738">
            <v>0.70849800084258296</v>
          </cell>
          <cell r="BP1738">
            <v>0.73021838013051121</v>
          </cell>
          <cell r="BQ1738">
            <v>0.72166289318288712</v>
          </cell>
          <cell r="BR1738">
            <v>0.70873240562619899</v>
          </cell>
          <cell r="BS1738">
            <v>0.68794902825722992</v>
          </cell>
          <cell r="BT1738">
            <v>0.58936646025560502</v>
          </cell>
          <cell r="BU1738">
            <v>0.69903499703323602</v>
          </cell>
          <cell r="BV1738">
            <v>0.66584273341721723</v>
          </cell>
          <cell r="BY1738" t="str">
            <v>750/0.5/8000</v>
          </cell>
          <cell r="BZ1738">
            <v>2.0137940418134548E-2</v>
          </cell>
          <cell r="CA1738">
            <v>1.9389726322856626E-2</v>
          </cell>
        </row>
        <row r="1739">
          <cell r="BN1739" t="str">
            <v>1750/0.7/3750</v>
          </cell>
          <cell r="BO1739">
            <v>0.70104688394176207</v>
          </cell>
          <cell r="BP1739">
            <v>0.72506682509065268</v>
          </cell>
          <cell r="BQ1739">
            <v>0.71429466456320301</v>
          </cell>
          <cell r="BR1739">
            <v>0.70121724882617897</v>
          </cell>
          <cell r="BS1739">
            <v>0.68003110710042169</v>
          </cell>
          <cell r="BT1739">
            <v>0.58046003666278767</v>
          </cell>
          <cell r="BU1739">
            <v>0.68959045919867368</v>
          </cell>
          <cell r="BV1739">
            <v>0.65525950373736919</v>
          </cell>
          <cell r="BY1739" t="str">
            <v>750/0.5/9000</v>
          </cell>
          <cell r="BZ1739">
            <v>1.9813704694540135E-2</v>
          </cell>
          <cell r="CA1739">
            <v>1.907252399602033E-2</v>
          </cell>
        </row>
        <row r="1740">
          <cell r="BN1740" t="str">
            <v>1750/0.7/4000</v>
          </cell>
          <cell r="BO1740">
            <v>0.69359576704094106</v>
          </cell>
          <cell r="BP1740">
            <v>0.71991527005079414</v>
          </cell>
          <cell r="BQ1740">
            <v>0.70692643594351889</v>
          </cell>
          <cell r="BR1740">
            <v>0.69370209202615885</v>
          </cell>
          <cell r="BS1740">
            <v>0.67211318594361347</v>
          </cell>
          <cell r="BT1740">
            <v>0.57155361306997021</v>
          </cell>
          <cell r="BU1740">
            <v>0.68014592136411123</v>
          </cell>
          <cell r="BV1740">
            <v>0.64467627405752115</v>
          </cell>
          <cell r="BY1740" t="str">
            <v>750/0.5/10000</v>
          </cell>
          <cell r="BZ1740">
            <v>1.9493527122828702E-2</v>
          </cell>
          <cell r="CA1740">
            <v>1.8770077255149342E-2</v>
          </cell>
        </row>
        <row r="1741">
          <cell r="BN1741" t="str">
            <v>1750/0.7/4250</v>
          </cell>
          <cell r="BO1741">
            <v>0.68696936792291674</v>
          </cell>
          <cell r="BP1741">
            <v>0.71665789991081508</v>
          </cell>
          <cell r="BQ1741">
            <v>0.70079984584850508</v>
          </cell>
          <cell r="BR1741">
            <v>0.68681150906827204</v>
          </cell>
          <cell r="BS1741">
            <v>0.66488364879967443</v>
          </cell>
          <cell r="BT1741">
            <v>0.56438893582725025</v>
          </cell>
          <cell r="BU1741">
            <v>0.6720380724057865</v>
          </cell>
          <cell r="BV1741">
            <v>0.63662978290088024</v>
          </cell>
          <cell r="BY1741" t="str">
            <v>750/0.5/99999</v>
          </cell>
          <cell r="BZ1741">
            <v>1.4845758686786059E-2</v>
          </cell>
          <cell r="CA1741">
            <v>1.4622132994180026E-2</v>
          </cell>
        </row>
        <row r="1742">
          <cell r="BN1742" t="str">
            <v>1750/0.7/4500</v>
          </cell>
          <cell r="BO1742">
            <v>0.68034296880489253</v>
          </cell>
          <cell r="BP1742">
            <v>0.7134005297708359</v>
          </cell>
          <cell r="BQ1742">
            <v>0.69467325575349126</v>
          </cell>
          <cell r="BR1742">
            <v>0.67992092611038535</v>
          </cell>
          <cell r="BS1742">
            <v>0.6576541116557354</v>
          </cell>
          <cell r="BT1742">
            <v>0.5572242585845304</v>
          </cell>
          <cell r="BU1742">
            <v>0.66393022344746178</v>
          </cell>
          <cell r="BV1742">
            <v>0.62858329174423921</v>
          </cell>
          <cell r="BY1742" t="str">
            <v>1000/0.5/1000</v>
          </cell>
          <cell r="BZ1742">
            <v>2.508552924322216E-2</v>
          </cell>
          <cell r="CA1742">
            <v>2.5060374216841597E-2</v>
          </cell>
        </row>
        <row r="1743">
          <cell r="BN1743" t="str">
            <v>1750/0.7/4750</v>
          </cell>
          <cell r="BO1743">
            <v>0.67563806488827516</v>
          </cell>
          <cell r="BP1743">
            <v>0.71081185057060536</v>
          </cell>
          <cell r="BQ1743">
            <v>0.68996119659343957</v>
          </cell>
          <cell r="BR1743">
            <v>0.6750933883168202</v>
          </cell>
          <cell r="BS1743">
            <v>0.65249249966373046</v>
          </cell>
          <cell r="BT1743">
            <v>0.55050531119267232</v>
          </cell>
          <cell r="BU1743">
            <v>0.65754063303408872</v>
          </cell>
          <cell r="BV1743">
            <v>0.62209866978353312</v>
          </cell>
          <cell r="BY1743" t="str">
            <v>1000/0.5/1250</v>
          </cell>
          <cell r="BZ1743">
            <v>2.4708172233638193E-2</v>
          </cell>
          <cell r="CA1743">
            <v>2.4478267124441899E-2</v>
          </cell>
        </row>
        <row r="1744">
          <cell r="BN1744" t="str">
            <v>1750/0.7/5000</v>
          </cell>
          <cell r="BO1744">
            <v>0.67093316097165789</v>
          </cell>
          <cell r="BP1744">
            <v>0.70822317137037472</v>
          </cell>
          <cell r="BQ1744">
            <v>0.685249137433388</v>
          </cell>
          <cell r="BR1744">
            <v>0.67026585052325505</v>
          </cell>
          <cell r="BS1744">
            <v>0.64733088767172564</v>
          </cell>
          <cell r="BT1744">
            <v>0.54378636380081435</v>
          </cell>
          <cell r="BU1744">
            <v>0.65115104262071566</v>
          </cell>
          <cell r="BV1744">
            <v>0.61561404782282692</v>
          </cell>
          <cell r="BY1744" t="str">
            <v>1000/0.5/1500</v>
          </cell>
          <cell r="BZ1744">
            <v>2.4292153965770114E-2</v>
          </cell>
          <cell r="CA1744">
            <v>2.399157796355933E-2</v>
          </cell>
        </row>
        <row r="1745">
          <cell r="BN1745" t="str">
            <v>1750/0.7/5250</v>
          </cell>
          <cell r="BO1745">
            <v>0.66635390102162939</v>
          </cell>
          <cell r="BP1745">
            <v>0.70603372682936583</v>
          </cell>
          <cell r="BQ1745">
            <v>0.68068111523441321</v>
          </cell>
          <cell r="BR1745">
            <v>0.66566231393711106</v>
          </cell>
          <cell r="BS1745">
            <v>0.64257524590115478</v>
          </cell>
          <cell r="BT1745">
            <v>0.53859933185147768</v>
          </cell>
          <cell r="BU1745">
            <v>0.64577927032735394</v>
          </cell>
          <cell r="BV1745">
            <v>0.60998003217984076</v>
          </cell>
          <cell r="BY1745" t="str">
            <v>1000/0.5/1750</v>
          </cell>
          <cell r="BZ1745">
            <v>2.3960763250793882E-2</v>
          </cell>
          <cell r="CA1745">
            <v>2.3601057861082464E-2</v>
          </cell>
        </row>
        <row r="1746">
          <cell r="BN1746" t="str">
            <v>1750/0.7/5500</v>
          </cell>
          <cell r="BO1746">
            <v>0.66177464107160089</v>
          </cell>
          <cell r="BP1746">
            <v>0.70384428228835694</v>
          </cell>
          <cell r="BQ1746">
            <v>0.67611309303543832</v>
          </cell>
          <cell r="BR1746">
            <v>0.66105877735096708</v>
          </cell>
          <cell r="BS1746">
            <v>0.63781960413058392</v>
          </cell>
          <cell r="BT1746">
            <v>0.53341229990214112</v>
          </cell>
          <cell r="BU1746">
            <v>0.64040749803399211</v>
          </cell>
          <cell r="BV1746">
            <v>0.6043460165368546</v>
          </cell>
          <cell r="BY1746" t="str">
            <v>1000/0.5/2000</v>
          </cell>
          <cell r="BZ1746">
            <v>2.362937253581765E-2</v>
          </cell>
          <cell r="CA1746">
            <v>2.3210537758605598E-2</v>
          </cell>
        </row>
        <row r="1747">
          <cell r="BN1747" t="str">
            <v>1750/0.7/5750</v>
          </cell>
          <cell r="BO1747">
            <v>0.657680941163306</v>
          </cell>
          <cell r="BP1747">
            <v>0.70208727435541707</v>
          </cell>
          <cell r="BQ1747">
            <v>0.67235028457251911</v>
          </cell>
          <cell r="BR1747">
            <v>0.6566835515533247</v>
          </cell>
          <cell r="BS1747">
            <v>0.63374214023964981</v>
          </cell>
          <cell r="BT1747">
            <v>0.52891800883873918</v>
          </cell>
          <cell r="BU1747">
            <v>0.63518528069238611</v>
          </cell>
          <cell r="BV1747">
            <v>0.59974170421135176</v>
          </cell>
          <cell r="BY1747" t="str">
            <v>1000/0.5/2250</v>
          </cell>
          <cell r="BZ1747">
            <v>2.3349710065998508E-2</v>
          </cell>
          <cell r="CA1747">
            <v>2.2881391193867007E-2</v>
          </cell>
        </row>
        <row r="1748">
          <cell r="BN1748" t="str">
            <v>1750/0.7/6000</v>
          </cell>
          <cell r="BO1748">
            <v>0.65358724125501111</v>
          </cell>
          <cell r="BP1748">
            <v>0.7003302664224772</v>
          </cell>
          <cell r="BQ1748">
            <v>0.66858747610959979</v>
          </cell>
          <cell r="BR1748">
            <v>0.65230832575568243</v>
          </cell>
          <cell r="BS1748">
            <v>0.6296646763487157</v>
          </cell>
          <cell r="BT1748">
            <v>0.52442371777533725</v>
          </cell>
          <cell r="BU1748">
            <v>0.62996306335078012</v>
          </cell>
          <cell r="BV1748">
            <v>0.5951373918858488</v>
          </cell>
          <cell r="BY1748" t="str">
            <v>1000/0.5/2500</v>
          </cell>
          <cell r="BZ1748">
            <v>2.3092521309972414E-2</v>
          </cell>
          <cell r="CA1748">
            <v>2.258483050788751E-2</v>
          </cell>
        </row>
        <row r="1749">
          <cell r="BN1749" t="str">
            <v>1750/0.7/6250</v>
          </cell>
          <cell r="BO1749">
            <v>0.65059866860549864</v>
          </cell>
          <cell r="BP1749">
            <v>0.6990734030420731</v>
          </cell>
          <cell r="BQ1749">
            <v>0.66560147143687542</v>
          </cell>
          <cell r="BR1749">
            <v>0.64905010162796406</v>
          </cell>
          <cell r="BS1749">
            <v>0.62593517075623673</v>
          </cell>
          <cell r="BT1749">
            <v>0.52024636958142323</v>
          </cell>
          <cell r="BU1749">
            <v>0.62535152560078744</v>
          </cell>
          <cell r="BV1749">
            <v>0.59291314396548767</v>
          </cell>
          <cell r="BY1749" t="str">
            <v>1000/0.5/2750</v>
          </cell>
          <cell r="BZ1749">
            <v>2.2852962618357786E-2</v>
          </cell>
          <cell r="CA1749">
            <v>2.2309710066172439E-2</v>
          </cell>
        </row>
        <row r="1750">
          <cell r="BN1750" t="str">
            <v>1750/0.7/6350</v>
          </cell>
          <cell r="BO1750">
            <v>0.64940395236316528</v>
          </cell>
          <cell r="BP1750">
            <v>0.69857047099185132</v>
          </cell>
          <cell r="BQ1750">
            <v>0.66441227541479475</v>
          </cell>
          <cell r="BR1750">
            <v>0.64785446201607899</v>
          </cell>
          <cell r="BS1750">
            <v>0.62471776694820014</v>
          </cell>
          <cell r="BT1750">
            <v>0.51857397596847121</v>
          </cell>
          <cell r="BU1750">
            <v>0.62385508450076721</v>
          </cell>
          <cell r="BV1750">
            <v>0.59201763506951766</v>
          </cell>
          <cell r="BY1750" t="str">
            <v>1000/0.5/3000</v>
          </cell>
          <cell r="BZ1750">
            <v>2.2633660881433038E-2</v>
          </cell>
          <cell r="CA1750">
            <v>2.2055860922132631E-2</v>
          </cell>
        </row>
        <row r="1751">
          <cell r="BN1751" t="str">
            <v>1750/0.7/6600</v>
          </cell>
          <cell r="BO1751">
            <v>0.64643062266214513</v>
          </cell>
          <cell r="BP1751">
            <v>0.69731267412114917</v>
          </cell>
          <cell r="BQ1751">
            <v>0.66143754711054692</v>
          </cell>
          <cell r="BR1751">
            <v>0.64487256330900589</v>
          </cell>
          <cell r="BS1751">
            <v>0.62164867058432804</v>
          </cell>
          <cell r="BT1751">
            <v>0.5143893560976267</v>
          </cell>
          <cell r="BU1751">
            <v>0.62010836097490296</v>
          </cell>
          <cell r="BV1751">
            <v>0.58980664072578415</v>
          </cell>
          <cell r="BY1751" t="str">
            <v>1000/0.5/3250</v>
          </cell>
          <cell r="BZ1751">
            <v>2.2436319652955783E-2</v>
          </cell>
          <cell r="CA1751">
            <v>2.1824723118567646E-2</v>
          </cell>
        </row>
        <row r="1752">
          <cell r="BN1752" t="str">
            <v>1750/0.7/6850</v>
          </cell>
          <cell r="BO1752">
            <v>0.64345488374836934</v>
          </cell>
          <cell r="BP1752">
            <v>0.69605421047165972</v>
          </cell>
          <cell r="BQ1752">
            <v>0.65846033559337347</v>
          </cell>
          <cell r="BR1752">
            <v>0.6418983551557943</v>
          </cell>
          <cell r="BS1752">
            <v>0.61854578307858898</v>
          </cell>
          <cell r="BT1752">
            <v>0.51127040696105408</v>
          </cell>
          <cell r="BU1752">
            <v>0.61636405593048893</v>
          </cell>
          <cell r="BV1752">
            <v>0.58786185394220403</v>
          </cell>
          <cell r="BY1752" t="str">
            <v>1000/0.5/3500</v>
          </cell>
          <cell r="BZ1752">
            <v>2.2238978424478528E-2</v>
          </cell>
          <cell r="CA1752">
            <v>2.1593585315002661E-2</v>
          </cell>
        </row>
        <row r="1753">
          <cell r="BN1753" t="str">
            <v>1750/0.7/7500</v>
          </cell>
          <cell r="BO1753">
            <v>0.63630374183115479</v>
          </cell>
          <cell r="BP1753">
            <v>0.69338426477654402</v>
          </cell>
          <cell r="BQ1753">
            <v>0.65178071287356798</v>
          </cell>
          <cell r="BR1753">
            <v>0.63415449883971065</v>
          </cell>
          <cell r="BS1753">
            <v>0.61046562854662467</v>
          </cell>
          <cell r="BT1753">
            <v>0.50352112884846068</v>
          </cell>
          <cell r="BU1753">
            <v>0.60667143354055719</v>
          </cell>
          <cell r="BV1753">
            <v>0.58292217750353925</v>
          </cell>
          <cell r="BY1753" t="str">
            <v>1000/0.5/3750</v>
          </cell>
          <cell r="BZ1753">
            <v>2.206115036458578E-2</v>
          </cell>
          <cell r="CA1753">
            <v>2.1383492444673413E-2</v>
          </cell>
        </row>
        <row r="1754">
          <cell r="BN1754" t="str">
            <v>1750/0.7/10000</v>
          </cell>
          <cell r="BO1754">
            <v>0.616109352028262</v>
          </cell>
          <cell r="BP1754">
            <v>0.68507604582926074</v>
          </cell>
          <cell r="BQ1754">
            <v>0.6319345496499903</v>
          </cell>
          <cell r="BR1754">
            <v>0.613255693630817</v>
          </cell>
          <cell r="BS1754">
            <v>0.58887102743627784</v>
          </cell>
          <cell r="BT1754">
            <v>0.48918593204726574</v>
          </cell>
          <cell r="BU1754">
            <v>0.58821198424522025</v>
          </cell>
          <cell r="BV1754">
            <v>0.5697253657219955</v>
          </cell>
          <cell r="BY1754" t="str">
            <v>1000/0.5/4000</v>
          </cell>
          <cell r="BZ1754">
            <v>2.1883322304693031E-2</v>
          </cell>
          <cell r="CA1754">
            <v>2.1173399574344165E-2</v>
          </cell>
        </row>
        <row r="1755">
          <cell r="BN1755" t="str">
            <v>1750/0.7/99999</v>
          </cell>
          <cell r="BO1755">
            <v>0.5161712137993919</v>
          </cell>
          <cell r="BP1755">
            <v>0.65279895356593776</v>
          </cell>
          <cell r="BQ1755">
            <v>0.53475275485760665</v>
          </cell>
          <cell r="BR1755">
            <v>0.50800950389638011</v>
          </cell>
          <cell r="BS1755">
            <v>0.49977374311496037</v>
          </cell>
          <cell r="BT1755">
            <v>0.43348950989789808</v>
          </cell>
          <cell r="BU1755">
            <v>0.5306251601466182</v>
          </cell>
          <cell r="BV1755">
            <v>0.52174199067354154</v>
          </cell>
          <cell r="BY1755" t="str">
            <v>1000/0.5/4250</v>
          </cell>
          <cell r="BZ1755">
            <v>2.1725242192064176E-2</v>
          </cell>
          <cell r="CA1755">
            <v>2.0988767266952979E-2</v>
          </cell>
        </row>
        <row r="1756">
          <cell r="BY1756" t="str">
            <v>1000/0.5/4500</v>
          </cell>
          <cell r="BZ1756">
            <v>2.156716207943532E-2</v>
          </cell>
          <cell r="CA1756">
            <v>2.0804134959561793E-2</v>
          </cell>
        </row>
        <row r="1757">
          <cell r="BN1757" t="str">
            <v>2000/0.7/2500</v>
          </cell>
          <cell r="BO1757">
            <v>0.76222991475134405</v>
          </cell>
          <cell r="BP1757">
            <v>0.77936480373105821</v>
          </cell>
          <cell r="BQ1757">
            <v>0.77966905299577804</v>
          </cell>
          <cell r="BR1757">
            <v>0.76307441622719563</v>
          </cell>
          <cell r="BS1757">
            <v>0.74451805323019948</v>
          </cell>
          <cell r="BT1757">
            <v>0.63811377668806357</v>
          </cell>
          <cell r="BU1757">
            <v>0.74509173279532648</v>
          </cell>
          <cell r="BV1757">
            <v>0.71798544138502807</v>
          </cell>
          <cell r="BY1757" t="str">
            <v>1000/0.5/4750</v>
          </cell>
          <cell r="BZ1757">
            <v>2.1421308412287399E-2</v>
          </cell>
          <cell r="CA1757">
            <v>2.0623720586743333E-2</v>
          </cell>
        </row>
        <row r="1758">
          <cell r="BN1758" t="str">
            <v>2000/0.7/2750</v>
          </cell>
          <cell r="BO1758">
            <v>0.74410421588988884</v>
          </cell>
          <cell r="BP1758">
            <v>0.76341714568804886</v>
          </cell>
          <cell r="BQ1758">
            <v>0.7622842158159564</v>
          </cell>
          <cell r="BR1758">
            <v>0.74492757537263499</v>
          </cell>
          <cell r="BS1758">
            <v>0.72426113864920227</v>
          </cell>
          <cell r="BT1758">
            <v>0.62141680459640158</v>
          </cell>
          <cell r="BU1758">
            <v>0.72778844716368385</v>
          </cell>
          <cell r="BV1758">
            <v>0.69869052085251626</v>
          </cell>
          <cell r="BY1758" t="str">
            <v>1000/0.5/5000</v>
          </cell>
          <cell r="BZ1758">
            <v>2.1275454745139477E-2</v>
          </cell>
          <cell r="CA1758">
            <v>2.0443306213924872E-2</v>
          </cell>
        </row>
        <row r="1759">
          <cell r="BN1759" t="str">
            <v>2000/0.7/3000</v>
          </cell>
          <cell r="BO1759">
            <v>0.72789799066901784</v>
          </cell>
          <cell r="BP1759">
            <v>0.74956133145748227</v>
          </cell>
          <cell r="BQ1759">
            <v>0.74652853263780572</v>
          </cell>
          <cell r="BR1759">
            <v>0.72865949742568725</v>
          </cell>
          <cell r="BS1759">
            <v>0.71073423406150449</v>
          </cell>
          <cell r="BT1759">
            <v>0.60644565329041289</v>
          </cell>
          <cell r="BU1759">
            <v>0.7128313375826637</v>
          </cell>
          <cell r="BV1759">
            <v>0.68196611903357618</v>
          </cell>
          <cell r="BY1759" t="str">
            <v>1000/0.5/5250</v>
          </cell>
          <cell r="BZ1759">
            <v>2.1141343715167626E-2</v>
          </cell>
          <cell r="CA1759">
            <v>2.0308280277222091E-2</v>
          </cell>
        </row>
        <row r="1760">
          <cell r="BN1760" t="str">
            <v>2000/0.7/3250</v>
          </cell>
          <cell r="BO1760">
            <v>0.7173350560143571</v>
          </cell>
          <cell r="BP1760">
            <v>0.73876372292537917</v>
          </cell>
          <cell r="BQ1760">
            <v>0.73369256211390455</v>
          </cell>
          <cell r="BR1760">
            <v>0.71790583315606693</v>
          </cell>
          <cell r="BS1760">
            <v>0.69873058232115626</v>
          </cell>
          <cell r="BT1760">
            <v>0.59441031351391116</v>
          </cell>
          <cell r="BU1760">
            <v>0.7003071924732589</v>
          </cell>
          <cell r="BV1760">
            <v>0.66791503623860882</v>
          </cell>
          <cell r="BY1760" t="str">
            <v>1000/0.5/5500</v>
          </cell>
          <cell r="BZ1760">
            <v>2.1007232685195776E-2</v>
          </cell>
          <cell r="CA1760">
            <v>2.0173254340519309E-2</v>
          </cell>
        </row>
        <row r="1761">
          <cell r="BN1761" t="str">
            <v>2000/0.7/3500</v>
          </cell>
          <cell r="BO1761">
            <v>0.70677212135969636</v>
          </cell>
          <cell r="BP1761">
            <v>0.72796611439327619</v>
          </cell>
          <cell r="BQ1761">
            <v>0.72085659159000337</v>
          </cell>
          <cell r="BR1761">
            <v>0.70715216888644661</v>
          </cell>
          <cell r="BS1761">
            <v>0.68672693058080814</v>
          </cell>
          <cell r="BT1761">
            <v>0.58237497373740943</v>
          </cell>
          <cell r="BU1761">
            <v>0.68778304736385421</v>
          </cell>
          <cell r="BV1761">
            <v>0.65386395344364157</v>
          </cell>
          <cell r="BY1761" t="str">
            <v>1000/0.5/5750</v>
          </cell>
          <cell r="BZ1761">
            <v>2.0882883804145824E-2</v>
          </cell>
          <cell r="CA1761">
            <v>2.0039143335396137E-2</v>
          </cell>
        </row>
        <row r="1762">
          <cell r="BN1762" t="str">
            <v>2000/0.7/3750</v>
          </cell>
          <cell r="BO1762">
            <v>0.6987727208868153</v>
          </cell>
          <cell r="BP1762">
            <v>0.72234418726398064</v>
          </cell>
          <cell r="BQ1762">
            <v>0.71301645524878821</v>
          </cell>
          <cell r="BR1762">
            <v>0.69907561865702439</v>
          </cell>
          <cell r="BS1762">
            <v>0.67766657734419367</v>
          </cell>
          <cell r="BT1762">
            <v>0.57262456372829296</v>
          </cell>
          <cell r="BU1762">
            <v>0.67771058685300911</v>
          </cell>
          <cell r="BV1762">
            <v>0.6420171995484939</v>
          </cell>
          <cell r="BY1762" t="str">
            <v>1000/0.5/6000</v>
          </cell>
          <cell r="BZ1762">
            <v>2.0758534923095873E-2</v>
          </cell>
          <cell r="CA1762">
            <v>1.9905032330272965E-2</v>
          </cell>
        </row>
        <row r="1763">
          <cell r="BN1763" t="str">
            <v>2000/0.7/4000</v>
          </cell>
          <cell r="BO1763">
            <v>0.69077332041393436</v>
          </cell>
          <cell r="BP1763">
            <v>0.71672226013468499</v>
          </cell>
          <cell r="BQ1763">
            <v>0.70517631890757304</v>
          </cell>
          <cell r="BR1763">
            <v>0.69099906842760206</v>
          </cell>
          <cell r="BS1763">
            <v>0.66860622410757919</v>
          </cell>
          <cell r="BT1763">
            <v>0.56287415371917648</v>
          </cell>
          <cell r="BU1763">
            <v>0.66763812634216413</v>
          </cell>
          <cell r="BV1763">
            <v>0.63017044565334623</v>
          </cell>
          <cell r="BY1763" t="str">
            <v>1000/0.5/6250</v>
          </cell>
          <cell r="BZ1763">
            <v>2.0636298781373519E-2</v>
          </cell>
          <cell r="CA1763">
            <v>1.9769594392464285E-2</v>
          </cell>
        </row>
        <row r="1764">
          <cell r="BN1764" t="str">
            <v>2000/0.7/4250</v>
          </cell>
          <cell r="BO1764">
            <v>0.68377955474391827</v>
          </cell>
          <cell r="BP1764">
            <v>0.71308820171820519</v>
          </cell>
          <cell r="BQ1764">
            <v>0.69821950432008284</v>
          </cell>
          <cell r="BR1764">
            <v>0.68400507044775227</v>
          </cell>
          <cell r="BS1764">
            <v>0.66109629326266051</v>
          </cell>
          <cell r="BT1764">
            <v>0.55506093166515813</v>
          </cell>
          <cell r="BU1764">
            <v>0.65917469014091856</v>
          </cell>
          <cell r="BV1764">
            <v>0.62189356099126014</v>
          </cell>
          <cell r="BY1764" t="str">
            <v>1000/0.5/6350</v>
          </cell>
          <cell r="BZ1764">
            <v>2.058729944246207E-2</v>
          </cell>
          <cell r="CA1764">
            <v>1.9717269989255604E-2</v>
          </cell>
        </row>
        <row r="1765">
          <cell r="BN1765" t="str">
            <v>2000/0.7/4500</v>
          </cell>
          <cell r="BO1765">
            <v>0.67678578907390219</v>
          </cell>
          <cell r="BP1765">
            <v>0.7094541433017254</v>
          </cell>
          <cell r="BQ1765">
            <v>0.69126268973259264</v>
          </cell>
          <cell r="BR1765">
            <v>0.6770110724679026</v>
          </cell>
          <cell r="BS1765">
            <v>0.65358636241774193</v>
          </cell>
          <cell r="BT1765">
            <v>0.54724770961113978</v>
          </cell>
          <cell r="BU1765">
            <v>0.650711253939673</v>
          </cell>
          <cell r="BV1765">
            <v>0.61361667632917405</v>
          </cell>
          <cell r="BY1765" t="str">
            <v>1000/0.5/6600</v>
          </cell>
          <cell r="BZ1765">
            <v>2.046453888962696E-2</v>
          </cell>
          <cell r="CA1765">
            <v>1.9589523531648556E-2</v>
          </cell>
        </row>
        <row r="1766">
          <cell r="BN1766" t="str">
            <v>2000/0.7/4750</v>
          </cell>
          <cell r="BO1766">
            <v>0.67160134424757567</v>
          </cell>
          <cell r="BP1766">
            <v>0.70671382045798481</v>
          </cell>
          <cell r="BQ1766">
            <v>0.68652055126418332</v>
          </cell>
          <cell r="BR1766">
            <v>0.67143662031128837</v>
          </cell>
          <cell r="BS1766">
            <v>0.64779866925265805</v>
          </cell>
          <cell r="BT1766">
            <v>0.54068653185988913</v>
          </cell>
          <cell r="BU1766">
            <v>0.6433770287303513</v>
          </cell>
          <cell r="BV1766">
            <v>0.60621674841337825</v>
          </cell>
          <cell r="BY1766" t="str">
            <v>1000/0.5/6850</v>
          </cell>
          <cell r="BZ1766">
            <v>2.0341403757425658E-2</v>
          </cell>
          <cell r="CA1766">
            <v>1.9483970707410148E-2</v>
          </cell>
        </row>
        <row r="1767">
          <cell r="BN1767" t="str">
            <v>2000/0.7/5000</v>
          </cell>
          <cell r="BO1767">
            <v>0.66641689942124915</v>
          </cell>
          <cell r="BP1767">
            <v>0.7039734976142441</v>
          </cell>
          <cell r="BQ1767">
            <v>0.681778412795774</v>
          </cell>
          <cell r="BR1767">
            <v>0.66586216815467414</v>
          </cell>
          <cell r="BS1767">
            <v>0.64201097608757407</v>
          </cell>
          <cell r="BT1767">
            <v>0.53412535410863848</v>
          </cell>
          <cell r="BU1767">
            <v>0.63604280352102971</v>
          </cell>
          <cell r="BV1767">
            <v>0.59881682049758256</v>
          </cell>
          <cell r="BY1767" t="str">
            <v>1000/0.5/7500</v>
          </cell>
          <cell r="BZ1767">
            <v>2.006966249069464E-2</v>
          </cell>
          <cell r="CA1767">
            <v>1.9233096725718601E-2</v>
          </cell>
        </row>
        <row r="1768">
          <cell r="BN1768" t="str">
            <v>2000/0.7/5250</v>
          </cell>
          <cell r="BO1768">
            <v>0.66179833950912759</v>
          </cell>
          <cell r="BP1768">
            <v>0.70173088418631313</v>
          </cell>
          <cell r="BQ1768">
            <v>0.67717512590781614</v>
          </cell>
          <cell r="BR1768">
            <v>0.66122192490977483</v>
          </cell>
          <cell r="BS1768">
            <v>0.63697830740386174</v>
          </cell>
          <cell r="BT1768">
            <v>0.52822648370408132</v>
          </cell>
          <cell r="BU1768">
            <v>0.63065074701798807</v>
          </cell>
          <cell r="BV1768">
            <v>0.59529866267795262</v>
          </cell>
          <cell r="BY1768" t="str">
            <v>1000/0.5/8000</v>
          </cell>
          <cell r="BZ1768">
            <v>1.9907999481965533E-2</v>
          </cell>
          <cell r="CA1768">
            <v>1.9050585943066078E-2</v>
          </cell>
        </row>
        <row r="1769">
          <cell r="BN1769" t="str">
            <v>2000/0.7/5500</v>
          </cell>
          <cell r="BO1769">
            <v>0.65717977959700591</v>
          </cell>
          <cell r="BP1769">
            <v>0.69948827075838216</v>
          </cell>
          <cell r="BQ1769">
            <v>0.67257183901985829</v>
          </cell>
          <cell r="BR1769">
            <v>0.65658168166487541</v>
          </cell>
          <cell r="BS1769">
            <v>0.63194563872014953</v>
          </cell>
          <cell r="BT1769">
            <v>0.52232761329952404</v>
          </cell>
          <cell r="BU1769">
            <v>0.62525869051494642</v>
          </cell>
          <cell r="BV1769">
            <v>0.59178050485832279</v>
          </cell>
          <cell r="BY1769" t="str">
            <v>1000/0.5/9000</v>
          </cell>
          <cell r="BZ1769">
            <v>1.9583889625152118E-2</v>
          </cell>
          <cell r="CA1769">
            <v>1.8726182865808072E-2</v>
          </cell>
        </row>
        <row r="1770">
          <cell r="BN1770" t="str">
            <v>2000/0.7/5750</v>
          </cell>
          <cell r="BO1770">
            <v>0.65261754996132293</v>
          </cell>
          <cell r="BP1770">
            <v>0.69734200758070353</v>
          </cell>
          <cell r="BQ1770">
            <v>0.66819268300798007</v>
          </cell>
          <cell r="BR1770">
            <v>0.65202267886297349</v>
          </cell>
          <cell r="BS1770">
            <v>0.62770218023972091</v>
          </cell>
          <cell r="BT1770">
            <v>0.5175354582275451</v>
          </cell>
          <cell r="BU1770">
            <v>0.62000929195328858</v>
          </cell>
          <cell r="BV1770">
            <v>0.58898092201581731</v>
          </cell>
          <cell r="BY1770" t="str">
            <v>1000/0.5/10000</v>
          </cell>
          <cell r="BZ1770">
            <v>1.925923083950809E-2</v>
          </cell>
          <cell r="CA1770">
            <v>1.8418987922672381E-2</v>
          </cell>
        </row>
        <row r="1771">
          <cell r="BN1771" t="str">
            <v>2000/0.7/6000</v>
          </cell>
          <cell r="BO1771">
            <v>0.64805532032563995</v>
          </cell>
          <cell r="BP1771">
            <v>0.6951957444030249</v>
          </cell>
          <cell r="BQ1771">
            <v>0.66381352699610174</v>
          </cell>
          <cell r="BR1771">
            <v>0.64746367606107169</v>
          </cell>
          <cell r="BS1771">
            <v>0.62345872175929229</v>
          </cell>
          <cell r="BT1771">
            <v>0.51274330315556627</v>
          </cell>
          <cell r="BU1771">
            <v>0.61475989339163073</v>
          </cell>
          <cell r="BV1771">
            <v>0.58618133917331194</v>
          </cell>
          <cell r="BY1771" t="str">
            <v>1000/0.5/99999</v>
          </cell>
          <cell r="BZ1771">
            <v>1.4567398159226252E-2</v>
          </cell>
          <cell r="CA1771">
            <v>1.4248992810824257E-2</v>
          </cell>
        </row>
        <row r="1772">
          <cell r="BN1772" t="str">
            <v>2000/0.7/6250</v>
          </cell>
          <cell r="BO1772">
            <v>0.64478719594937339</v>
          </cell>
          <cell r="BP1772">
            <v>0.69393935390686901</v>
          </cell>
          <cell r="BQ1772">
            <v>0.6608258783754698</v>
          </cell>
          <cell r="BR1772">
            <v>0.64336100499039972</v>
          </cell>
          <cell r="BS1772">
            <v>0.6195466136284008</v>
          </cell>
          <cell r="BT1772">
            <v>0.50856959080011777</v>
          </cell>
          <cell r="BU1772">
            <v>0.6095285803530448</v>
          </cell>
          <cell r="BV1772">
            <v>0.58389878500350278</v>
          </cell>
          <cell r="BY1772" t="str">
            <v>1250/0.5/1250</v>
          </cell>
          <cell r="BZ1772">
            <v>2.4586817015933571E-2</v>
          </cell>
          <cell r="CA1772">
            <v>2.444118258482586E-2</v>
          </cell>
        </row>
        <row r="1773">
          <cell r="BN1773" t="str">
            <v>2000/0.7/6350</v>
          </cell>
          <cell r="BO1773">
            <v>0.64359179514406195</v>
          </cell>
          <cell r="BP1773">
            <v>0.69343660921383732</v>
          </cell>
          <cell r="BQ1773">
            <v>0.65962953874185914</v>
          </cell>
          <cell r="BR1773">
            <v>0.64216658995365483</v>
          </cell>
          <cell r="BS1773">
            <v>0.6179915233756399</v>
          </cell>
          <cell r="BT1773">
            <v>0.50689865152255209</v>
          </cell>
          <cell r="BU1773">
            <v>0.60758027759278799</v>
          </cell>
          <cell r="BV1773">
            <v>0.58300902863310966</v>
          </cell>
          <cell r="BY1773" t="str">
            <v>1250/0.5/1500</v>
          </cell>
          <cell r="BZ1773">
            <v>2.4258236178642312E-2</v>
          </cell>
          <cell r="CA1773">
            <v>2.3906045871902482E-2</v>
          </cell>
        </row>
        <row r="1774">
          <cell r="BN1774" t="str">
            <v>2000/0.7/6600</v>
          </cell>
          <cell r="BO1774">
            <v>0.64060805912571328</v>
          </cell>
          <cell r="BP1774">
            <v>0.69217927624483877</v>
          </cell>
          <cell r="BQ1774">
            <v>0.65665497722332111</v>
          </cell>
          <cell r="BR1774">
            <v>0.63917754771494051</v>
          </cell>
          <cell r="BS1774">
            <v>0.61485062663996959</v>
          </cell>
          <cell r="BT1774">
            <v>0.50271766749017321</v>
          </cell>
          <cell r="BU1774">
            <v>0.60383909147674386</v>
          </cell>
          <cell r="BV1774">
            <v>0.58077008645742312</v>
          </cell>
          <cell r="BY1774" t="str">
            <v>1250/0.5/1750</v>
          </cell>
          <cell r="BZ1774">
            <v>2.3903441221198474E-2</v>
          </cell>
          <cell r="CA1774">
            <v>2.3479349485852841E-2</v>
          </cell>
        </row>
        <row r="1775">
          <cell r="BN1775" t="str">
            <v>2000/0.7/6850</v>
          </cell>
          <cell r="BO1775">
            <v>0.63763403717065459</v>
          </cell>
          <cell r="BP1775">
            <v>0.69092127008095161</v>
          </cell>
          <cell r="BQ1775">
            <v>0.65367955174629733</v>
          </cell>
          <cell r="BR1775">
            <v>0.6362005979873665</v>
          </cell>
          <cell r="BS1775">
            <v>0.61176865090386379</v>
          </cell>
          <cell r="BT1775">
            <v>0.49898678769989047</v>
          </cell>
          <cell r="BU1775">
            <v>0.60008986004957743</v>
          </cell>
          <cell r="BV1775">
            <v>0.57864674441920727</v>
          </cell>
          <cell r="BY1775" t="str">
            <v>1250/0.5/2000</v>
          </cell>
          <cell r="BZ1775">
            <v>2.3548646263754636E-2</v>
          </cell>
          <cell r="CA1775">
            <v>2.30526530998032E-2</v>
          </cell>
        </row>
        <row r="1776">
          <cell r="BN1776" t="str">
            <v>2000/0.7/7500</v>
          </cell>
          <cell r="BO1776">
            <v>0.62997631629428807</v>
          </cell>
          <cell r="BP1776">
            <v>0.68802220611237386</v>
          </cell>
          <cell r="BQ1776">
            <v>0.64648265609208688</v>
          </cell>
          <cell r="BR1776">
            <v>0.62846104048197404</v>
          </cell>
          <cell r="BS1776">
            <v>0.60363658501555739</v>
          </cell>
          <cell r="BT1776">
            <v>0.49502739406146462</v>
          </cell>
          <cell r="BU1776">
            <v>0.59318791486200728</v>
          </cell>
          <cell r="BV1776">
            <v>0.57362900380166137</v>
          </cell>
          <cell r="BY1776" t="str">
            <v>1250/0.5/2250</v>
          </cell>
          <cell r="BZ1776">
            <v>2.3255611326405523E-2</v>
          </cell>
          <cell r="CA1776">
            <v>2.2704492866748804E-2</v>
          </cell>
        </row>
        <row r="1777">
          <cell r="BN1777" t="str">
            <v>2000/0.7/10000</v>
          </cell>
          <cell r="BO1777">
            <v>0.60945235259654951</v>
          </cell>
          <cell r="BP1777">
            <v>0.67941774501116614</v>
          </cell>
          <cell r="BQ1777">
            <v>0.62630858881433071</v>
          </cell>
          <cell r="BR1777">
            <v>0.60671996521792237</v>
          </cell>
          <cell r="BS1777">
            <v>0.58116887496964342</v>
          </cell>
          <cell r="BT1777">
            <v>0.48237383547395335</v>
          </cell>
          <cell r="BU1777">
            <v>0.57936220281364081</v>
          </cell>
          <cell r="BV1777">
            <v>0.55981516618137661</v>
          </cell>
          <cell r="BY1777" t="str">
            <v>1250/0.5/2500</v>
          </cell>
          <cell r="BZ1777">
            <v>2.2987796123951076E-2</v>
          </cell>
          <cell r="CA1777">
            <v>2.238879613344591E-2</v>
          </cell>
        </row>
        <row r="1778">
          <cell r="BN1778" t="str">
            <v>2000/0.7/99999</v>
          </cell>
          <cell r="BO1778">
            <v>0.50825480329369133</v>
          </cell>
          <cell r="BP1778">
            <v>0.6466665722100452</v>
          </cell>
          <cell r="BQ1778">
            <v>0.52784371993481727</v>
          </cell>
          <cell r="BR1778">
            <v>0.50015527296975526</v>
          </cell>
          <cell r="BS1778">
            <v>0.49487623703444833</v>
          </cell>
          <cell r="BT1778">
            <v>0.42605592224781819</v>
          </cell>
          <cell r="BU1778">
            <v>0.52102340804021308</v>
          </cell>
          <cell r="BV1778">
            <v>0.5111871474654206</v>
          </cell>
          <cell r="BY1778" t="str">
            <v>1250/0.5/2750</v>
          </cell>
          <cell r="BZ1778">
            <v>2.2739920834888849E-2</v>
          </cell>
          <cell r="CA1778">
            <v>2.2101886324829234E-2</v>
          </cell>
        </row>
        <row r="1779">
          <cell r="BY1779" t="str">
            <v>1250/0.5/3000</v>
          </cell>
          <cell r="BZ1779">
            <v>2.2508800076919799E-2</v>
          </cell>
          <cell r="CA1779">
            <v>2.1834095095701E-2</v>
          </cell>
        </row>
        <row r="1780">
          <cell r="BN1780" t="str">
            <v>2250/0.7/3000</v>
          </cell>
          <cell r="BO1780">
            <v>0.7271727428907433</v>
          </cell>
          <cell r="BP1780">
            <v>0.7499659205011745</v>
          </cell>
          <cell r="BQ1780">
            <v>0.74670031983338592</v>
          </cell>
          <cell r="BR1780">
            <v>0.72807447306090733</v>
          </cell>
          <cell r="BS1780">
            <v>0.71025208540108009</v>
          </cell>
          <cell r="BT1780">
            <v>0.60267693054128824</v>
          </cell>
          <cell r="BU1780">
            <v>0.70649997536897613</v>
          </cell>
          <cell r="BV1780">
            <v>0.67498382061833828</v>
          </cell>
          <cell r="BY1780" t="str">
            <v>1250/0.5/3250</v>
          </cell>
          <cell r="BZ1780">
            <v>2.2305782247244332E-2</v>
          </cell>
          <cell r="CA1780">
            <v>2.1595634093895755E-2</v>
          </cell>
        </row>
        <row r="1781">
          <cell r="BN1781" t="str">
            <v>2250/0.7/3250</v>
          </cell>
          <cell r="BO1781">
            <v>0.71599999999999997</v>
          </cell>
          <cell r="BP1781">
            <v>0.73838197461200061</v>
          </cell>
          <cell r="BQ1781">
            <v>0.73355552134506585</v>
          </cell>
          <cell r="BR1781">
            <v>0.71710402954053054</v>
          </cell>
          <cell r="BS1781">
            <v>0.69799114402059681</v>
          </cell>
          <cell r="BT1781">
            <v>0.58961193281996271</v>
          </cell>
          <cell r="BU1781">
            <v>0.69280575739894101</v>
          </cell>
          <cell r="BV1781">
            <v>0.65963890435131289</v>
          </cell>
          <cell r="BY1781" t="str">
            <v>1250/0.5/3500</v>
          </cell>
          <cell r="BZ1781">
            <v>2.2102764417568865E-2</v>
          </cell>
          <cell r="CA1781">
            <v>2.1357173092090509E-2</v>
          </cell>
        </row>
        <row r="1782">
          <cell r="BN1782" t="str">
            <v>2250/0.7/3500</v>
          </cell>
          <cell r="BO1782">
            <v>0.70560017794165808</v>
          </cell>
          <cell r="BP1782">
            <v>0.72679802872282662</v>
          </cell>
          <cell r="BQ1782">
            <v>0.72041072285674579</v>
          </cell>
          <cell r="BR1782">
            <v>0.70613358602015375</v>
          </cell>
          <cell r="BS1782">
            <v>0.68573020264011375</v>
          </cell>
          <cell r="BT1782">
            <v>0.5765469350986373</v>
          </cell>
          <cell r="BU1782">
            <v>0.67911153942890601</v>
          </cell>
          <cell r="BV1782">
            <v>0.64429398808428773</v>
          </cell>
          <cell r="BY1782" t="str">
            <v>1250/0.5/3750</v>
          </cell>
          <cell r="BZ1782">
            <v>2.1920464660882488E-2</v>
          </cell>
          <cell r="CA1782">
            <v>2.1141760178103652E-2</v>
          </cell>
        </row>
        <row r="1783">
          <cell r="BN1783" t="str">
            <v>2250/0.7/3750</v>
          </cell>
          <cell r="BO1783">
            <v>0.69701010591357049</v>
          </cell>
          <cell r="BP1783">
            <v>0.72062240779947595</v>
          </cell>
          <cell r="BQ1783">
            <v>0.7120261896247817</v>
          </cell>
          <cell r="BR1783">
            <v>0.69746917495972049</v>
          </cell>
          <cell r="BS1783">
            <v>0.67562141502424566</v>
          </cell>
          <cell r="BT1783">
            <v>0.56617897801184525</v>
          </cell>
          <cell r="BU1783">
            <v>0.66821167828938766</v>
          </cell>
          <cell r="BV1783">
            <v>0.63174495932925345</v>
          </cell>
          <cell r="BY1783" t="str">
            <v>1250/0.5/4000</v>
          </cell>
          <cell r="BZ1783">
            <v>2.1738164904196111E-2</v>
          </cell>
          <cell r="CA1783">
            <v>2.0926347264116796E-2</v>
          </cell>
        </row>
        <row r="1784">
          <cell r="BN1784" t="str">
            <v>2250/0.7/4000</v>
          </cell>
          <cell r="BO1784">
            <v>0.68842003388548301</v>
          </cell>
          <cell r="BP1784">
            <v>0.71444678687612506</v>
          </cell>
          <cell r="BQ1784">
            <v>0.70364165639281762</v>
          </cell>
          <cell r="BR1784">
            <v>0.68880476389928713</v>
          </cell>
          <cell r="BS1784">
            <v>0.66551262740837758</v>
          </cell>
          <cell r="BT1784">
            <v>0.55581102092505319</v>
          </cell>
          <cell r="BU1784">
            <v>0.6573118171498693</v>
          </cell>
          <cell r="BV1784">
            <v>0.61919593057421929</v>
          </cell>
          <cell r="BY1784" t="str">
            <v>1250/0.5/4250</v>
          </cell>
          <cell r="BZ1784">
            <v>2.1574708698077094E-2</v>
          </cell>
          <cell r="CA1784">
            <v>2.0736620975450482E-2</v>
          </cell>
        </row>
        <row r="1785">
          <cell r="BN1785" t="str">
            <v>2250/0.7/4250</v>
          </cell>
          <cell r="BO1785">
            <v>0.68145669227185712</v>
          </cell>
          <cell r="BP1785">
            <v>0.71064672146794561</v>
          </cell>
          <cell r="BQ1785">
            <v>0.6967465595026221</v>
          </cell>
          <cell r="BR1785">
            <v>0.68181340789197731</v>
          </cell>
          <cell r="BS1785">
            <v>0.65801022751400939</v>
          </cell>
          <cell r="BT1785">
            <v>0.5477004021356171</v>
          </cell>
          <cell r="BU1785">
            <v>0.64829499761177634</v>
          </cell>
          <cell r="BV1785">
            <v>0.61079249016984449</v>
          </cell>
          <cell r="BY1785" t="str">
            <v>1250/0.5/4500</v>
          </cell>
          <cell r="BZ1785">
            <v>2.1411252491958077E-2</v>
          </cell>
          <cell r="CA1785">
            <v>2.0546894686784167E-2</v>
          </cell>
        </row>
        <row r="1786">
          <cell r="BN1786" t="str">
            <v>2250/0.7/4500</v>
          </cell>
          <cell r="BO1786">
            <v>0.67449335065823124</v>
          </cell>
          <cell r="BP1786">
            <v>0.70684665605976615</v>
          </cell>
          <cell r="BQ1786">
            <v>0.68985146261242669</v>
          </cell>
          <cell r="BR1786">
            <v>0.67482205188466748</v>
          </cell>
          <cell r="BS1786">
            <v>0.65050782761964132</v>
          </cell>
          <cell r="BT1786">
            <v>0.53958978334618102</v>
          </cell>
          <cell r="BU1786">
            <v>0.63927817807368337</v>
          </cell>
          <cell r="BV1786">
            <v>0.60238904976546981</v>
          </cell>
          <cell r="BY1786" t="str">
            <v>1250/0.5/4750</v>
          </cell>
          <cell r="BZ1786">
            <v>2.1262084058363273E-2</v>
          </cell>
          <cell r="CA1786">
            <v>2.0362512296935753E-2</v>
          </cell>
        </row>
        <row r="1787">
          <cell r="BN1787" t="str">
            <v>2250/0.7/4750</v>
          </cell>
          <cell r="BO1787">
            <v>0.66848705393137431</v>
          </cell>
          <cell r="BP1787">
            <v>0.70377132016561073</v>
          </cell>
          <cell r="BQ1787">
            <v>0.68430927604365466</v>
          </cell>
          <cell r="BR1787">
            <v>0.66853958589617957</v>
          </cell>
          <cell r="BS1787">
            <v>0.64391388055815391</v>
          </cell>
          <cell r="BT1787">
            <v>0.53256666813705533</v>
          </cell>
          <cell r="BU1787">
            <v>0.63152966431680424</v>
          </cell>
          <cell r="BV1787">
            <v>0.59662415096959953</v>
          </cell>
          <cell r="BY1787" t="str">
            <v>1250/0.5/5000</v>
          </cell>
          <cell r="BZ1787">
            <v>2.1112915624768469E-2</v>
          </cell>
          <cell r="CA1787">
            <v>2.0178129907087339E-2</v>
          </cell>
        </row>
        <row r="1788">
          <cell r="BN1788" t="str">
            <v>2250/0.7/5000</v>
          </cell>
          <cell r="BO1788">
            <v>0.66248075720451727</v>
          </cell>
          <cell r="BP1788">
            <v>0.7006959842714553</v>
          </cell>
          <cell r="BQ1788">
            <v>0.67876708947488273</v>
          </cell>
          <cell r="BR1788">
            <v>0.66225711990769176</v>
          </cell>
          <cell r="BS1788">
            <v>0.63731993349666638</v>
          </cell>
          <cell r="BT1788">
            <v>0.52554355292792954</v>
          </cell>
          <cell r="BU1788">
            <v>0.62378115055992533</v>
          </cell>
          <cell r="BV1788">
            <v>0.59085925217372937</v>
          </cell>
          <cell r="BY1788" t="str">
            <v>1250/0.5/5250</v>
          </cell>
          <cell r="BZ1788">
            <v>2.0976256424293682E-2</v>
          </cell>
          <cell r="CA1788">
            <v>2.0034045919876564E-2</v>
          </cell>
        </row>
        <row r="1789">
          <cell r="BN1789" t="str">
            <v>2250/0.7/5250</v>
          </cell>
          <cell r="BO1789">
            <v>0.65780484724255195</v>
          </cell>
          <cell r="BP1789">
            <v>0.69824705625898242</v>
          </cell>
          <cell r="BQ1789">
            <v>0.67409110896680757</v>
          </cell>
          <cell r="BR1789">
            <v>0.65746935542657636</v>
          </cell>
          <cell r="BS1789">
            <v>0.63218601947663822</v>
          </cell>
          <cell r="BT1789">
            <v>0.51930875465639192</v>
          </cell>
          <cell r="BU1789">
            <v>0.61776665718047874</v>
          </cell>
          <cell r="BV1789">
            <v>0.58738593972025244</v>
          </cell>
          <cell r="BY1789" t="str">
            <v>1250/0.5/5500</v>
          </cell>
          <cell r="BZ1789">
            <v>2.0839597223818895E-2</v>
          </cell>
          <cell r="CA1789">
            <v>1.9889961932665789E-2</v>
          </cell>
        </row>
        <row r="1790">
          <cell r="BN1790" t="str">
            <v>2250/0.7/5500</v>
          </cell>
          <cell r="BO1790">
            <v>0.65312893728058663</v>
          </cell>
          <cell r="BP1790">
            <v>0.69579812824650966</v>
          </cell>
          <cell r="BQ1790">
            <v>0.66941512845873263</v>
          </cell>
          <cell r="BR1790">
            <v>0.65268159094546097</v>
          </cell>
          <cell r="BS1790">
            <v>0.62705210545661028</v>
          </cell>
          <cell r="BT1790">
            <v>0.51307395638485442</v>
          </cell>
          <cell r="BU1790">
            <v>0.61175216380103226</v>
          </cell>
          <cell r="BV1790">
            <v>0.58391262726677551</v>
          </cell>
          <cell r="BY1790" t="str">
            <v>1250/0.5/5750</v>
          </cell>
          <cell r="BZ1790">
            <v>2.071290350107502E-2</v>
          </cell>
          <cell r="CA1790">
            <v>1.9755980974635046E-2</v>
          </cell>
        </row>
        <row r="1791">
          <cell r="BN1791" t="str">
            <v>2250/0.7/5750</v>
          </cell>
          <cell r="BO1791">
            <v>0.64855626622604379</v>
          </cell>
          <cell r="BP1791">
            <v>0.69363294744820037</v>
          </cell>
          <cell r="BQ1791">
            <v>0.66494172548581976</v>
          </cell>
          <cell r="BR1791">
            <v>0.64809897616514012</v>
          </cell>
          <cell r="BS1791">
            <v>0.62253089290009356</v>
          </cell>
          <cell r="BT1791">
            <v>0.50877080190006629</v>
          </cell>
          <cell r="BU1791">
            <v>0.60749230349181738</v>
          </cell>
          <cell r="BV1791">
            <v>0.58107709343181846</v>
          </cell>
          <cell r="BY1791" t="str">
            <v>1250/0.5/6000</v>
          </cell>
          <cell r="BZ1791">
            <v>2.0586209778331144E-2</v>
          </cell>
          <cell r="CA1791">
            <v>1.9622000016604302E-2</v>
          </cell>
        </row>
        <row r="1792">
          <cell r="BN1792" t="str">
            <v>2250/0.7/6000</v>
          </cell>
          <cell r="BO1792">
            <v>0.64398359517150094</v>
          </cell>
          <cell r="BP1792">
            <v>0.69146776664989118</v>
          </cell>
          <cell r="BQ1792">
            <v>0.66046832251290688</v>
          </cell>
          <cell r="BR1792">
            <v>0.64351636138481938</v>
          </cell>
          <cell r="BS1792">
            <v>0.61800968034357684</v>
          </cell>
          <cell r="BT1792">
            <v>0.50446764741527828</v>
          </cell>
          <cell r="BU1792">
            <v>0.60323244318260238</v>
          </cell>
          <cell r="BV1792">
            <v>0.57824155959686152</v>
          </cell>
          <cell r="BY1792" t="str">
            <v>1250/0.5/6250</v>
          </cell>
          <cell r="BZ1792">
            <v>2.0464163078240061E-2</v>
          </cell>
          <cell r="CA1792">
            <v>1.948727056427968E-2</v>
          </cell>
        </row>
        <row r="1793">
          <cell r="BN1793" t="str">
            <v>2250/0.7/6250</v>
          </cell>
          <cell r="BO1793">
            <v>0.6400705220302142</v>
          </cell>
          <cell r="BP1793">
            <v>0.68974772300843479</v>
          </cell>
          <cell r="BQ1793">
            <v>0.65669109528938496</v>
          </cell>
          <cell r="BR1793">
            <v>0.63918757240013546</v>
          </cell>
          <cell r="BS1793">
            <v>0.61393407331722383</v>
          </cell>
          <cell r="BT1793">
            <v>0.50115391522881614</v>
          </cell>
          <cell r="BU1793">
            <v>0.5992858085689623</v>
          </cell>
          <cell r="BV1793">
            <v>0.57564748764964846</v>
          </cell>
          <cell r="BY1793" t="str">
            <v>1250/0.5/6350</v>
          </cell>
          <cell r="BZ1793">
            <v>2.0415239343013702E-2</v>
          </cell>
          <cell r="CA1793">
            <v>1.9433011498429131E-2</v>
          </cell>
        </row>
        <row r="1794">
          <cell r="BN1794" t="str">
            <v>2250/0.7/6350</v>
          </cell>
          <cell r="BO1794">
            <v>0.63856074912753369</v>
          </cell>
          <cell r="BP1794">
            <v>0.68909162312216077</v>
          </cell>
          <cell r="BQ1794">
            <v>0.65536227122161972</v>
          </cell>
          <cell r="BR1794">
            <v>0.63767894401277958</v>
          </cell>
          <cell r="BS1794">
            <v>0.61230545055189745</v>
          </cell>
          <cell r="BT1794">
            <v>0.49984049617298043</v>
          </cell>
          <cell r="BU1794">
            <v>0.59777845678782504</v>
          </cell>
          <cell r="BV1794">
            <v>0.57471310615901294</v>
          </cell>
          <cell r="BY1794" t="str">
            <v>1250/0.5/6600</v>
          </cell>
          <cell r="BZ1794">
            <v>2.0292667366974104E-2</v>
          </cell>
          <cell r="CA1794">
            <v>1.9302948765336003E-2</v>
          </cell>
        </row>
        <row r="1795">
          <cell r="BN1795" t="str">
            <v>2250/0.7/6600</v>
          </cell>
          <cell r="BO1795">
            <v>0.63532185004250474</v>
          </cell>
          <cell r="BP1795">
            <v>0.6877184209832532</v>
          </cell>
          <cell r="BQ1795">
            <v>0.65226844058792721</v>
          </cell>
          <cell r="BR1795">
            <v>0.6340249765655871</v>
          </cell>
          <cell r="BS1795">
            <v>0.60867104055522847</v>
          </cell>
          <cell r="BT1795">
            <v>0.49660683452470589</v>
          </cell>
          <cell r="BU1795">
            <v>0.59457283981910725</v>
          </cell>
          <cell r="BV1795">
            <v>0.5724461913105765</v>
          </cell>
          <cell r="BY1795" t="str">
            <v>1250/0.5/6850</v>
          </cell>
          <cell r="BZ1795">
            <v>2.0169720193828233E-2</v>
          </cell>
          <cell r="CA1795">
            <v>1.9184585203907645E-2</v>
          </cell>
        </row>
        <row r="1796">
          <cell r="BN1796" t="str">
            <v>2250/0.7/6850</v>
          </cell>
          <cell r="BO1796">
            <v>0.6323400038183804</v>
          </cell>
          <cell r="BP1796">
            <v>0.68646089884432115</v>
          </cell>
          <cell r="BQ1796">
            <v>0.64928960087598875</v>
          </cell>
          <cell r="BR1796">
            <v>0.63104290891384718</v>
          </cell>
          <cell r="BS1796">
            <v>0.60538591064440195</v>
          </cell>
          <cell r="BT1796">
            <v>0.49367495942223549</v>
          </cell>
          <cell r="BU1796">
            <v>0.59161459470725108</v>
          </cell>
          <cell r="BV1796">
            <v>0.57026928867029225</v>
          </cell>
          <cell r="BY1796" t="str">
            <v>1250/0.5/7500</v>
          </cell>
          <cell r="BZ1796">
            <v>1.987600806178369E-2</v>
          </cell>
          <cell r="CA1796">
            <v>1.8928289055861303E-2</v>
          </cell>
        </row>
        <row r="1797">
          <cell r="BN1797" t="str">
            <v>2250/0.7/7500</v>
          </cell>
          <cell r="BO1797">
            <v>0.62464321976197201</v>
          </cell>
          <cell r="BP1797">
            <v>0.68337561402752478</v>
          </cell>
          <cell r="BQ1797">
            <v>0.64182194451549179</v>
          </cell>
          <cell r="BR1797">
            <v>0.62330132511823577</v>
          </cell>
          <cell r="BS1797">
            <v>0.59730260251775613</v>
          </cell>
          <cell r="BT1797">
            <v>0.48934376387914813</v>
          </cell>
          <cell r="BU1797">
            <v>0.58568157647575025</v>
          </cell>
          <cell r="BV1797">
            <v>0.56506850568825517</v>
          </cell>
          <cell r="BY1797" t="str">
            <v>1250/0.5/8000</v>
          </cell>
          <cell r="BZ1797">
            <v>1.9713460192445131E-2</v>
          </cell>
          <cell r="CA1797">
            <v>1.8746134505328138E-2</v>
          </cell>
        </row>
        <row r="1798">
          <cell r="BN1798" t="str">
            <v>2250/0.7/10000</v>
          </cell>
          <cell r="BO1798">
            <v>0.60332829581685987</v>
          </cell>
          <cell r="BP1798">
            <v>0.674435705833768</v>
          </cell>
          <cell r="BQ1798">
            <v>0.62108162251724608</v>
          </cell>
          <cell r="BR1798">
            <v>0.60072520130344442</v>
          </cell>
          <cell r="BS1798">
            <v>0.57388403800161059</v>
          </cell>
          <cell r="BT1798">
            <v>0.47638427183662191</v>
          </cell>
          <cell r="BU1798">
            <v>0.57131807461047091</v>
          </cell>
          <cell r="BV1798">
            <v>0.55064284210542191</v>
          </cell>
          <cell r="BY1798" t="str">
            <v>1250/0.5/9000</v>
          </cell>
          <cell r="BZ1798">
            <v>1.9389478383102565E-2</v>
          </cell>
          <cell r="CA1798">
            <v>1.8414614734436618E-2</v>
          </cell>
        </row>
        <row r="1799">
          <cell r="BN1799" t="str">
            <v>2250/0.7/99999</v>
          </cell>
          <cell r="BO1799">
            <v>0.50228293035948646</v>
          </cell>
          <cell r="BP1799">
            <v>0.64121543544785053</v>
          </cell>
          <cell r="BQ1799">
            <v>0.5213564951547085</v>
          </cell>
          <cell r="BR1799">
            <v>0.49620220915545593</v>
          </cell>
          <cell r="BS1799">
            <v>0.49046901943942783</v>
          </cell>
          <cell r="BT1799">
            <v>0.41932532898459873</v>
          </cell>
          <cell r="BU1799">
            <v>0.51223657642848575</v>
          </cell>
          <cell r="BV1799">
            <v>0.50128528671895511</v>
          </cell>
          <cell r="BY1799" t="str">
            <v>1250/0.5/10000</v>
          </cell>
          <cell r="BZ1799">
            <v>1.9064672144676553E-2</v>
          </cell>
          <cell r="CA1799">
            <v>1.8107295774854038E-2</v>
          </cell>
        </row>
        <row r="1800">
          <cell r="BY1800" t="str">
            <v>1250/0.5/99999</v>
          </cell>
          <cell r="BZ1800">
            <v>1.4325628760217368E-2</v>
          </cell>
          <cell r="CA1800">
            <v>1.3911410500745625E-2</v>
          </cell>
        </row>
        <row r="1801">
          <cell r="BN1801" t="str">
            <v>2500/0.7/3000</v>
          </cell>
          <cell r="BO1801">
            <v>0.72644749511246876</v>
          </cell>
          <cell r="BP1801">
            <v>0.75037050954486673</v>
          </cell>
          <cell r="BQ1801">
            <v>0.74687210702896611</v>
          </cell>
          <cell r="BR1801">
            <v>0.72748944869612742</v>
          </cell>
          <cell r="BS1801">
            <v>0.70976993674065569</v>
          </cell>
          <cell r="BT1801">
            <v>0.59890820779216347</v>
          </cell>
          <cell r="BU1801">
            <v>0.70016861315528856</v>
          </cell>
          <cell r="BV1801">
            <v>0.66800152220310038</v>
          </cell>
          <cell r="BY1801" t="str">
            <v>1500/0.5/1500</v>
          </cell>
          <cell r="BZ1801">
            <v>2.4138937304541308E-2</v>
          </cell>
          <cell r="CA1801">
            <v>2.3880778692960014E-2</v>
          </cell>
        </row>
        <row r="1802">
          <cell r="BN1802" t="str">
            <v>2500/0.7/3250</v>
          </cell>
          <cell r="BO1802">
            <v>0.71543786481804428</v>
          </cell>
          <cell r="BP1802">
            <v>0.73800022629862194</v>
          </cell>
          <cell r="BQ1802">
            <v>0.73341848057622716</v>
          </cell>
          <cell r="BR1802">
            <v>0.71630222592499415</v>
          </cell>
          <cell r="BS1802">
            <v>0.69725170572003747</v>
          </cell>
          <cell r="BT1802">
            <v>0.58481355212601427</v>
          </cell>
          <cell r="BU1802">
            <v>0.68530432232462313</v>
          </cell>
          <cell r="BV1802">
            <v>0.65136277246401708</v>
          </cell>
          <cell r="BY1802" t="str">
            <v>1500/0.5/1750</v>
          </cell>
          <cell r="BZ1802">
            <v>2.3817185234018989E-2</v>
          </cell>
          <cell r="CA1802">
            <v>2.3411955845927701E-2</v>
          </cell>
        </row>
        <row r="1803">
          <cell r="BN1803" t="str">
            <v>2500/0.7/3500</v>
          </cell>
          <cell r="BO1803">
            <v>0.7044282345236198</v>
          </cell>
          <cell r="BP1803">
            <v>0.72562994305237716</v>
          </cell>
          <cell r="BQ1803">
            <v>0.7199648541234881</v>
          </cell>
          <cell r="BR1803">
            <v>0.70511500315386089</v>
          </cell>
          <cell r="BS1803">
            <v>0.68473347469941925</v>
          </cell>
          <cell r="BT1803">
            <v>0.57071889645986518</v>
          </cell>
          <cell r="BU1803">
            <v>0.67044003149395781</v>
          </cell>
          <cell r="BV1803">
            <v>0.63472402272493378</v>
          </cell>
          <cell r="BY1803" t="str">
            <v>1500/0.5/2000</v>
          </cell>
          <cell r="BZ1803">
            <v>2.3495433163496671E-2</v>
          </cell>
          <cell r="CA1803">
            <v>2.2943132998895388E-2</v>
          </cell>
        </row>
        <row r="1804">
          <cell r="BN1804" t="str">
            <v>2500/0.7/3750</v>
          </cell>
          <cell r="BO1804">
            <v>0.69524749094032567</v>
          </cell>
          <cell r="BP1804">
            <v>0.71890062833497126</v>
          </cell>
          <cell r="BQ1804">
            <v>0.71103592400077509</v>
          </cell>
          <cell r="BR1804">
            <v>0.6958627312624166</v>
          </cell>
          <cell r="BS1804">
            <v>0.67357625270429766</v>
          </cell>
          <cell r="BT1804">
            <v>0.55973339229539754</v>
          </cell>
          <cell r="BU1804">
            <v>0.6587127697257662</v>
          </cell>
          <cell r="BV1804">
            <v>0.62147271911001312</v>
          </cell>
          <cell r="BY1804" t="str">
            <v>1500/0.5/2250</v>
          </cell>
          <cell r="BZ1804">
            <v>2.3187680923910214E-2</v>
          </cell>
          <cell r="CA1804">
            <v>2.2570907224194858E-2</v>
          </cell>
        </row>
        <row r="1805">
          <cell r="BN1805" t="str">
            <v>2500/0.7/4000</v>
          </cell>
          <cell r="BO1805">
            <v>0.68606674735703166</v>
          </cell>
          <cell r="BP1805">
            <v>0.71217131361756525</v>
          </cell>
          <cell r="BQ1805">
            <v>0.70210699387806219</v>
          </cell>
          <cell r="BR1805">
            <v>0.68661045937097231</v>
          </cell>
          <cell r="BS1805">
            <v>0.66241903070917596</v>
          </cell>
          <cell r="BT1805">
            <v>0.5487478881309299</v>
          </cell>
          <cell r="BU1805">
            <v>0.64698550795757459</v>
          </cell>
          <cell r="BV1805">
            <v>0.60822141549509234</v>
          </cell>
          <cell r="BY1805" t="str">
            <v>1500/0.5/2500</v>
          </cell>
          <cell r="BZ1805">
            <v>2.2908344090837751E-2</v>
          </cell>
          <cell r="CA1805">
            <v>2.2234535991345838E-2</v>
          </cell>
        </row>
        <row r="1806">
          <cell r="BN1806" t="str">
            <v>2500/0.7/4250</v>
          </cell>
          <cell r="BO1806">
            <v>0.67913382979979597</v>
          </cell>
          <cell r="BP1806">
            <v>0.70820524121768602</v>
          </cell>
          <cell r="BQ1806">
            <v>0.69527361468516147</v>
          </cell>
          <cell r="BR1806">
            <v>0.67962174533620234</v>
          </cell>
          <cell r="BS1806">
            <v>0.65492416176535828</v>
          </cell>
          <cell r="BT1806">
            <v>0.54033987260607608</v>
          </cell>
          <cell r="BU1806">
            <v>0.63741530508263411</v>
          </cell>
          <cell r="BV1806">
            <v>0.59969141934842884</v>
          </cell>
          <cell r="BY1806" t="str">
            <v>1500/0.5/2750</v>
          </cell>
          <cell r="BZ1806">
            <v>2.2651199888598095E-2</v>
          </cell>
          <cell r="CA1806">
            <v>2.1932307732393408E-2</v>
          </cell>
        </row>
        <row r="1807">
          <cell r="BN1807" t="str">
            <v>2500/0.7/4500</v>
          </cell>
          <cell r="BO1807">
            <v>0.67220091224256029</v>
          </cell>
          <cell r="BP1807">
            <v>0.70423916881780679</v>
          </cell>
          <cell r="BQ1807">
            <v>0.68844023549226074</v>
          </cell>
          <cell r="BR1807">
            <v>0.67263303130143226</v>
          </cell>
          <cell r="BS1807">
            <v>0.64742929282154071</v>
          </cell>
          <cell r="BT1807">
            <v>0.53193185708122226</v>
          </cell>
          <cell r="BU1807">
            <v>0.62784510220769363</v>
          </cell>
          <cell r="BV1807">
            <v>0.59116142320176546</v>
          </cell>
          <cell r="BY1807" t="str">
            <v>1500/0.5/3000</v>
          </cell>
          <cell r="BZ1807">
            <v>2.2411701836071218E-2</v>
          </cell>
          <cell r="CA1807">
            <v>2.1652473822901586E-2</v>
          </cell>
        </row>
        <row r="1808">
          <cell r="BN1808" t="str">
            <v>2500/0.7/4750</v>
          </cell>
          <cell r="BO1808">
            <v>0.66537276361517295</v>
          </cell>
          <cell r="BP1808">
            <v>0.70082881987323664</v>
          </cell>
          <cell r="BQ1808">
            <v>0.6820980008231261</v>
          </cell>
          <cell r="BR1808">
            <v>0.66564255148107088</v>
          </cell>
          <cell r="BS1808">
            <v>0.64002909186364965</v>
          </cell>
          <cell r="BT1808">
            <v>0.52444680441422142</v>
          </cell>
          <cell r="BU1808">
            <v>0.61968229990325729</v>
          </cell>
          <cell r="BV1808">
            <v>0.58703155352582082</v>
          </cell>
          <cell r="BY1808" t="str">
            <v>1500/0.5/3250</v>
          </cell>
          <cell r="BZ1808">
            <v>2.2200071505905417E-2</v>
          </cell>
          <cell r="CA1808">
            <v>2.1404458726538067E-2</v>
          </cell>
        </row>
        <row r="1809">
          <cell r="BN1809" t="str">
            <v>2500/0.7/5000</v>
          </cell>
          <cell r="BO1809">
            <v>0.65854461498778549</v>
          </cell>
          <cell r="BP1809">
            <v>0.69741847092866649</v>
          </cell>
          <cell r="BQ1809">
            <v>0.67575576615399136</v>
          </cell>
          <cell r="BR1809">
            <v>0.65865207166070938</v>
          </cell>
          <cell r="BS1809">
            <v>0.63262889090575858</v>
          </cell>
          <cell r="BT1809">
            <v>0.51696175174722048</v>
          </cell>
          <cell r="BU1809">
            <v>0.61151949759882096</v>
          </cell>
          <cell r="BV1809">
            <v>0.58290168384987617</v>
          </cell>
          <cell r="BY1809" t="str">
            <v>1500/0.5/3500</v>
          </cell>
          <cell r="BZ1809">
            <v>2.1988441175739615E-2</v>
          </cell>
          <cell r="CA1809">
            <v>2.1156443630174548E-2</v>
          </cell>
        </row>
        <row r="1810">
          <cell r="BN1810" t="str">
            <v>2500/0.7/5250</v>
          </cell>
          <cell r="BO1810">
            <v>0.65381135497597642</v>
          </cell>
          <cell r="BP1810">
            <v>0.69476322833165183</v>
          </cell>
          <cell r="BQ1810">
            <v>0.67100709202579911</v>
          </cell>
          <cell r="BR1810">
            <v>0.6537167859433779</v>
          </cell>
          <cell r="BS1810">
            <v>0.6273937315494148</v>
          </cell>
          <cell r="BT1810">
            <v>0.51039102560870264</v>
          </cell>
          <cell r="BU1810">
            <v>0.60488256734296952</v>
          </cell>
          <cell r="BV1810">
            <v>0.57947321676255226</v>
          </cell>
          <cell r="BY1810" t="str">
            <v>1500/0.5/3750</v>
          </cell>
          <cell r="BZ1810">
            <v>2.1801164879130419E-2</v>
          </cell>
          <cell r="CA1810">
            <v>2.0934993660952861E-2</v>
          </cell>
        </row>
        <row r="1811">
          <cell r="BN1811" t="str">
            <v>2500/0.7/5500</v>
          </cell>
          <cell r="BO1811">
            <v>0.64907809496416735</v>
          </cell>
          <cell r="BP1811">
            <v>0.69210798573463717</v>
          </cell>
          <cell r="BQ1811">
            <v>0.66625841789760687</v>
          </cell>
          <cell r="BR1811">
            <v>0.64878150022604653</v>
          </cell>
          <cell r="BS1811">
            <v>0.62215857219307102</v>
          </cell>
          <cell r="BT1811">
            <v>0.50382029947018481</v>
          </cell>
          <cell r="BU1811">
            <v>0.59824563708711809</v>
          </cell>
          <cell r="BV1811">
            <v>0.57604474967522823</v>
          </cell>
          <cell r="BY1811" t="str">
            <v>1500/0.5/4000</v>
          </cell>
          <cell r="BZ1811">
            <v>2.1613888582521223E-2</v>
          </cell>
          <cell r="CA1811">
            <v>2.0713543691731173E-2</v>
          </cell>
        </row>
        <row r="1812">
          <cell r="BN1812" t="str">
            <v>2500/0.7/5750</v>
          </cell>
          <cell r="BO1812">
            <v>0.64449498249076465</v>
          </cell>
          <cell r="BP1812">
            <v>0.6899238873156972</v>
          </cell>
          <cell r="BQ1812">
            <v>0.66169076796365944</v>
          </cell>
          <cell r="BR1812">
            <v>0.64417527346730674</v>
          </cell>
          <cell r="BS1812">
            <v>0.61735960556046621</v>
          </cell>
          <cell r="BT1812">
            <v>0.50000614557258749</v>
          </cell>
          <cell r="BU1812">
            <v>0.59497531503034606</v>
          </cell>
          <cell r="BV1812">
            <v>0.57317326484781961</v>
          </cell>
          <cell r="BY1812" t="str">
            <v>1500/0.5/4250</v>
          </cell>
          <cell r="BZ1812">
            <v>2.144616155818535E-2</v>
          </cell>
          <cell r="CA1812">
            <v>2.051725945314653E-2</v>
          </cell>
        </row>
        <row r="1813">
          <cell r="BN1813" t="str">
            <v>2500/0.7/6000</v>
          </cell>
          <cell r="BO1813">
            <v>0.63991187001736194</v>
          </cell>
          <cell r="BP1813">
            <v>0.68773978889675735</v>
          </cell>
          <cell r="BQ1813">
            <v>0.65712311802971213</v>
          </cell>
          <cell r="BR1813">
            <v>0.63956904670856696</v>
          </cell>
          <cell r="BS1813">
            <v>0.61256063892786139</v>
          </cell>
          <cell r="BT1813">
            <v>0.49619199167499017</v>
          </cell>
          <cell r="BU1813">
            <v>0.59170499297357404</v>
          </cell>
          <cell r="BV1813">
            <v>0.57030178002041099</v>
          </cell>
          <cell r="BY1813" t="str">
            <v>1500/0.5/4500</v>
          </cell>
          <cell r="BZ1813">
            <v>2.1278434533849477E-2</v>
          </cell>
          <cell r="CA1813">
            <v>2.0320975214561887E-2</v>
          </cell>
        </row>
        <row r="1814">
          <cell r="BN1814" t="str">
            <v>2500/0.7/6250</v>
          </cell>
          <cell r="BO1814">
            <v>0.635353848111055</v>
          </cell>
          <cell r="BP1814">
            <v>0.68555609211000057</v>
          </cell>
          <cell r="BQ1814">
            <v>0.65255631220330024</v>
          </cell>
          <cell r="BR1814">
            <v>0.63501413980987109</v>
          </cell>
          <cell r="BS1814">
            <v>0.60832153300604674</v>
          </cell>
          <cell r="BT1814">
            <v>0.49373823965751457</v>
          </cell>
          <cell r="BU1814">
            <v>0.58904303678487968</v>
          </cell>
          <cell r="BV1814">
            <v>0.56739619029579413</v>
          </cell>
          <cell r="BY1814" t="str">
            <v>1500/0.5/4750</v>
          </cell>
          <cell r="BZ1814">
            <v>2.1126492638343874E-2</v>
          </cell>
          <cell r="CA1814">
            <v>2.0137091239761595E-2</v>
          </cell>
        </row>
        <row r="1815">
          <cell r="BN1815" t="str">
            <v>2500/0.7/6350</v>
          </cell>
          <cell r="BO1815">
            <v>0.63352970311100543</v>
          </cell>
          <cell r="BP1815">
            <v>0.68474663703048422</v>
          </cell>
          <cell r="BQ1815">
            <v>0.65109500370138029</v>
          </cell>
          <cell r="BR1815">
            <v>0.63319129807190433</v>
          </cell>
          <cell r="BS1815">
            <v>0.606619377728155</v>
          </cell>
          <cell r="BT1815">
            <v>0.49278234082340877</v>
          </cell>
          <cell r="BU1815">
            <v>0.58797663598286209</v>
          </cell>
          <cell r="BV1815">
            <v>0.56641718368491634</v>
          </cell>
          <cell r="BY1815" t="str">
            <v>1500/0.5/5000</v>
          </cell>
          <cell r="BZ1815">
            <v>2.0974550742838272E-2</v>
          </cell>
          <cell r="CA1815">
            <v>1.9953207264961303E-2</v>
          </cell>
        </row>
        <row r="1816">
          <cell r="BN1816" t="str">
            <v>2500/0.7/6600</v>
          </cell>
          <cell r="BO1816">
            <v>0.63003564095929621</v>
          </cell>
          <cell r="BP1816">
            <v>0.68325756572166751</v>
          </cell>
          <cell r="BQ1816">
            <v>0.64788190395253331</v>
          </cell>
          <cell r="BR1816">
            <v>0.62887240541623368</v>
          </cell>
          <cell r="BS1816">
            <v>0.60249145447048735</v>
          </cell>
          <cell r="BT1816">
            <v>0.4904960015592385</v>
          </cell>
          <cell r="BU1816">
            <v>0.58530658816147052</v>
          </cell>
          <cell r="BV1816">
            <v>0.56412229616372989</v>
          </cell>
          <cell r="BY1816" t="str">
            <v>1500/0.5/5250</v>
          </cell>
          <cell r="BZ1816">
            <v>2.0834268083203877E-2</v>
          </cell>
          <cell r="CA1816">
            <v>1.9795952366484793E-2</v>
          </cell>
        </row>
        <row r="1817">
          <cell r="BN1817" t="str">
            <v>2500/0.7/6850</v>
          </cell>
          <cell r="BO1817">
            <v>0.62704597046610622</v>
          </cell>
          <cell r="BP1817">
            <v>0.6820005276076907</v>
          </cell>
          <cell r="BQ1817">
            <v>0.64489965000568028</v>
          </cell>
          <cell r="BR1817">
            <v>0.62588521984032786</v>
          </cell>
          <cell r="BS1817">
            <v>0.59900317038494022</v>
          </cell>
          <cell r="BT1817">
            <v>0.48836313114458052</v>
          </cell>
          <cell r="BU1817">
            <v>0.58313932936492474</v>
          </cell>
          <cell r="BV1817">
            <v>0.56189183292137723</v>
          </cell>
          <cell r="BY1817" t="str">
            <v>1500/0.5/5500</v>
          </cell>
          <cell r="BZ1817">
            <v>2.0693985423569483E-2</v>
          </cell>
          <cell r="CA1817">
            <v>1.9638697468008282E-2</v>
          </cell>
        </row>
        <row r="1818">
          <cell r="BN1818" t="str">
            <v>2500/0.7/7500</v>
          </cell>
          <cell r="BO1818">
            <v>0.61931012322965595</v>
          </cell>
          <cell r="BP1818">
            <v>0.6787290219426757</v>
          </cell>
          <cell r="BQ1818">
            <v>0.6371612329388967</v>
          </cell>
          <cell r="BR1818">
            <v>0.61814160975449761</v>
          </cell>
          <cell r="BS1818">
            <v>0.59096862001995487</v>
          </cell>
          <cell r="BT1818">
            <v>0.48366013369683164</v>
          </cell>
          <cell r="BU1818">
            <v>0.57817523808949323</v>
          </cell>
          <cell r="BV1818">
            <v>0.55650800757484897</v>
          </cell>
          <cell r="BY1818" t="str">
            <v>1500/0.5/5750</v>
          </cell>
          <cell r="BZ1818">
            <v>2.0564664956912115E-2</v>
          </cell>
          <cell r="CA1818">
            <v>1.9504545564762221E-2</v>
          </cell>
        </row>
        <row r="1819">
          <cell r="BN1819" t="str">
            <v>2500/0.7/10000</v>
          </cell>
          <cell r="BO1819">
            <v>0.59720423903717024</v>
          </cell>
          <cell r="BP1819">
            <v>0.66945366665636985</v>
          </cell>
          <cell r="BQ1819">
            <v>0.61585465622016144</v>
          </cell>
          <cell r="BR1819">
            <v>0.59473043738896647</v>
          </cell>
          <cell r="BS1819">
            <v>0.56659920103357775</v>
          </cell>
          <cell r="BT1819">
            <v>0.47039470819929041</v>
          </cell>
          <cell r="BU1819">
            <v>0.563273946407301</v>
          </cell>
          <cell r="BV1819">
            <v>0.54147051802946722</v>
          </cell>
          <cell r="BY1819" t="str">
            <v>1500/0.5/6000</v>
          </cell>
          <cell r="BZ1819">
            <v>2.0435344490254748E-2</v>
          </cell>
          <cell r="CA1819">
            <v>1.9370393661516161E-2</v>
          </cell>
        </row>
        <row r="1820">
          <cell r="BN1820" t="str">
            <v>2500/0.7/99999</v>
          </cell>
          <cell r="BO1820">
            <v>0.49631105742528164</v>
          </cell>
          <cell r="BP1820">
            <v>0.63576429868565587</v>
          </cell>
          <cell r="BQ1820">
            <v>0.51486927037459973</v>
          </cell>
          <cell r="BR1820">
            <v>0.4922491453411566</v>
          </cell>
          <cell r="BS1820">
            <v>0.48606180184440734</v>
          </cell>
          <cell r="BT1820">
            <v>0.41259473572137928</v>
          </cell>
          <cell r="BU1820">
            <v>0.50344974481675853</v>
          </cell>
          <cell r="BV1820">
            <v>0.49138342597248968</v>
          </cell>
          <cell r="BY1820" t="str">
            <v>1500/0.5/6250</v>
          </cell>
          <cell r="BZ1820">
            <v>2.0313232519901581E-2</v>
          </cell>
          <cell r="CA1820">
            <v>1.9236372694675818E-2</v>
          </cell>
        </row>
        <row r="1821">
          <cell r="BY1821" t="str">
            <v>1500/0.5/6350</v>
          </cell>
          <cell r="BZ1821">
            <v>2.0264385198518253E-2</v>
          </cell>
          <cell r="CA1821">
            <v>1.9182397023018938E-2</v>
          </cell>
        </row>
        <row r="1822">
          <cell r="BN1822" t="str">
            <v>2600/0.7/3000</v>
          </cell>
          <cell r="BO1822">
            <v>0.72040685960018047</v>
          </cell>
          <cell r="BP1822">
            <v>0.72998394969371139</v>
          </cell>
          <cell r="BQ1822">
            <v>0.73203119019355312</v>
          </cell>
          <cell r="BR1822">
            <v>0.71766488566050024</v>
          </cell>
          <cell r="BS1822">
            <v>0.69733452292809006</v>
          </cell>
          <cell r="BT1822">
            <v>0.59311269767193986</v>
          </cell>
          <cell r="BU1822">
            <v>0.6920249455245332</v>
          </cell>
          <cell r="BV1822">
            <v>0.6584873977375153</v>
          </cell>
          <cell r="BY1822" t="str">
            <v>1500/0.5/6600</v>
          </cell>
          <cell r="BZ1822">
            <v>2.0142003853466983E-2</v>
          </cell>
          <cell r="CA1822">
            <v>1.904802699762298E-2</v>
          </cell>
        </row>
        <row r="1823">
          <cell r="BN1823" t="str">
            <v>2600/0.7/3250</v>
          </cell>
          <cell r="BO1823">
            <v>0.71212276691102239</v>
          </cell>
          <cell r="BP1823">
            <v>0.72661031446255653</v>
          </cell>
          <cell r="BQ1823">
            <v>0.72524264812182559</v>
          </cell>
          <cell r="BR1823">
            <v>0.71052070840839987</v>
          </cell>
          <cell r="BS1823">
            <v>0.68957016836589879</v>
          </cell>
          <cell r="BT1823">
            <v>0.58146704491760048</v>
          </cell>
          <cell r="BU1823">
            <v>0.67968850432211314</v>
          </cell>
          <cell r="BV1823">
            <v>0.64486552832839639</v>
          </cell>
          <cell r="BY1823" t="str">
            <v>1500/0.5/6850</v>
          </cell>
          <cell r="BZ1823">
            <v>2.0019246734710672E-2</v>
          </cell>
          <cell r="CA1823">
            <v>1.8920323339148171E-2</v>
          </cell>
        </row>
        <row r="1824">
          <cell r="BN1824" t="str">
            <v>2600/0.7/3500</v>
          </cell>
          <cell r="BO1824">
            <v>0.7038386742218643</v>
          </cell>
          <cell r="BP1824">
            <v>0.72323667923140167</v>
          </cell>
          <cell r="BQ1824">
            <v>0.71845410605009807</v>
          </cell>
          <cell r="BR1824">
            <v>0.7033765311562995</v>
          </cell>
          <cell r="BS1824">
            <v>0.68180581380370753</v>
          </cell>
          <cell r="BT1824">
            <v>0.56982139216326111</v>
          </cell>
          <cell r="BU1824">
            <v>0.66735206311969308</v>
          </cell>
          <cell r="BV1824">
            <v>0.63124365891927747</v>
          </cell>
          <cell r="BY1824" t="str">
            <v>1500/0.5/7500</v>
          </cell>
          <cell r="BZ1824">
            <v>1.9704431600718442E-2</v>
          </cell>
          <cell r="CA1824">
            <v>1.8655164875653885E-2</v>
          </cell>
        </row>
        <row r="1825">
          <cell r="BN1825" t="str">
            <v>2600/0.7/3750</v>
          </cell>
          <cell r="BO1825">
            <v>0.69555458153270622</v>
          </cell>
          <cell r="BP1825">
            <v>0.71986304400024681</v>
          </cell>
          <cell r="BQ1825">
            <v>0.71166556397837055</v>
          </cell>
          <cell r="BR1825">
            <v>0.69623235390419913</v>
          </cell>
          <cell r="BS1825">
            <v>0.67404145924151626</v>
          </cell>
          <cell r="BT1825">
            <v>0.55817573940892173</v>
          </cell>
          <cell r="BU1825">
            <v>0.65501562191727303</v>
          </cell>
          <cell r="BV1825">
            <v>0.61762178951015856</v>
          </cell>
          <cell r="BY1825" t="str">
            <v>1500/0.5/8000</v>
          </cell>
          <cell r="BZ1825">
            <v>1.9540717648675487E-2</v>
          </cell>
          <cell r="CA1825">
            <v>1.8473334287067322E-2</v>
          </cell>
        </row>
        <row r="1826">
          <cell r="BN1826" t="str">
            <v>2600/0.7/4000</v>
          </cell>
          <cell r="BO1826">
            <v>0.68787048884354784</v>
          </cell>
          <cell r="BP1826">
            <v>0.71348940876909206</v>
          </cell>
          <cell r="BQ1826">
            <v>0.70547702190664352</v>
          </cell>
          <cell r="BR1826">
            <v>0.68668817665209836</v>
          </cell>
          <cell r="BS1826">
            <v>0.66267710467932528</v>
          </cell>
          <cell r="BT1826">
            <v>0.54653008665458225</v>
          </cell>
          <cell r="BU1826">
            <v>0.64267918071485286</v>
          </cell>
          <cell r="BV1826">
            <v>0.60399992010103953</v>
          </cell>
          <cell r="BY1826" t="str">
            <v>1500/0.5/9000</v>
          </cell>
          <cell r="BZ1826">
            <v>1.9216865552109885E-2</v>
          </cell>
          <cell r="CA1826">
            <v>1.8134706039767412E-2</v>
          </cell>
        </row>
        <row r="1827">
          <cell r="BN1827" t="str">
            <v>2600/0.7/4250</v>
          </cell>
          <cell r="BO1827">
            <v>0.67858521131941063</v>
          </cell>
          <cell r="BP1827">
            <v>0.70770437912417039</v>
          </cell>
          <cell r="BQ1827">
            <v>0.69513454556094822</v>
          </cell>
          <cell r="BR1827">
            <v>0.67914433691741616</v>
          </cell>
          <cell r="BS1827">
            <v>0.65429271576792414</v>
          </cell>
          <cell r="BT1827">
            <v>0.5375226419545085</v>
          </cell>
          <cell r="BU1827">
            <v>0.63267568132502738</v>
          </cell>
          <cell r="BV1827">
            <v>0.59610828994806631</v>
          </cell>
          <cell r="BY1827" t="str">
            <v>1500/0.5/10000</v>
          </cell>
          <cell r="BZ1827">
            <v>1.889196500406376E-2</v>
          </cell>
          <cell r="CA1827">
            <v>1.7828313902854998E-2</v>
          </cell>
        </row>
        <row r="1828">
          <cell r="BN1828" t="str">
            <v>2600/0.7/4500</v>
          </cell>
          <cell r="BO1828">
            <v>0.67109993379527344</v>
          </cell>
          <cell r="BP1828">
            <v>0.7031193494792487</v>
          </cell>
          <cell r="BQ1828">
            <v>0.68779206921525338</v>
          </cell>
          <cell r="BR1828">
            <v>0.67160049718273385</v>
          </cell>
          <cell r="BS1828">
            <v>0.64590832685652311</v>
          </cell>
          <cell r="BT1828">
            <v>0.52851519725443474</v>
          </cell>
          <cell r="BU1828">
            <v>0.6226721819352018</v>
          </cell>
          <cell r="BV1828">
            <v>0.58821665979509308</v>
          </cell>
          <cell r="BY1828" t="str">
            <v>1500/0.5/99999</v>
          </cell>
          <cell r="BZ1828">
            <v>1.4108488344242609E-2</v>
          </cell>
          <cell r="CA1828">
            <v>1.3605553206268217E-2</v>
          </cell>
        </row>
        <row r="1829">
          <cell r="BN1829" t="str">
            <v>2600/0.7/4750</v>
          </cell>
          <cell r="BO1829">
            <v>0.66428011878025939</v>
          </cell>
          <cell r="BP1829">
            <v>0.6996608168064723</v>
          </cell>
          <cell r="BQ1829">
            <v>0.68131855786566742</v>
          </cell>
          <cell r="BR1829">
            <v>0.66465928781066086</v>
          </cell>
          <cell r="BS1829">
            <v>0.63854906046372573</v>
          </cell>
          <cell r="BT1829">
            <v>0.52086019197806344</v>
          </cell>
          <cell r="BU1829">
            <v>0.61449930946166409</v>
          </cell>
          <cell r="BV1829">
            <v>0.58380355690174657</v>
          </cell>
          <cell r="BY1829" t="str">
            <v>1750/0.5/2000</v>
          </cell>
          <cell r="BZ1829">
            <v>2.3467323579531296E-2</v>
          </cell>
          <cell r="CA1829">
            <v>2.2877987758336493E-2</v>
          </cell>
        </row>
        <row r="1830">
          <cell r="BN1830" t="str">
            <v>2600/0.7/5000</v>
          </cell>
          <cell r="BO1830">
            <v>0.65746030376524522</v>
          </cell>
          <cell r="BP1830">
            <v>0.69620228413369589</v>
          </cell>
          <cell r="BQ1830">
            <v>0.67484504651608135</v>
          </cell>
          <cell r="BR1830">
            <v>0.65771807843858776</v>
          </cell>
          <cell r="BS1830">
            <v>0.63118979407092823</v>
          </cell>
          <cell r="BT1830">
            <v>0.51320518670169224</v>
          </cell>
          <cell r="BU1830">
            <v>0.60632643698812649</v>
          </cell>
          <cell r="BV1830">
            <v>0.57939045400840017</v>
          </cell>
          <cell r="BY1830" t="str">
            <v>1750/0.5/2250</v>
          </cell>
          <cell r="BZ1830">
            <v>2.3141373653991826E-2</v>
          </cell>
          <cell r="CA1830">
            <v>2.2470410915685468E-2</v>
          </cell>
        </row>
        <row r="1831">
          <cell r="BN1831" t="str">
            <v>2600/0.7/5250</v>
          </cell>
          <cell r="BO1831">
            <v>0.65228669967671071</v>
          </cell>
          <cell r="BP1831">
            <v>0.69338811001834255</v>
          </cell>
          <cell r="BQ1831">
            <v>0.66980547029699788</v>
          </cell>
          <cell r="BR1831">
            <v>0.65229647874023433</v>
          </cell>
          <cell r="BS1831">
            <v>0.62545400177724142</v>
          </cell>
          <cell r="BT1831">
            <v>0.50711187905753519</v>
          </cell>
          <cell r="BU1831">
            <v>0.60045442349764933</v>
          </cell>
          <cell r="BV1831">
            <v>0.57577256723988957</v>
          </cell>
          <cell r="BY1831" t="str">
            <v>1750/0.5/2500</v>
          </cell>
          <cell r="BZ1831">
            <v>2.2849570890935533E-2</v>
          </cell>
          <cell r="CA1831">
            <v>2.211286223855824E-2</v>
          </cell>
        </row>
        <row r="1832">
          <cell r="BN1832" t="str">
            <v>2600/0.7/5500</v>
          </cell>
          <cell r="BO1832">
            <v>0.64711309558817631</v>
          </cell>
          <cell r="BP1832">
            <v>0.69057393590298932</v>
          </cell>
          <cell r="BQ1832">
            <v>0.66476589407791442</v>
          </cell>
          <cell r="BR1832">
            <v>0.6468748790418809</v>
          </cell>
          <cell r="BS1832">
            <v>0.61971820948355472</v>
          </cell>
          <cell r="BT1832">
            <v>0.50101857141337813</v>
          </cell>
          <cell r="BU1832">
            <v>0.59458241000717216</v>
          </cell>
          <cell r="BV1832">
            <v>0.57215468047137896</v>
          </cell>
          <cell r="BY1832" t="str">
            <v>1750/0.5/2750</v>
          </cell>
          <cell r="BZ1832">
            <v>2.2582359936652585E-2</v>
          </cell>
          <cell r="CA1832">
            <v>2.1790023392828095E-2</v>
          </cell>
        </row>
        <row r="1833">
          <cell r="BN1833" t="str">
            <v>2600/0.7/5750</v>
          </cell>
          <cell r="BO1833">
            <v>0.6424845688264279</v>
          </cell>
          <cell r="BP1833">
            <v>0.68829071851822055</v>
          </cell>
          <cell r="BQ1833">
            <v>0.66015077648760789</v>
          </cell>
          <cell r="BR1833">
            <v>0.6422313802756211</v>
          </cell>
          <cell r="BS1833">
            <v>0.61483681665549494</v>
          </cell>
          <cell r="BT1833">
            <v>0.49736278184701782</v>
          </cell>
          <cell r="BU1833">
            <v>0.59138344886851801</v>
          </cell>
          <cell r="BV1833">
            <v>0.56920933145202657</v>
          </cell>
          <cell r="BY1833" t="str">
            <v>1750/0.5/3000</v>
          </cell>
          <cell r="BZ1833">
            <v>2.2334774050312145E-2</v>
          </cell>
          <cell r="CA1833">
            <v>2.1497738588628135E-2</v>
          </cell>
        </row>
        <row r="1834">
          <cell r="BN1834" t="str">
            <v>2600/0.7/6000</v>
          </cell>
          <cell r="BO1834">
            <v>0.63785604206467961</v>
          </cell>
          <cell r="BP1834">
            <v>0.68600750113345199</v>
          </cell>
          <cell r="BQ1834">
            <v>0.65553565889730137</v>
          </cell>
          <cell r="BR1834">
            <v>0.6375878815093613</v>
          </cell>
          <cell r="BS1834">
            <v>0.60995542382743506</v>
          </cell>
          <cell r="BT1834">
            <v>0.49370699228065745</v>
          </cell>
          <cell r="BU1834">
            <v>0.58818448772986398</v>
          </cell>
          <cell r="BV1834">
            <v>0.56626398243267417</v>
          </cell>
          <cell r="BY1834" t="str">
            <v>1750/0.5/3250</v>
          </cell>
          <cell r="BZ1834">
            <v>2.2114257271611981E-2</v>
          </cell>
          <cell r="CA1834">
            <v>2.1238097282225921E-2</v>
          </cell>
        </row>
        <row r="1835">
          <cell r="BN1835" t="str">
            <v>2600/0.7/6250</v>
          </cell>
          <cell r="BO1835">
            <v>0.63330067546693758</v>
          </cell>
          <cell r="BP1835">
            <v>0.68382456731537322</v>
          </cell>
          <cell r="BQ1835">
            <v>0.6509714567586381</v>
          </cell>
          <cell r="BR1835">
            <v>0.63302213978665312</v>
          </cell>
          <cell r="BS1835">
            <v>0.60551882101755183</v>
          </cell>
          <cell r="BT1835">
            <v>0.49125826493626534</v>
          </cell>
          <cell r="BU1835">
            <v>0.58549132983027163</v>
          </cell>
          <cell r="BV1835">
            <v>0.56336872314289965</v>
          </cell>
          <cell r="BY1835" t="str">
            <v>1750/0.5/3500</v>
          </cell>
          <cell r="BZ1835">
            <v>2.1893740492911817E-2</v>
          </cell>
          <cell r="CA1835">
            <v>2.0978455975823707E-2</v>
          </cell>
        </row>
        <row r="1836">
          <cell r="BN1836" t="str">
            <v>2600/0.7/6350</v>
          </cell>
          <cell r="BO1836">
            <v>0.63147758984029934</v>
          </cell>
          <cell r="BP1836">
            <v>0.68299623147800004</v>
          </cell>
          <cell r="BQ1836">
            <v>0.64940126574632251</v>
          </cell>
          <cell r="BR1836">
            <v>0.63120030750466138</v>
          </cell>
          <cell r="BS1836">
            <v>0.60382124186704655</v>
          </cell>
          <cell r="BT1836">
            <v>0.49029604099341395</v>
          </cell>
          <cell r="BU1836">
            <v>0.5844217088273943</v>
          </cell>
          <cell r="BV1836">
            <v>0.56233506549581636</v>
          </cell>
          <cell r="BY1836" t="str">
            <v>1750/0.5/3750</v>
          </cell>
          <cell r="BZ1836">
            <v>2.1702159196718473E-2</v>
          </cell>
          <cell r="CA1836">
            <v>2.0750698807968759E-2</v>
          </cell>
        </row>
        <row r="1837">
          <cell r="BN1837" t="str">
            <v>2600/0.7/6600</v>
          </cell>
          <cell r="BO1837">
            <v>0.62766557806475232</v>
          </cell>
          <cell r="BP1837">
            <v>0.68129964139502996</v>
          </cell>
          <cell r="BQ1837">
            <v>0.64578315981190038</v>
          </cell>
          <cell r="BR1837">
            <v>0.62681181107151196</v>
          </cell>
          <cell r="BS1837">
            <v>0.59966161042370247</v>
          </cell>
          <cell r="BT1837">
            <v>0.48796123350359316</v>
          </cell>
          <cell r="BU1837">
            <v>0.58175411121234477</v>
          </cell>
          <cell r="BV1837">
            <v>0.55985358041890354</v>
          </cell>
          <cell r="BY1837" t="str">
            <v>1750/0.5/4000</v>
          </cell>
          <cell r="BZ1837">
            <v>2.151057790052513E-2</v>
          </cell>
          <cell r="CA1837">
            <v>2.0522941640113812E-2</v>
          </cell>
        </row>
        <row r="1838">
          <cell r="BN1838" t="str">
            <v>2600/0.7/6850</v>
          </cell>
          <cell r="BO1838">
            <v>0.62433695069658357</v>
          </cell>
          <cell r="BP1838">
            <v>0.67987736658399633</v>
          </cell>
          <cell r="BQ1838">
            <v>0.64265054296820889</v>
          </cell>
          <cell r="BR1838">
            <v>0.62335456266934997</v>
          </cell>
          <cell r="BS1838">
            <v>0.59594272003427395</v>
          </cell>
          <cell r="BT1838">
            <v>0.48575303630520172</v>
          </cell>
          <cell r="BU1838">
            <v>0.57943672714594963</v>
          </cell>
          <cell r="BV1838">
            <v>0.5575741359257822</v>
          </cell>
          <cell r="BY1838" t="str">
            <v>1750/0.5/4250</v>
          </cell>
          <cell r="BZ1838">
            <v>2.1337233698146107E-2</v>
          </cell>
          <cell r="CA1838">
            <v>2.0318462201277532E-2</v>
          </cell>
        </row>
        <row r="1839">
          <cell r="BN1839" t="str">
            <v>2600/0.7/7500</v>
          </cell>
          <cell r="BO1839">
            <v>0.61653011930199719</v>
          </cell>
          <cell r="BP1839">
            <v>0.67653745126081355</v>
          </cell>
          <cell r="BQ1839">
            <v>0.63484242565271842</v>
          </cell>
          <cell r="BR1839">
            <v>0.61542730249074551</v>
          </cell>
          <cell r="BS1839">
            <v>0.58763188573406433</v>
          </cell>
          <cell r="BT1839">
            <v>0.48075094894906006</v>
          </cell>
          <cell r="BU1839">
            <v>0.5742931831633924</v>
          </cell>
          <cell r="BV1839">
            <v>0.5520740755493041</v>
          </cell>
          <cell r="BY1839" t="str">
            <v>1750/0.5/4500</v>
          </cell>
          <cell r="BZ1839">
            <v>2.1163889495767085E-2</v>
          </cell>
          <cell r="CA1839">
            <v>2.0113982762441251E-2</v>
          </cell>
        </row>
        <row r="1840">
          <cell r="BN1840" t="str">
            <v>2600/0.7/10000</v>
          </cell>
          <cell r="BO1840">
            <v>0.59392628942242098</v>
          </cell>
          <cell r="BP1840">
            <v>0.66705394787975258</v>
          </cell>
          <cell r="BQ1840">
            <v>0.61303408069649723</v>
          </cell>
          <cell r="BR1840">
            <v>0.5915186124413202</v>
          </cell>
          <cell r="BS1840">
            <v>0.56277958147295504</v>
          </cell>
          <cell r="BT1840">
            <v>0.46732506168843457</v>
          </cell>
          <cell r="BU1840">
            <v>0.55906575699128125</v>
          </cell>
          <cell r="BV1840">
            <v>0.53676259927096825</v>
          </cell>
          <cell r="BY1840" t="str">
            <v>1750/0.5/4750</v>
          </cell>
          <cell r="BZ1840">
            <v>2.1008181127956549E-2</v>
          </cell>
          <cell r="CA1840">
            <v>1.9930133302568209E-2</v>
          </cell>
        </row>
        <row r="1841">
          <cell r="BN1841" t="str">
            <v>2600/0.7/99999</v>
          </cell>
          <cell r="BO1841">
            <v>0.49425864043547424</v>
          </cell>
          <cell r="BP1841">
            <v>0.63298068024077825</v>
          </cell>
          <cell r="BQ1841">
            <v>0.51129391646051681</v>
          </cell>
          <cell r="BR1841">
            <v>0.49021358582159602</v>
          </cell>
          <cell r="BS1841">
            <v>0.48366472673900263</v>
          </cell>
          <cell r="BT1841">
            <v>0.40905484699962297</v>
          </cell>
          <cell r="BU1841">
            <v>0.4987912574865615</v>
          </cell>
          <cell r="BV1841">
            <v>0.48617874227574526</v>
          </cell>
          <cell r="BY1841" t="str">
            <v>1750/0.5/5000</v>
          </cell>
          <cell r="BZ1841">
            <v>2.0852472760146012E-2</v>
          </cell>
          <cell r="CA1841">
            <v>1.9746283842695167E-2</v>
          </cell>
        </row>
        <row r="1842">
          <cell r="BY1842" t="str">
            <v>1750/0.5/5250</v>
          </cell>
          <cell r="BZ1842">
            <v>2.0709286062947974E-2</v>
          </cell>
          <cell r="CA1842">
            <v>1.9576116283259393E-2</v>
          </cell>
        </row>
        <row r="1843">
          <cell r="BN1843" t="str">
            <v>2750/0.7/3500</v>
          </cell>
          <cell r="BO1843">
            <v>0.70344563402069404</v>
          </cell>
          <cell r="BP1843">
            <v>0.72164117001741801</v>
          </cell>
          <cell r="BQ1843">
            <v>0.71744694066783798</v>
          </cell>
          <cell r="BR1843">
            <v>0.70221754982459195</v>
          </cell>
          <cell r="BS1843">
            <v>0.67985403987323301</v>
          </cell>
          <cell r="BT1843">
            <v>0.56922305596552514</v>
          </cell>
          <cell r="BU1843">
            <v>0.6652934175368499</v>
          </cell>
          <cell r="BV1843">
            <v>0.62892341638217331</v>
          </cell>
          <cell r="BY1843" t="str">
            <v>1750/0.5/5500</v>
          </cell>
          <cell r="BZ1843">
            <v>2.0566099365749935E-2</v>
          </cell>
          <cell r="CA1843">
            <v>1.9405948723823618E-2</v>
          </cell>
        </row>
        <row r="1844">
          <cell r="BN1844" t="str">
            <v>2750/0.7/3750</v>
          </cell>
          <cell r="BO1844">
            <v>0.69575930859429325</v>
          </cell>
          <cell r="BP1844">
            <v>0.72050465444376388</v>
          </cell>
          <cell r="BQ1844">
            <v>0.71208532396343416</v>
          </cell>
          <cell r="BR1844">
            <v>0.69647876899872074</v>
          </cell>
          <cell r="BS1844">
            <v>0.6743515969329954</v>
          </cell>
          <cell r="BT1844">
            <v>0.55713730415127127</v>
          </cell>
          <cell r="BU1844">
            <v>0.65255085671161084</v>
          </cell>
          <cell r="BV1844">
            <v>0.61505450311025556</v>
          </cell>
          <cell r="BY1844" t="str">
            <v>1750/0.5/5750</v>
          </cell>
          <cell r="BZ1844">
            <v>2.0434841672339887E-2</v>
          </cell>
          <cell r="CA1844">
            <v>1.927165520440044E-2</v>
          </cell>
        </row>
        <row r="1845">
          <cell r="BN1845" t="str">
            <v>2750/0.7/4000</v>
          </cell>
          <cell r="BO1845">
            <v>0.68907298316789201</v>
          </cell>
          <cell r="BP1845">
            <v>0.71436813887010997</v>
          </cell>
          <cell r="BQ1845">
            <v>0.707723707259031</v>
          </cell>
          <cell r="BR1845">
            <v>0.68673998817284909</v>
          </cell>
          <cell r="BS1845">
            <v>0.66284915399275812</v>
          </cell>
          <cell r="BT1845">
            <v>0.54505155233701719</v>
          </cell>
          <cell r="BU1845">
            <v>0.63980829588637178</v>
          </cell>
          <cell r="BV1845">
            <v>0.6011855898383377</v>
          </cell>
          <cell r="BY1845" t="str">
            <v>1750/0.5/6000</v>
          </cell>
          <cell r="BZ1845">
            <v>2.030358397892984E-2</v>
          </cell>
          <cell r="CA1845">
            <v>1.9137361684977261E-2</v>
          </cell>
        </row>
        <row r="1846">
          <cell r="BN1846" t="str">
            <v>2750/0.7/4250</v>
          </cell>
          <cell r="BO1846">
            <v>0.67821946566582048</v>
          </cell>
          <cell r="BP1846">
            <v>0.70737047106182671</v>
          </cell>
          <cell r="BQ1846">
            <v>0.6950418328114728</v>
          </cell>
          <cell r="BR1846">
            <v>0.67882606463822537</v>
          </cell>
          <cell r="BS1846">
            <v>0.65387175176963475</v>
          </cell>
          <cell r="BT1846">
            <v>0.53564448818679677</v>
          </cell>
          <cell r="BU1846">
            <v>0.62951593215328949</v>
          </cell>
          <cell r="BV1846">
            <v>0.59371953701449121</v>
          </cell>
          <cell r="BY1846" t="str">
            <v>1750/0.5/6250</v>
          </cell>
          <cell r="BZ1846">
            <v>2.0178885111180822E-2</v>
          </cell>
          <cell r="CA1846">
            <v>1.9003404128108192E-2</v>
          </cell>
        </row>
        <row r="1847">
          <cell r="BN1847" t="str">
            <v>2750/0.7/4500</v>
          </cell>
          <cell r="BO1847">
            <v>0.67036594816374895</v>
          </cell>
          <cell r="BP1847">
            <v>0.70237280325354323</v>
          </cell>
          <cell r="BQ1847">
            <v>0.68735995836391517</v>
          </cell>
          <cell r="BR1847">
            <v>0.67091214110360153</v>
          </cell>
          <cell r="BS1847">
            <v>0.64489434954651137</v>
          </cell>
          <cell r="BT1847">
            <v>0.52623742403657636</v>
          </cell>
          <cell r="BU1847">
            <v>0.6192235684202072</v>
          </cell>
          <cell r="BV1847">
            <v>0.58625348419064482</v>
          </cell>
          <cell r="BY1847" t="str">
            <v>1750/0.5/6350</v>
          </cell>
          <cell r="BZ1847">
            <v>2.0130114899581608E-2</v>
          </cell>
          <cell r="CA1847">
            <v>1.8949711850644979E-2</v>
          </cell>
        </row>
        <row r="1848">
          <cell r="BN1848" t="str">
            <v>2750/0.7/4750</v>
          </cell>
          <cell r="BO1848">
            <v>0.66355168889031702</v>
          </cell>
          <cell r="BP1848">
            <v>0.69888214809529603</v>
          </cell>
          <cell r="BQ1848">
            <v>0.68079892922736163</v>
          </cell>
          <cell r="BR1848">
            <v>0.66400377869705418</v>
          </cell>
          <cell r="BS1848">
            <v>0.63756237286377637</v>
          </cell>
          <cell r="BT1848">
            <v>0.51846911702062481</v>
          </cell>
          <cell r="BU1848">
            <v>0.61104398250060199</v>
          </cell>
          <cell r="BV1848">
            <v>0.58165155915236377</v>
          </cell>
          <cell r="BY1848" t="str">
            <v>1750/0.5/6600</v>
          </cell>
          <cell r="BZ1848">
            <v>2.0007925947935101E-2</v>
          </cell>
          <cell r="CA1848">
            <v>1.8814562944683866E-2</v>
          </cell>
        </row>
        <row r="1849">
          <cell r="BN1849" t="str">
            <v>2750/0.7/5000</v>
          </cell>
          <cell r="BO1849">
            <v>0.65673742961688497</v>
          </cell>
          <cell r="BP1849">
            <v>0.69539149293704883</v>
          </cell>
          <cell r="BQ1849">
            <v>0.67423790009080808</v>
          </cell>
          <cell r="BR1849">
            <v>0.65709541629050672</v>
          </cell>
          <cell r="BS1849">
            <v>0.63023039618104137</v>
          </cell>
          <cell r="BT1849">
            <v>0.51070081000467338</v>
          </cell>
          <cell r="BU1849">
            <v>0.60286439658099678</v>
          </cell>
          <cell r="BV1849">
            <v>0.57704963411408283</v>
          </cell>
          <cell r="BY1849" t="str">
            <v>1750/0.5/6850</v>
          </cell>
          <cell r="BZ1849">
            <v>1.9885360678219E-2</v>
          </cell>
          <cell r="CA1849">
            <v>1.8683846044676988E-2</v>
          </cell>
        </row>
        <row r="1850">
          <cell r="BN1850" t="str">
            <v>2750/0.7/5250</v>
          </cell>
          <cell r="BO1850">
            <v>0.65127026281053357</v>
          </cell>
          <cell r="BP1850">
            <v>0.69247136447613644</v>
          </cell>
          <cell r="BQ1850">
            <v>0.6690043891444637</v>
          </cell>
          <cell r="BR1850">
            <v>0.65134960727147195</v>
          </cell>
          <cell r="BS1850">
            <v>0.62416084859579257</v>
          </cell>
          <cell r="BT1850">
            <v>0.50492578135675692</v>
          </cell>
          <cell r="BU1850">
            <v>0.59750232760076916</v>
          </cell>
          <cell r="BV1850">
            <v>0.57330546755811451</v>
          </cell>
          <cell r="BY1850" t="str">
            <v>1750/0.5/7500</v>
          </cell>
          <cell r="BZ1850">
            <v>1.9564929808391085E-2</v>
          </cell>
          <cell r="CA1850">
            <v>1.8403051860300446E-2</v>
          </cell>
        </row>
        <row r="1851">
          <cell r="BN1851" t="str">
            <v>2750/0.7/5500</v>
          </cell>
          <cell r="BO1851">
            <v>0.64580309600418229</v>
          </cell>
          <cell r="BP1851">
            <v>0.68955123601522406</v>
          </cell>
          <cell r="BQ1851">
            <v>0.66377087819811953</v>
          </cell>
          <cell r="BR1851">
            <v>0.64560379825243719</v>
          </cell>
          <cell r="BS1851">
            <v>0.61809130101054377</v>
          </cell>
          <cell r="BT1851">
            <v>0.49915075270884035</v>
          </cell>
          <cell r="BU1851">
            <v>0.59214025862054154</v>
          </cell>
          <cell r="BV1851">
            <v>0.56956130100214608</v>
          </cell>
          <cell r="BY1851" t="str">
            <v>1750/0.5/8000</v>
          </cell>
          <cell r="BZ1851">
            <v>1.9385081652109726E-2</v>
          </cell>
          <cell r="CA1851">
            <v>1.8218672477928743E-2</v>
          </cell>
        </row>
        <row r="1852">
          <cell r="BN1852" t="str">
            <v>2750/0.7/5750</v>
          </cell>
          <cell r="BO1852">
            <v>0.64114429305020348</v>
          </cell>
          <cell r="BP1852">
            <v>0.68720193931990281</v>
          </cell>
          <cell r="BQ1852">
            <v>0.65912411550357353</v>
          </cell>
          <cell r="BR1852">
            <v>0.64093545148116404</v>
          </cell>
          <cell r="BS1852">
            <v>0.61315495738551407</v>
          </cell>
          <cell r="BT1852">
            <v>0.49560053936330473</v>
          </cell>
          <cell r="BU1852">
            <v>0.58898887142729939</v>
          </cell>
          <cell r="BV1852">
            <v>0.56656670918816454</v>
          </cell>
          <cell r="BY1852" t="str">
            <v>1750/0.5/9000</v>
          </cell>
          <cell r="BZ1852">
            <v>1.9061360679777151E-2</v>
          </cell>
          <cell r="CA1852">
            <v>1.7872944576046823E-2</v>
          </cell>
        </row>
        <row r="1853">
          <cell r="BN1853" t="str">
            <v>2750/0.7/6000</v>
          </cell>
          <cell r="BO1853">
            <v>0.63648549009622468</v>
          </cell>
          <cell r="BP1853">
            <v>0.68485264262458179</v>
          </cell>
          <cell r="BQ1853">
            <v>0.65447735280902752</v>
          </cell>
          <cell r="BR1853">
            <v>0.6362671047098909</v>
          </cell>
          <cell r="BS1853">
            <v>0.60821861376048425</v>
          </cell>
          <cell r="BT1853">
            <v>0.49205032601776899</v>
          </cell>
          <cell r="BU1853">
            <v>0.58583748423405724</v>
          </cell>
          <cell r="BV1853">
            <v>0.563572117374183</v>
          </cell>
          <cell r="BY1853" t="str">
            <v>1750/0.5/10000</v>
          </cell>
          <cell r="BZ1853">
            <v>1.8736589737124554E-2</v>
          </cell>
          <cell r="CA1853">
            <v>1.75671628436187E-2</v>
          </cell>
        </row>
        <row r="1854">
          <cell r="BN1854" t="str">
            <v>2750/0.7/6250</v>
          </cell>
          <cell r="BO1854">
            <v>0.63193189370419267</v>
          </cell>
          <cell r="BP1854">
            <v>0.68267021745228829</v>
          </cell>
          <cell r="BQ1854">
            <v>0.64991488646219664</v>
          </cell>
          <cell r="BR1854">
            <v>0.6316941397711745</v>
          </cell>
          <cell r="BS1854">
            <v>0.60365034635855519</v>
          </cell>
          <cell r="BT1854">
            <v>0.48960494845543251</v>
          </cell>
          <cell r="BU1854">
            <v>0.58312352519386623</v>
          </cell>
          <cell r="BV1854">
            <v>0.56068374504096996</v>
          </cell>
          <cell r="BY1854" t="str">
            <v>1750/0.5/99999</v>
          </cell>
          <cell r="BZ1854">
            <v>1.3910658931909126E-2</v>
          </cell>
          <cell r="CA1854">
            <v>1.3317830921429463E-2</v>
          </cell>
        </row>
        <row r="1855">
          <cell r="BN1855" t="str">
            <v>2750/0.7/6350</v>
          </cell>
          <cell r="BO1855">
            <v>0.6301095143264952</v>
          </cell>
          <cell r="BP1855">
            <v>0.68182929444301066</v>
          </cell>
          <cell r="BQ1855">
            <v>0.64827210710961736</v>
          </cell>
          <cell r="BR1855">
            <v>0.62987298045983275</v>
          </cell>
          <cell r="BS1855">
            <v>0.60195581795964093</v>
          </cell>
          <cell r="BT1855">
            <v>0.48863850777341739</v>
          </cell>
          <cell r="BU1855">
            <v>0.5820517573904157</v>
          </cell>
          <cell r="BV1855">
            <v>0.55961365336974978</v>
          </cell>
          <cell r="BY1855" t="str">
            <v>2000/0.5/2000</v>
          </cell>
          <cell r="BZ1855">
            <v>2.3356524128404166E-2</v>
          </cell>
          <cell r="CA1855">
            <v>2.2856575643096066E-2</v>
          </cell>
        </row>
        <row r="1856">
          <cell r="BN1856" t="str">
            <v>2750/0.7/6600</v>
          </cell>
          <cell r="BO1856">
            <v>0.62608553613505635</v>
          </cell>
          <cell r="BP1856">
            <v>0.67999435851060497</v>
          </cell>
          <cell r="BQ1856">
            <v>0.64438399705147842</v>
          </cell>
          <cell r="BR1856">
            <v>0.62543808150836422</v>
          </cell>
          <cell r="BS1856">
            <v>0.59777504772584589</v>
          </cell>
          <cell r="BT1856">
            <v>0.48627138813316295</v>
          </cell>
          <cell r="BU1856">
            <v>0.57938579324626094</v>
          </cell>
          <cell r="BV1856">
            <v>0.55700776992235257</v>
          </cell>
          <cell r="BY1856" t="str">
            <v>2000/0.5/2250</v>
          </cell>
          <cell r="BZ1856">
            <v>2.3115136107435541E-2</v>
          </cell>
          <cell r="CA1856">
            <v>2.2404471725567809E-2</v>
          </cell>
        </row>
        <row r="1857">
          <cell r="BN1857" t="str">
            <v>2750/0.7/6850</v>
          </cell>
          <cell r="BO1857">
            <v>0.62253093751690181</v>
          </cell>
          <cell r="BP1857">
            <v>0.67846192590153342</v>
          </cell>
          <cell r="BQ1857">
            <v>0.64115113827656134</v>
          </cell>
          <cell r="BR1857">
            <v>0.62166745788869804</v>
          </cell>
          <cell r="BS1857">
            <v>0.59390241980049641</v>
          </cell>
          <cell r="BT1857">
            <v>0.48401297307894919</v>
          </cell>
          <cell r="BU1857">
            <v>0.57696832566663292</v>
          </cell>
          <cell r="BV1857">
            <v>0.5546956712620521</v>
          </cell>
          <cell r="BY1857" t="str">
            <v>2000/0.5/2500</v>
          </cell>
          <cell r="BZ1857">
            <v>2.2810435637362847E-2</v>
          </cell>
          <cell r="CA1857">
            <v>2.202080350806912E-2</v>
          </cell>
        </row>
        <row r="1858">
          <cell r="BN1858" t="str">
            <v>2750/0.7/7500</v>
          </cell>
          <cell r="BO1858">
            <v>0.61467678335022469</v>
          </cell>
          <cell r="BP1858">
            <v>0.67507640413957204</v>
          </cell>
          <cell r="BQ1858">
            <v>0.63329655412859953</v>
          </cell>
          <cell r="BR1858">
            <v>0.61361776431491077</v>
          </cell>
          <cell r="BS1858">
            <v>0.58540739621013738</v>
          </cell>
          <cell r="BT1858">
            <v>0.47881149245054572</v>
          </cell>
          <cell r="BU1858">
            <v>0.57170514654599192</v>
          </cell>
          <cell r="BV1858">
            <v>0.54911812086560752</v>
          </cell>
          <cell r="BY1858" t="str">
            <v>2000/0.5/2750</v>
          </cell>
          <cell r="BZ1858">
            <v>2.2532523712934127E-2</v>
          </cell>
          <cell r="CA1858">
            <v>2.1676362886442258E-2</v>
          </cell>
        </row>
        <row r="1859">
          <cell r="BN1859" t="str">
            <v>2750/0.7/10000</v>
          </cell>
          <cell r="BO1859">
            <v>0.59174098967925481</v>
          </cell>
          <cell r="BP1859">
            <v>0.66545413536200781</v>
          </cell>
          <cell r="BQ1859">
            <v>0.61115369701405442</v>
          </cell>
          <cell r="BR1859">
            <v>0.58937739580955595</v>
          </cell>
          <cell r="BS1859">
            <v>0.5602331684325399</v>
          </cell>
          <cell r="BT1859">
            <v>0.46527863068119735</v>
          </cell>
          <cell r="BU1859">
            <v>0.55626029738060145</v>
          </cell>
          <cell r="BV1859">
            <v>0.53362398676530232</v>
          </cell>
          <cell r="BY1859" t="str">
            <v>2000/0.5/3000</v>
          </cell>
          <cell r="BZ1859">
            <v>2.227613085877711E-2</v>
          </cell>
          <cell r="CA1859">
            <v>2.1367431962550087E-2</v>
          </cell>
        </row>
        <row r="1860">
          <cell r="BN1860" t="str">
            <v>2750/0.7/99999</v>
          </cell>
          <cell r="BO1860">
            <v>0.4928903624422693</v>
          </cell>
          <cell r="BP1860">
            <v>0.63112493461085983</v>
          </cell>
          <cell r="BQ1860">
            <v>0.5089103471844616</v>
          </cell>
          <cell r="BR1860">
            <v>0.488856546141889</v>
          </cell>
          <cell r="BS1860">
            <v>0.48206667666873282</v>
          </cell>
          <cell r="BT1860">
            <v>0.40669492118511874</v>
          </cell>
          <cell r="BU1860">
            <v>0.49568559926643019</v>
          </cell>
          <cell r="BV1860">
            <v>0.48270895314458234</v>
          </cell>
          <cell r="BY1860" t="str">
            <v>2000/0.5/3250</v>
          </cell>
          <cell r="BZ1860">
            <v>2.2046497659512054E-2</v>
          </cell>
          <cell r="CA1860">
            <v>2.1095180545817716E-2</v>
          </cell>
        </row>
        <row r="1861">
          <cell r="BY1861" t="str">
            <v>2000/0.5/3500</v>
          </cell>
          <cell r="BZ1861">
            <v>2.1816864460246999E-2</v>
          </cell>
          <cell r="CA1861">
            <v>2.0822929129085344E-2</v>
          </cell>
        </row>
        <row r="1862">
          <cell r="BN1862" t="str">
            <v>3000/0.7/3500</v>
          </cell>
          <cell r="BO1862">
            <v>0.70646303351776929</v>
          </cell>
          <cell r="BP1862">
            <v>0.73165239698245788</v>
          </cell>
          <cell r="BQ1862">
            <v>0.72292902721218777</v>
          </cell>
          <cell r="BR1862">
            <v>0.70732009649532379</v>
          </cell>
          <cell r="BS1862">
            <v>0.68697460504704588</v>
          </cell>
          <cell r="BT1862">
            <v>0.56772721547118521</v>
          </cell>
          <cell r="BU1862">
            <v>0.66014680357974198</v>
          </cell>
          <cell r="BV1862">
            <v>0.62312281003941283</v>
          </cell>
          <cell r="BY1862" t="str">
            <v>2000/0.5/3750</v>
          </cell>
          <cell r="BZ1862">
            <v>2.1619204120601698E-2</v>
          </cell>
          <cell r="CA1862">
            <v>2.0587713206092872E-2</v>
          </cell>
        </row>
        <row r="1863">
          <cell r="BN1863" t="str">
            <v>3000/0.7/3750</v>
          </cell>
          <cell r="BO1863">
            <v>0.69627112624826082</v>
          </cell>
          <cell r="BP1863">
            <v>0.7221086805525565</v>
          </cell>
          <cell r="BQ1863">
            <v>0.71313472392609334</v>
          </cell>
          <cell r="BR1863">
            <v>0.69709480673502489</v>
          </cell>
          <cell r="BS1863">
            <v>0.67512694116169303</v>
          </cell>
          <cell r="BT1863">
            <v>0.5545412160071449</v>
          </cell>
          <cell r="BU1863">
            <v>0.64638894369745548</v>
          </cell>
          <cell r="BV1863">
            <v>0.608636287110498</v>
          </cell>
          <cell r="BY1863" t="str">
            <v>2000/0.5/4000</v>
          </cell>
          <cell r="BZ1863">
            <v>2.1421543780956398E-2</v>
          </cell>
          <cell r="CA1863">
            <v>2.0352497283100401E-2</v>
          </cell>
        </row>
        <row r="1864">
          <cell r="BN1864" t="str">
            <v>3000/0.7/4000</v>
          </cell>
          <cell r="BO1864">
            <v>0.68607921897875246</v>
          </cell>
          <cell r="BP1864">
            <v>0.71256496412265524</v>
          </cell>
          <cell r="BQ1864">
            <v>0.70334042063999891</v>
          </cell>
          <cell r="BR1864">
            <v>0.68686951697472598</v>
          </cell>
          <cell r="BS1864">
            <v>0.66327927727634017</v>
          </cell>
          <cell r="BT1864">
            <v>0.54135521654310459</v>
          </cell>
          <cell r="BU1864">
            <v>0.63263108381516886</v>
          </cell>
          <cell r="BV1864">
            <v>0.59414976418158305</v>
          </cell>
          <cell r="BY1864" t="str">
            <v>2000/0.5/4250</v>
          </cell>
          <cell r="BZ1864">
            <v>2.1243609202352909E-2</v>
          </cell>
          <cell r="CA1864">
            <v>2.0140117372142052E-2</v>
          </cell>
        </row>
        <row r="1865">
          <cell r="BN1865" t="str">
            <v>3000/0.7/4250</v>
          </cell>
          <cell r="BO1865">
            <v>0.67730510153184509</v>
          </cell>
          <cell r="BP1865">
            <v>0.7065357009059674</v>
          </cell>
          <cell r="BQ1865">
            <v>0.69481005093778414</v>
          </cell>
          <cell r="BR1865">
            <v>0.67803038394024839</v>
          </cell>
          <cell r="BS1865">
            <v>0.65281934177391121</v>
          </cell>
          <cell r="BT1865">
            <v>0.53094910376751747</v>
          </cell>
          <cell r="BU1865">
            <v>0.62161655922394476</v>
          </cell>
          <cell r="BV1865">
            <v>0.58774765468055357</v>
          </cell>
          <cell r="BY1865" t="str">
            <v>2000/0.5/4500</v>
          </cell>
          <cell r="BZ1865">
            <v>2.106567462374942E-2</v>
          </cell>
          <cell r="CA1865">
            <v>1.9927737461183703E-2</v>
          </cell>
        </row>
        <row r="1866">
          <cell r="BN1866" t="str">
            <v>3000/0.7/4500</v>
          </cell>
          <cell r="BO1866">
            <v>0.66853098408493772</v>
          </cell>
          <cell r="BP1866">
            <v>0.70050643768927967</v>
          </cell>
          <cell r="BQ1866">
            <v>0.68627968123556948</v>
          </cell>
          <cell r="BR1866">
            <v>0.66919125090577081</v>
          </cell>
          <cell r="BS1866">
            <v>0.64235940627148214</v>
          </cell>
          <cell r="BT1866">
            <v>0.52054299099193035</v>
          </cell>
          <cell r="BU1866">
            <v>0.61060203463272067</v>
          </cell>
          <cell r="BV1866">
            <v>0.58134554517952408</v>
          </cell>
          <cell r="BY1866" t="str">
            <v>2000/0.5/4750</v>
          </cell>
          <cell r="BZ1866">
            <v>2.0906987846790237E-2</v>
          </cell>
          <cell r="CA1866">
            <v>1.9741937606443827E-2</v>
          </cell>
        </row>
        <row r="1867">
          <cell r="BN1867" t="str">
            <v>3000/0.7/4750</v>
          </cell>
          <cell r="BO1867">
            <v>0.66173061416546108</v>
          </cell>
          <cell r="BP1867">
            <v>0.69693547631735542</v>
          </cell>
          <cell r="BQ1867">
            <v>0.67949985763159715</v>
          </cell>
          <cell r="BR1867">
            <v>0.66236500591303749</v>
          </cell>
          <cell r="BS1867">
            <v>0.6350956538639031</v>
          </cell>
          <cell r="BT1867">
            <v>0.51249142962702832</v>
          </cell>
          <cell r="BU1867">
            <v>0.60240566509794657</v>
          </cell>
          <cell r="BV1867">
            <v>0.57627156477890673</v>
          </cell>
          <cell r="BY1867" t="str">
            <v>2000/0.5/5000</v>
          </cell>
          <cell r="BZ1867">
            <v>2.0748301069831054E-2</v>
          </cell>
          <cell r="CA1867">
            <v>1.955613775170395E-2</v>
          </cell>
        </row>
        <row r="1868">
          <cell r="BN1868" t="str">
            <v>3000/0.7/5000</v>
          </cell>
          <cell r="BO1868">
            <v>0.65493024424598445</v>
          </cell>
          <cell r="BP1868">
            <v>0.69336451494543117</v>
          </cell>
          <cell r="BQ1868">
            <v>0.6727200340276247</v>
          </cell>
          <cell r="BR1868">
            <v>0.65553876092030416</v>
          </cell>
          <cell r="BS1868">
            <v>0.62783190145632406</v>
          </cell>
          <cell r="BT1868">
            <v>0.50443986826212628</v>
          </cell>
          <cell r="BU1868">
            <v>0.59420929556317248</v>
          </cell>
          <cell r="BV1868">
            <v>0.57119758437828949</v>
          </cell>
          <cell r="BY1868" t="str">
            <v>2000/0.5/5250</v>
          </cell>
          <cell r="BZ1868">
            <v>2.0602015505277294E-2</v>
          </cell>
          <cell r="CA1868">
            <v>1.9373800209243952E-2</v>
          </cell>
        </row>
        <row r="1869">
          <cell r="BN1869" t="str">
            <v>3000/0.7/5250</v>
          </cell>
          <cell r="BO1869">
            <v>0.64872917064509084</v>
          </cell>
          <cell r="BP1869">
            <v>0.69017950062062106</v>
          </cell>
          <cell r="BQ1869">
            <v>0.66700168626312839</v>
          </cell>
          <cell r="BR1869">
            <v>0.64898242859956601</v>
          </cell>
          <cell r="BS1869">
            <v>0.62092796564217034</v>
          </cell>
          <cell r="BT1869">
            <v>0.49946053710481109</v>
          </cell>
          <cell r="BU1869">
            <v>0.59012208785856868</v>
          </cell>
          <cell r="BV1869">
            <v>0.56713771835367677</v>
          </cell>
          <cell r="BY1869" t="str">
            <v>2000/0.5/5500</v>
          </cell>
          <cell r="BZ1869">
            <v>2.0455729940723533E-2</v>
          </cell>
          <cell r="CA1869">
            <v>1.9191462666783954E-2</v>
          </cell>
        </row>
        <row r="1870">
          <cell r="BN1870" t="str">
            <v>3000/0.7/5500</v>
          </cell>
          <cell r="BO1870">
            <v>0.64252809704419722</v>
          </cell>
          <cell r="BP1870">
            <v>0.68699448629581084</v>
          </cell>
          <cell r="BQ1870">
            <v>0.66128333849863208</v>
          </cell>
          <cell r="BR1870">
            <v>0.64242609627882785</v>
          </cell>
          <cell r="BS1870">
            <v>0.61402402982801663</v>
          </cell>
          <cell r="BT1870">
            <v>0.49448120594749595</v>
          </cell>
          <cell r="BU1870">
            <v>0.58603488015396488</v>
          </cell>
          <cell r="BV1870">
            <v>0.56307785232906404</v>
          </cell>
          <cell r="BY1870" t="str">
            <v>2000/0.5/5750</v>
          </cell>
          <cell r="BZ1870">
            <v>2.0321132401289854E-2</v>
          </cell>
          <cell r="CA1870">
            <v>1.9056111518630847E-2</v>
          </cell>
        </row>
        <row r="1871">
          <cell r="BN1871" t="str">
            <v>3000/0.7/5750</v>
          </cell>
          <cell r="BO1871">
            <v>0.63779360360964232</v>
          </cell>
          <cell r="BP1871">
            <v>0.68447999132410842</v>
          </cell>
          <cell r="BQ1871">
            <v>0.65655746304348761</v>
          </cell>
          <cell r="BR1871">
            <v>0.63769562949502134</v>
          </cell>
          <cell r="BS1871">
            <v>0.60895030921056192</v>
          </cell>
          <cell r="BT1871">
            <v>0.49119493315402191</v>
          </cell>
          <cell r="BU1871">
            <v>0.58300242782425271</v>
          </cell>
          <cell r="BV1871">
            <v>0.55996015352850959</v>
          </cell>
          <cell r="BY1871" t="str">
            <v>2000/0.5/6000</v>
          </cell>
          <cell r="BZ1871">
            <v>2.0186534861856176E-2</v>
          </cell>
          <cell r="CA1871">
            <v>1.8920760370477741E-2</v>
          </cell>
        </row>
        <row r="1872">
          <cell r="BN1872" t="str">
            <v>3000/0.7/6000</v>
          </cell>
          <cell r="BO1872">
            <v>0.63305911017508754</v>
          </cell>
          <cell r="BP1872">
            <v>0.68196549635240611</v>
          </cell>
          <cell r="BQ1872">
            <v>0.65183158758834303</v>
          </cell>
          <cell r="BR1872">
            <v>0.63296516271121495</v>
          </cell>
          <cell r="BS1872">
            <v>0.60387658859310711</v>
          </cell>
          <cell r="BT1872">
            <v>0.48790866036054786</v>
          </cell>
          <cell r="BU1872">
            <v>0.57996997549454044</v>
          </cell>
          <cell r="BV1872">
            <v>0.55684245472795513</v>
          </cell>
          <cell r="BY1872" t="str">
            <v>2000/0.5/6250</v>
          </cell>
          <cell r="BZ1872">
            <v>2.0059665023253626E-2</v>
          </cell>
          <cell r="CA1872">
            <v>1.8786666439750022E-2</v>
          </cell>
        </row>
        <row r="1873">
          <cell r="BN1873" t="str">
            <v>3000/0.7/6250</v>
          </cell>
          <cell r="BO1873">
            <v>0.62850993929733034</v>
          </cell>
          <cell r="BP1873">
            <v>0.679784342794576</v>
          </cell>
          <cell r="BQ1873">
            <v>0.64727346072109293</v>
          </cell>
          <cell r="BR1873">
            <v>0.62837413973247791</v>
          </cell>
          <cell r="BS1873">
            <v>0.59897915971106364</v>
          </cell>
          <cell r="BT1873">
            <v>0.48547165725335045</v>
          </cell>
          <cell r="BU1873">
            <v>0.57720401360285278</v>
          </cell>
          <cell r="BV1873">
            <v>0.55397129978614579</v>
          </cell>
          <cell r="BY1873" t="str">
            <v>2000/0.5/6350</v>
          </cell>
          <cell r="BZ1873">
            <v>2.0010576670877356E-2</v>
          </cell>
          <cell r="CA1873">
            <v>1.8733257556480254E-2</v>
          </cell>
        </row>
        <row r="1874">
          <cell r="BN1874" t="str">
            <v>3000/0.7/6350</v>
          </cell>
          <cell r="BO1874">
            <v>0.62668932554198498</v>
          </cell>
          <cell r="BP1874">
            <v>0.67891195185553721</v>
          </cell>
          <cell r="BQ1874">
            <v>0.64544921051785442</v>
          </cell>
          <cell r="BR1874">
            <v>0.62655466284776118</v>
          </cell>
          <cell r="BS1874">
            <v>0.59729225819112686</v>
          </cell>
          <cell r="BT1874">
            <v>0.484494674723426</v>
          </cell>
          <cell r="BU1874">
            <v>0.57612687879796931</v>
          </cell>
          <cell r="BV1874">
            <v>0.5528101230545831</v>
          </cell>
          <cell r="BY1874" t="str">
            <v>2000/0.5/6600</v>
          </cell>
          <cell r="BZ1874">
            <v>1.9888581647997894E-2</v>
          </cell>
          <cell r="CA1874">
            <v>1.859881713600342E-2</v>
          </cell>
        </row>
        <row r="1875">
          <cell r="BN1875" t="str">
            <v>3000/0.7/6600</v>
          </cell>
          <cell r="BO1875">
            <v>0.6221354313108165</v>
          </cell>
          <cell r="BP1875">
            <v>0.67673115129954253</v>
          </cell>
          <cell r="BQ1875">
            <v>0.64088609015042353</v>
          </cell>
          <cell r="BR1875">
            <v>0.62200375760049464</v>
          </cell>
          <cell r="BS1875">
            <v>0.59305864098120453</v>
          </cell>
          <cell r="BT1875">
            <v>0.48204677470708746</v>
          </cell>
          <cell r="BU1875">
            <v>0.57346499833105147</v>
          </cell>
          <cell r="BV1875">
            <v>0.54989324368097536</v>
          </cell>
          <cell r="BY1875" t="str">
            <v>2000/0.5/6850</v>
          </cell>
          <cell r="BZ1875">
            <v>1.9766209787635214E-2</v>
          </cell>
          <cell r="CA1875">
            <v>1.8463826668434269E-2</v>
          </cell>
        </row>
        <row r="1876">
          <cell r="BN1876" t="str">
            <v>3000/0.7/6850</v>
          </cell>
          <cell r="BO1876">
            <v>0.61801590456769739</v>
          </cell>
          <cell r="BP1876">
            <v>0.67492332419537626</v>
          </cell>
          <cell r="BQ1876">
            <v>0.6374026265474424</v>
          </cell>
          <cell r="BR1876">
            <v>0.61744969593706833</v>
          </cell>
          <cell r="BS1876">
            <v>0.58880166921605259</v>
          </cell>
          <cell r="BT1876">
            <v>0.47966281501331781</v>
          </cell>
          <cell r="BU1876">
            <v>0.57079732196834099</v>
          </cell>
          <cell r="BV1876">
            <v>0.54749950960272686</v>
          </cell>
          <cell r="BY1876" t="str">
            <v>2000/0.5/7500</v>
          </cell>
          <cell r="BZ1876">
            <v>1.9446279351272855E-2</v>
          </cell>
          <cell r="CA1876">
            <v>1.81704597958805E-2</v>
          </cell>
        </row>
        <row r="1877">
          <cell r="BN1877" t="str">
            <v>3000/0.7/7500</v>
          </cell>
          <cell r="BO1877">
            <v>0.61004344347079342</v>
          </cell>
          <cell r="BP1877">
            <v>0.67142378633646826</v>
          </cell>
          <cell r="BQ1877">
            <v>0.62943187531830225</v>
          </cell>
          <cell r="BR1877">
            <v>0.60909391887532405</v>
          </cell>
          <cell r="BS1877">
            <v>0.57984617240031999</v>
          </cell>
          <cell r="BT1877">
            <v>0.47396285120425979</v>
          </cell>
          <cell r="BU1877">
            <v>0.56523505500249049</v>
          </cell>
          <cell r="BV1877">
            <v>0.54172823415636595</v>
          </cell>
          <cell r="BY1877" t="str">
            <v>2000/0.5/8000</v>
          </cell>
          <cell r="BZ1877">
            <v>1.9244380028562214E-2</v>
          </cell>
          <cell r="CA1877">
            <v>1.7980394475353823E-2</v>
          </cell>
        </row>
        <row r="1878">
          <cell r="BN1878" t="str">
            <v>3000/0.7/10000</v>
          </cell>
          <cell r="BO1878">
            <v>0.58627774032133939</v>
          </cell>
          <cell r="BP1878">
            <v>0.66145460406764578</v>
          </cell>
          <cell r="BQ1878">
            <v>0.6064527378079474</v>
          </cell>
          <cell r="BR1878">
            <v>0.58402435423014543</v>
          </cell>
          <cell r="BS1878">
            <v>0.55386713583150204</v>
          </cell>
          <cell r="BT1878">
            <v>0.46016255316310423</v>
          </cell>
          <cell r="BU1878">
            <v>0.54924664835390202</v>
          </cell>
          <cell r="BV1878">
            <v>0.5257774555011373</v>
          </cell>
          <cell r="BY1878" t="str">
            <v>2000/0.5/9000</v>
          </cell>
          <cell r="BZ1878">
            <v>1.8920791392397218E-2</v>
          </cell>
          <cell r="CA1878">
            <v>1.7627539475526532E-2</v>
          </cell>
        </row>
        <row r="1879">
          <cell r="BN1879" t="str">
            <v>3000/0.7/99999</v>
          </cell>
          <cell r="BO1879">
            <v>0.48946966745925696</v>
          </cell>
          <cell r="BP1879">
            <v>0.6264855705360638</v>
          </cell>
          <cell r="BQ1879">
            <v>0.50295142399432347</v>
          </cell>
          <cell r="BR1879">
            <v>0.4854639469426214</v>
          </cell>
          <cell r="BS1879">
            <v>0.4780715514930583</v>
          </cell>
          <cell r="BT1879">
            <v>0.40079510664885826</v>
          </cell>
          <cell r="BU1879">
            <v>0.4879214537161019</v>
          </cell>
          <cell r="BV1879">
            <v>0.474034480316675</v>
          </cell>
          <cell r="BY1879" t="str">
            <v>2000/0.5/10000</v>
          </cell>
          <cell r="BZ1879">
            <v>1.8596151336689903E-2</v>
          </cell>
          <cell r="CA1879">
            <v>1.7322368147582923E-2</v>
          </cell>
        </row>
        <row r="1880">
          <cell r="BY1880" t="str">
            <v>2000/0.5/99999</v>
          </cell>
          <cell r="BZ1880">
            <v>1.3728437029250529E-2</v>
          </cell>
          <cell r="CA1880">
            <v>1.3046085082529579E-2</v>
          </cell>
        </row>
        <row r="1881">
          <cell r="BN1881" t="str">
            <v>3250/0.7/4000</v>
          </cell>
          <cell r="BO1881">
            <v>0.68594065934625337</v>
          </cell>
          <cell r="BP1881">
            <v>0.7134390240574684</v>
          </cell>
          <cell r="BQ1881">
            <v>0.70360888950051259</v>
          </cell>
          <cell r="BR1881">
            <v>0.68681469630490155</v>
          </cell>
          <cell r="BS1881">
            <v>0.66316138271985159</v>
          </cell>
          <cell r="BT1881">
            <v>0.5391492197835146</v>
          </cell>
          <cell r="BU1881">
            <v>0.62806917675877472</v>
          </cell>
          <cell r="BV1881">
            <v>0.59149067490582996</v>
          </cell>
          <cell r="BY1881" t="str">
            <v>2250/0.5/2500</v>
          </cell>
          <cell r="BZ1881">
            <v>2.2744785449788307E-2</v>
          </cell>
          <cell r="CA1881">
            <v>2.1976104566361898E-2</v>
          </cell>
        </row>
        <row r="1882">
          <cell r="BN1882" t="str">
            <v>3250/0.7/4250</v>
          </cell>
          <cell r="BO1882">
            <v>0.67691841853286627</v>
          </cell>
          <cell r="BP1882">
            <v>0.7069642413429662</v>
          </cell>
          <cell r="BQ1882">
            <v>0.69487871083054564</v>
          </cell>
          <cell r="BR1882">
            <v>0.67774756724854268</v>
          </cell>
          <cell r="BS1882">
            <v>0.65241563511342182</v>
          </cell>
          <cell r="BT1882">
            <v>0.52796141454437651</v>
          </cell>
          <cell r="BU1882">
            <v>0.61613149970254089</v>
          </cell>
          <cell r="BV1882">
            <v>0.58459909507944297</v>
          </cell>
          <cell r="BY1882" t="str">
            <v>2250/0.5/2750</v>
          </cell>
          <cell r="BZ1882">
            <v>2.2506278977630356E-2</v>
          </cell>
          <cell r="CA1882">
            <v>2.1605189552870274E-2</v>
          </cell>
        </row>
        <row r="1883">
          <cell r="BN1883" t="str">
            <v>3250/0.7/4500</v>
          </cell>
          <cell r="BO1883">
            <v>0.66789617771947929</v>
          </cell>
          <cell r="BP1883">
            <v>0.70048945862846412</v>
          </cell>
          <cell r="BQ1883">
            <v>0.68614853216057892</v>
          </cell>
          <cell r="BR1883">
            <v>0.66868043819218381</v>
          </cell>
          <cell r="BS1883">
            <v>0.64166988750699194</v>
          </cell>
          <cell r="BT1883">
            <v>0.51677360930523852</v>
          </cell>
          <cell r="BU1883">
            <v>0.60419382264630717</v>
          </cell>
          <cell r="BV1883">
            <v>0.57770751525305586</v>
          </cell>
          <cell r="BY1883" t="str">
            <v>2250/0.5/3000</v>
          </cell>
          <cell r="BZ1883">
            <v>2.2240705330358712E-2</v>
          </cell>
          <cell r="CA1883">
            <v>2.1273660431231911E-2</v>
          </cell>
        </row>
        <row r="1884">
          <cell r="BN1884" t="str">
            <v>3250/0.7/4750</v>
          </cell>
          <cell r="BO1884">
            <v>0.66050196053887078</v>
          </cell>
          <cell r="BP1884">
            <v>0.69605088737342546</v>
          </cell>
          <cell r="BQ1884">
            <v>0.67884865542068595</v>
          </cell>
          <cell r="BR1884">
            <v>0.66124348641431741</v>
          </cell>
          <cell r="BS1884">
            <v>0.63345966743029647</v>
          </cell>
          <cell r="BT1884">
            <v>0.50860684865963224</v>
          </cell>
          <cell r="BU1884">
            <v>0.59724337715195508</v>
          </cell>
          <cell r="BV1884">
            <v>0.57209682445641308</v>
          </cell>
          <cell r="BY1884" t="str">
            <v>2250/0.5/3250</v>
          </cell>
          <cell r="BZ1884">
            <v>2.2002549289604878E-2</v>
          </cell>
          <cell r="CA1884">
            <v>2.098636055821701E-2</v>
          </cell>
        </row>
        <row r="1885">
          <cell r="BN1885" t="str">
            <v>3250/0.7/5000</v>
          </cell>
          <cell r="BO1885">
            <v>0.65310774335826216</v>
          </cell>
          <cell r="BP1885">
            <v>0.69161231611838669</v>
          </cell>
          <cell r="BQ1885">
            <v>0.67154877868079299</v>
          </cell>
          <cell r="BR1885">
            <v>0.65380653463645089</v>
          </cell>
          <cell r="BS1885">
            <v>0.625249447353601</v>
          </cell>
          <cell r="BT1885">
            <v>0.50044008801402584</v>
          </cell>
          <cell r="BU1885">
            <v>0.59029293165760299</v>
          </cell>
          <cell r="BV1885">
            <v>0.56648613365977041</v>
          </cell>
          <cell r="BY1885" t="str">
            <v>2250/0.5/3500</v>
          </cell>
          <cell r="BZ1885">
            <v>2.1764393248851044E-2</v>
          </cell>
          <cell r="CA1885">
            <v>2.0699060685202109E-2</v>
          </cell>
        </row>
        <row r="1886">
          <cell r="BN1886" t="str">
            <v>3250/0.7/5250</v>
          </cell>
          <cell r="BO1886">
            <v>0.64684088548678131</v>
          </cell>
          <cell r="BP1886">
            <v>0.68850801746245005</v>
          </cell>
          <cell r="BQ1886">
            <v>0.66552269959696375</v>
          </cell>
          <cell r="BR1886">
            <v>0.64736224637120632</v>
          </cell>
          <cell r="BS1886">
            <v>0.61837535923784004</v>
          </cell>
          <cell r="BT1886">
            <v>0.49612444288874125</v>
          </cell>
          <cell r="BU1886">
            <v>0.58603865915989772</v>
          </cell>
          <cell r="BV1886">
            <v>0.56217822950545693</v>
          </cell>
          <cell r="BY1886" t="str">
            <v>2250/0.5/3750</v>
          </cell>
          <cell r="BZ1886">
            <v>2.1559861228889199E-2</v>
          </cell>
          <cell r="CA1886">
            <v>2.0453846932135533E-2</v>
          </cell>
        </row>
        <row r="1887">
          <cell r="BN1887" t="str">
            <v>3250/0.7/5500</v>
          </cell>
          <cell r="BO1887">
            <v>0.64057402761530036</v>
          </cell>
          <cell r="BP1887">
            <v>0.6854037188065133</v>
          </cell>
          <cell r="BQ1887">
            <v>0.65949662051313451</v>
          </cell>
          <cell r="BR1887">
            <v>0.64091795810596164</v>
          </cell>
          <cell r="BS1887">
            <v>0.61150127112207908</v>
          </cell>
          <cell r="BT1887">
            <v>0.49180879776345665</v>
          </cell>
          <cell r="BU1887">
            <v>0.58178438666219245</v>
          </cell>
          <cell r="BV1887">
            <v>0.55787032535114345</v>
          </cell>
          <cell r="BY1887" t="str">
            <v>2250/0.5/4000</v>
          </cell>
          <cell r="BZ1887">
            <v>2.1355329208927354E-2</v>
          </cell>
          <cell r="CA1887">
            <v>2.0208633179068958E-2</v>
          </cell>
        </row>
        <row r="1888">
          <cell r="BN1888" t="str">
            <v>3250/0.7/5750</v>
          </cell>
          <cell r="BO1888">
            <v>0.63542263049606906</v>
          </cell>
          <cell r="BP1888">
            <v>0.68266541093044142</v>
          </cell>
          <cell r="BQ1888">
            <v>0.65459074867629186</v>
          </cell>
          <cell r="BR1888">
            <v>0.63560074355723739</v>
          </cell>
          <cell r="BS1888">
            <v>0.60585723879365982</v>
          </cell>
          <cell r="BT1888">
            <v>0.48834740667619203</v>
          </cell>
          <cell r="BU1888">
            <v>0.57827144431002586</v>
          </cell>
          <cell r="BV1888">
            <v>0.55433051621419316</v>
          </cell>
          <cell r="BY1888" t="str">
            <v>2250/0.5/4250</v>
          </cell>
          <cell r="BZ1888">
            <v>2.1172816048378007E-2</v>
          </cell>
          <cell r="CA1888">
            <v>1.999006887484861E-2</v>
          </cell>
        </row>
        <row r="1889">
          <cell r="BN1889" t="str">
            <v>3250/0.7/6000</v>
          </cell>
          <cell r="BO1889">
            <v>0.63027123337683788</v>
          </cell>
          <cell r="BP1889">
            <v>0.67992710305436965</v>
          </cell>
          <cell r="BQ1889">
            <v>0.64968487683944931</v>
          </cell>
          <cell r="BR1889">
            <v>0.63028352900851314</v>
          </cell>
          <cell r="BS1889">
            <v>0.60021320646524057</v>
          </cell>
          <cell r="BT1889">
            <v>0.4848860155889273</v>
          </cell>
          <cell r="BU1889">
            <v>0.57475850195785938</v>
          </cell>
          <cell r="BV1889">
            <v>0.55079070707724298</v>
          </cell>
          <cell r="BY1889" t="str">
            <v>2250/0.5/4500</v>
          </cell>
          <cell r="BZ1889">
            <v>2.099030288782866E-2</v>
          </cell>
          <cell r="CA1889">
            <v>1.9771504570628262E-2</v>
          </cell>
        </row>
        <row r="1890">
          <cell r="BN1890" t="str">
            <v>3250/0.7/6250</v>
          </cell>
          <cell r="BO1890">
            <v>0.62562877906027703</v>
          </cell>
          <cell r="BP1890">
            <v>0.6775923631164783</v>
          </cell>
          <cell r="BQ1890">
            <v>0.645029763154503</v>
          </cell>
          <cell r="BR1890">
            <v>0.62562450202453312</v>
          </cell>
          <cell r="BS1890">
            <v>0.59522944733610994</v>
          </cell>
          <cell r="BT1890">
            <v>0.48198856682767899</v>
          </cell>
          <cell r="BU1890">
            <v>0.57200712403907439</v>
          </cell>
          <cell r="BV1890">
            <v>0.54790315006239387</v>
          </cell>
          <cell r="BY1890" t="str">
            <v>2250/0.5/4750</v>
          </cell>
          <cell r="BZ1890">
            <v>2.0826992696034163E-2</v>
          </cell>
          <cell r="CA1890">
            <v>1.9578968939209018E-2</v>
          </cell>
        </row>
        <row r="1891">
          <cell r="BN1891" t="str">
            <v>3250/0.7/6350</v>
          </cell>
          <cell r="BO1891">
            <v>0.62376908633369976</v>
          </cell>
          <cell r="BP1891">
            <v>0.67670419200333298</v>
          </cell>
          <cell r="BQ1891">
            <v>0.64318839012230788</v>
          </cell>
          <cell r="BR1891">
            <v>0.62376658197194279</v>
          </cell>
          <cell r="BS1891">
            <v>0.59336761836671725</v>
          </cell>
          <cell r="BT1891">
            <v>0.48089931476796499</v>
          </cell>
          <cell r="BU1891">
            <v>0.5709183043721936</v>
          </cell>
          <cell r="BV1891">
            <v>0.54675202883979201</v>
          </cell>
          <cell r="BY1891" t="str">
            <v>2250/0.5/5000</v>
          </cell>
          <cell r="BZ1891">
            <v>2.0663682504239667E-2</v>
          </cell>
          <cell r="CA1891">
            <v>1.9386433307789774E-2</v>
          </cell>
        </row>
        <row r="1892">
          <cell r="BN1892" t="str">
            <v>3250/0.7/6600</v>
          </cell>
          <cell r="BO1892">
            <v>0.61919638399838006</v>
          </cell>
          <cell r="BP1892">
            <v>0.67450018590923788</v>
          </cell>
          <cell r="BQ1892">
            <v>0.63860597857279922</v>
          </cell>
          <cell r="BR1892">
            <v>0.6191709461026087</v>
          </cell>
          <cell r="BS1892">
            <v>0.58878143189899479</v>
          </cell>
          <cell r="BT1892">
            <v>0.47849728317830587</v>
          </cell>
          <cell r="BU1892">
            <v>0.56820449978948095</v>
          </cell>
          <cell r="BV1892">
            <v>0.54385820207114499</v>
          </cell>
          <cell r="BY1892" t="str">
            <v>2250/0.5/5250</v>
          </cell>
          <cell r="BZ1892">
            <v>2.0514515151874468E-2</v>
          </cell>
          <cell r="CA1892">
            <v>1.9203214759843767E-2</v>
          </cell>
        </row>
        <row r="1893">
          <cell r="BN1893" t="str">
            <v>3250/0.7/6850</v>
          </cell>
          <cell r="BO1893">
            <v>0.61486226474645711</v>
          </cell>
          <cell r="BP1893">
            <v>0.67250706239044167</v>
          </cell>
          <cell r="BQ1893">
            <v>0.63458513858278998</v>
          </cell>
          <cell r="BR1893">
            <v>0.61462094262740841</v>
          </cell>
          <cell r="BS1893">
            <v>0.58454349186427512</v>
          </cell>
          <cell r="BT1893">
            <v>0.4760855065257697</v>
          </cell>
          <cell r="BU1893">
            <v>0.56553335629861201</v>
          </cell>
          <cell r="BV1893">
            <v>0.54120473747319453</v>
          </cell>
          <cell r="BY1893" t="str">
            <v>2250/0.5/5500</v>
          </cell>
          <cell r="BZ1893">
            <v>2.036534779950927E-2</v>
          </cell>
          <cell r="CA1893">
            <v>1.9019996211897761E-2</v>
          </cell>
        </row>
        <row r="1894">
          <cell r="BN1894" t="str">
            <v>3250/0.7/7500</v>
          </cell>
          <cell r="BO1894">
            <v>0.60590098174496188</v>
          </cell>
          <cell r="BP1894">
            <v>0.66842784453553161</v>
          </cell>
          <cell r="BQ1894">
            <v>0.62593436123231805</v>
          </cell>
          <cell r="BR1894">
            <v>0.60507159062714555</v>
          </cell>
          <cell r="BS1894">
            <v>0.57465582589134367</v>
          </cell>
          <cell r="BT1894">
            <v>0.47012971192152786</v>
          </cell>
          <cell r="BU1894">
            <v>0.55943300217033098</v>
          </cell>
          <cell r="BV1894">
            <v>0.53519522482736526</v>
          </cell>
          <cell r="BY1894" t="str">
            <v>2250/0.5/5750</v>
          </cell>
          <cell r="BZ1894">
            <v>2.0227795987523223E-2</v>
          </cell>
          <cell r="CA1894">
            <v>1.8872348357087287E-2</v>
          </cell>
        </row>
        <row r="1895">
          <cell r="BN1895" t="str">
            <v>3250/0.7/10000</v>
          </cell>
          <cell r="BO1895">
            <v>0.58130572128650293</v>
          </cell>
          <cell r="BP1895">
            <v>0.65822782774931365</v>
          </cell>
          <cell r="BQ1895">
            <v>0.60212530858972546</v>
          </cell>
          <cell r="BR1895">
            <v>0.5794342090557616</v>
          </cell>
          <cell r="BS1895">
            <v>0.54813701156267591</v>
          </cell>
          <cell r="BT1895">
            <v>0.45563687653367158</v>
          </cell>
          <cell r="BU1895">
            <v>0.54301088294502153</v>
          </cell>
          <cell r="BV1895">
            <v>0.51861482047097673</v>
          </cell>
          <cell r="BY1895" t="str">
            <v>2250/0.5/6000</v>
          </cell>
          <cell r="BZ1895">
            <v>2.0090244175537175E-2</v>
          </cell>
          <cell r="CA1895">
            <v>1.8724700502276814E-2</v>
          </cell>
        </row>
        <row r="1896">
          <cell r="BN1896" t="str">
            <v>3250/0.7/99999</v>
          </cell>
          <cell r="BO1896">
            <v>0.48630137495342574</v>
          </cell>
          <cell r="BP1896">
            <v>0.62248567045266667</v>
          </cell>
          <cell r="BQ1896">
            <v>0.4991963273517448</v>
          </cell>
          <cell r="BR1896">
            <v>0.48232703066763971</v>
          </cell>
          <cell r="BS1896">
            <v>0.4742871969682218</v>
          </cell>
          <cell r="BT1896">
            <v>0.39548595801042141</v>
          </cell>
          <cell r="BU1896">
            <v>0.48087483974407474</v>
          </cell>
          <cell r="BV1896">
            <v>0.46602397919920613</v>
          </cell>
          <cell r="BY1896" t="str">
            <v>2250/0.5/6250</v>
          </cell>
          <cell r="BZ1896">
            <v>1.9960839313957646E-2</v>
          </cell>
          <cell r="CA1896">
            <v>1.8590499192755683E-2</v>
          </cell>
        </row>
        <row r="1897">
          <cell r="BY1897" t="str">
            <v>2250/0.5/6350</v>
          </cell>
          <cell r="BZ1897">
            <v>1.9910948082123014E-2</v>
          </cell>
          <cell r="CA1897">
            <v>1.8537059169568493E-2</v>
          </cell>
        </row>
        <row r="1898">
          <cell r="BN1898" t="str">
            <v>3500/0.7/4000</v>
          </cell>
          <cell r="BO1898">
            <v>0.68580209971375417</v>
          </cell>
          <cell r="BP1898">
            <v>0.71431308399228144</v>
          </cell>
          <cell r="BQ1898">
            <v>0.70387735836102627</v>
          </cell>
          <cell r="BR1898">
            <v>0.68675987563507712</v>
          </cell>
          <cell r="BS1898">
            <v>0.663043488163363</v>
          </cell>
          <cell r="BT1898">
            <v>0.53694322302392461</v>
          </cell>
          <cell r="BU1898">
            <v>0.62350726970238046</v>
          </cell>
          <cell r="BV1898">
            <v>0.58883158563007698</v>
          </cell>
          <cell r="BY1898" t="str">
            <v>2250/0.5/6600</v>
          </cell>
          <cell r="BZ1898">
            <v>1.9787290965962434E-2</v>
          </cell>
          <cell r="CA1898">
            <v>1.8402830438470241E-2</v>
          </cell>
        </row>
        <row r="1899">
          <cell r="BN1899" t="str">
            <v>3500/0.7/4250</v>
          </cell>
          <cell r="BO1899">
            <v>0.67653173553388757</v>
          </cell>
          <cell r="BP1899">
            <v>0.70739278177996501</v>
          </cell>
          <cell r="BQ1899">
            <v>0.69494737072330726</v>
          </cell>
          <cell r="BR1899">
            <v>0.67746475055683697</v>
          </cell>
          <cell r="BS1899">
            <v>0.65201192845293243</v>
          </cell>
          <cell r="BT1899">
            <v>0.52497372532123565</v>
          </cell>
          <cell r="BU1899">
            <v>0.61064644018113712</v>
          </cell>
          <cell r="BV1899">
            <v>0.58145053547833236</v>
          </cell>
          <cell r="BY1899" t="str">
            <v>2250/0.5/6850</v>
          </cell>
          <cell r="BZ1899">
            <v>1.9665114582165688E-2</v>
          </cell>
          <cell r="CA1899">
            <v>1.8268167614001296E-2</v>
          </cell>
        </row>
        <row r="1900">
          <cell r="BN1900" t="str">
            <v>3500/0.7/4500</v>
          </cell>
          <cell r="BO1900">
            <v>0.66726137135402086</v>
          </cell>
          <cell r="BP1900">
            <v>0.70047247956764858</v>
          </cell>
          <cell r="BQ1900">
            <v>0.68601738308558824</v>
          </cell>
          <cell r="BR1900">
            <v>0.66816962547859693</v>
          </cell>
          <cell r="BS1900">
            <v>0.64098036874250175</v>
          </cell>
          <cell r="BT1900">
            <v>0.51300422761854669</v>
          </cell>
          <cell r="BU1900">
            <v>0.59778561065989366</v>
          </cell>
          <cell r="BV1900">
            <v>0.57406948532658764</v>
          </cell>
          <cell r="BY1900" t="str">
            <v>2250/0.5/7500</v>
          </cell>
          <cell r="BZ1900">
            <v>1.9345690094966561E-2</v>
          </cell>
          <cell r="CA1900">
            <v>1.7957878924735104E-2</v>
          </cell>
        </row>
        <row r="1901">
          <cell r="BN1901" t="str">
            <v>3500/0.7/4750</v>
          </cell>
          <cell r="BO1901">
            <v>0.65927330691228048</v>
          </cell>
          <cell r="BP1901">
            <v>0.6951662984294954</v>
          </cell>
          <cell r="BQ1901">
            <v>0.67819745320977476</v>
          </cell>
          <cell r="BR1901">
            <v>0.66012196691559732</v>
          </cell>
          <cell r="BS1901">
            <v>0.63182368099668984</v>
          </cell>
          <cell r="BT1901">
            <v>0.50472226769223605</v>
          </cell>
          <cell r="BU1901">
            <v>0.59208108920596358</v>
          </cell>
          <cell r="BV1901">
            <v>0.56792208413391954</v>
          </cell>
          <cell r="BY1901" t="str">
            <v>2250/0.5/8000</v>
          </cell>
          <cell r="BZ1901">
            <v>1.912316383132906E-2</v>
          </cell>
          <cell r="CA1901">
            <v>1.7762135462483841E-2</v>
          </cell>
        </row>
        <row r="1902">
          <cell r="BN1902" t="str">
            <v>3500/0.7/5000</v>
          </cell>
          <cell r="BO1902">
            <v>0.65128524247053998</v>
          </cell>
          <cell r="BP1902">
            <v>0.68986011729134222</v>
          </cell>
          <cell r="BQ1902">
            <v>0.67037752333396139</v>
          </cell>
          <cell r="BR1902">
            <v>0.65207430835259761</v>
          </cell>
          <cell r="BS1902">
            <v>0.62266699325087793</v>
          </cell>
          <cell r="BT1902">
            <v>0.49644030776592551</v>
          </cell>
          <cell r="BU1902">
            <v>0.58637656775203351</v>
          </cell>
          <cell r="BV1902">
            <v>0.56177468294125144</v>
          </cell>
          <cell r="BY1902" t="str">
            <v>2250/0.5/9000</v>
          </cell>
          <cell r="BZ1902">
            <v>1.8798579024237982E-2</v>
          </cell>
          <cell r="CA1902">
            <v>1.7403306309846212E-2</v>
          </cell>
        </row>
        <row r="1903">
          <cell r="BN1903" t="str">
            <v>3500/0.7/5250</v>
          </cell>
          <cell r="BO1903">
            <v>0.64495260032847179</v>
          </cell>
          <cell r="BP1903">
            <v>0.68683653430427904</v>
          </cell>
          <cell r="BQ1903">
            <v>0.66404371293079911</v>
          </cell>
          <cell r="BR1903">
            <v>0.64574206414284652</v>
          </cell>
          <cell r="BS1903">
            <v>0.61582275283350973</v>
          </cell>
          <cell r="BT1903">
            <v>0.49278834867267146</v>
          </cell>
          <cell r="BU1903">
            <v>0.58195523046122677</v>
          </cell>
          <cell r="BV1903">
            <v>0.55721874065723709</v>
          </cell>
          <cell r="BY1903" t="str">
            <v>2250/0.5/10000</v>
          </cell>
          <cell r="BZ1903">
            <v>1.8474071530595992E-2</v>
          </cell>
          <cell r="CA1903">
            <v>1.7097459805276993E-2</v>
          </cell>
        </row>
        <row r="1904">
          <cell r="BN1904" t="str">
            <v>3500/0.7/5500</v>
          </cell>
          <cell r="BO1904">
            <v>0.63861995818640349</v>
          </cell>
          <cell r="BP1904">
            <v>0.68381295131721576</v>
          </cell>
          <cell r="BQ1904">
            <v>0.65770990252763684</v>
          </cell>
          <cell r="BR1904">
            <v>0.63940981993309542</v>
          </cell>
          <cell r="BS1904">
            <v>0.60897851241614154</v>
          </cell>
          <cell r="BT1904">
            <v>0.48913638957941741</v>
          </cell>
          <cell r="BU1904">
            <v>0.57753389317042003</v>
          </cell>
          <cell r="BV1904">
            <v>0.55266279837322274</v>
          </cell>
          <cell r="BY1904" t="str">
            <v>2250/0.5/99999</v>
          </cell>
          <cell r="BZ1904">
            <v>1.3565100125511487E-2</v>
          </cell>
          <cell r="CA1904">
            <v>1.2793388646035964E-2</v>
          </cell>
        </row>
        <row r="1905">
          <cell r="BN1905" t="str">
            <v>3500/0.7/5750</v>
          </cell>
          <cell r="BO1905">
            <v>0.63305165738249591</v>
          </cell>
          <cell r="BP1905">
            <v>0.68085083053677442</v>
          </cell>
          <cell r="BQ1905">
            <v>0.65262403430909621</v>
          </cell>
          <cell r="BR1905">
            <v>0.63350585761945344</v>
          </cell>
          <cell r="BS1905">
            <v>0.60276416837675773</v>
          </cell>
          <cell r="BT1905">
            <v>0.4854998801983621</v>
          </cell>
          <cell r="BU1905">
            <v>0.57354046079579912</v>
          </cell>
          <cell r="BV1905">
            <v>0.54870087889987684</v>
          </cell>
          <cell r="BY1905" t="str">
            <v>2500/0.5/2500</v>
          </cell>
          <cell r="BZ1905">
            <v>2.2679135262213768E-2</v>
          </cell>
          <cell r="CA1905">
            <v>2.1931405624654676E-2</v>
          </cell>
        </row>
        <row r="1906">
          <cell r="BN1906" t="str">
            <v>3500/0.7/6000</v>
          </cell>
          <cell r="BO1906">
            <v>0.62748335657858834</v>
          </cell>
          <cell r="BP1906">
            <v>0.6778887097563332</v>
          </cell>
          <cell r="BQ1906">
            <v>0.64753816609055559</v>
          </cell>
          <cell r="BR1906">
            <v>0.62760189530581145</v>
          </cell>
          <cell r="BS1906">
            <v>0.59654982433737391</v>
          </cell>
          <cell r="BT1906">
            <v>0.48186337081730674</v>
          </cell>
          <cell r="BU1906">
            <v>0.56954702842117821</v>
          </cell>
          <cell r="BV1906">
            <v>0.54473895942653083</v>
          </cell>
          <cell r="BY1906" t="str">
            <v>2500/0.5/2750</v>
          </cell>
          <cell r="BZ1906">
            <v>2.2480034242326585E-2</v>
          </cell>
          <cell r="CA1906">
            <v>2.1534016219298291E-2</v>
          </cell>
        </row>
        <row r="1907">
          <cell r="BN1907" t="str">
            <v>3500/0.7/6250</v>
          </cell>
          <cell r="BO1907">
            <v>0.6227476188232236</v>
          </cell>
          <cell r="BP1907">
            <v>0.6754003834383806</v>
          </cell>
          <cell r="BQ1907">
            <v>0.64278606558791307</v>
          </cell>
          <cell r="BR1907">
            <v>0.62287486431658834</v>
          </cell>
          <cell r="BS1907">
            <v>0.59147973496115636</v>
          </cell>
          <cell r="BT1907">
            <v>0.47850547640200752</v>
          </cell>
          <cell r="BU1907">
            <v>0.56681023447529599</v>
          </cell>
          <cell r="BV1907">
            <v>0.54183500033864207</v>
          </cell>
          <cell r="BY1907" t="str">
            <v>2500/0.5/3000</v>
          </cell>
          <cell r="BZ1907">
            <v>2.2205279801940314E-2</v>
          </cell>
          <cell r="CA1907">
            <v>2.1179888899913735E-2</v>
          </cell>
        </row>
        <row r="1908">
          <cell r="BN1908" t="str">
            <v>3500/0.7/6350</v>
          </cell>
          <cell r="BO1908">
            <v>0.62084884712541455</v>
          </cell>
          <cell r="BP1908">
            <v>0.67449643215112876</v>
          </cell>
          <cell r="BQ1908">
            <v>0.64092756972676124</v>
          </cell>
          <cell r="BR1908">
            <v>0.6209785010961244</v>
          </cell>
          <cell r="BS1908">
            <v>0.58944297854230765</v>
          </cell>
          <cell r="BT1908">
            <v>0.47730395481250404</v>
          </cell>
          <cell r="BU1908">
            <v>0.56570972994641788</v>
          </cell>
          <cell r="BV1908">
            <v>0.54069393462500104</v>
          </cell>
          <cell r="BY1908" t="str">
            <v>2500/0.5/3250</v>
          </cell>
          <cell r="BZ1908">
            <v>2.1958600919697702E-2</v>
          </cell>
          <cell r="CA1908">
            <v>2.0877540570616304E-2</v>
          </cell>
        </row>
        <row r="1909">
          <cell r="BN1909" t="str">
            <v>3500/0.7/6600</v>
          </cell>
          <cell r="BO1909">
            <v>0.61625733668594374</v>
          </cell>
          <cell r="BP1909">
            <v>0.67226922051893312</v>
          </cell>
          <cell r="BQ1909">
            <v>0.6363258669951749</v>
          </cell>
          <cell r="BR1909">
            <v>0.61633813460472264</v>
          </cell>
          <cell r="BS1909">
            <v>0.58450422281678505</v>
          </cell>
          <cell r="BT1909">
            <v>0.47494779164952422</v>
          </cell>
          <cell r="BU1909">
            <v>0.56294400124791044</v>
          </cell>
          <cell r="BV1909">
            <v>0.53782316046131462</v>
          </cell>
          <cell r="BY1909" t="str">
            <v>2500/0.5/3500</v>
          </cell>
          <cell r="BZ1909">
            <v>2.1711922037455089E-2</v>
          </cell>
          <cell r="CA1909">
            <v>2.0575192241318874E-2</v>
          </cell>
        </row>
        <row r="1910">
          <cell r="BN1910" t="str">
            <v>3500/0.7/6850</v>
          </cell>
          <cell r="BO1910">
            <v>0.61170862492521683</v>
          </cell>
          <cell r="BP1910">
            <v>0.67009080058550707</v>
          </cell>
          <cell r="BQ1910">
            <v>0.63176765061813756</v>
          </cell>
          <cell r="BR1910">
            <v>0.61179218931774848</v>
          </cell>
          <cell r="BS1910">
            <v>0.58028531451249754</v>
          </cell>
          <cell r="BT1910">
            <v>0.47250819803822158</v>
          </cell>
          <cell r="BU1910">
            <v>0.56026939062888292</v>
          </cell>
          <cell r="BV1910">
            <v>0.53490996534366209</v>
          </cell>
          <cell r="BY1910" t="str">
            <v>2500/0.5/3750</v>
          </cell>
          <cell r="BZ1910">
            <v>2.1500518337176699E-2</v>
          </cell>
          <cell r="CA1910">
            <v>2.0319980658178194E-2</v>
          </cell>
        </row>
        <row r="1911">
          <cell r="BN1911" t="str">
            <v>3500/0.7/7500</v>
          </cell>
          <cell r="BO1911">
            <v>0.60175852001913022</v>
          </cell>
          <cell r="BP1911">
            <v>0.66543190273459496</v>
          </cell>
          <cell r="BQ1911">
            <v>0.62243684714633396</v>
          </cell>
          <cell r="BR1911">
            <v>0.60104926237896694</v>
          </cell>
          <cell r="BS1911">
            <v>0.56946547938236725</v>
          </cell>
          <cell r="BT1911">
            <v>0.46629657263879598</v>
          </cell>
          <cell r="BU1911">
            <v>0.55363094933817147</v>
          </cell>
          <cell r="BV1911">
            <v>0.52866221549836456</v>
          </cell>
          <cell r="BY1911" t="str">
            <v>2500/0.5/4000</v>
          </cell>
          <cell r="BZ1911">
            <v>2.128911463689831E-2</v>
          </cell>
          <cell r="CA1911">
            <v>2.0064769075037514E-2</v>
          </cell>
        </row>
        <row r="1912">
          <cell r="BN1912" t="str">
            <v>3500/0.7/10000</v>
          </cell>
          <cell r="BO1912">
            <v>0.57633370225166658</v>
          </cell>
          <cell r="BP1912">
            <v>0.65500105143098153</v>
          </cell>
          <cell r="BQ1912">
            <v>0.59779787937150353</v>
          </cell>
          <cell r="BR1912">
            <v>0.57484406388137776</v>
          </cell>
          <cell r="BS1912">
            <v>0.54240688729384978</v>
          </cell>
          <cell r="BT1912">
            <v>0.45111119990423887</v>
          </cell>
          <cell r="BU1912">
            <v>0.53677511753614093</v>
          </cell>
          <cell r="BV1912">
            <v>0.51145218544081616</v>
          </cell>
          <cell r="BY1912" t="str">
            <v>2500/0.5/4250</v>
          </cell>
          <cell r="BZ1912">
            <v>2.1102022894403105E-2</v>
          </cell>
          <cell r="CA1912">
            <v>1.9840020377555168E-2</v>
          </cell>
        </row>
        <row r="1913">
          <cell r="BN1913" t="str">
            <v>3500/0.7/99999</v>
          </cell>
          <cell r="BO1913">
            <v>0.48313308244759445</v>
          </cell>
          <cell r="BP1913">
            <v>0.61848577036926955</v>
          </cell>
          <cell r="BQ1913">
            <v>0.49544123070916618</v>
          </cell>
          <cell r="BR1913">
            <v>0.47919011439265807</v>
          </cell>
          <cell r="BS1913">
            <v>0.47050284244338531</v>
          </cell>
          <cell r="BT1913">
            <v>0.39017680937198462</v>
          </cell>
          <cell r="BU1913">
            <v>0.47382822577204753</v>
          </cell>
          <cell r="BV1913">
            <v>0.45801347808173726</v>
          </cell>
          <cell r="BY1913" t="str">
            <v>2500/0.5/4500</v>
          </cell>
          <cell r="BZ1913">
            <v>2.0914931151907901E-2</v>
          </cell>
          <cell r="CA1913">
            <v>1.9615271680072821E-2</v>
          </cell>
        </row>
        <row r="1914">
          <cell r="BY1914" t="str">
            <v>2500/0.5/4750</v>
          </cell>
          <cell r="BZ1914">
            <v>2.074699754527809E-2</v>
          </cell>
          <cell r="CA1914">
            <v>1.941600027197421E-2</v>
          </cell>
        </row>
        <row r="1915">
          <cell r="BN1915" t="str">
            <v>3750/0.7/4500</v>
          </cell>
          <cell r="BO1915">
            <v>0.66802872442712991</v>
          </cell>
          <cell r="BP1915">
            <v>0.70182001682576856</v>
          </cell>
          <cell r="BQ1915">
            <v>0.68716833367851216</v>
          </cell>
          <cell r="BR1915">
            <v>0.66901908123393439</v>
          </cell>
          <cell r="BS1915">
            <v>0.64188512069938342</v>
          </cell>
          <cell r="BT1915">
            <v>0.5121116650951959</v>
          </cell>
          <cell r="BU1915">
            <v>0.59530705081957891</v>
          </cell>
          <cell r="BV1915">
            <v>0.57176546055205824</v>
          </cell>
          <cell r="BY1915" t="str">
            <v>2500/0.5/5000</v>
          </cell>
          <cell r="BZ1915">
            <v>2.0579063938648279E-2</v>
          </cell>
          <cell r="CA1915">
            <v>1.9216728863875598E-2</v>
          </cell>
        </row>
        <row r="1916">
          <cell r="BN1916" t="str">
            <v>3750/0.7/4750</v>
          </cell>
          <cell r="BO1916">
            <v>0.65964901792566666</v>
          </cell>
          <cell r="BP1916">
            <v>0.69608404770319021</v>
          </cell>
          <cell r="BQ1916">
            <v>0.67900259031189392</v>
          </cell>
          <cell r="BR1916">
            <v>0.66059640978697809</v>
          </cell>
          <cell r="BS1916">
            <v>0.63195470298996681</v>
          </cell>
          <cell r="BT1916">
            <v>0.50360718262059989</v>
          </cell>
          <cell r="BU1916">
            <v>0.58937016524629382</v>
          </cell>
          <cell r="BV1916">
            <v>0.56520698110200351</v>
          </cell>
          <cell r="BY1916" t="str">
            <v>2500/0.5/5250</v>
          </cell>
          <cell r="BZ1916">
            <v>2.0427014798471643E-2</v>
          </cell>
          <cell r="CA1916">
            <v>1.9032629310443583E-2</v>
          </cell>
        </row>
        <row r="1917">
          <cell r="BN1917" t="str">
            <v>3750/0.7/5000</v>
          </cell>
          <cell r="BO1917">
            <v>0.6512693114242033</v>
          </cell>
          <cell r="BP1917">
            <v>0.69034807858061198</v>
          </cell>
          <cell r="BQ1917">
            <v>0.6708368469452759</v>
          </cell>
          <cell r="BR1917">
            <v>0.65217373834002179</v>
          </cell>
          <cell r="BS1917">
            <v>0.6220242852805502</v>
          </cell>
          <cell r="BT1917">
            <v>0.4951027001460041</v>
          </cell>
          <cell r="BU1917">
            <v>0.58343327967300873</v>
          </cell>
          <cell r="BV1917">
            <v>0.55864850165194868</v>
          </cell>
          <cell r="BY1917" t="str">
            <v>2500/0.5/5500</v>
          </cell>
          <cell r="BZ1917">
            <v>2.0274965658295008E-2</v>
          </cell>
          <cell r="CA1917">
            <v>1.8848529757011567E-2</v>
          </cell>
        </row>
        <row r="1918">
          <cell r="BN1918" t="str">
            <v>3750/0.7/5250</v>
          </cell>
          <cell r="BO1918">
            <v>0.64422873437862882</v>
          </cell>
          <cell r="BP1918">
            <v>0.68638960728687459</v>
          </cell>
          <cell r="BQ1918">
            <v>0.66384660972781551</v>
          </cell>
          <cell r="BR1918">
            <v>0.64511801770687971</v>
          </cell>
          <cell r="BS1918">
            <v>0.61441688167786768</v>
          </cell>
          <cell r="BT1918">
            <v>0.49094358614148925</v>
          </cell>
          <cell r="BU1918">
            <v>0.57871818176132228</v>
          </cell>
          <cell r="BV1918">
            <v>0.55343061921736969</v>
          </cell>
          <cell r="BY1918" t="str">
            <v>2500/0.5/5750</v>
          </cell>
          <cell r="BZ1918">
            <v>2.0134459573756591E-2</v>
          </cell>
          <cell r="CA1918">
            <v>1.8688585195543728E-2</v>
          </cell>
        </row>
        <row r="1919">
          <cell r="BN1919" t="str">
            <v>3750/0.7/5500</v>
          </cell>
          <cell r="BO1919">
            <v>0.63718815733305434</v>
          </cell>
          <cell r="BP1919">
            <v>0.68243113599313721</v>
          </cell>
          <cell r="BQ1919">
            <v>0.65685637251035522</v>
          </cell>
          <cell r="BR1919">
            <v>0.63806229707373763</v>
          </cell>
          <cell r="BS1919">
            <v>0.60680947807518515</v>
          </cell>
          <cell r="BT1919">
            <v>0.4867844721369744</v>
          </cell>
          <cell r="BU1919">
            <v>0.57400308384963583</v>
          </cell>
          <cell r="BV1919">
            <v>0.54821273678279081</v>
          </cell>
          <cell r="BY1919" t="str">
            <v>2500/0.5/6000</v>
          </cell>
          <cell r="BZ1919">
            <v>1.9993953489218175E-2</v>
          </cell>
          <cell r="CA1919">
            <v>1.8528640634075888E-2</v>
          </cell>
        </row>
        <row r="1920">
          <cell r="BN1920" t="str">
            <v>3750/0.7/5750</v>
          </cell>
          <cell r="BO1920">
            <v>0.6312385076530751</v>
          </cell>
          <cell r="BP1920">
            <v>0.67955290487992981</v>
          </cell>
          <cell r="BQ1920">
            <v>0.65139551829784192</v>
          </cell>
          <cell r="BR1920">
            <v>0.63194499684231631</v>
          </cell>
          <cell r="BS1920">
            <v>0.60026939452579087</v>
          </cell>
          <cell r="BT1920">
            <v>0.48322015333761742</v>
          </cell>
          <cell r="BU1920">
            <v>0.56989048671133458</v>
          </cell>
          <cell r="BV1920">
            <v>0.54414409967416311</v>
          </cell>
          <cell r="BY1920" t="str">
            <v>2500/0.5/6250</v>
          </cell>
          <cell r="BZ1920">
            <v>1.9862013604661666E-2</v>
          </cell>
          <cell r="CA1920">
            <v>1.8394331945761344E-2</v>
          </cell>
        </row>
        <row r="1921">
          <cell r="BN1921" t="str">
            <v>3750/0.7/6000</v>
          </cell>
          <cell r="BO1921">
            <v>0.62528885797309575</v>
          </cell>
          <cell r="BP1921">
            <v>0.67667467376672263</v>
          </cell>
          <cell r="BQ1921">
            <v>0.64593466408532874</v>
          </cell>
          <cell r="BR1921">
            <v>0.6258276966108951</v>
          </cell>
          <cell r="BS1921">
            <v>0.59372931097639658</v>
          </cell>
          <cell r="BT1921">
            <v>0.47965583453826044</v>
          </cell>
          <cell r="BU1921">
            <v>0.56577788957303321</v>
          </cell>
          <cell r="BV1921">
            <v>0.54007546256553529</v>
          </cell>
          <cell r="BY1921" t="str">
            <v>2500/0.5/6350</v>
          </cell>
          <cell r="BZ1921">
            <v>1.9811319493368673E-2</v>
          </cell>
          <cell r="CA1921">
            <v>1.8340860782656732E-2</v>
          </cell>
        </row>
        <row r="1922">
          <cell r="BN1922" t="str">
            <v>3750/0.7/6250</v>
          </cell>
          <cell r="BO1922">
            <v>0.62046020504317889</v>
          </cell>
          <cell r="BP1922">
            <v>0.67395249680878044</v>
          </cell>
          <cell r="BQ1922">
            <v>0.64108791864738579</v>
          </cell>
          <cell r="BR1922">
            <v>0.62068837388155051</v>
          </cell>
          <cell r="BS1922">
            <v>0.58831835869199001</v>
          </cell>
          <cell r="BT1922">
            <v>0.47616818199149041</v>
          </cell>
          <cell r="BU1922">
            <v>0.56237315763710316</v>
          </cell>
          <cell r="BV1922">
            <v>0.53661827856739897</v>
          </cell>
          <cell r="BY1922" t="str">
            <v>2500/0.5/6600</v>
          </cell>
          <cell r="BZ1922">
            <v>1.9686000283926974E-2</v>
          </cell>
          <cell r="CA1922">
            <v>1.8206843740937062E-2</v>
          </cell>
        </row>
        <row r="1923">
          <cell r="BN1923" t="str">
            <v>3750/0.7/6350</v>
          </cell>
          <cell r="BO1923">
            <v>0.61852384458340726</v>
          </cell>
          <cell r="BP1923">
            <v>0.67290919185597065</v>
          </cell>
          <cell r="BQ1923">
            <v>0.6391676260735516</v>
          </cell>
          <cell r="BR1923">
            <v>0.61875474594990476</v>
          </cell>
          <cell r="BS1923">
            <v>0.58624917540888555</v>
          </cell>
          <cell r="BT1923">
            <v>0.47484260618228469</v>
          </cell>
          <cell r="BU1923">
            <v>0.56104048833128806</v>
          </cell>
          <cell r="BV1923">
            <v>0.53530871590039686</v>
          </cell>
          <cell r="BY1923" t="str">
            <v>2500/0.5/6850</v>
          </cell>
          <cell r="BZ1923">
            <v>1.9564019376696162E-2</v>
          </cell>
          <cell r="CA1923">
            <v>1.8072508559568323E-2</v>
          </cell>
        </row>
        <row r="1924">
          <cell r="BN1924" t="str">
            <v>3750/0.7/6600</v>
          </cell>
          <cell r="BO1924">
            <v>0.61379750494856045</v>
          </cell>
          <cell r="BP1924">
            <v>0.67048917995593227</v>
          </cell>
          <cell r="BQ1924">
            <v>0.63442663629841012</v>
          </cell>
          <cell r="BR1924">
            <v>0.61400810815935269</v>
          </cell>
          <cell r="BS1924">
            <v>0.58118459695309754</v>
          </cell>
          <cell r="BT1924">
            <v>0.47190392140435755</v>
          </cell>
          <cell r="BU1924">
            <v>0.55828947875445345</v>
          </cell>
          <cell r="BV1924">
            <v>0.53240414147863191</v>
          </cell>
          <cell r="BY1924" t="str">
            <v>2500/0.5/7500</v>
          </cell>
          <cell r="BZ1924">
            <v>1.9245100838660267E-2</v>
          </cell>
          <cell r="CA1924">
            <v>1.7745298053589709E-2</v>
          </cell>
        </row>
        <row r="1925">
          <cell r="BN1925" t="str">
            <v>3750/0.7/6850</v>
          </cell>
          <cell r="BO1925">
            <v>0.60918506734472522</v>
          </cell>
          <cell r="BP1925">
            <v>0.66827145164903601</v>
          </cell>
          <cell r="BQ1925">
            <v>0.62982501001693447</v>
          </cell>
          <cell r="BR1925">
            <v>0.60937413007479679</v>
          </cell>
          <cell r="BS1925">
            <v>0.57652826379139155</v>
          </cell>
          <cell r="BT1925">
            <v>0.46939324918664693</v>
          </cell>
          <cell r="BU1925">
            <v>0.55557366195905611</v>
          </cell>
          <cell r="BV1925">
            <v>0.5295176397182717</v>
          </cell>
          <cell r="BY1925" t="str">
            <v>2500/0.5/8000</v>
          </cell>
          <cell r="BZ1925">
            <v>1.9001947634095906E-2</v>
          </cell>
          <cell r="CA1925">
            <v>1.754387644961386E-2</v>
          </cell>
        </row>
        <row r="1926">
          <cell r="BN1926" t="str">
            <v>3750/0.7/7500</v>
          </cell>
          <cell r="BO1926">
            <v>0.59838147189886481</v>
          </cell>
          <cell r="BP1926">
            <v>0.66321874531304315</v>
          </cell>
          <cell r="BQ1926">
            <v>0.61963639227745493</v>
          </cell>
          <cell r="BR1926">
            <v>0.5980729626832072</v>
          </cell>
          <cell r="BS1926">
            <v>0.56551113167370703</v>
          </cell>
          <cell r="BT1926">
            <v>0.46318328416713972</v>
          </cell>
          <cell r="BU1926">
            <v>0.54876230472050058</v>
          </cell>
          <cell r="BV1926">
            <v>0.5227850784684771</v>
          </cell>
          <cell r="BY1926" t="str">
            <v>2500/0.5/9000</v>
          </cell>
          <cell r="BZ1926">
            <v>1.8676366656078747E-2</v>
          </cell>
          <cell r="CA1926">
            <v>1.7179073144165891E-2</v>
          </cell>
        </row>
        <row r="1927">
          <cell r="BN1927" t="str">
            <v>3750/0.7/10000</v>
          </cell>
          <cell r="BO1927">
            <v>0.57205539351371604</v>
          </cell>
          <cell r="BP1927">
            <v>0.65218859000115481</v>
          </cell>
          <cell r="BQ1927">
            <v>0.59392119102530128</v>
          </cell>
          <cell r="BR1927">
            <v>0.57071216153944571</v>
          </cell>
          <cell r="BS1927">
            <v>0.53711070785537096</v>
          </cell>
          <cell r="BT1927">
            <v>0.44707029143268329</v>
          </cell>
          <cell r="BU1927">
            <v>0.53117687659399393</v>
          </cell>
          <cell r="BV1927">
            <v>0.50492833363251788</v>
          </cell>
          <cell r="BY1927" t="str">
            <v>2500/0.5/10000</v>
          </cell>
          <cell r="BZ1927">
            <v>1.8351991724502081E-2</v>
          </cell>
          <cell r="CA1927">
            <v>1.6872551462971064E-2</v>
          </cell>
        </row>
        <row r="1928">
          <cell r="BN1928" t="str">
            <v>3750/0.7/99999</v>
          </cell>
          <cell r="BO1928">
            <v>0.48017162833142824</v>
          </cell>
          <cell r="BP1928">
            <v>0.6149962255782131</v>
          </cell>
          <cell r="BQ1928">
            <v>0.49276486223992128</v>
          </cell>
          <cell r="BR1928">
            <v>0.47626094986138057</v>
          </cell>
          <cell r="BS1928">
            <v>0.46693618095296852</v>
          </cell>
          <cell r="BT1928">
            <v>0.38534828594568465</v>
          </cell>
          <cell r="BU1928">
            <v>0.46731248077927717</v>
          </cell>
          <cell r="BV1928">
            <v>0.45064575318068179</v>
          </cell>
          <cell r="BY1928" t="str">
            <v>2500/0.5/99999</v>
          </cell>
          <cell r="BZ1928">
            <v>1.3401763221772445E-2</v>
          </cell>
          <cell r="CA1928">
            <v>1.2540692209542348E-2</v>
          </cell>
        </row>
        <row r="1929">
          <cell r="BY1929" t="str">
            <v>2750/0.5/3000</v>
          </cell>
          <cell r="BZ1929">
            <v>2.2143935027588046E-2</v>
          </cell>
          <cell r="CA1929">
            <v>2.1151807464607986E-2</v>
          </cell>
        </row>
        <row r="1930">
          <cell r="BN1930" t="str">
            <v>4000/0.7/4500</v>
          </cell>
          <cell r="BO1930">
            <v>0.66879607750023906</v>
          </cell>
          <cell r="BP1930">
            <v>0.70316755408388854</v>
          </cell>
          <cell r="BQ1930">
            <v>0.68831928427143607</v>
          </cell>
          <cell r="BR1930">
            <v>0.66986853698927185</v>
          </cell>
          <cell r="BS1930">
            <v>0.64278987265626519</v>
          </cell>
          <cell r="BT1930">
            <v>0.51121910257184511</v>
          </cell>
          <cell r="BU1930">
            <v>0.59282849097926416</v>
          </cell>
          <cell r="BV1930">
            <v>0.56946143577752883</v>
          </cell>
          <cell r="BY1930" t="str">
            <v>2750/0.5/3250</v>
          </cell>
          <cell r="BZ1930">
            <v>2.1914435759525064E-2</v>
          </cell>
          <cell r="CA1930">
            <v>2.0827927640550248E-2</v>
          </cell>
        </row>
        <row r="1931">
          <cell r="BN1931" t="str">
            <v>4000/0.7/4750</v>
          </cell>
          <cell r="BO1931">
            <v>0.66002472893905284</v>
          </cell>
          <cell r="BP1931">
            <v>0.69700179697688514</v>
          </cell>
          <cell r="BQ1931">
            <v>0.67980772741401319</v>
          </cell>
          <cell r="BR1931">
            <v>0.66107085265835885</v>
          </cell>
          <cell r="BS1931">
            <v>0.63208572498324389</v>
          </cell>
          <cell r="BT1931">
            <v>0.50249209754896385</v>
          </cell>
          <cell r="BU1931">
            <v>0.58665924128662406</v>
          </cell>
          <cell r="BV1931">
            <v>0.56249187807008738</v>
          </cell>
          <cell r="BY1931" t="str">
            <v>2750/0.5/3500</v>
          </cell>
          <cell r="BZ1931">
            <v>2.1684936491462081E-2</v>
          </cell>
          <cell r="CA1931">
            <v>2.050404781649251E-2</v>
          </cell>
        </row>
        <row r="1932">
          <cell r="BN1932" t="str">
            <v>4000/0.7/5000</v>
          </cell>
          <cell r="BO1932">
            <v>0.65125338037786662</v>
          </cell>
          <cell r="BP1932">
            <v>0.69083603986988162</v>
          </cell>
          <cell r="BQ1932">
            <v>0.6712961705565903</v>
          </cell>
          <cell r="BR1932">
            <v>0.65227316832744597</v>
          </cell>
          <cell r="BS1932">
            <v>0.62138157731022248</v>
          </cell>
          <cell r="BT1932">
            <v>0.49376509252608264</v>
          </cell>
          <cell r="BU1932">
            <v>0.58048999159398396</v>
          </cell>
          <cell r="BV1932">
            <v>0.55552232036264582</v>
          </cell>
          <cell r="BY1932" t="str">
            <v>2750/0.5/3750</v>
          </cell>
          <cell r="BZ1932">
            <v>2.1464994850837527E-2</v>
          </cell>
          <cell r="CA1932">
            <v>2.0235162414612207E-2</v>
          </cell>
        </row>
        <row r="1933">
          <cell r="BN1933" t="str">
            <v>4000/0.7/5250</v>
          </cell>
          <cell r="BO1933">
            <v>0.64350486842878585</v>
          </cell>
          <cell r="BP1933">
            <v>0.68594268026947014</v>
          </cell>
          <cell r="BQ1933">
            <v>0.66364950652483201</v>
          </cell>
          <cell r="BR1933">
            <v>0.6444939712709129</v>
          </cell>
          <cell r="BS1933">
            <v>0.61301101052222551</v>
          </cell>
          <cell r="BT1933">
            <v>0.48909882361030699</v>
          </cell>
          <cell r="BU1933">
            <v>0.57548113306141779</v>
          </cell>
          <cell r="BV1933">
            <v>0.54964249777750229</v>
          </cell>
          <cell r="BY1933" t="str">
            <v>2750/0.5/4000</v>
          </cell>
          <cell r="BZ1933">
            <v>2.1245053210212972E-2</v>
          </cell>
          <cell r="CA1933">
            <v>1.9966277012731903E-2</v>
          </cell>
        </row>
        <row r="1934">
          <cell r="BN1934" t="str">
            <v>4000/0.7/5500</v>
          </cell>
          <cell r="BO1934">
            <v>0.63575635647970519</v>
          </cell>
          <cell r="BP1934">
            <v>0.68104932066905854</v>
          </cell>
          <cell r="BQ1934">
            <v>0.65600284249307361</v>
          </cell>
          <cell r="BR1934">
            <v>0.63671477421437983</v>
          </cell>
          <cell r="BS1934">
            <v>0.60464044373422865</v>
          </cell>
          <cell r="BT1934">
            <v>0.48443255469453139</v>
          </cell>
          <cell r="BU1934">
            <v>0.57047227452885163</v>
          </cell>
          <cell r="BV1934">
            <v>0.54376267519235888</v>
          </cell>
          <cell r="BY1934" t="str">
            <v>2750/0.5/4250</v>
          </cell>
          <cell r="BZ1934">
            <v>2.1053137481266304E-2</v>
          </cell>
          <cell r="CA1934">
            <v>1.9733668669594195E-2</v>
          </cell>
        </row>
        <row r="1935">
          <cell r="BN1935" t="str">
            <v>4000/0.7/5750</v>
          </cell>
          <cell r="BO1935">
            <v>0.62942535792365417</v>
          </cell>
          <cell r="BP1935">
            <v>0.67825497922308531</v>
          </cell>
          <cell r="BQ1935">
            <v>0.65016700228658775</v>
          </cell>
          <cell r="BR1935">
            <v>0.63038413606517918</v>
          </cell>
          <cell r="BS1935">
            <v>0.59777462067482401</v>
          </cell>
          <cell r="BT1935">
            <v>0.48094042647687274</v>
          </cell>
          <cell r="BU1935">
            <v>0.56624051262686992</v>
          </cell>
          <cell r="BV1935">
            <v>0.53958732044844937</v>
          </cell>
          <cell r="BY1935" t="str">
            <v>2750/0.5/4500</v>
          </cell>
          <cell r="BZ1935">
            <v>2.0861221752319636E-2</v>
          </cell>
          <cell r="CA1935">
            <v>1.9501060326456487E-2</v>
          </cell>
        </row>
        <row r="1936">
          <cell r="BN1936" t="str">
            <v>4000/0.7/6000</v>
          </cell>
          <cell r="BO1936">
            <v>0.62309435936760316</v>
          </cell>
          <cell r="BP1936">
            <v>0.67546063777711207</v>
          </cell>
          <cell r="BQ1936">
            <v>0.64433116208010188</v>
          </cell>
          <cell r="BR1936">
            <v>0.62405349791597864</v>
          </cell>
          <cell r="BS1936">
            <v>0.59090879761541937</v>
          </cell>
          <cell r="BT1936">
            <v>0.47744829825921409</v>
          </cell>
          <cell r="BU1936">
            <v>0.56200875072488821</v>
          </cell>
          <cell r="BV1936">
            <v>0.53541196570453975</v>
          </cell>
          <cell r="BY1936" t="str">
            <v>2750/0.5/4750</v>
          </cell>
          <cell r="BZ1936">
            <v>2.0688420075297254E-2</v>
          </cell>
          <cell r="CA1936">
            <v>1.9293628736150037E-2</v>
          </cell>
        </row>
        <row r="1937">
          <cell r="BN1937" t="str">
            <v>4000/0.7/6250</v>
          </cell>
          <cell r="BO1937">
            <v>0.61817279126313407</v>
          </cell>
          <cell r="BP1937">
            <v>0.67250461017918017</v>
          </cell>
          <cell r="BQ1937">
            <v>0.63938977170685851</v>
          </cell>
          <cell r="BR1937">
            <v>0.61850188344651269</v>
          </cell>
          <cell r="BS1937">
            <v>0.58515698242282355</v>
          </cell>
          <cell r="BT1937">
            <v>0.4738308875809733</v>
          </cell>
          <cell r="BU1937">
            <v>0.55793608079891022</v>
          </cell>
          <cell r="BV1937">
            <v>0.53140155679615586</v>
          </cell>
          <cell r="BY1937" t="str">
            <v>2750/0.5/5000</v>
          </cell>
          <cell r="BZ1937">
            <v>2.0515618398274871E-2</v>
          </cell>
          <cell r="CA1937">
            <v>1.9086197145843586E-2</v>
          </cell>
        </row>
        <row r="1938">
          <cell r="BN1938" t="str">
            <v>4000/0.7/6350</v>
          </cell>
          <cell r="BO1938">
            <v>0.61619884204139996</v>
          </cell>
          <cell r="BP1938">
            <v>0.67132195156081242</v>
          </cell>
          <cell r="BQ1938">
            <v>0.63740768242034196</v>
          </cell>
          <cell r="BR1938">
            <v>0.61653099080368512</v>
          </cell>
          <cell r="BS1938">
            <v>0.58305537227546345</v>
          </cell>
          <cell r="BT1938">
            <v>0.47238125755206539</v>
          </cell>
          <cell r="BU1938">
            <v>0.55637124671615812</v>
          </cell>
          <cell r="BV1938">
            <v>0.52992349717579268</v>
          </cell>
          <cell r="BY1938" t="str">
            <v>2750/0.5/5250</v>
          </cell>
          <cell r="BZ1938">
            <v>2.0360203755345474E-2</v>
          </cell>
          <cell r="CA1938">
            <v>1.8900204310916602E-2</v>
          </cell>
        </row>
        <row r="1939">
          <cell r="BN1939" t="str">
            <v>4000/0.7/6600</v>
          </cell>
          <cell r="BO1939">
            <v>0.61133767321117705</v>
          </cell>
          <cell r="BP1939">
            <v>0.66870913939293131</v>
          </cell>
          <cell r="BQ1939">
            <v>0.63252740560164522</v>
          </cell>
          <cell r="BR1939">
            <v>0.61167808171398264</v>
          </cell>
          <cell r="BS1939">
            <v>0.57786497108940993</v>
          </cell>
          <cell r="BT1939">
            <v>0.46886005115919083</v>
          </cell>
          <cell r="BU1939">
            <v>0.55363495626099657</v>
          </cell>
          <cell r="BV1939">
            <v>0.5269851224959492</v>
          </cell>
          <cell r="BY1939" t="str">
            <v>2750/0.5/5500</v>
          </cell>
          <cell r="BZ1939">
            <v>2.0204789112416077E-2</v>
          </cell>
          <cell r="CA1939">
            <v>1.8714211475989617E-2</v>
          </cell>
        </row>
        <row r="1940">
          <cell r="BN1940" t="str">
            <v>4000/0.7/6850</v>
          </cell>
          <cell r="BO1940">
            <v>0.60666150976423361</v>
          </cell>
          <cell r="BP1940">
            <v>0.66645210271256494</v>
          </cell>
          <cell r="BQ1940">
            <v>0.62788236941573139</v>
          </cell>
          <cell r="BR1940">
            <v>0.60695607083184511</v>
          </cell>
          <cell r="BS1940">
            <v>0.57277121307028567</v>
          </cell>
          <cell r="BT1940">
            <v>0.46627830033507234</v>
          </cell>
          <cell r="BU1940">
            <v>0.55087793328922929</v>
          </cell>
          <cell r="BV1940">
            <v>0.52412531409288132</v>
          </cell>
          <cell r="BY1940" t="str">
            <v>2750/0.5/5750</v>
          </cell>
          <cell r="BZ1940">
            <v>2.0061410177796668E-2</v>
          </cell>
          <cell r="CA1940">
            <v>1.8541853027369548E-2</v>
          </cell>
        </row>
        <row r="1941">
          <cell r="BN1941" t="str">
            <v>4000/0.7/7500</v>
          </cell>
          <cell r="BO1941">
            <v>0.59500442377859941</v>
          </cell>
          <cell r="BP1941">
            <v>0.66100558789149144</v>
          </cell>
          <cell r="BQ1941">
            <v>0.6168359374085759</v>
          </cell>
          <cell r="BR1941">
            <v>0.59509666298744746</v>
          </cell>
          <cell r="BS1941">
            <v>0.56155678396504682</v>
          </cell>
          <cell r="BT1941">
            <v>0.46006999569548346</v>
          </cell>
          <cell r="BU1941">
            <v>0.5438936601028298</v>
          </cell>
          <cell r="BV1941">
            <v>0.51690794143858965</v>
          </cell>
          <cell r="BY1941" t="str">
            <v>2750/0.5/6000</v>
          </cell>
          <cell r="BZ1941">
            <v>1.9918031243177259E-2</v>
          </cell>
          <cell r="CA1941">
            <v>1.8369494578749479E-2</v>
          </cell>
        </row>
        <row r="1942">
          <cell r="BN1942" t="str">
            <v>4000/0.7/10000</v>
          </cell>
          <cell r="BO1942">
            <v>0.56777708477576561</v>
          </cell>
          <cell r="BP1942">
            <v>0.64937612857132798</v>
          </cell>
          <cell r="BQ1942">
            <v>0.59004450267909903</v>
          </cell>
          <cell r="BR1942">
            <v>0.56658025919751376</v>
          </cell>
          <cell r="BS1942">
            <v>0.53181452841689203</v>
          </cell>
          <cell r="BT1942">
            <v>0.44302938296112776</v>
          </cell>
          <cell r="BU1942">
            <v>0.52557863565184693</v>
          </cell>
          <cell r="BV1942">
            <v>0.49840448182421959</v>
          </cell>
          <cell r="BY1942" t="str">
            <v>2750/0.5/6250</v>
          </cell>
          <cell r="BZ1942">
            <v>1.9783315727303297E-2</v>
          </cell>
          <cell r="CA1942">
            <v>1.8233068134797303E-2</v>
          </cell>
        </row>
        <row r="1943">
          <cell r="BN1943" t="str">
            <v>4000/0.7/99999</v>
          </cell>
          <cell r="BO1943">
            <v>0.47721017421526202</v>
          </cell>
          <cell r="BP1943">
            <v>0.61150668078715653</v>
          </cell>
          <cell r="BQ1943">
            <v>0.49008849377067637</v>
          </cell>
          <cell r="BR1943">
            <v>0.47333178533010312</v>
          </cell>
          <cell r="BS1943">
            <v>0.46336951946255178</v>
          </cell>
          <cell r="BT1943">
            <v>0.38051976251938469</v>
          </cell>
          <cell r="BU1943">
            <v>0.46079673578650682</v>
          </cell>
          <cell r="BV1943">
            <v>0.44327802827962637</v>
          </cell>
          <cell r="BY1943" t="str">
            <v>2750/0.5/6350</v>
          </cell>
          <cell r="BZ1943">
            <v>1.973152689870783E-2</v>
          </cell>
          <cell r="CA1943">
            <v>1.8179536794024509E-2</v>
          </cell>
        </row>
        <row r="1944">
          <cell r="BY1944" t="str">
            <v>2750/0.5/6600</v>
          </cell>
          <cell r="BZ1944">
            <v>1.9604000963370893E-2</v>
          </cell>
          <cell r="CA1944">
            <v>1.8045416261371794E-2</v>
          </cell>
        </row>
        <row r="1945">
          <cell r="BN1945" t="str">
            <v>4250/0.7/5250</v>
          </cell>
          <cell r="BO1945">
            <v>0.64300000000000002</v>
          </cell>
          <cell r="BP1945">
            <v>0.68500000000000005</v>
          </cell>
          <cell r="BQ1945">
            <v>0.66745304957498441</v>
          </cell>
          <cell r="BR1945">
            <v>0.64300000000000002</v>
          </cell>
          <cell r="BS1945">
            <v>0.61199999999999999</v>
          </cell>
          <cell r="BT1945">
            <v>0.48799999999999999</v>
          </cell>
          <cell r="BU1945">
            <v>0.57199999999999995</v>
          </cell>
          <cell r="BV1945">
            <v>0.54500000000000004</v>
          </cell>
          <cell r="BY1945" t="str">
            <v>2750/0.5/6850</v>
          </cell>
          <cell r="BZ1945">
            <v>1.9480350326131601E-2</v>
          </cell>
          <cell r="CA1945">
            <v>1.7911216459688184E-2</v>
          </cell>
        </row>
        <row r="1946">
          <cell r="BN1946" t="str">
            <v>4250/0.7/5500</v>
          </cell>
          <cell r="BO1946">
            <v>0.63537817823985265</v>
          </cell>
          <cell r="BP1946">
            <v>0.68208558572786449</v>
          </cell>
          <cell r="BQ1946">
            <v>0.66067691277715479</v>
          </cell>
          <cell r="BR1946">
            <v>0.63727503029911436</v>
          </cell>
          <cell r="BS1946">
            <v>0.60472985264111268</v>
          </cell>
          <cell r="BT1946">
            <v>0.48381627314279346</v>
          </cell>
          <cell r="BU1946">
            <v>0.56828963477000638</v>
          </cell>
          <cell r="BV1946">
            <v>0.54147042998714712</v>
          </cell>
          <cell r="BY1946" t="str">
            <v>2750/0.5/7500</v>
          </cell>
          <cell r="BZ1946">
            <v>1.9161944172730538E-2</v>
          </cell>
          <cell r="CA1946">
            <v>1.7574147503218618E-2</v>
          </cell>
        </row>
        <row r="1947">
          <cell r="BN1947" t="str">
            <v>4250/0.7/5750</v>
          </cell>
          <cell r="BO1947">
            <v>0.62871267896182714</v>
          </cell>
          <cell r="BP1947">
            <v>0.67863816218230077</v>
          </cell>
          <cell r="BQ1947">
            <v>0.65390077597932517</v>
          </cell>
          <cell r="BR1947">
            <v>0.63051667903428876</v>
          </cell>
          <cell r="BS1947">
            <v>0.59727690314380588</v>
          </cell>
          <cell r="BT1947">
            <v>0.47989048355844732</v>
          </cell>
          <cell r="BU1947">
            <v>0.56375104006383092</v>
          </cell>
          <cell r="BV1947">
            <v>0.53677110251655358</v>
          </cell>
          <cell r="BY1947" t="str">
            <v>2750/0.5/8000</v>
          </cell>
          <cell r="BZ1947">
            <v>1.8917229651249756E-2</v>
          </cell>
          <cell r="CA1947">
            <v>1.7364780898121102E-2</v>
          </cell>
        </row>
        <row r="1948">
          <cell r="BN1948" t="str">
            <v>4250/0.7/6000</v>
          </cell>
          <cell r="BO1948">
            <v>0.6227261987005146</v>
          </cell>
          <cell r="BP1948">
            <v>0.67519073863673695</v>
          </cell>
          <cell r="BQ1948">
            <v>0.64420671907825255</v>
          </cell>
          <cell r="BR1948">
            <v>0.62375832776946327</v>
          </cell>
          <cell r="BS1948">
            <v>0.58982395364649909</v>
          </cell>
          <cell r="BT1948">
            <v>0.47596469397410113</v>
          </cell>
          <cell r="BU1948">
            <v>0.55921244535765535</v>
          </cell>
          <cell r="BV1948">
            <v>0.53207177504595982</v>
          </cell>
          <cell r="BY1948" t="str">
            <v>2750/0.5/9000</v>
          </cell>
          <cell r="BZ1948">
            <v>1.8571991793172815E-2</v>
          </cell>
          <cell r="CA1948">
            <v>1.6995717539034616E-2</v>
          </cell>
        </row>
        <row r="1949">
          <cell r="BN1949" t="str">
            <v>4250/0.7/6250</v>
          </cell>
          <cell r="BO1949">
            <v>0.61714662823680921</v>
          </cell>
          <cell r="BP1949">
            <v>0.67188751382932188</v>
          </cell>
          <cell r="BQ1949">
            <v>0.63860703769837301</v>
          </cell>
          <cell r="BR1949">
            <v>0.61770608287286688</v>
          </cell>
          <cell r="BS1949">
            <v>0.58351072448021002</v>
          </cell>
          <cell r="BT1949">
            <v>0.47214709680946876</v>
          </cell>
          <cell r="BU1949">
            <v>0.55497050215242627</v>
          </cell>
          <cell r="BV1949">
            <v>0.52765710013391987</v>
          </cell>
          <cell r="BY1949" t="str">
            <v>2750/0.5/10000</v>
          </cell>
          <cell r="BZ1949">
            <v>1.8247751351383235E-2</v>
          </cell>
          <cell r="CA1949">
            <v>1.6681669826093648E-2</v>
          </cell>
        </row>
        <row r="1950">
          <cell r="BN1950" t="str">
            <v>4250/0.7/6350</v>
          </cell>
          <cell r="BO1950">
            <v>0.61491593356971774</v>
          </cell>
          <cell r="BP1950">
            <v>0.67057281434900118</v>
          </cell>
          <cell r="BQ1950">
            <v>0.63636703313525156</v>
          </cell>
          <cell r="BR1950">
            <v>0.61547642696175842</v>
          </cell>
          <cell r="BS1950">
            <v>0.58114015299868926</v>
          </cell>
          <cell r="BT1950">
            <v>0.47063726528009164</v>
          </cell>
          <cell r="BU1950">
            <v>0.55335044954050849</v>
          </cell>
          <cell r="BV1950">
            <v>0.52610315225783721</v>
          </cell>
          <cell r="BY1950" t="str">
            <v>2750/0.5/99999</v>
          </cell>
          <cell r="BZ1950">
            <v>1.3257538564566906E-2</v>
          </cell>
          <cell r="CA1950">
            <v>1.2320284925189995E-2</v>
          </cell>
        </row>
        <row r="1951">
          <cell r="BN1951" t="str">
            <v>4250/0.7/6600</v>
          </cell>
          <cell r="BO1951">
            <v>0.60950890487425058</v>
          </cell>
          <cell r="BP1951">
            <v>0.66773245532338721</v>
          </cell>
          <cell r="BQ1951">
            <v>0.63101688285912638</v>
          </cell>
          <cell r="BR1951">
            <v>0.61007732709694862</v>
          </cell>
          <cell r="BS1951">
            <v>0.57536141433247234</v>
          </cell>
          <cell r="BT1951">
            <v>0.46704122112153984</v>
          </cell>
          <cell r="BU1951">
            <v>0.55025309901301422</v>
          </cell>
          <cell r="BV1951">
            <v>0.52288282213312864</v>
          </cell>
          <cell r="BY1951" t="str">
            <v>3000/0.5/3000</v>
          </cell>
          <cell r="BZ1951">
            <v>2.2082590253235779E-2</v>
          </cell>
          <cell r="CA1951">
            <v>2.1123726029302237E-2</v>
          </cell>
        </row>
        <row r="1952">
          <cell r="BN1952" t="str">
            <v>4250/0.7/6850</v>
          </cell>
          <cell r="BO1952">
            <v>0.60475163656327402</v>
          </cell>
          <cell r="BP1952">
            <v>0.66546337366982367</v>
          </cell>
          <cell r="BQ1952">
            <v>0.62646133064758924</v>
          </cell>
          <cell r="BR1952">
            <v>0.60515275196088347</v>
          </cell>
          <cell r="BS1952">
            <v>0.57006413764131825</v>
          </cell>
          <cell r="BT1952">
            <v>0.46428874420292754</v>
          </cell>
          <cell r="BU1952">
            <v>0.54717094723784421</v>
          </cell>
          <cell r="BV1952">
            <v>0.51970692382038552</v>
          </cell>
          <cell r="BY1952" t="str">
            <v>3000/0.5/3250</v>
          </cell>
          <cell r="BZ1952">
            <v>2.1870270599352426E-2</v>
          </cell>
          <cell r="CA1952">
            <v>2.0778314710484191E-2</v>
          </cell>
        </row>
        <row r="1953">
          <cell r="BN1953" t="str">
            <v>4250/0.7/7500</v>
          </cell>
          <cell r="BO1953">
            <v>0.59290029727144433</v>
          </cell>
          <cell r="BP1953">
            <v>0.65972467235775833</v>
          </cell>
          <cell r="BQ1953">
            <v>0.61506671906548371</v>
          </cell>
          <cell r="BR1953">
            <v>0.59314804982219616</v>
          </cell>
          <cell r="BS1953">
            <v>0.55831004298177767</v>
          </cell>
          <cell r="BT1953">
            <v>0.457473609204607</v>
          </cell>
          <cell r="BU1953">
            <v>0.53985148825742035</v>
          </cell>
          <cell r="BV1953">
            <v>0.51220195491497988</v>
          </cell>
          <cell r="BY1953" t="str">
            <v>3000/0.5/3500</v>
          </cell>
          <cell r="BZ1953">
            <v>2.1657950945469073E-2</v>
          </cell>
          <cell r="CA1953">
            <v>2.0432903391666146E-2</v>
          </cell>
        </row>
        <row r="1954">
          <cell r="BN1954" t="str">
            <v>4250/0.7/10000</v>
          </cell>
          <cell r="BO1954">
            <v>0.56399310225171373</v>
          </cell>
          <cell r="BP1954">
            <v>0.64716118175238357</v>
          </cell>
          <cell r="BQ1954">
            <v>0.5867427720725692</v>
          </cell>
          <cell r="BR1954">
            <v>0.56290973202124972</v>
          </cell>
          <cell r="BS1954">
            <v>0.52701035732915535</v>
          </cell>
          <cell r="BT1954">
            <v>0.43971195265245189</v>
          </cell>
          <cell r="BU1954">
            <v>0.520635913053068</v>
          </cell>
          <cell r="BV1954">
            <v>0.49272009734116406</v>
          </cell>
          <cell r="BY1954" t="str">
            <v>3000/0.5/3750</v>
          </cell>
          <cell r="BZ1954">
            <v>2.1429471364498354E-2</v>
          </cell>
          <cell r="CA1954">
            <v>2.0150344171046219E-2</v>
          </cell>
        </row>
        <row r="1955">
          <cell r="BN1955" t="str">
            <v>4250/0.7/99999</v>
          </cell>
          <cell r="BO1955">
            <v>0.47449158135461394</v>
          </cell>
          <cell r="BP1955">
            <v>0.60860707628040878</v>
          </cell>
          <cell r="BQ1955">
            <v>0.4876107965440144</v>
          </cell>
          <cell r="BR1955">
            <v>0.47064416357232497</v>
          </cell>
          <cell r="BS1955">
            <v>0.46006498087069259</v>
          </cell>
          <cell r="BT1955">
            <v>0.37625026607075446</v>
          </cell>
          <cell r="BU1955">
            <v>0.45489632390792351</v>
          </cell>
          <cell r="BV1955">
            <v>0.43667421954395874</v>
          </cell>
          <cell r="BY1955" t="str">
            <v>3000/0.5/4000</v>
          </cell>
          <cell r="BZ1955">
            <v>2.1200991783527634E-2</v>
          </cell>
          <cell r="CA1955">
            <v>1.9867784950426293E-2</v>
          </cell>
        </row>
        <row r="1956">
          <cell r="BY1956" t="str">
            <v>3000/0.5/4250</v>
          </cell>
          <cell r="BZ1956">
            <v>2.1004252068129503E-2</v>
          </cell>
          <cell r="CA1956">
            <v>1.9627316961633223E-2</v>
          </cell>
        </row>
        <row r="1957">
          <cell r="BN1957" t="str">
            <v>4500/0.7/5500</v>
          </cell>
          <cell r="BO1957">
            <v>0.63500000000000001</v>
          </cell>
          <cell r="BP1957">
            <v>0.68312185078667031</v>
          </cell>
          <cell r="BQ1957">
            <v>0.66535098306123608</v>
          </cell>
          <cell r="BR1957">
            <v>0.6378352863838489</v>
          </cell>
          <cell r="BS1957">
            <v>0.60481926154799681</v>
          </cell>
          <cell r="BT1957">
            <v>0.48319999159105553</v>
          </cell>
          <cell r="BU1957">
            <v>0.56610699501116124</v>
          </cell>
          <cell r="BV1957">
            <v>0.53917818478193547</v>
          </cell>
          <cell r="BY1957" t="str">
            <v>3000/0.5/4500</v>
          </cell>
          <cell r="BZ1957">
            <v>2.0807512352731372E-2</v>
          </cell>
          <cell r="CA1957">
            <v>1.9386848972840154E-2</v>
          </cell>
        </row>
        <row r="1958">
          <cell r="BN1958" t="str">
            <v>4500/0.7/5750</v>
          </cell>
          <cell r="BO1958">
            <v>0.628</v>
          </cell>
          <cell r="BP1958">
            <v>0.67902134514151613</v>
          </cell>
          <cell r="BQ1958">
            <v>0.6576345496720627</v>
          </cell>
          <cell r="BR1958">
            <v>0.63064922200339835</v>
          </cell>
          <cell r="BS1958">
            <v>0.59677918561278787</v>
          </cell>
          <cell r="BT1958">
            <v>0.47884054064002185</v>
          </cell>
          <cell r="BU1958">
            <v>0.56126156750079192</v>
          </cell>
          <cell r="BV1958">
            <v>0.53395488458465767</v>
          </cell>
          <cell r="BY1958" t="str">
            <v>3000/0.5/4750</v>
          </cell>
          <cell r="BZ1958">
            <v>2.0629842605316417E-2</v>
          </cell>
          <cell r="CA1958">
            <v>1.9171257200325864E-2</v>
          </cell>
        </row>
        <row r="1959">
          <cell r="BN1959" t="str">
            <v>4500/0.7/6000</v>
          </cell>
          <cell r="BO1959">
            <v>0.62235803803342593</v>
          </cell>
          <cell r="BP1959">
            <v>0.67492083949636184</v>
          </cell>
          <cell r="BQ1959">
            <v>0.64408227607640334</v>
          </cell>
          <cell r="BR1959">
            <v>0.62346315762294791</v>
          </cell>
          <cell r="BS1959">
            <v>0.58873910967757892</v>
          </cell>
          <cell r="BT1959">
            <v>0.47448108968898817</v>
          </cell>
          <cell r="BU1959">
            <v>0.5564161399904225</v>
          </cell>
          <cell r="BV1959">
            <v>0.52873158438737988</v>
          </cell>
          <cell r="BY1959" t="str">
            <v>3000/0.5/5000</v>
          </cell>
          <cell r="BZ1959">
            <v>2.0452172857901463E-2</v>
          </cell>
          <cell r="CA1959">
            <v>1.8955665427811574E-2</v>
          </cell>
        </row>
        <row r="1960">
          <cell r="BN1960" t="str">
            <v>4500/0.7/6250</v>
          </cell>
          <cell r="BO1960">
            <v>0.61612046521048436</v>
          </cell>
          <cell r="BP1960">
            <v>0.6712704174794637</v>
          </cell>
          <cell r="BQ1960">
            <v>0.63782430368988763</v>
          </cell>
          <cell r="BR1960">
            <v>0.61691028229922118</v>
          </cell>
          <cell r="BS1960">
            <v>0.5818644665375966</v>
          </cell>
          <cell r="BT1960">
            <v>0.47046330603796427</v>
          </cell>
          <cell r="BU1960">
            <v>0.55200492350594221</v>
          </cell>
          <cell r="BV1960">
            <v>0.52391264347168387</v>
          </cell>
          <cell r="BY1960" t="str">
            <v>3000/0.5/5250</v>
          </cell>
          <cell r="BZ1960">
            <v>2.0293392712219305E-2</v>
          </cell>
          <cell r="CA1960">
            <v>1.8767779311389621E-2</v>
          </cell>
        </row>
        <row r="1961">
          <cell r="BN1961" t="str">
            <v>4500/0.7/6350</v>
          </cell>
          <cell r="BO1961">
            <v>0.61363302509803552</v>
          </cell>
          <cell r="BP1961">
            <v>0.66982367713718993</v>
          </cell>
          <cell r="BQ1961">
            <v>0.63532638385016127</v>
          </cell>
          <cell r="BR1961">
            <v>0.61442186311983171</v>
          </cell>
          <cell r="BS1961">
            <v>0.57922493372191508</v>
          </cell>
          <cell r="BT1961">
            <v>0.46889327300811789</v>
          </cell>
          <cell r="BU1961">
            <v>0.55032965236485887</v>
          </cell>
          <cell r="BV1961">
            <v>0.52228280733988164</v>
          </cell>
          <cell r="BY1961" t="str">
            <v>3000/0.5/5500</v>
          </cell>
          <cell r="BZ1961">
            <v>2.0134612566537147E-2</v>
          </cell>
          <cell r="CA1961">
            <v>1.8579893194967667E-2</v>
          </cell>
        </row>
        <row r="1962">
          <cell r="BN1962" t="str">
            <v>4500/0.7/6600</v>
          </cell>
          <cell r="BO1962">
            <v>0.60768013653732411</v>
          </cell>
          <cell r="BP1962">
            <v>0.666755771253843</v>
          </cell>
          <cell r="BQ1962">
            <v>0.62950636011660754</v>
          </cell>
          <cell r="BR1962">
            <v>0.6084765724799146</v>
          </cell>
          <cell r="BS1962">
            <v>0.57285785757553476</v>
          </cell>
          <cell r="BT1962">
            <v>0.46522239108388885</v>
          </cell>
          <cell r="BU1962">
            <v>0.54687124176503188</v>
          </cell>
          <cell r="BV1962">
            <v>0.51878052177030809</v>
          </cell>
          <cell r="BY1962" t="str">
            <v>3000/0.5/5750</v>
          </cell>
          <cell r="BZ1962">
            <v>1.9988360781836745E-2</v>
          </cell>
          <cell r="CA1962">
            <v>1.8395120859195369E-2</v>
          </cell>
        </row>
        <row r="1963">
          <cell r="BN1963" t="str">
            <v>4500/0.7/6850</v>
          </cell>
          <cell r="BO1963">
            <v>0.60284176336231443</v>
          </cell>
          <cell r="BP1963">
            <v>0.66447464462708228</v>
          </cell>
          <cell r="BQ1963">
            <v>0.62504029187944721</v>
          </cell>
          <cell r="BR1963">
            <v>0.60334943308992184</v>
          </cell>
          <cell r="BS1963">
            <v>0.56735706221235072</v>
          </cell>
          <cell r="BT1963">
            <v>0.4622991880707828</v>
          </cell>
          <cell r="BU1963">
            <v>0.54346396118645912</v>
          </cell>
          <cell r="BV1963">
            <v>0.51528853354788984</v>
          </cell>
          <cell r="BY1963" t="str">
            <v>3000/0.5/6000</v>
          </cell>
          <cell r="BZ1963">
            <v>1.9842108997136343E-2</v>
          </cell>
          <cell r="CA1963">
            <v>1.821034852342307E-2</v>
          </cell>
        </row>
        <row r="1964">
          <cell r="BN1964" t="str">
            <v>4500/0.7/7500</v>
          </cell>
          <cell r="BO1964">
            <v>0.59079617076428936</v>
          </cell>
          <cell r="BP1964">
            <v>0.65844375682402512</v>
          </cell>
          <cell r="BQ1964">
            <v>0.61329750072239153</v>
          </cell>
          <cell r="BR1964">
            <v>0.59119943665694485</v>
          </cell>
          <cell r="BS1964">
            <v>0.55506330199850851</v>
          </cell>
          <cell r="BT1964">
            <v>0.45487722271373054</v>
          </cell>
          <cell r="BU1964">
            <v>0.53580931641201102</v>
          </cell>
          <cell r="BV1964">
            <v>0.50749596839137023</v>
          </cell>
          <cell r="BY1964" t="str">
            <v>3000/0.5/6250</v>
          </cell>
          <cell r="BZ1964">
            <v>1.9704617849944928E-2</v>
          </cell>
          <cell r="CA1964">
            <v>1.8071804323833263E-2</v>
          </cell>
        </row>
        <row r="1965">
          <cell r="BN1965" t="str">
            <v>4500/0.7/10000</v>
          </cell>
          <cell r="BO1965">
            <v>0.56020911972766185</v>
          </cell>
          <cell r="BP1965">
            <v>0.64494623493343917</v>
          </cell>
          <cell r="BQ1965">
            <v>0.58344104146603937</v>
          </cell>
          <cell r="BR1965">
            <v>0.55923920484498557</v>
          </cell>
          <cell r="BS1965">
            <v>0.52220618624141857</v>
          </cell>
          <cell r="BT1965">
            <v>0.43639452234377596</v>
          </cell>
          <cell r="BU1965">
            <v>0.51569319045428907</v>
          </cell>
          <cell r="BV1965">
            <v>0.48703571285810854</v>
          </cell>
          <cell r="BY1965" t="str">
            <v>3000/0.5/6350</v>
          </cell>
          <cell r="BZ1965">
            <v>1.9651734304046986E-2</v>
          </cell>
          <cell r="CA1965">
            <v>1.8018212805392286E-2</v>
          </cell>
        </row>
        <row r="1966">
          <cell r="BN1966" t="str">
            <v>4500/0.7/99999</v>
          </cell>
          <cell r="BO1966">
            <v>0.47177298849396587</v>
          </cell>
          <cell r="BP1966">
            <v>0.60570747177366113</v>
          </cell>
          <cell r="BQ1966">
            <v>0.48513309931735249</v>
          </cell>
          <cell r="BR1966">
            <v>0.46795654181454682</v>
          </cell>
          <cell r="BS1966">
            <v>0.45676044227883345</v>
          </cell>
          <cell r="BT1966">
            <v>0.37198076962212423</v>
          </cell>
          <cell r="BU1966">
            <v>0.44899591202934019</v>
          </cell>
          <cell r="BV1966">
            <v>0.43007041080829111</v>
          </cell>
          <cell r="BY1966" t="str">
            <v>3000/0.5/6600</v>
          </cell>
          <cell r="BZ1966">
            <v>1.9522001642814812E-2</v>
          </cell>
          <cell r="CA1966">
            <v>1.7883988781806526E-2</v>
          </cell>
        </row>
        <row r="1967">
          <cell r="BY1967" t="str">
            <v>3000/0.5/6850</v>
          </cell>
          <cell r="BZ1967">
            <v>1.939668127556704E-2</v>
          </cell>
          <cell r="CA1967">
            <v>1.7749924359808045E-2</v>
          </cell>
        </row>
        <row r="1968">
          <cell r="BN1968" t="str">
            <v>4750/0.7/5500</v>
          </cell>
          <cell r="BO1968">
            <v>0.63632859945607245</v>
          </cell>
          <cell r="BP1968">
            <v>0.68415811584547614</v>
          </cell>
          <cell r="BQ1968">
            <v>0.66237838931355897</v>
          </cell>
          <cell r="BR1968">
            <v>0.63839554246858343</v>
          </cell>
          <cell r="BS1968">
            <v>0.60490867045488095</v>
          </cell>
          <cell r="BT1968">
            <v>0.4825837100393176</v>
          </cell>
          <cell r="BU1968">
            <v>0.5639243552523161</v>
          </cell>
          <cell r="BV1968">
            <v>0.53688593957672381</v>
          </cell>
          <cell r="BY1968" t="str">
            <v>3000/0.5/7500</v>
          </cell>
          <cell r="BZ1968">
            <v>1.9078787506800809E-2</v>
          </cell>
          <cell r="CA1968">
            <v>1.7402996952847527E-2</v>
          </cell>
        </row>
        <row r="1969">
          <cell r="BN1969" t="str">
            <v>4750/0.7/5750</v>
          </cell>
          <cell r="BO1969">
            <v>0.627</v>
          </cell>
          <cell r="BP1969">
            <v>0.67940452810073149</v>
          </cell>
          <cell r="BQ1969">
            <v>0.65462707124567809</v>
          </cell>
          <cell r="BR1969">
            <v>0.63078176497250804</v>
          </cell>
          <cell r="BS1969">
            <v>0.59628146808176985</v>
          </cell>
          <cell r="BT1969">
            <v>0.47779059772159638</v>
          </cell>
          <cell r="BU1969">
            <v>0.55877209493775282</v>
          </cell>
          <cell r="BV1969">
            <v>0.53113866665276177</v>
          </cell>
          <cell r="BY1969" t="str">
            <v>3000/0.5/8000</v>
          </cell>
          <cell r="BZ1969">
            <v>1.8832511668403606E-2</v>
          </cell>
          <cell r="CA1969">
            <v>1.7185685346628343E-2</v>
          </cell>
        </row>
        <row r="1970">
          <cell r="BN1970" t="str">
            <v>4750/0.7/6000</v>
          </cell>
          <cell r="BO1970">
            <v>0.62198987736633726</v>
          </cell>
          <cell r="BP1970">
            <v>0.67465094035598672</v>
          </cell>
          <cell r="BQ1970">
            <v>0.64395783307455412</v>
          </cell>
          <cell r="BR1970">
            <v>0.62316798747643265</v>
          </cell>
          <cell r="BS1970">
            <v>0.58765426570865875</v>
          </cell>
          <cell r="BT1970">
            <v>0.47299748540387521</v>
          </cell>
          <cell r="BU1970">
            <v>0.55361983462318964</v>
          </cell>
          <cell r="BV1970">
            <v>0.52539139372879995</v>
          </cell>
          <cell r="BY1970" t="str">
            <v>3000/0.5/9000</v>
          </cell>
          <cell r="BZ1970">
            <v>1.8467616930266884E-2</v>
          </cell>
          <cell r="CA1970">
            <v>1.6812361933903341E-2</v>
          </cell>
        </row>
        <row r="1971">
          <cell r="BN1971" t="str">
            <v>4750/0.7/6250</v>
          </cell>
          <cell r="BO1971">
            <v>0.6150943021841595</v>
          </cell>
          <cell r="BP1971">
            <v>0.67065332112960552</v>
          </cell>
          <cell r="BQ1971">
            <v>0.63704156968140213</v>
          </cell>
          <cell r="BR1971">
            <v>0.61611448172557548</v>
          </cell>
          <cell r="BS1971">
            <v>0.58021820859498319</v>
          </cell>
          <cell r="BT1971">
            <v>0.46877951526645978</v>
          </cell>
          <cell r="BU1971">
            <v>0.54903934485945816</v>
          </cell>
          <cell r="BV1971">
            <v>0.52016818680944787</v>
          </cell>
          <cell r="BY1971" t="str">
            <v>3000/0.5/10000</v>
          </cell>
          <cell r="BZ1971">
            <v>1.8143510978264388E-2</v>
          </cell>
          <cell r="CA1971">
            <v>1.6490788189216232E-2</v>
          </cell>
        </row>
        <row r="1972">
          <cell r="BN1972" t="str">
            <v>4750/0.7/6350</v>
          </cell>
          <cell r="BO1972">
            <v>0.6123501166263533</v>
          </cell>
          <cell r="BP1972">
            <v>0.6690745399253788</v>
          </cell>
          <cell r="BQ1972">
            <v>0.63428573456507087</v>
          </cell>
          <cell r="BR1972">
            <v>0.61336729927790501</v>
          </cell>
          <cell r="BS1972">
            <v>0.5773097144451409</v>
          </cell>
          <cell r="BT1972">
            <v>0.46714928073614415</v>
          </cell>
          <cell r="BU1972">
            <v>0.54730885518920935</v>
          </cell>
          <cell r="BV1972">
            <v>0.51846246242192606</v>
          </cell>
          <cell r="BY1972" t="str">
            <v>3000/0.5/99999</v>
          </cell>
          <cell r="BZ1972">
            <v>1.3113313907361368E-2</v>
          </cell>
          <cell r="CA1972">
            <v>1.2099877640837642E-2</v>
          </cell>
        </row>
        <row r="1973">
          <cell r="BN1973" t="str">
            <v>4750/0.7/6600</v>
          </cell>
          <cell r="BO1973">
            <v>0.60585136820039764</v>
          </cell>
          <cell r="BP1973">
            <v>0.6657790871842989</v>
          </cell>
          <cell r="BQ1973">
            <v>0.62799583737408882</v>
          </cell>
          <cell r="BR1973">
            <v>0.60687581786288058</v>
          </cell>
          <cell r="BS1973">
            <v>0.57035430081859717</v>
          </cell>
          <cell r="BT1973">
            <v>0.46340356104623781</v>
          </cell>
          <cell r="BU1973">
            <v>0.54348938451704965</v>
          </cell>
          <cell r="BV1973">
            <v>0.51467822140748765</v>
          </cell>
          <cell r="BY1973" t="str">
            <v>3250/0.5/3500</v>
          </cell>
          <cell r="BZ1973">
            <v>2.1600205548126583E-2</v>
          </cell>
          <cell r="CA1973">
            <v>2.040617792901589E-2</v>
          </cell>
        </row>
        <row r="1974">
          <cell r="BN1974" t="str">
            <v>4750/0.7/6850</v>
          </cell>
          <cell r="BO1974">
            <v>0.60093189016135473</v>
          </cell>
          <cell r="BP1974">
            <v>0.66348591558434089</v>
          </cell>
          <cell r="BQ1974">
            <v>0.62361925311130517</v>
          </cell>
          <cell r="BR1974">
            <v>0.6015461142189602</v>
          </cell>
          <cell r="BS1974">
            <v>0.56464998678338318</v>
          </cell>
          <cell r="BT1974">
            <v>0.46030963193863805</v>
          </cell>
          <cell r="BU1974">
            <v>0.53975697513507415</v>
          </cell>
          <cell r="BV1974">
            <v>0.51087014327539415</v>
          </cell>
          <cell r="BY1974" t="str">
            <v>3250/0.5/3750</v>
          </cell>
          <cell r="BZ1974">
            <v>2.1388530180183885E-2</v>
          </cell>
          <cell r="CA1974">
            <v>2.0105687866115607E-2</v>
          </cell>
        </row>
        <row r="1975">
          <cell r="BN1975" t="str">
            <v>4750/0.7/7500</v>
          </cell>
          <cell r="BO1975">
            <v>0.58869204425713439</v>
          </cell>
          <cell r="BP1975">
            <v>0.6571628412902919</v>
          </cell>
          <cell r="BQ1975">
            <v>0.61152828237929935</v>
          </cell>
          <cell r="BR1975">
            <v>0.58925082349169355</v>
          </cell>
          <cell r="BS1975">
            <v>0.55181656101523946</v>
          </cell>
          <cell r="BT1975">
            <v>0.45228083622285409</v>
          </cell>
          <cell r="BU1975">
            <v>0.53176714456660168</v>
          </cell>
          <cell r="BV1975">
            <v>0.50278998186776058</v>
          </cell>
          <cell r="BY1975" t="str">
            <v>3250/0.5/4000</v>
          </cell>
          <cell r="BZ1975">
            <v>2.1176854812241186E-2</v>
          </cell>
          <cell r="CA1975">
            <v>1.9805197803215324E-2</v>
          </cell>
        </row>
        <row r="1976">
          <cell r="BN1976" t="str">
            <v>4750/0.7/10000</v>
          </cell>
          <cell r="BO1976">
            <v>0.55642513720360998</v>
          </cell>
          <cell r="BP1976">
            <v>0.64273128811449465</v>
          </cell>
          <cell r="BQ1976">
            <v>0.58013931085950965</v>
          </cell>
          <cell r="BR1976">
            <v>0.55556867766872142</v>
          </cell>
          <cell r="BS1976">
            <v>0.51740201515368178</v>
          </cell>
          <cell r="BT1976">
            <v>0.43307709203510003</v>
          </cell>
          <cell r="BU1976">
            <v>0.51075046785551015</v>
          </cell>
          <cell r="BV1976">
            <v>0.48135132837505301</v>
          </cell>
          <cell r="BY1976" t="str">
            <v>3250/0.5/4250</v>
          </cell>
          <cell r="BZ1976">
            <v>2.0973434029811333E-2</v>
          </cell>
          <cell r="CA1976">
            <v>1.9553052515213221E-2</v>
          </cell>
        </row>
        <row r="1977">
          <cell r="BN1977" t="str">
            <v>4750/0.7/99999</v>
          </cell>
          <cell r="BO1977">
            <v>0.4690543956333178</v>
          </cell>
          <cell r="BP1977">
            <v>0.60280786726691349</v>
          </cell>
          <cell r="BQ1977">
            <v>0.48265540209069058</v>
          </cell>
          <cell r="BR1977">
            <v>0.46526892005676868</v>
          </cell>
          <cell r="BS1977">
            <v>0.4534559036869743</v>
          </cell>
          <cell r="BT1977">
            <v>0.36771127317349406</v>
          </cell>
          <cell r="BU1977">
            <v>0.44309550015075683</v>
          </cell>
          <cell r="BV1977">
            <v>0.42346660207262349</v>
          </cell>
          <cell r="BY1977" t="str">
            <v>3250/0.5/4500</v>
          </cell>
          <cell r="BZ1977">
            <v>2.077001324738148E-2</v>
          </cell>
          <cell r="CA1977">
            <v>1.9300907227211117E-2</v>
          </cell>
        </row>
        <row r="1978">
          <cell r="BY1978" t="str">
            <v>3250/0.5/4750</v>
          </cell>
          <cell r="BZ1978">
            <v>2.0587916248112847E-2</v>
          </cell>
          <cell r="CA1978">
            <v>1.9078466293376117E-2</v>
          </cell>
        </row>
        <row r="1979">
          <cell r="BN1979" t="str">
            <v>5000/0.7/5500</v>
          </cell>
          <cell r="BO1979">
            <v>0.6376571989121449</v>
          </cell>
          <cell r="BP1979">
            <v>0.68519438090428197</v>
          </cell>
          <cell r="BQ1979">
            <v>0.65940579556588186</v>
          </cell>
          <cell r="BR1979">
            <v>0.63895579855331797</v>
          </cell>
          <cell r="BS1979">
            <v>0.60499807936176497</v>
          </cell>
          <cell r="BT1979">
            <v>0.48196742848757967</v>
          </cell>
          <cell r="BU1979">
            <v>0.56174171549347085</v>
          </cell>
          <cell r="BV1979">
            <v>0.53459369437151216</v>
          </cell>
          <cell r="BY1979" t="str">
            <v>3250/0.5/5000</v>
          </cell>
          <cell r="BZ1979">
            <v>2.0405819248844215E-2</v>
          </cell>
          <cell r="CA1979">
            <v>1.8856025359541118E-2</v>
          </cell>
        </row>
        <row r="1980">
          <cell r="BN1980" t="str">
            <v>5000/0.7/5750</v>
          </cell>
          <cell r="BO1980">
            <v>0.62963945780569675</v>
          </cell>
          <cell r="BP1980">
            <v>0.67978771105994684</v>
          </cell>
          <cell r="BQ1980">
            <v>0.65161959281929338</v>
          </cell>
          <cell r="BR1980">
            <v>0.63091430794161762</v>
          </cell>
          <cell r="BS1980">
            <v>0.59578375055075172</v>
          </cell>
          <cell r="BT1980">
            <v>0.47674065480317096</v>
          </cell>
          <cell r="BU1980">
            <v>0.55628262237471382</v>
          </cell>
          <cell r="BV1980">
            <v>0.52832244872086598</v>
          </cell>
          <cell r="BY1980" t="str">
            <v>3250/0.5/5250</v>
          </cell>
          <cell r="BZ1980">
            <v>2.024259169463094E-2</v>
          </cell>
          <cell r="CA1980">
            <v>1.8660541146790832E-2</v>
          </cell>
        </row>
        <row r="1981">
          <cell r="BN1981" t="str">
            <v>5000/0.7/6000</v>
          </cell>
          <cell r="BO1981">
            <v>0.62162171669924871</v>
          </cell>
          <cell r="BP1981">
            <v>0.6743810412156116</v>
          </cell>
          <cell r="BQ1981">
            <v>0.6438333900727049</v>
          </cell>
          <cell r="BR1981">
            <v>0.62287281732991728</v>
          </cell>
          <cell r="BS1981">
            <v>0.58656942173973858</v>
          </cell>
          <cell r="BT1981">
            <v>0.47151388111876225</v>
          </cell>
          <cell r="BU1981">
            <v>0.55082352925595679</v>
          </cell>
          <cell r="BV1981">
            <v>0.5220512030702199</v>
          </cell>
          <cell r="BY1981" t="str">
            <v>3250/0.5/5500</v>
          </cell>
          <cell r="BZ1981">
            <v>2.0079364140417666E-2</v>
          </cell>
          <cell r="CA1981">
            <v>1.8465056934040547E-2</v>
          </cell>
        </row>
        <row r="1982">
          <cell r="BN1982" t="str">
            <v>5000/0.7/6250</v>
          </cell>
          <cell r="BO1982">
            <v>0.61406813915783454</v>
          </cell>
          <cell r="BP1982">
            <v>0.67003622477974722</v>
          </cell>
          <cell r="BQ1982">
            <v>0.63625883567291663</v>
          </cell>
          <cell r="BR1982">
            <v>0.61531868115192978</v>
          </cell>
          <cell r="BS1982">
            <v>0.57857195065236966</v>
          </cell>
          <cell r="BT1982">
            <v>0.46709572449495529</v>
          </cell>
          <cell r="BU1982">
            <v>0.54607376621297421</v>
          </cell>
          <cell r="BV1982">
            <v>0.51642373014721188</v>
          </cell>
          <cell r="BY1982" t="str">
            <v>3250/0.5/5750</v>
          </cell>
          <cell r="BZ1982">
            <v>1.9930343476489309E-2</v>
          </cell>
          <cell r="CA1982">
            <v>1.8280465976310556E-2</v>
          </cell>
        </row>
        <row r="1983">
          <cell r="BN1983" t="str">
            <v>5000/0.7/6350</v>
          </cell>
          <cell r="BO1983">
            <v>0.61106720815467108</v>
          </cell>
          <cell r="BP1983">
            <v>0.66832540271356755</v>
          </cell>
          <cell r="BQ1983">
            <v>0.63324508527998047</v>
          </cell>
          <cell r="BR1983">
            <v>0.61231273543597831</v>
          </cell>
          <cell r="BS1983">
            <v>0.5753944951683666</v>
          </cell>
          <cell r="BT1983">
            <v>0.46540528846417034</v>
          </cell>
          <cell r="BU1983">
            <v>0.54428805801355973</v>
          </cell>
          <cell r="BV1983">
            <v>0.5146421175039706</v>
          </cell>
          <cell r="BY1983" t="str">
            <v>3250/0.5/6000</v>
          </cell>
          <cell r="BZ1983">
            <v>1.9781322812560953E-2</v>
          </cell>
          <cell r="CA1983">
            <v>1.8095875018580565E-2</v>
          </cell>
        </row>
        <row r="1984">
          <cell r="BN1984" t="str">
            <v>5000/0.7/6600</v>
          </cell>
          <cell r="BO1984">
            <v>0.60402259986347118</v>
          </cell>
          <cell r="BP1984">
            <v>0.6648024031147548</v>
          </cell>
          <cell r="BQ1984">
            <v>0.62648531463156998</v>
          </cell>
          <cell r="BR1984">
            <v>0.60527506324584657</v>
          </cell>
          <cell r="BS1984">
            <v>0.56785074406165947</v>
          </cell>
          <cell r="BT1984">
            <v>0.46158473100858682</v>
          </cell>
          <cell r="BU1984">
            <v>0.5401075272690673</v>
          </cell>
          <cell r="BV1984">
            <v>0.51057592104466709</v>
          </cell>
          <cell r="BY1984" t="str">
            <v>3250/0.5/6250</v>
          </cell>
          <cell r="BZ1984">
            <v>1.9640866359295073E-2</v>
          </cell>
          <cell r="CA1984">
            <v>1.7934016074875214E-2</v>
          </cell>
        </row>
        <row r="1985">
          <cell r="BN1985" t="str">
            <v>5000/0.7/6850</v>
          </cell>
          <cell r="BO1985">
            <v>0.59902201696039514</v>
          </cell>
          <cell r="BP1985">
            <v>0.66249718654159961</v>
          </cell>
          <cell r="BQ1985">
            <v>0.62219821434316303</v>
          </cell>
          <cell r="BR1985">
            <v>0.59974279534799846</v>
          </cell>
          <cell r="BS1985">
            <v>0.56194291135441576</v>
          </cell>
          <cell r="BT1985">
            <v>0.45832007580649325</v>
          </cell>
          <cell r="BU1985">
            <v>0.53604998908368906</v>
          </cell>
          <cell r="BV1985">
            <v>0.50645175300289835</v>
          </cell>
          <cell r="BY1985" t="str">
            <v>3250/0.5/6350</v>
          </cell>
          <cell r="BZ1985">
            <v>1.9586481829211744E-2</v>
          </cell>
          <cell r="CA1985">
            <v>1.7877097246025264E-2</v>
          </cell>
        </row>
        <row r="1986">
          <cell r="BN1986" t="str">
            <v>5000/0.7/7500</v>
          </cell>
          <cell r="BO1986">
            <v>0.58658791774997932</v>
          </cell>
          <cell r="BP1986">
            <v>0.65588192575655868</v>
          </cell>
          <cell r="BQ1986">
            <v>0.60975906403620705</v>
          </cell>
          <cell r="BR1986">
            <v>0.58730221032644214</v>
          </cell>
          <cell r="BS1986">
            <v>0.5485698200319703</v>
          </cell>
          <cell r="BT1986">
            <v>0.44968444973197758</v>
          </cell>
          <cell r="BU1986">
            <v>0.52772497272119223</v>
          </cell>
          <cell r="BV1986">
            <v>0.49808399534415082</v>
          </cell>
          <cell r="BY1986" t="str">
            <v>3250/0.5/6600</v>
          </cell>
          <cell r="BZ1986">
            <v>1.9454372552942689E-2</v>
          </cell>
          <cell r="CA1986">
            <v>1.7741916252485224E-2</v>
          </cell>
        </row>
        <row r="1987">
          <cell r="BN1987" t="str">
            <v>5000/0.7/10000</v>
          </cell>
          <cell r="BO1987">
            <v>0.5526411546795581</v>
          </cell>
          <cell r="BP1987">
            <v>0.64051634129555024</v>
          </cell>
          <cell r="BQ1987">
            <v>0.57683758025297982</v>
          </cell>
          <cell r="BR1987">
            <v>0.55189815049245738</v>
          </cell>
          <cell r="BS1987">
            <v>0.51259784406594511</v>
          </cell>
          <cell r="BT1987">
            <v>0.4297596617264241</v>
          </cell>
          <cell r="BU1987">
            <v>0.50580774525673122</v>
          </cell>
          <cell r="BV1987">
            <v>0.47566694389199754</v>
          </cell>
          <cell r="BY1987" t="str">
            <v>3250/0.5/6850</v>
          </cell>
          <cell r="BZ1987">
            <v>1.9326880484069275E-2</v>
          </cell>
          <cell r="CA1987">
            <v>1.7607724331878627E-2</v>
          </cell>
        </row>
        <row r="1988">
          <cell r="BN1988" t="str">
            <v>5000/0.7/99999</v>
          </cell>
          <cell r="BO1988">
            <v>0.46633580277266973</v>
          </cell>
          <cell r="BP1988">
            <v>0.59990826276016573</v>
          </cell>
          <cell r="BQ1988">
            <v>0.48017770486402861</v>
          </cell>
          <cell r="BR1988">
            <v>0.46258129829899047</v>
          </cell>
          <cell r="BS1988">
            <v>0.45015136509511511</v>
          </cell>
          <cell r="BT1988">
            <v>0.36344177672486383</v>
          </cell>
          <cell r="BU1988">
            <v>0.43719508827217352</v>
          </cell>
          <cell r="BV1988">
            <v>0.41686279333695586</v>
          </cell>
          <cell r="BY1988" t="str">
            <v>3250/0.5/7500</v>
          </cell>
          <cell r="BZ1988">
            <v>1.9007653376561295E-2</v>
          </cell>
          <cell r="CA1988">
            <v>1.7259581822862247E-2</v>
          </cell>
        </row>
        <row r="1989">
          <cell r="BY1989" t="str">
            <v>3250/0.5/8000</v>
          </cell>
          <cell r="BZ1989">
            <v>1.876177387015987E-2</v>
          </cell>
          <cell r="CA1989">
            <v>1.702655193223368E-2</v>
          </cell>
        </row>
        <row r="1990">
          <cell r="BY1990" t="str">
            <v>3250/0.5/9000</v>
          </cell>
          <cell r="BZ1990">
            <v>1.8375633784909917E-2</v>
          </cell>
          <cell r="CA1990">
            <v>1.6647717765044256E-2</v>
          </cell>
        </row>
        <row r="1991">
          <cell r="BY1991" t="str">
            <v>3250/0.5/10000</v>
          </cell>
          <cell r="BZ1991">
            <v>1.8051663912436178E-2</v>
          </cell>
          <cell r="CA1991">
            <v>1.6318527671864702E-2</v>
          </cell>
        </row>
        <row r="1992">
          <cell r="BY1992" t="str">
            <v>3250/0.5/99999</v>
          </cell>
          <cell r="BZ1992">
            <v>1.298231858207155E-2</v>
          </cell>
          <cell r="CA1992">
            <v>1.1896954728020326E-2</v>
          </cell>
        </row>
        <row r="1993">
          <cell r="BY1993" t="str">
            <v>3500/0.5/3500</v>
          </cell>
          <cell r="BZ1993">
            <v>2.1542460150784093E-2</v>
          </cell>
          <cell r="CA1993">
            <v>2.0379452466365633E-2</v>
          </cell>
        </row>
        <row r="1994">
          <cell r="BY1994" t="str">
            <v>3500/0.5/3750</v>
          </cell>
          <cell r="BZ1994">
            <v>2.1347588995869415E-2</v>
          </cell>
          <cell r="CA1994">
            <v>2.0061031561184994E-2</v>
          </cell>
        </row>
        <row r="1995">
          <cell r="BY1995" t="str">
            <v>3500/0.5/4000</v>
          </cell>
          <cell r="BZ1995">
            <v>2.1152717840954738E-2</v>
          </cell>
          <cell r="CA1995">
            <v>1.9742610656004356E-2</v>
          </cell>
        </row>
        <row r="1996">
          <cell r="BY1996" t="str">
            <v>3500/0.5/4250</v>
          </cell>
          <cell r="BZ1996">
            <v>2.0942615991493163E-2</v>
          </cell>
          <cell r="CA1996">
            <v>1.9478788068793218E-2</v>
          </cell>
        </row>
        <row r="1997">
          <cell r="BY1997" t="str">
            <v>3500/0.5/4500</v>
          </cell>
          <cell r="BZ1997">
            <v>2.0732514142031588E-2</v>
          </cell>
          <cell r="CA1997">
            <v>1.921496548158208E-2</v>
          </cell>
        </row>
        <row r="1998">
          <cell r="BY1998" t="str">
            <v>3500/0.5/4750</v>
          </cell>
          <cell r="BZ1998">
            <v>2.0545989890909278E-2</v>
          </cell>
          <cell r="CA1998">
            <v>1.8985675386426371E-2</v>
          </cell>
        </row>
        <row r="1999">
          <cell r="BY1999" t="str">
            <v>3500/0.5/5000</v>
          </cell>
          <cell r="BZ1999">
            <v>2.0359465639786967E-2</v>
          </cell>
          <cell r="CA1999">
            <v>1.8756385291270661E-2</v>
          </cell>
        </row>
        <row r="2000">
          <cell r="BY2000" t="str">
            <v>3500/0.5/5250</v>
          </cell>
          <cell r="BZ2000">
            <v>2.0191790677042576E-2</v>
          </cell>
          <cell r="CA2000">
            <v>1.8553302982192044E-2</v>
          </cell>
        </row>
        <row r="2001">
          <cell r="BY2001" t="str">
            <v>3500/0.5/5500</v>
          </cell>
          <cell r="BZ2001">
            <v>2.0024115714298185E-2</v>
          </cell>
          <cell r="CA2001">
            <v>1.8350220673113427E-2</v>
          </cell>
        </row>
        <row r="2002">
          <cell r="BY2002" t="str">
            <v>3500/0.5/5750</v>
          </cell>
          <cell r="BZ2002">
            <v>1.9872326171141874E-2</v>
          </cell>
          <cell r="CA2002">
            <v>1.8165811093425743E-2</v>
          </cell>
        </row>
        <row r="2003">
          <cell r="BY2003" t="str">
            <v>3500/0.5/6000</v>
          </cell>
          <cell r="BZ2003">
            <v>1.9720536627985563E-2</v>
          </cell>
          <cell r="CA2003">
            <v>1.798140151373806E-2</v>
          </cell>
        </row>
        <row r="2004">
          <cell r="BY2004" t="str">
            <v>3500/0.5/6250</v>
          </cell>
          <cell r="BZ2004">
            <v>1.9577114868645218E-2</v>
          </cell>
          <cell r="CA2004">
            <v>1.7796227825917166E-2</v>
          </cell>
        </row>
        <row r="2005">
          <cell r="BY2005" t="str">
            <v>3500/0.5/6350</v>
          </cell>
          <cell r="BZ2005">
            <v>1.9521229354376501E-2</v>
          </cell>
          <cell r="CA2005">
            <v>1.7735981686658242E-2</v>
          </cell>
        </row>
        <row r="2006">
          <cell r="BY2006" t="str">
            <v>3500/0.5/6600</v>
          </cell>
          <cell r="BZ2006">
            <v>1.9386743463070566E-2</v>
          </cell>
          <cell r="CA2006">
            <v>1.7599843723163922E-2</v>
          </cell>
        </row>
        <row r="2007">
          <cell r="BY2007" t="str">
            <v>3500/0.5/6850</v>
          </cell>
          <cell r="BZ2007">
            <v>1.925707969257151E-2</v>
          </cell>
          <cell r="CA2007">
            <v>1.7465524303949209E-2</v>
          </cell>
        </row>
        <row r="2008">
          <cell r="BY2008" t="str">
            <v>3500/0.5/7500</v>
          </cell>
          <cell r="BZ2008">
            <v>1.8936519246321781E-2</v>
          </cell>
          <cell r="CA2008">
            <v>1.7116166692876966E-2</v>
          </cell>
        </row>
        <row r="2009">
          <cell r="BY2009" t="str">
            <v>3500/0.5/8000</v>
          </cell>
          <cell r="BZ2009">
            <v>1.8691036071916134E-2</v>
          </cell>
          <cell r="CA2009">
            <v>1.6867418517839017E-2</v>
          </cell>
        </row>
        <row r="2010">
          <cell r="BY2010" t="str">
            <v>3500/0.5/9000</v>
          </cell>
          <cell r="BZ2010">
            <v>1.8283650639552951E-2</v>
          </cell>
          <cell r="CA2010">
            <v>1.6483073596185172E-2</v>
          </cell>
        </row>
        <row r="2011">
          <cell r="BY2011" t="str">
            <v>3500/0.5/10000</v>
          </cell>
          <cell r="BZ2011">
            <v>1.7959816846607968E-2</v>
          </cell>
          <cell r="CA2011">
            <v>1.6146267154513172E-2</v>
          </cell>
        </row>
        <row r="2012">
          <cell r="BY2012" t="str">
            <v>3500/0.5/99999</v>
          </cell>
          <cell r="BZ2012">
            <v>1.2851323256781733E-2</v>
          </cell>
          <cell r="CA2012">
            <v>1.169403181520301E-2</v>
          </cell>
        </row>
        <row r="2013">
          <cell r="BY2013" t="str">
            <v>3750/0.5/4000</v>
          </cell>
          <cell r="BZ2013">
            <v>2.1101841949448863E-2</v>
          </cell>
          <cell r="CA2013">
            <v>1.9720833824996675E-2</v>
          </cell>
        </row>
        <row r="2014">
          <cell r="BY2014" t="str">
            <v>3750/0.5/4250</v>
          </cell>
          <cell r="BZ2014">
            <v>2.0906347667776159E-2</v>
          </cell>
          <cell r="CA2014">
            <v>1.9440902383028646E-2</v>
          </cell>
        </row>
        <row r="2015">
          <cell r="BY2015" t="str">
            <v>3750/0.5/4500</v>
          </cell>
          <cell r="BZ2015">
            <v>2.0710853386103456E-2</v>
          </cell>
          <cell r="CA2015">
            <v>1.9160970941060618E-2</v>
          </cell>
        </row>
        <row r="2016">
          <cell r="BY2016" t="str">
            <v>3750/0.5/4750</v>
          </cell>
          <cell r="BZ2016">
            <v>2.0520130387299329E-2</v>
          </cell>
          <cell r="CA2016">
            <v>1.8922729292728313E-2</v>
          </cell>
        </row>
        <row r="2017">
          <cell r="BY2017" t="str">
            <v>3750/0.5/5000</v>
          </cell>
          <cell r="BZ2017">
            <v>2.0329407388495202E-2</v>
          </cell>
          <cell r="CA2017">
            <v>1.8684487644396008E-2</v>
          </cell>
        </row>
        <row r="2018">
          <cell r="BY2018" t="str">
            <v>3750/0.5/5250</v>
          </cell>
          <cell r="BZ2018">
            <v>2.0157014819765173E-2</v>
          </cell>
          <cell r="CA2018">
            <v>1.8473112479572062E-2</v>
          </cell>
        </row>
        <row r="2019">
          <cell r="BY2019" t="str">
            <v>3750/0.5/5500</v>
          </cell>
          <cell r="BZ2019">
            <v>1.9984622251035145E-2</v>
          </cell>
          <cell r="CA2019">
            <v>1.8261737314748117E-2</v>
          </cell>
        </row>
        <row r="2020">
          <cell r="BY2020" t="str">
            <v>3750/0.5/5750</v>
          </cell>
          <cell r="BZ2020">
            <v>1.9829461111348479E-2</v>
          </cell>
          <cell r="CA2020">
            <v>1.8074073268599111E-2</v>
          </cell>
        </row>
        <row r="2021">
          <cell r="BY2021" t="str">
            <v>3750/0.5/6000</v>
          </cell>
          <cell r="BZ2021">
            <v>1.9674299971661813E-2</v>
          </cell>
          <cell r="CA2021">
            <v>1.7886409222450106E-2</v>
          </cell>
        </row>
        <row r="2022">
          <cell r="BY2022" t="str">
            <v>3750/0.5/6250</v>
          </cell>
          <cell r="BZ2022">
            <v>1.9528272735663155E-2</v>
          </cell>
          <cell r="CA2022">
            <v>1.7701460599766183E-2</v>
          </cell>
        </row>
        <row r="2023">
          <cell r="BY2023" t="str">
            <v>3750/0.5/6350</v>
          </cell>
          <cell r="BZ2023">
            <v>1.9471128719242503E-2</v>
          </cell>
          <cell r="CA2023">
            <v>1.7634445372189611E-2</v>
          </cell>
        </row>
        <row r="2024">
          <cell r="BY2024" t="str">
            <v>3750/0.5/6600</v>
          </cell>
          <cell r="BZ2024">
            <v>1.9333510401404519E-2</v>
          </cell>
          <cell r="CA2024">
            <v>1.7478310487267779E-2</v>
          </cell>
        </row>
        <row r="2025">
          <cell r="BY2025" t="str">
            <v>3750/0.5/6850</v>
          </cell>
          <cell r="BZ2025">
            <v>1.9201432519978301E-2</v>
          </cell>
          <cell r="CA2025">
            <v>1.7342888811250901E-2</v>
          </cell>
        </row>
        <row r="2026">
          <cell r="BY2026" t="str">
            <v>3750/0.5/7500</v>
          </cell>
          <cell r="BZ2026">
            <v>1.8877201418417422E-2</v>
          </cell>
          <cell r="CA2026">
            <v>1.6993763178369758E-2</v>
          </cell>
        </row>
        <row r="2027">
          <cell r="BY2027" t="str">
            <v>3750/0.5/8000</v>
          </cell>
          <cell r="BZ2027">
            <v>1.8632118620886762E-2</v>
          </cell>
          <cell r="CA2027">
            <v>1.6735580532353578E-2</v>
          </cell>
        </row>
        <row r="2028">
          <cell r="BY2028" t="str">
            <v>3750/0.5/9000</v>
          </cell>
          <cell r="BZ2028">
            <v>1.8203662022631684E-2</v>
          </cell>
          <cell r="CA2028">
            <v>1.6337346388731522E-2</v>
          </cell>
        </row>
        <row r="2029">
          <cell r="BY2029" t="str">
            <v>3750/0.5/10000</v>
          </cell>
          <cell r="BZ2029">
            <v>1.7879942402404536E-2</v>
          </cell>
          <cell r="CA2029">
            <v>1.5992819070284492E-2</v>
          </cell>
        </row>
        <row r="2030">
          <cell r="BY2030" t="str">
            <v>3750/0.5/99999</v>
          </cell>
          <cell r="BZ2030">
            <v>1.2732146578296022E-2</v>
          </cell>
          <cell r="CA2030">
            <v>1.1508742533166694E-2</v>
          </cell>
        </row>
        <row r="2031">
          <cell r="BY2031" t="str">
            <v>4000/0.5/4000</v>
          </cell>
          <cell r="BZ2031">
            <v>2.1050966057942988E-2</v>
          </cell>
          <cell r="CA2031">
            <v>1.9699056993988995E-2</v>
          </cell>
        </row>
        <row r="2032">
          <cell r="BY2032" t="str">
            <v>4000/0.5/4250</v>
          </cell>
          <cell r="BZ2032">
            <v>2.0870079344059156E-2</v>
          </cell>
          <cell r="CA2032">
            <v>1.9403016697264075E-2</v>
          </cell>
        </row>
        <row r="2033">
          <cell r="BY2033" t="str">
            <v>4000/0.5/4500</v>
          </cell>
          <cell r="BZ2033">
            <v>2.0689192630175324E-2</v>
          </cell>
          <cell r="CA2033">
            <v>1.9106976400539155E-2</v>
          </cell>
        </row>
        <row r="2034">
          <cell r="BY2034" t="str">
            <v>4000/0.5/4750</v>
          </cell>
          <cell r="BZ2034">
            <v>2.0494270883689381E-2</v>
          </cell>
          <cell r="CA2034">
            <v>1.8859783199030256E-2</v>
          </cell>
        </row>
        <row r="2035">
          <cell r="BY2035" t="str">
            <v>4000/0.5/5000</v>
          </cell>
          <cell r="BZ2035">
            <v>2.0299349137203437E-2</v>
          </cell>
          <cell r="CA2035">
            <v>1.8612589997521356E-2</v>
          </cell>
        </row>
        <row r="2036">
          <cell r="BY2036" t="str">
            <v>4000/0.5/5250</v>
          </cell>
          <cell r="BZ2036">
            <v>2.0122238962487771E-2</v>
          </cell>
          <cell r="CA2036">
            <v>1.8392921976952081E-2</v>
          </cell>
        </row>
        <row r="2037">
          <cell r="BY2037" t="str">
            <v>4000/0.5/5500</v>
          </cell>
          <cell r="BZ2037">
            <v>1.9945128787772104E-2</v>
          </cell>
          <cell r="CA2037">
            <v>1.8173253956382807E-2</v>
          </cell>
        </row>
        <row r="2038">
          <cell r="BY2038" t="str">
            <v>4000/0.5/5750</v>
          </cell>
          <cell r="BZ2038">
            <v>1.9786596051555083E-2</v>
          </cell>
          <cell r="CA2038">
            <v>1.7982335443772479E-2</v>
          </cell>
        </row>
        <row r="2039">
          <cell r="BY2039" t="str">
            <v>4000/0.5/6000</v>
          </cell>
          <cell r="BZ2039">
            <v>1.9628063315338062E-2</v>
          </cell>
          <cell r="CA2039">
            <v>1.7791416931162152E-2</v>
          </cell>
        </row>
        <row r="2040">
          <cell r="BY2040" t="str">
            <v>4000/0.5/6250</v>
          </cell>
          <cell r="BZ2040">
            <v>1.9479430602681092E-2</v>
          </cell>
          <cell r="CA2040">
            <v>1.7606693373615201E-2</v>
          </cell>
        </row>
        <row r="2041">
          <cell r="BY2041" t="str">
            <v>4000/0.5/6350</v>
          </cell>
          <cell r="BZ2041">
            <v>1.9421028084108505E-2</v>
          </cell>
          <cell r="CA2041">
            <v>1.753290905772098E-2</v>
          </cell>
        </row>
        <row r="2042">
          <cell r="BY2042" t="str">
            <v>4000/0.5/6600</v>
          </cell>
          <cell r="BZ2042">
            <v>1.9280277339738472E-2</v>
          </cell>
          <cell r="CA2042">
            <v>1.7356777251371636E-2</v>
          </cell>
        </row>
        <row r="2043">
          <cell r="BY2043" t="str">
            <v>4000/0.5/6850</v>
          </cell>
          <cell r="BZ2043">
            <v>1.9145785347385091E-2</v>
          </cell>
          <cell r="CA2043">
            <v>1.7220253318552592E-2</v>
          </cell>
        </row>
        <row r="2044">
          <cell r="BY2044" t="str">
            <v>4000/0.5/7500</v>
          </cell>
          <cell r="BZ2044">
            <v>1.8817883590513063E-2</v>
          </cell>
          <cell r="CA2044">
            <v>1.6871359663862551E-2</v>
          </cell>
        </row>
        <row r="2045">
          <cell r="BY2045" t="str">
            <v>4000/0.5/8000</v>
          </cell>
          <cell r="BZ2045">
            <v>1.857320116985739E-2</v>
          </cell>
          <cell r="CA2045">
            <v>1.6603742546868139E-2</v>
          </cell>
        </row>
        <row r="2046">
          <cell r="BY2046" t="str">
            <v>4000/0.5/9000</v>
          </cell>
          <cell r="BZ2046">
            <v>1.8123673405710417E-2</v>
          </cell>
          <cell r="CA2046">
            <v>1.6191619181277872E-2</v>
          </cell>
        </row>
        <row r="2047">
          <cell r="BY2047" t="str">
            <v>4000/0.5/10000</v>
          </cell>
          <cell r="BZ2047">
            <v>1.7800067958201105E-2</v>
          </cell>
          <cell r="CA2047">
            <v>1.5839370986055812E-2</v>
          </cell>
        </row>
        <row r="2048">
          <cell r="BY2048" t="str">
            <v>4000/0.5/99999</v>
          </cell>
          <cell r="BZ2048">
            <v>1.2612969899810311E-2</v>
          </cell>
          <cell r="CA2048">
            <v>1.1323453251130378E-2</v>
          </cell>
        </row>
        <row r="2049">
          <cell r="BY2049" t="str">
            <v>4250/0.5/5000</v>
          </cell>
          <cell r="BZ2049">
            <v>2.0267076222859948E-2</v>
          </cell>
          <cell r="CA2049">
            <v>1.8580657674503065E-2</v>
          </cell>
        </row>
        <row r="2050">
          <cell r="BY2050" t="str">
            <v>4250/0.5/5250</v>
          </cell>
          <cell r="BZ2050">
            <v>2.0095127988695949E-2</v>
          </cell>
          <cell r="CA2050">
            <v>1.8351794151407586E-2</v>
          </cell>
        </row>
        <row r="2051">
          <cell r="BY2051" t="str">
            <v>4250/0.5/5500</v>
          </cell>
          <cell r="BZ2051">
            <v>1.992317975453195E-2</v>
          </cell>
          <cell r="CA2051">
            <v>1.8122930628312106E-2</v>
          </cell>
        </row>
        <row r="2052">
          <cell r="BY2052" t="str">
            <v>4250/0.5/5750</v>
          </cell>
          <cell r="BZ2052">
            <v>1.9760282376586363E-2</v>
          </cell>
          <cell r="CA2052">
            <v>1.7923461372559069E-2</v>
          </cell>
        </row>
        <row r="2053">
          <cell r="BY2053" t="str">
            <v>4250/0.5/6000</v>
          </cell>
          <cell r="BZ2053">
            <v>1.9597384998640777E-2</v>
          </cell>
          <cell r="CA2053">
            <v>1.7723992116806031E-2</v>
          </cell>
        </row>
        <row r="2054">
          <cell r="BY2054" t="str">
            <v>4250/0.5/6250</v>
          </cell>
          <cell r="BZ2054">
            <v>1.944537396661189E-2</v>
          </cell>
          <cell r="CA2054">
            <v>1.7534911680634646E-2</v>
          </cell>
        </row>
        <row r="2055">
          <cell r="BY2055" t="str">
            <v>4250/0.5/6350</v>
          </cell>
          <cell r="BZ2055">
            <v>1.9386025127362649E-2</v>
          </cell>
          <cell r="CA2055">
            <v>1.7460764108560844E-2</v>
          </cell>
        </row>
        <row r="2056">
          <cell r="BY2056" t="str">
            <v>4250/0.5/6600</v>
          </cell>
          <cell r="BZ2056">
            <v>1.9242414738714686E-2</v>
          </cell>
          <cell r="CA2056">
            <v>1.7282426268761586E-2</v>
          </cell>
        </row>
        <row r="2057">
          <cell r="BY2057" t="str">
            <v>4250/0.5/6850</v>
          </cell>
          <cell r="BZ2057">
            <v>1.9105118958445022E-2</v>
          </cell>
          <cell r="CA2057">
            <v>1.7133738415194166E-2</v>
          </cell>
        </row>
        <row r="2058">
          <cell r="BY2058" t="str">
            <v>4250/0.5/7500</v>
          </cell>
          <cell r="BZ2058">
            <v>1.8770865152903549E-2</v>
          </cell>
          <cell r="CA2058">
            <v>1.6770948324154877E-2</v>
          </cell>
        </row>
        <row r="2059">
          <cell r="BY2059" t="str">
            <v>4250/0.5/8000</v>
          </cell>
          <cell r="BZ2059">
            <v>1.8525178280520527E-2</v>
          </cell>
          <cell r="CA2059">
            <v>1.6503062033273397E-2</v>
          </cell>
        </row>
        <row r="2060">
          <cell r="BY2060" t="str">
            <v>4250/0.5/9000</v>
          </cell>
          <cell r="BZ2060">
            <v>1.8065356563078838E-2</v>
          </cell>
          <cell r="CA2060">
            <v>1.607104941982701E-2</v>
          </cell>
        </row>
        <row r="2061">
          <cell r="BY2061" t="str">
            <v>4250/0.5/10000</v>
          </cell>
          <cell r="BZ2061">
            <v>1.7731535400558329E-2</v>
          </cell>
          <cell r="CA2061">
            <v>1.5712676193889663E-2</v>
          </cell>
        </row>
        <row r="2062">
          <cell r="BY2062" t="str">
            <v>4250/0.5/99999</v>
          </cell>
          <cell r="BZ2062">
            <v>1.2505980650838688E-2</v>
          </cell>
          <cell r="CA2062">
            <v>1.1158407737386689E-2</v>
          </cell>
        </row>
        <row r="2063">
          <cell r="BY2063" t="str">
            <v>4500/0.5/5000</v>
          </cell>
          <cell r="BZ2063">
            <v>2.0234803308516458E-2</v>
          </cell>
          <cell r="CA2063">
            <v>1.8548725351484774E-2</v>
          </cell>
        </row>
        <row r="2064">
          <cell r="BY2064" t="str">
            <v>4500/0.5/5250</v>
          </cell>
          <cell r="BZ2064">
            <v>2.0068017014904127E-2</v>
          </cell>
          <cell r="CA2064">
            <v>1.831066632586309E-2</v>
          </cell>
        </row>
        <row r="2065">
          <cell r="BY2065" t="str">
            <v>4500/0.5/5500</v>
          </cell>
          <cell r="BZ2065">
            <v>1.9901230721291796E-2</v>
          </cell>
          <cell r="CA2065">
            <v>1.8072607300241406E-2</v>
          </cell>
        </row>
        <row r="2066">
          <cell r="BY2066" t="str">
            <v>4500/0.5/5750</v>
          </cell>
          <cell r="BZ2066">
            <v>1.9733968701617643E-2</v>
          </cell>
          <cell r="CA2066">
            <v>1.7864587301345658E-2</v>
          </cell>
        </row>
        <row r="2067">
          <cell r="BY2067" t="str">
            <v>4500/0.5/6000</v>
          </cell>
          <cell r="BZ2067">
            <v>1.9566706681943491E-2</v>
          </cell>
          <cell r="CA2067">
            <v>1.765656730244991E-2</v>
          </cell>
        </row>
        <row r="2068">
          <cell r="BY2068" t="str">
            <v>4500/0.5/6250</v>
          </cell>
          <cell r="BZ2068">
            <v>1.9411317330542688E-2</v>
          </cell>
          <cell r="CA2068">
            <v>1.7463129987654091E-2</v>
          </cell>
        </row>
        <row r="2069">
          <cell r="BY2069" t="str">
            <v>4500/0.5/6350</v>
          </cell>
          <cell r="BZ2069">
            <v>1.9351022170616794E-2</v>
          </cell>
          <cell r="CA2069">
            <v>1.7388619159400709E-2</v>
          </cell>
        </row>
        <row r="2070">
          <cell r="BY2070" t="str">
            <v>4500/0.5/6600</v>
          </cell>
          <cell r="BZ2070">
            <v>1.92045521376909E-2</v>
          </cell>
          <cell r="CA2070">
            <v>1.7208075286151536E-2</v>
          </cell>
        </row>
        <row r="2071">
          <cell r="BY2071" t="str">
            <v>4500/0.5/6850</v>
          </cell>
          <cell r="BZ2071">
            <v>1.9064452569504953E-2</v>
          </cell>
          <cell r="CA2071">
            <v>1.7047223511835741E-2</v>
          </cell>
        </row>
        <row r="2072">
          <cell r="BY2072" t="str">
            <v>4500/0.5/7500</v>
          </cell>
          <cell r="BZ2072">
            <v>1.8723846715294035E-2</v>
          </cell>
          <cell r="CA2072">
            <v>1.6670536984447204E-2</v>
          </cell>
        </row>
        <row r="2073">
          <cell r="BY2073" t="str">
            <v>4500/0.5/8000</v>
          </cell>
          <cell r="BZ2073">
            <v>1.8477155391183664E-2</v>
          </cell>
          <cell r="CA2073">
            <v>1.6402381519678655E-2</v>
          </cell>
        </row>
        <row r="2074">
          <cell r="BY2074" t="str">
            <v>4500/0.5/9000</v>
          </cell>
          <cell r="BZ2074">
            <v>1.800703972044726E-2</v>
          </cell>
          <cell r="CA2074">
            <v>1.5950479658376149E-2</v>
          </cell>
        </row>
        <row r="2075">
          <cell r="BY2075" t="str">
            <v>4500/0.5/10000</v>
          </cell>
          <cell r="BZ2075">
            <v>1.7663002842915554E-2</v>
          </cell>
          <cell r="CA2075">
            <v>1.5585981401723514E-2</v>
          </cell>
        </row>
        <row r="2076">
          <cell r="BY2076" t="str">
            <v>4500/0.5/99999</v>
          </cell>
          <cell r="BZ2076">
            <v>1.2398991401867065E-2</v>
          </cell>
          <cell r="CA2076">
            <v>1.0993362223643E-2</v>
          </cell>
        </row>
        <row r="2077">
          <cell r="BY2077" t="str">
            <v>4750/0.5/5000</v>
          </cell>
          <cell r="BZ2077">
            <v>2.0202530394172968E-2</v>
          </cell>
          <cell r="CA2077">
            <v>1.8516793028466483E-2</v>
          </cell>
        </row>
        <row r="2078">
          <cell r="BY2078" t="str">
            <v>4750/0.5/5250</v>
          </cell>
          <cell r="BZ2078">
            <v>2.0040906041112305E-2</v>
          </cell>
          <cell r="CA2078">
            <v>1.8269538500318594E-2</v>
          </cell>
        </row>
        <row r="2079">
          <cell r="BY2079" t="str">
            <v>4750/0.5/5500</v>
          </cell>
          <cell r="BZ2079">
            <v>1.9879281688051642E-2</v>
          </cell>
          <cell r="CA2079">
            <v>1.8022283972170705E-2</v>
          </cell>
        </row>
        <row r="2080">
          <cell r="BY2080" t="str">
            <v>4750/0.5/5750</v>
          </cell>
          <cell r="BZ2080">
            <v>1.9707655026648924E-2</v>
          </cell>
          <cell r="CA2080">
            <v>1.7805713230132247E-2</v>
          </cell>
        </row>
        <row r="2081">
          <cell r="BY2081" t="str">
            <v>4750/0.5/6000</v>
          </cell>
          <cell r="BZ2081">
            <v>1.9536028365246205E-2</v>
          </cell>
          <cell r="CA2081">
            <v>1.758914248809379E-2</v>
          </cell>
        </row>
        <row r="2082">
          <cell r="BY2082" t="str">
            <v>4750/0.5/6250</v>
          </cell>
          <cell r="BZ2082">
            <v>1.9377260694473486E-2</v>
          </cell>
          <cell r="CA2082">
            <v>1.7391348294673536E-2</v>
          </cell>
        </row>
        <row r="2083">
          <cell r="BY2083" t="str">
            <v>4750/0.5/6350</v>
          </cell>
          <cell r="BZ2083">
            <v>1.9316019213870939E-2</v>
          </cell>
          <cell r="CA2083">
            <v>1.7316474210240573E-2</v>
          </cell>
        </row>
        <row r="2084">
          <cell r="BY2084" t="str">
            <v>4750/0.5/6600</v>
          </cell>
          <cell r="BZ2084">
            <v>1.9166689536667114E-2</v>
          </cell>
          <cell r="CA2084">
            <v>1.7133724303541487E-2</v>
          </cell>
        </row>
        <row r="2085">
          <cell r="BY2085" t="str">
            <v>4750/0.5/6850</v>
          </cell>
          <cell r="BZ2085">
            <v>1.9023786180564883E-2</v>
          </cell>
          <cell r="CA2085">
            <v>1.6960708608477315E-2</v>
          </cell>
        </row>
        <row r="2086">
          <cell r="BY2086" t="str">
            <v>4750/0.5/7500</v>
          </cell>
          <cell r="BZ2086">
            <v>1.8676828277684521E-2</v>
          </cell>
          <cell r="CA2086">
            <v>1.6570125644739531E-2</v>
          </cell>
        </row>
        <row r="2087">
          <cell r="BY2087" t="str">
            <v>4750/0.5/8000</v>
          </cell>
          <cell r="BZ2087">
            <v>1.8429132501846801E-2</v>
          </cell>
          <cell r="CA2087">
            <v>1.6301701006083913E-2</v>
          </cell>
        </row>
        <row r="2088">
          <cell r="BY2088" t="str">
            <v>4750/0.5/9000</v>
          </cell>
          <cell r="BZ2088">
            <v>1.7948722877815682E-2</v>
          </cell>
          <cell r="CA2088">
            <v>1.5829909896925287E-2</v>
          </cell>
        </row>
        <row r="2089">
          <cell r="BY2089" t="str">
            <v>4750/0.5/10000</v>
          </cell>
          <cell r="BZ2089">
            <v>1.7594470285272779E-2</v>
          </cell>
          <cell r="CA2089">
            <v>1.5459286609557366E-2</v>
          </cell>
        </row>
        <row r="2090">
          <cell r="BY2090" t="str">
            <v>4750/0.5/99999</v>
          </cell>
          <cell r="BZ2090">
            <v>1.2292002152895443E-2</v>
          </cell>
          <cell r="CA2090">
            <v>1.082831670989931E-2</v>
          </cell>
        </row>
        <row r="2091">
          <cell r="BY2091" t="str">
            <v>5000/0.5/5000</v>
          </cell>
          <cell r="BZ2091">
            <v>2.0170257479829479E-2</v>
          </cell>
          <cell r="CA2091">
            <v>1.8484860705448192E-2</v>
          </cell>
        </row>
        <row r="2092">
          <cell r="BY2092" t="str">
            <v>5000/0.5/5250</v>
          </cell>
          <cell r="BZ2092">
            <v>2.0013795067320483E-2</v>
          </cell>
          <cell r="CA2092">
            <v>1.8228410674774098E-2</v>
          </cell>
        </row>
        <row r="2093">
          <cell r="BY2093" t="str">
            <v>5000/0.5/5500</v>
          </cell>
          <cell r="BZ2093">
            <v>1.9857332654811488E-2</v>
          </cell>
          <cell r="CA2093">
            <v>1.7971960644100005E-2</v>
          </cell>
        </row>
        <row r="2094">
          <cell r="BY2094" t="str">
            <v>5000/0.5/5750</v>
          </cell>
          <cell r="BZ2094">
            <v>1.9681341351680204E-2</v>
          </cell>
          <cell r="CA2094">
            <v>1.7746839158918837E-2</v>
          </cell>
        </row>
        <row r="2095">
          <cell r="BY2095" t="str">
            <v>5000/0.5/6000</v>
          </cell>
          <cell r="BZ2095">
            <v>1.950535004854892E-2</v>
          </cell>
          <cell r="CA2095">
            <v>1.7521717673737669E-2</v>
          </cell>
        </row>
        <row r="2096">
          <cell r="BY2096" t="str">
            <v>5000/0.5/6250</v>
          </cell>
          <cell r="BZ2096">
            <v>1.9343204058404284E-2</v>
          </cell>
          <cell r="CA2096">
            <v>1.7319566601692982E-2</v>
          </cell>
        </row>
        <row r="2097">
          <cell r="BY2097" t="str">
            <v>5000/0.5/6350</v>
          </cell>
          <cell r="BZ2097">
            <v>1.9281016257125083E-2</v>
          </cell>
          <cell r="CA2097">
            <v>1.7244329261080438E-2</v>
          </cell>
        </row>
        <row r="2098">
          <cell r="BY2098" t="str">
            <v>5000/0.5/6600</v>
          </cell>
          <cell r="BZ2098">
            <v>1.9128826935643328E-2</v>
          </cell>
          <cell r="CA2098">
            <v>1.7059373320931437E-2</v>
          </cell>
        </row>
        <row r="2099">
          <cell r="BY2099" t="str">
            <v>5000/0.5/6850</v>
          </cell>
          <cell r="BZ2099">
            <v>1.8983119791624814E-2</v>
          </cell>
          <cell r="CA2099">
            <v>1.6874193705118889E-2</v>
          </cell>
        </row>
        <row r="2100">
          <cell r="BY2100" t="str">
            <v>5000/0.5/7500</v>
          </cell>
          <cell r="BZ2100">
            <v>1.8629809840075007E-2</v>
          </cell>
          <cell r="CA2100">
            <v>1.6469714305031857E-2</v>
          </cell>
        </row>
        <row r="2101">
          <cell r="BY2101" t="str">
            <v>5000/0.5/8000</v>
          </cell>
          <cell r="BZ2101">
            <v>1.8381109612509938E-2</v>
          </cell>
          <cell r="CA2101">
            <v>1.6201020492489171E-2</v>
          </cell>
        </row>
        <row r="2102">
          <cell r="BY2102" t="str">
            <v>5000/0.5/9000</v>
          </cell>
          <cell r="BZ2102">
            <v>1.7890406035184103E-2</v>
          </cell>
          <cell r="CA2102">
            <v>1.5709340135474426E-2</v>
          </cell>
        </row>
        <row r="2103">
          <cell r="BY2103" t="str">
            <v>5000/0.5/10000</v>
          </cell>
          <cell r="BZ2103">
            <v>1.7525937727630003E-2</v>
          </cell>
          <cell r="CA2103">
            <v>1.5332591817391217E-2</v>
          </cell>
        </row>
        <row r="2104">
          <cell r="BY2104" t="str">
            <v>5000/0.5/99999</v>
          </cell>
          <cell r="BZ2104">
            <v>1.218501290392382E-2</v>
          </cell>
          <cell r="CA2104">
            <v>1.0663271196155621E-2</v>
          </cell>
        </row>
      </sheetData>
      <sheetData sheetId="5">
        <row r="5">
          <cell r="BY5" t="str">
            <v>State Abbreviations</v>
          </cell>
        </row>
        <row r="6">
          <cell r="BY6" t="str">
            <v>AK</v>
          </cell>
        </row>
        <row r="7">
          <cell r="BY7" t="str">
            <v>AL</v>
          </cell>
        </row>
        <row r="8">
          <cell r="C8" t="str">
            <v>Exp Grp #1</v>
          </cell>
          <cell r="D8" t="str">
            <v>Exp Grp #2</v>
          </cell>
          <cell r="E8" t="str">
            <v>Exp Grp #3</v>
          </cell>
          <cell r="F8" t="str">
            <v>Exp Grp #4</v>
          </cell>
          <cell r="G8" t="str">
            <v>Exp Grp #5</v>
          </cell>
          <cell r="H8" t="str">
            <v>Exp Grp #6</v>
          </cell>
          <cell r="I8" t="str">
            <v>Exp Grp #7</v>
          </cell>
          <cell r="J8" t="str">
            <v>Exp Grp #8</v>
          </cell>
          <cell r="K8" t="str">
            <v>Exp Grp #9</v>
          </cell>
          <cell r="L8" t="str">
            <v>Exp Grp #10</v>
          </cell>
          <cell r="M8" t="str">
            <v>Exp Grp #11</v>
          </cell>
          <cell r="N8" t="str">
            <v>Exp Grp #12</v>
          </cell>
          <cell r="O8" t="str">
            <v>Exp Grp #13</v>
          </cell>
          <cell r="P8" t="str">
            <v>Exp Grp #14</v>
          </cell>
          <cell r="Q8" t="str">
            <v>Exp Grp #15</v>
          </cell>
          <cell r="R8" t="str">
            <v>Exp Grp #16</v>
          </cell>
          <cell r="S8" t="str">
            <v>Exp Grp #17</v>
          </cell>
          <cell r="T8" t="str">
            <v>Exp Grp #18</v>
          </cell>
          <cell r="U8" t="str">
            <v>Exp Grp #19</v>
          </cell>
          <cell r="V8" t="str">
            <v>Exp Grp #20</v>
          </cell>
          <cell r="BY8" t="str">
            <v>AZ</v>
          </cell>
        </row>
        <row r="9">
          <cell r="BY9" t="str">
            <v>AR</v>
          </cell>
        </row>
        <row r="10">
          <cell r="BJ10" t="str">
            <v>Primary Plan</v>
          </cell>
          <cell r="BY10" t="str">
            <v>CA</v>
          </cell>
        </row>
        <row r="11">
          <cell r="BY11" t="str">
            <v>CO</v>
          </cell>
        </row>
        <row r="12">
          <cell r="BY12" t="str">
            <v>CT</v>
          </cell>
        </row>
        <row r="13">
          <cell r="BY13" t="str">
            <v>DE</v>
          </cell>
        </row>
        <row r="14">
          <cell r="BQ14" t="str">
            <v>MPE Plan 1</v>
          </cell>
          <cell r="BR14" t="str">
            <v>MPE Plan 2</v>
          </cell>
          <cell r="BS14" t="str">
            <v>MPE Plan 3</v>
          </cell>
          <cell r="BT14" t="str">
            <v>MPE Plan 4</v>
          </cell>
          <cell r="BU14" t="str">
            <v>HSA Plan 1</v>
          </cell>
          <cell r="BV14" t="str">
            <v>HSA Plan 2</v>
          </cell>
          <cell r="BW14" t="str">
            <v>HSA Plan 3</v>
          </cell>
          <cell r="BY14" t="str">
            <v>DC</v>
          </cell>
        </row>
        <row r="15">
          <cell r="BQ15" t="str">
            <v>PQ1</v>
          </cell>
          <cell r="BR15" t="str">
            <v>479</v>
          </cell>
          <cell r="BS15" t="str">
            <v/>
          </cell>
          <cell r="BT15" t="str">
            <v/>
          </cell>
          <cell r="BU15" t="str">
            <v>AJ3E</v>
          </cell>
          <cell r="BV15" t="str">
            <v/>
          </cell>
          <cell r="BW15" t="str">
            <v/>
          </cell>
          <cell r="BY15" t="str">
            <v>FL</v>
          </cell>
        </row>
        <row r="16">
          <cell r="BQ16" t="str">
            <v>PQ1</v>
          </cell>
          <cell r="BR16">
            <v>479</v>
          </cell>
          <cell r="BS16" t="str">
            <v/>
          </cell>
          <cell r="BT16" t="str">
            <v/>
          </cell>
          <cell r="BU16" t="str">
            <v>AXE6</v>
          </cell>
          <cell r="BV16" t="str">
            <v/>
          </cell>
          <cell r="BW16" t="str">
            <v/>
          </cell>
          <cell r="BY16" t="str">
            <v>GA</v>
          </cell>
        </row>
        <row r="17">
          <cell r="BQ17" t="str">
            <v>F5</v>
          </cell>
          <cell r="BR17" t="str">
            <v>F5</v>
          </cell>
          <cell r="BS17" t="str">
            <v/>
          </cell>
          <cell r="BT17" t="str">
            <v/>
          </cell>
          <cell r="BU17" t="str">
            <v>H9-HSA</v>
          </cell>
          <cell r="BV17" t="str">
            <v/>
          </cell>
          <cell r="BW17" t="str">
            <v/>
          </cell>
          <cell r="BY17" t="str">
            <v>ID</v>
          </cell>
        </row>
        <row r="18">
          <cell r="BQ18" t="str">
            <v>INS-Select +</v>
          </cell>
          <cell r="BR18" t="str">
            <v>INS-Choice +</v>
          </cell>
          <cell r="BS18" t="str">
            <v/>
          </cell>
          <cell r="BT18" t="str">
            <v/>
          </cell>
          <cell r="BU18" t="str">
            <v>INS-Select +</v>
          </cell>
          <cell r="BV18" t="str">
            <v/>
          </cell>
          <cell r="BW18" t="str">
            <v/>
          </cell>
          <cell r="BY18" t="str">
            <v>IL</v>
          </cell>
        </row>
        <row r="19">
          <cell r="BY19" t="str">
            <v>IN</v>
          </cell>
        </row>
        <row r="20">
          <cell r="BY20" t="str">
            <v>IA</v>
          </cell>
        </row>
        <row r="21">
          <cell r="BQ21">
            <v>837.75</v>
          </cell>
          <cell r="BR21">
            <v>837.75</v>
          </cell>
          <cell r="BS21" t="str">
            <v/>
          </cell>
          <cell r="BT21" t="str">
            <v/>
          </cell>
          <cell r="BU21">
            <v>527.42999999999995</v>
          </cell>
          <cell r="BV21" t="str">
            <v/>
          </cell>
          <cell r="BW21" t="str">
            <v/>
          </cell>
          <cell r="BY21" t="str">
            <v>KS</v>
          </cell>
        </row>
        <row r="22">
          <cell r="BQ22">
            <v>1759.28</v>
          </cell>
          <cell r="BR22">
            <v>1759.28</v>
          </cell>
          <cell r="BS22" t="str">
            <v/>
          </cell>
          <cell r="BT22" t="str">
            <v/>
          </cell>
          <cell r="BU22">
            <v>1107.5999999999999</v>
          </cell>
          <cell r="BV22" t="str">
            <v/>
          </cell>
          <cell r="BW22" t="str">
            <v/>
          </cell>
          <cell r="BY22" t="str">
            <v>KY</v>
          </cell>
        </row>
        <row r="23">
          <cell r="BQ23">
            <v>1591.73</v>
          </cell>
          <cell r="BR23">
            <v>1591.73</v>
          </cell>
          <cell r="BS23" t="str">
            <v/>
          </cell>
          <cell r="BT23" t="str">
            <v/>
          </cell>
          <cell r="BU23">
            <v>1002.12</v>
          </cell>
          <cell r="BV23" t="str">
            <v/>
          </cell>
          <cell r="BW23" t="str">
            <v/>
          </cell>
          <cell r="BY23" t="str">
            <v>LA</v>
          </cell>
        </row>
        <row r="24">
          <cell r="BQ24">
            <v>2513.25</v>
          </cell>
          <cell r="BR24">
            <v>2513.25</v>
          </cell>
          <cell r="BS24" t="str">
            <v/>
          </cell>
          <cell r="BT24" t="str">
            <v/>
          </cell>
          <cell r="BU24">
            <v>1582.29</v>
          </cell>
          <cell r="BV24" t="str">
            <v/>
          </cell>
          <cell r="BW24" t="str">
            <v/>
          </cell>
          <cell r="BY24" t="str">
            <v>ME</v>
          </cell>
        </row>
        <row r="25">
          <cell r="BQ25">
            <v>612.95536782203317</v>
          </cell>
          <cell r="BR25">
            <v>368.57222127466633</v>
          </cell>
          <cell r="BS25" t="str">
            <v/>
          </cell>
          <cell r="BT25" t="str">
            <v/>
          </cell>
          <cell r="BU25">
            <v>523.58651160708962</v>
          </cell>
          <cell r="BV25" t="str">
            <v/>
          </cell>
          <cell r="BW25" t="str">
            <v/>
          </cell>
          <cell r="BY25" t="str">
            <v>MD</v>
          </cell>
        </row>
        <row r="26">
          <cell r="BQ26">
            <v>136.15293431290223</v>
          </cell>
          <cell r="BR26">
            <v>74.00487166108644</v>
          </cell>
          <cell r="BS26" t="str">
            <v/>
          </cell>
          <cell r="BT26" t="str">
            <v/>
          </cell>
          <cell r="BU26">
            <v>116.30184457844501</v>
          </cell>
          <cell r="BV26" t="str">
            <v/>
          </cell>
          <cell r="BW26" t="str">
            <v/>
          </cell>
          <cell r="BY26" t="str">
            <v>MA</v>
          </cell>
        </row>
        <row r="27">
          <cell r="BQ27">
            <v>1.1891198193431776</v>
          </cell>
          <cell r="BR27">
            <v>2</v>
          </cell>
          <cell r="BS27" t="str">
            <v/>
          </cell>
          <cell r="BT27" t="str">
            <v/>
          </cell>
          <cell r="BU27">
            <v>1.3270144882091774</v>
          </cell>
          <cell r="BV27" t="str">
            <v/>
          </cell>
          <cell r="BW27" t="str">
            <v/>
          </cell>
          <cell r="BY27" t="str">
            <v>MI</v>
          </cell>
        </row>
        <row r="28">
          <cell r="BQ28">
            <v>704.51295442812716</v>
          </cell>
          <cell r="BR28">
            <v>418.87515854725143</v>
          </cell>
          <cell r="BS28" t="str">
            <v/>
          </cell>
          <cell r="BT28" t="str">
            <v/>
          </cell>
          <cell r="BU28">
            <v>397.45452096094175</v>
          </cell>
          <cell r="BV28" t="str">
            <v/>
          </cell>
          <cell r="BW28" t="str">
            <v/>
          </cell>
          <cell r="BY28" t="str">
            <v>MN</v>
          </cell>
        </row>
        <row r="29">
          <cell r="BQ29">
            <v>2.1000082288723703</v>
          </cell>
          <cell r="BR29">
            <v>2.1000082288723703</v>
          </cell>
          <cell r="BS29" t="str">
            <v/>
          </cell>
          <cell r="BT29" t="str">
            <v/>
          </cell>
          <cell r="BU29">
            <v>2.0999957037291632</v>
          </cell>
          <cell r="BV29" t="str">
            <v/>
          </cell>
          <cell r="BW29" t="str">
            <v/>
          </cell>
          <cell r="BY29" t="str">
            <v>MS</v>
          </cell>
        </row>
        <row r="30">
          <cell r="BQ30">
            <v>1.9000054859149134</v>
          </cell>
          <cell r="BR30">
            <v>1.9000054859149134</v>
          </cell>
          <cell r="BS30" t="str">
            <v/>
          </cell>
          <cell r="BT30" t="str">
            <v/>
          </cell>
          <cell r="BU30">
            <v>1.900004296270837</v>
          </cell>
          <cell r="BV30" t="str">
            <v/>
          </cell>
          <cell r="BW30" t="str">
            <v/>
          </cell>
          <cell r="BY30" t="str">
            <v>MO</v>
          </cell>
        </row>
        <row r="31">
          <cell r="BQ31">
            <v>3</v>
          </cell>
          <cell r="BR31">
            <v>3</v>
          </cell>
          <cell r="BS31" t="str">
            <v/>
          </cell>
          <cell r="BT31" t="str">
            <v/>
          </cell>
          <cell r="BU31">
            <v>3</v>
          </cell>
          <cell r="BV31" t="str">
            <v/>
          </cell>
          <cell r="BW31" t="str">
            <v/>
          </cell>
          <cell r="BY31" t="str">
            <v>MT</v>
          </cell>
        </row>
        <row r="32">
          <cell r="BY32" t="str">
            <v>NE</v>
          </cell>
        </row>
        <row r="33">
          <cell r="BY33" t="str">
            <v>NV</v>
          </cell>
        </row>
        <row r="34">
          <cell r="BY34" t="str">
            <v>NH</v>
          </cell>
        </row>
        <row r="35">
          <cell r="BY35" t="str">
            <v>NJ</v>
          </cell>
        </row>
        <row r="36">
          <cell r="BY36" t="str">
            <v>NM</v>
          </cell>
        </row>
        <row r="37">
          <cell r="BY37" t="str">
            <v>NY</v>
          </cell>
        </row>
        <row r="38">
          <cell r="BY38" t="str">
            <v>NC</v>
          </cell>
        </row>
        <row r="39">
          <cell r="BY39" t="str">
            <v>ND</v>
          </cell>
        </row>
        <row r="40">
          <cell r="BY40" t="str">
            <v>OH</v>
          </cell>
        </row>
        <row r="41">
          <cell r="BY41" t="str">
            <v>OK</v>
          </cell>
        </row>
        <row r="42">
          <cell r="BY42" t="str">
            <v>OR</v>
          </cell>
        </row>
        <row r="43">
          <cell r="BY43" t="str">
            <v>PA</v>
          </cell>
        </row>
        <row r="44">
          <cell r="BY44" t="str">
            <v>RI</v>
          </cell>
        </row>
        <row r="45">
          <cell r="BY45" t="str">
            <v>SC</v>
          </cell>
        </row>
        <row r="46">
          <cell r="BY46" t="str">
            <v>SD</v>
          </cell>
        </row>
        <row r="47">
          <cell r="BY47" t="str">
            <v>TN</v>
          </cell>
        </row>
        <row r="48">
          <cell r="BY48" t="str">
            <v>TX</v>
          </cell>
        </row>
        <row r="49">
          <cell r="BY49" t="str">
            <v>UT</v>
          </cell>
        </row>
        <row r="50">
          <cell r="BY50" t="str">
            <v>VT</v>
          </cell>
        </row>
        <row r="51">
          <cell r="BY51" t="str">
            <v>VA</v>
          </cell>
        </row>
        <row r="52">
          <cell r="BY52" t="str">
            <v>WA</v>
          </cell>
        </row>
        <row r="53">
          <cell r="BY53" t="str">
            <v>WV</v>
          </cell>
        </row>
        <row r="54">
          <cell r="BY54" t="str">
            <v>WI</v>
          </cell>
        </row>
        <row r="55">
          <cell r="BY55" t="str">
            <v>WY</v>
          </cell>
        </row>
        <row r="56">
          <cell r="BY56" t="str">
            <v>HI</v>
          </cell>
        </row>
        <row r="57">
          <cell r="BY57" t="str">
            <v>AK</v>
          </cell>
        </row>
        <row r="58">
          <cell r="BY58" t="str">
            <v>PR</v>
          </cell>
        </row>
        <row r="59">
          <cell r="BY59" t="str">
            <v>VI</v>
          </cell>
        </row>
        <row r="84">
          <cell r="C84" t="str">
            <v>Option 1</v>
          </cell>
          <cell r="D84" t="str">
            <v>Option 2</v>
          </cell>
          <cell r="E84" t="str">
            <v>Option 3</v>
          </cell>
          <cell r="F84" t="str">
            <v>Option 4</v>
          </cell>
          <cell r="G84" t="str">
            <v>Option 5</v>
          </cell>
          <cell r="H84" t="str">
            <v>Option 6</v>
          </cell>
          <cell r="I84" t="str">
            <v>Option 7</v>
          </cell>
          <cell r="J84" t="str">
            <v>Option 8</v>
          </cell>
          <cell r="K84" t="str">
            <v>Option 9</v>
          </cell>
          <cell r="L84" t="str">
            <v>Option 10</v>
          </cell>
          <cell r="M84" t="str">
            <v>Option 11</v>
          </cell>
          <cell r="N84" t="str">
            <v>Option 12</v>
          </cell>
          <cell r="O84" t="str">
            <v>Option 13</v>
          </cell>
          <cell r="P84" t="str">
            <v>Option 14</v>
          </cell>
          <cell r="Q84" t="str">
            <v>Option 15</v>
          </cell>
          <cell r="R84" t="str">
            <v>Option 16</v>
          </cell>
          <cell r="S84" t="str">
            <v>Option 17</v>
          </cell>
          <cell r="T84" t="str">
            <v>Option 18</v>
          </cell>
          <cell r="U84" t="str">
            <v>Option 19</v>
          </cell>
          <cell r="V84" t="str">
            <v>Option 20</v>
          </cell>
        </row>
        <row r="134">
          <cell r="W134">
            <v>120.0001</v>
          </cell>
        </row>
        <row r="238">
          <cell r="B238" t="str">
            <v>TABLE</v>
          </cell>
          <cell r="C238" t="str">
            <v>MRS 1</v>
          </cell>
          <cell r="D238" t="str">
            <v>MRS 2</v>
          </cell>
          <cell r="E238" t="str">
            <v>MRS 3</v>
          </cell>
          <cell r="F238" t="str">
            <v>MRS 4</v>
          </cell>
          <cell r="G238" t="str">
            <v>MRS 5</v>
          </cell>
          <cell r="H238" t="str">
            <v>MRS 6</v>
          </cell>
          <cell r="I238" t="str">
            <v>MRS 7</v>
          </cell>
          <cell r="J238" t="str">
            <v>MRS 8</v>
          </cell>
          <cell r="K238" t="str">
            <v>MRS 9</v>
          </cell>
          <cell r="L238" t="str">
            <v>MRS 10</v>
          </cell>
          <cell r="M238" t="str">
            <v>MRS 11</v>
          </cell>
          <cell r="N238" t="str">
            <v>MRS 12</v>
          </cell>
        </row>
      </sheetData>
      <sheetData sheetId="6"/>
      <sheetData sheetId="7"/>
      <sheetData sheetId="8"/>
      <sheetData sheetId="9">
        <row r="5">
          <cell r="E5" t="str">
            <v>Industry</v>
          </cell>
        </row>
        <row r="6">
          <cell r="B6" t="str">
            <v xml:space="preserve">  SIC Code Ranges  </v>
          </cell>
          <cell r="D6" t="str">
            <v>Industry Description</v>
          </cell>
          <cell r="E6" t="str">
            <v>Factor</v>
          </cell>
          <cell r="W6" t="str">
            <v>License-Product</v>
          </cell>
          <cell r="X6" t="str">
            <v>Admin</v>
          </cell>
          <cell r="Y6" t="str">
            <v>Proposal</v>
          </cell>
          <cell r="Z6" t="str">
            <v>1st Yr Ren</v>
          </cell>
          <cell r="AA6" t="str">
            <v>2nd Yr Ren</v>
          </cell>
          <cell r="AB6" t="str">
            <v>3rd Yr Ren</v>
          </cell>
          <cell r="AC6" t="str">
            <v>1st Yr Ren</v>
          </cell>
          <cell r="AD6" t="str">
            <v>2nd Yr Ren</v>
          </cell>
          <cell r="AE6" t="str">
            <v>3rd Yr Ren</v>
          </cell>
          <cell r="AF6" t="str">
            <v>Ren Disc</v>
          </cell>
          <cell r="AG6" t="str">
            <v>4th Yr Ren</v>
          </cell>
          <cell r="BQ6" t="str">
            <v>PLAN</v>
          </cell>
          <cell r="CA6" t="str">
            <v>Plans</v>
          </cell>
        </row>
        <row r="7">
          <cell r="B7">
            <v>0</v>
          </cell>
          <cell r="C7">
            <v>110</v>
          </cell>
          <cell r="D7" t="str">
            <v>Unknown</v>
          </cell>
          <cell r="E7">
            <v>1.3</v>
          </cell>
          <cell r="W7" t="str">
            <v>HMO-Select</v>
          </cell>
          <cell r="X7">
            <v>0.10929999999999999</v>
          </cell>
          <cell r="Y7">
            <v>0.02</v>
          </cell>
          <cell r="Z7">
            <v>4.4999999999999998E-2</v>
          </cell>
          <cell r="AA7">
            <v>4.4999999999999998E-2</v>
          </cell>
          <cell r="AB7">
            <v>4.4999999999999998E-2</v>
          </cell>
          <cell r="AC7">
            <v>0.92898879506949339</v>
          </cell>
          <cell r="AD7">
            <v>0.89898879506949336</v>
          </cell>
          <cell r="AE7">
            <v>0.87658879506949339</v>
          </cell>
          <cell r="AF7">
            <v>1</v>
          </cell>
          <cell r="AG7">
            <v>0.86658879506949338</v>
          </cell>
          <cell r="BQ7" t="str">
            <v>Plans</v>
          </cell>
          <cell r="BR7" t="str">
            <v>Benefit Summary</v>
          </cell>
          <cell r="BU7" t="str">
            <v>Factors</v>
          </cell>
          <cell r="BV7" t="str">
            <v>Alt Name</v>
          </cell>
        </row>
        <row r="8">
          <cell r="B8">
            <v>111</v>
          </cell>
          <cell r="C8">
            <v>199</v>
          </cell>
          <cell r="D8" t="str">
            <v>Agricultural Production - Crops</v>
          </cell>
          <cell r="E8">
            <v>1</v>
          </cell>
          <cell r="W8" t="str">
            <v>HMO-Choice</v>
          </cell>
          <cell r="X8">
            <v>0.10929999999999999</v>
          </cell>
          <cell r="Y8">
            <v>0.02</v>
          </cell>
          <cell r="Z8">
            <v>4.4999999999999998E-2</v>
          </cell>
          <cell r="AA8">
            <v>4.4999999999999998E-2</v>
          </cell>
          <cell r="AB8">
            <v>4.4999999999999998E-2</v>
          </cell>
          <cell r="AC8">
            <v>0.92898879506949339</v>
          </cell>
          <cell r="AD8">
            <v>0.89898879506949336</v>
          </cell>
          <cell r="AE8">
            <v>0.87658879506949339</v>
          </cell>
          <cell r="AF8">
            <v>1</v>
          </cell>
          <cell r="AG8">
            <v>0.86658879506949338</v>
          </cell>
          <cell r="CA8" t="str">
            <v>Plans</v>
          </cell>
          <cell r="CB8" t="str">
            <v>Alt Name</v>
          </cell>
          <cell r="CC8" t="str">
            <v>In-NetworkOV</v>
          </cell>
          <cell r="CF8" t="str">
            <v>In-NetworkIP</v>
          </cell>
          <cell r="CG8" t="str">
            <v>In-NetworkUC</v>
          </cell>
          <cell r="CH8" t="str">
            <v>In-NetworkER</v>
          </cell>
          <cell r="CJ8" t="str">
            <v>In-NetworkDED</v>
          </cell>
          <cell r="CK8" t="str">
            <v>In-NetworkCOINS</v>
          </cell>
          <cell r="CL8" t="str">
            <v>In-NetworkOOP</v>
          </cell>
          <cell r="CM8" t="str">
            <v>Out-Of-NetworkDED</v>
          </cell>
          <cell r="CN8" t="str">
            <v>Out-Of-NetworkCOINS</v>
          </cell>
          <cell r="CO8" t="str">
            <v>Out-Of-NetworkOOP</v>
          </cell>
          <cell r="CS8" t="str">
            <v>LICENSE</v>
          </cell>
          <cell r="CT8" t="str">
            <v>PRODUCT</v>
          </cell>
          <cell r="CU8">
            <v>1</v>
          </cell>
          <cell r="CV8" t="str">
            <v>INFULLRX</v>
          </cell>
          <cell r="CW8" t="str">
            <v>Not Avail</v>
          </cell>
        </row>
        <row r="9">
          <cell r="B9">
            <v>211</v>
          </cell>
          <cell r="C9">
            <v>219</v>
          </cell>
          <cell r="D9" t="str">
            <v>Agricultural Production - Livestock</v>
          </cell>
          <cell r="E9">
            <v>1</v>
          </cell>
          <cell r="W9" t="str">
            <v>HMO-Select +</v>
          </cell>
          <cell r="X9">
            <v>0.10929999999999999</v>
          </cell>
          <cell r="Y9">
            <v>0.02</v>
          </cell>
          <cell r="Z9">
            <v>4.4999999999999998E-2</v>
          </cell>
          <cell r="AA9">
            <v>4.4999999999999998E-2</v>
          </cell>
          <cell r="AB9">
            <v>4.4999999999999998E-2</v>
          </cell>
          <cell r="AC9">
            <v>0.92898879506949339</v>
          </cell>
          <cell r="AD9">
            <v>0.89898879506949336</v>
          </cell>
          <cell r="AE9">
            <v>0.87658879506949339</v>
          </cell>
          <cell r="AF9">
            <v>1</v>
          </cell>
          <cell r="AG9">
            <v>0.86658879506949338</v>
          </cell>
        </row>
        <row r="10">
          <cell r="B10">
            <v>241</v>
          </cell>
          <cell r="C10">
            <v>249</v>
          </cell>
          <cell r="D10" t="str">
            <v>Agricultural Services</v>
          </cell>
          <cell r="E10">
            <v>1.05</v>
          </cell>
          <cell r="W10" t="str">
            <v>HMO-Choice +</v>
          </cell>
          <cell r="X10">
            <v>0.10929999999999999</v>
          </cell>
          <cell r="Y10">
            <v>0.02</v>
          </cell>
          <cell r="Z10">
            <v>4.4999999999999998E-2</v>
          </cell>
          <cell r="AA10">
            <v>4.4999999999999998E-2</v>
          </cell>
          <cell r="AB10">
            <v>4.4999999999999998E-2</v>
          </cell>
          <cell r="AC10">
            <v>0.92898879506949339</v>
          </cell>
          <cell r="AD10">
            <v>0.89898879506949336</v>
          </cell>
          <cell r="AE10">
            <v>0.87658879506949339</v>
          </cell>
          <cell r="AF10">
            <v>1</v>
          </cell>
          <cell r="AG10">
            <v>0.86658879506949338</v>
          </cell>
          <cell r="BQ10">
            <v>331</v>
          </cell>
          <cell r="BR10" t="str">
            <v>$10/$20/$45   $150l  MO = $20/$45/$120</v>
          </cell>
          <cell r="BU10">
            <v>0.63054959651518871</v>
          </cell>
          <cell r="BV10">
            <v>0.20899999999999999</v>
          </cell>
          <cell r="CA10" t="str">
            <v>U8M</v>
          </cell>
          <cell r="CB10" t="str">
            <v>Signature</v>
          </cell>
          <cell r="CC10">
            <v>10</v>
          </cell>
          <cell r="CD10">
            <v>10</v>
          </cell>
          <cell r="CE10">
            <v>0</v>
          </cell>
          <cell r="CF10">
            <v>0</v>
          </cell>
          <cell r="CG10">
            <v>75</v>
          </cell>
          <cell r="CH10">
            <v>150</v>
          </cell>
          <cell r="CI10">
            <v>100</v>
          </cell>
          <cell r="CJ10" t="str">
            <v>$0 / $0</v>
          </cell>
          <cell r="CK10">
            <v>1</v>
          </cell>
          <cell r="CL10" t="str">
            <v>$1,500 / $3,000</v>
          </cell>
          <cell r="CM10" t="str">
            <v>N/A</v>
          </cell>
          <cell r="CN10" t="str">
            <v>N/A</v>
          </cell>
          <cell r="CO10" t="str">
            <v>N/A</v>
          </cell>
          <cell r="CP10" t="str">
            <v>Emb</v>
          </cell>
          <cell r="CS10" t="str">
            <v>HMO</v>
          </cell>
          <cell r="CT10" t="str">
            <v>Full</v>
          </cell>
          <cell r="CU10">
            <v>0.97270000000000001</v>
          </cell>
          <cell r="CW10" t="str">
            <v>Full17</v>
          </cell>
          <cell r="CX10">
            <v>0.73780000000000001</v>
          </cell>
          <cell r="CY10" t="str">
            <v>BDX</v>
          </cell>
        </row>
        <row r="11">
          <cell r="B11">
            <v>251</v>
          </cell>
          <cell r="C11">
            <v>279</v>
          </cell>
          <cell r="D11" t="str">
            <v>Veterinary Services</v>
          </cell>
          <cell r="E11">
            <v>1</v>
          </cell>
          <cell r="W11" t="str">
            <v>INS-Select</v>
          </cell>
          <cell r="X11">
            <v>0.10929999999999999</v>
          </cell>
          <cell r="Y11">
            <v>0.02</v>
          </cell>
          <cell r="Z11">
            <v>4.4999999999999998E-2</v>
          </cell>
          <cell r="AA11">
            <v>4.4999999999999998E-2</v>
          </cell>
          <cell r="AB11">
            <v>4.4999999999999998E-2</v>
          </cell>
          <cell r="AC11">
            <v>0.92898879506949339</v>
          </cell>
          <cell r="AD11">
            <v>0.89898879506949336</v>
          </cell>
          <cell r="AE11">
            <v>0.87658879506949339</v>
          </cell>
          <cell r="AF11">
            <v>0.95</v>
          </cell>
          <cell r="AG11">
            <v>0.86658879506949338</v>
          </cell>
          <cell r="BQ11">
            <v>332</v>
          </cell>
          <cell r="BR11" t="str">
            <v>$10/$20/$45   $250l  MO = $20/$45/$120</v>
          </cell>
          <cell r="BU11">
            <v>0.63054959651518871</v>
          </cell>
          <cell r="BV11">
            <v>0.20899999999999999</v>
          </cell>
          <cell r="CA11" t="str">
            <v>U8Q</v>
          </cell>
          <cell r="CB11" t="str">
            <v>Signature</v>
          </cell>
          <cell r="CC11">
            <v>10</v>
          </cell>
          <cell r="CD11">
            <v>10</v>
          </cell>
          <cell r="CE11">
            <v>200</v>
          </cell>
          <cell r="CF11" t="str">
            <v>$250PA</v>
          </cell>
          <cell r="CG11">
            <v>75</v>
          </cell>
          <cell r="CH11">
            <v>150</v>
          </cell>
          <cell r="CI11">
            <v>100</v>
          </cell>
          <cell r="CJ11" t="str">
            <v>$0 / $0</v>
          </cell>
          <cell r="CK11">
            <v>1</v>
          </cell>
          <cell r="CL11" t="str">
            <v>$1,500 / $3,000</v>
          </cell>
          <cell r="CM11" t="str">
            <v>N/A</v>
          </cell>
          <cell r="CN11" t="str">
            <v>N/A</v>
          </cell>
          <cell r="CO11" t="str">
            <v>N/A</v>
          </cell>
          <cell r="CP11" t="str">
            <v>Emb</v>
          </cell>
          <cell r="CS11" t="str">
            <v>HMO</v>
          </cell>
          <cell r="CT11" t="str">
            <v>Full</v>
          </cell>
          <cell r="CU11">
            <v>0.96150000000000002</v>
          </cell>
          <cell r="CW11" t="str">
            <v>Full17</v>
          </cell>
          <cell r="CX11">
            <v>0.73560000000000003</v>
          </cell>
          <cell r="CY11" t="str">
            <v>BDX</v>
          </cell>
        </row>
        <row r="12">
          <cell r="B12">
            <v>291</v>
          </cell>
          <cell r="C12">
            <v>299</v>
          </cell>
          <cell r="D12" t="str">
            <v>Agricultural Services</v>
          </cell>
          <cell r="E12">
            <v>1.05</v>
          </cell>
          <cell r="W12" t="str">
            <v>INS-Choice</v>
          </cell>
          <cell r="X12">
            <v>0.10929999999999999</v>
          </cell>
          <cell r="Y12">
            <v>0.02</v>
          </cell>
          <cell r="Z12">
            <v>4.4999999999999998E-2</v>
          </cell>
          <cell r="AA12">
            <v>4.4999999999999998E-2</v>
          </cell>
          <cell r="AB12">
            <v>4.4999999999999998E-2</v>
          </cell>
          <cell r="AC12">
            <v>0.92898879506949339</v>
          </cell>
          <cell r="AD12">
            <v>0.89898879506949336</v>
          </cell>
          <cell r="AE12">
            <v>0.87658879506949339</v>
          </cell>
          <cell r="AF12">
            <v>0.95</v>
          </cell>
          <cell r="AG12">
            <v>0.86658879506949338</v>
          </cell>
          <cell r="BQ12">
            <v>333</v>
          </cell>
          <cell r="BR12" t="str">
            <v>$10/$30/$50   $150l  MO = $20/$75/$135</v>
          </cell>
          <cell r="BU12">
            <v>0.56596786262375853</v>
          </cell>
          <cell r="BV12">
            <v>0.20399999999999999</v>
          </cell>
          <cell r="CA12" t="str">
            <v>U8T</v>
          </cell>
          <cell r="CB12" t="str">
            <v>Signature</v>
          </cell>
          <cell r="CC12">
            <v>15</v>
          </cell>
          <cell r="CD12">
            <v>15</v>
          </cell>
          <cell r="CE12">
            <v>200</v>
          </cell>
          <cell r="CF12" t="str">
            <v>$250PA</v>
          </cell>
          <cell r="CG12">
            <v>75</v>
          </cell>
          <cell r="CH12">
            <v>150</v>
          </cell>
          <cell r="CI12">
            <v>100</v>
          </cell>
          <cell r="CJ12" t="str">
            <v>$0 / $0</v>
          </cell>
          <cell r="CK12">
            <v>1</v>
          </cell>
          <cell r="CL12" t="str">
            <v>$1,500 / $3,000</v>
          </cell>
          <cell r="CM12" t="str">
            <v>N/A</v>
          </cell>
          <cell r="CN12" t="str">
            <v>N/A</v>
          </cell>
          <cell r="CO12" t="str">
            <v>N/A</v>
          </cell>
          <cell r="CP12" t="str">
            <v>Emb</v>
          </cell>
          <cell r="CS12" t="str">
            <v>HMO</v>
          </cell>
          <cell r="CT12" t="str">
            <v>Full</v>
          </cell>
          <cell r="CU12">
            <v>0.95230000000000004</v>
          </cell>
          <cell r="CW12" t="str">
            <v>Full17</v>
          </cell>
          <cell r="CX12">
            <v>0.7288</v>
          </cell>
          <cell r="CY12" t="str">
            <v>BDX</v>
          </cell>
        </row>
        <row r="13">
          <cell r="B13">
            <v>711</v>
          </cell>
          <cell r="C13">
            <v>789</v>
          </cell>
          <cell r="D13" t="str">
            <v>Agricultural Services</v>
          </cell>
          <cell r="E13">
            <v>1</v>
          </cell>
          <cell r="W13" t="str">
            <v>INS-Select +</v>
          </cell>
          <cell r="X13">
            <v>0.10929999999999999</v>
          </cell>
          <cell r="Y13">
            <v>0.02</v>
          </cell>
          <cell r="Z13">
            <v>4.4999999999999998E-2</v>
          </cell>
          <cell r="AA13">
            <v>4.4999999999999998E-2</v>
          </cell>
          <cell r="AB13">
            <v>4.4999999999999998E-2</v>
          </cell>
          <cell r="AC13">
            <v>0.92898879506949339</v>
          </cell>
          <cell r="AD13">
            <v>0.89898879506949336</v>
          </cell>
          <cell r="AE13">
            <v>0.87658879506949339</v>
          </cell>
          <cell r="AF13">
            <v>0.95</v>
          </cell>
          <cell r="AG13">
            <v>0.86658879506949338</v>
          </cell>
          <cell r="BQ13">
            <v>334</v>
          </cell>
          <cell r="BR13" t="str">
            <v>$10/$30/$50   $250l  MO = $20/$75/$135</v>
          </cell>
          <cell r="BU13">
            <v>0.56596786262375853</v>
          </cell>
          <cell r="BV13">
            <v>0.20399999999999999</v>
          </cell>
          <cell r="CA13" t="str">
            <v>U8W</v>
          </cell>
          <cell r="CB13" t="str">
            <v>Signature</v>
          </cell>
          <cell r="CC13">
            <v>15</v>
          </cell>
          <cell r="CD13">
            <v>15</v>
          </cell>
          <cell r="CE13">
            <v>400</v>
          </cell>
          <cell r="CF13" t="str">
            <v>$500PA</v>
          </cell>
          <cell r="CG13">
            <v>75</v>
          </cell>
          <cell r="CH13">
            <v>150</v>
          </cell>
          <cell r="CI13">
            <v>100</v>
          </cell>
          <cell r="CJ13" t="str">
            <v>$0 / $0</v>
          </cell>
          <cell r="CK13">
            <v>1</v>
          </cell>
          <cell r="CL13" t="str">
            <v>$1,500 / $3,000</v>
          </cell>
          <cell r="CM13" t="str">
            <v>N/A</v>
          </cell>
          <cell r="CN13" t="str">
            <v>N/A</v>
          </cell>
          <cell r="CO13" t="str">
            <v>N/A</v>
          </cell>
          <cell r="CP13" t="str">
            <v>Emb</v>
          </cell>
          <cell r="CS13" t="str">
            <v>HMO</v>
          </cell>
          <cell r="CT13" t="str">
            <v>Full</v>
          </cell>
          <cell r="CU13">
            <v>0.94369999999999998</v>
          </cell>
          <cell r="CW13" t="str">
            <v>Full17</v>
          </cell>
          <cell r="CX13">
            <v>0.72719999999999996</v>
          </cell>
          <cell r="CY13" t="str">
            <v>BDX</v>
          </cell>
        </row>
        <row r="14">
          <cell r="B14">
            <v>811</v>
          </cell>
          <cell r="C14">
            <v>859</v>
          </cell>
          <cell r="D14" t="str">
            <v>Forestry</v>
          </cell>
          <cell r="E14">
            <v>1</v>
          </cell>
          <cell r="W14" t="str">
            <v>INS-Choice +</v>
          </cell>
          <cell r="X14">
            <v>0.10929999999999999</v>
          </cell>
          <cell r="Y14">
            <v>0.02</v>
          </cell>
          <cell r="Z14">
            <v>4.4999999999999998E-2</v>
          </cell>
          <cell r="AA14">
            <v>4.4999999999999998E-2</v>
          </cell>
          <cell r="AB14">
            <v>4.4999999999999998E-2</v>
          </cell>
          <cell r="AC14">
            <v>0.92898879506949339</v>
          </cell>
          <cell r="AD14">
            <v>0.89898879506949336</v>
          </cell>
          <cell r="AE14">
            <v>0.87658879506949339</v>
          </cell>
          <cell r="AF14">
            <v>0.95</v>
          </cell>
          <cell r="AG14">
            <v>0.86658879506949338</v>
          </cell>
          <cell r="BQ14">
            <v>335</v>
          </cell>
          <cell r="BR14" t="str">
            <v>$15/$25/$50   $150l  MO = $30/$60/$135</v>
          </cell>
          <cell r="BU14">
            <v>0.53167667648671613</v>
          </cell>
          <cell r="BV14">
            <v>0.2</v>
          </cell>
          <cell r="CA14" t="str">
            <v>U90</v>
          </cell>
          <cell r="CB14" t="str">
            <v>Signature</v>
          </cell>
          <cell r="CC14">
            <v>20</v>
          </cell>
          <cell r="CD14">
            <v>20</v>
          </cell>
          <cell r="CE14">
            <v>0</v>
          </cell>
          <cell r="CF14">
            <v>0</v>
          </cell>
          <cell r="CG14">
            <v>75</v>
          </cell>
          <cell r="CH14">
            <v>150</v>
          </cell>
          <cell r="CI14">
            <v>100</v>
          </cell>
          <cell r="CJ14" t="str">
            <v>$0 / $0</v>
          </cell>
          <cell r="CK14">
            <v>1</v>
          </cell>
          <cell r="CL14" t="str">
            <v>$1,500 / $3,000</v>
          </cell>
          <cell r="CM14" t="str">
            <v>N/A</v>
          </cell>
          <cell r="CN14" t="str">
            <v>N/A</v>
          </cell>
          <cell r="CO14" t="str">
            <v>N/A</v>
          </cell>
          <cell r="CP14" t="str">
            <v>Emb</v>
          </cell>
          <cell r="CS14" t="str">
            <v>HMO</v>
          </cell>
          <cell r="CT14" t="str">
            <v>Full</v>
          </cell>
          <cell r="CU14">
            <v>0.95369999999999999</v>
          </cell>
          <cell r="CW14" t="str">
            <v>Full17</v>
          </cell>
          <cell r="CX14">
            <v>0.72409999999999997</v>
          </cell>
          <cell r="CY14" t="str">
            <v>BDX</v>
          </cell>
        </row>
        <row r="15">
          <cell r="B15">
            <v>911</v>
          </cell>
          <cell r="C15">
            <v>979</v>
          </cell>
          <cell r="D15" t="str">
            <v>Fishing, Hunting, &amp; Trapping</v>
          </cell>
          <cell r="E15">
            <v>1.1000000000000001</v>
          </cell>
          <cell r="W15" t="str">
            <v>INS-PPO</v>
          </cell>
          <cell r="X15">
            <v>0.10929999999999999</v>
          </cell>
          <cell r="Y15">
            <v>0.02</v>
          </cell>
          <cell r="Z15">
            <v>4.4999999999999998E-2</v>
          </cell>
          <cell r="AA15">
            <v>4.4999999999999998E-2</v>
          </cell>
          <cell r="AB15">
            <v>4.4999999999999998E-2</v>
          </cell>
          <cell r="AC15">
            <v>0.92898879506949339</v>
          </cell>
          <cell r="AD15">
            <v>0.89898879506949336</v>
          </cell>
          <cell r="AE15">
            <v>0.87658879506949339</v>
          </cell>
          <cell r="AF15">
            <v>0.95</v>
          </cell>
          <cell r="AG15">
            <v>0.86658879506949338</v>
          </cell>
          <cell r="BQ15">
            <v>336</v>
          </cell>
          <cell r="BR15" t="str">
            <v>$15/$25/$50   $250l  MO = $30/$60/$135</v>
          </cell>
          <cell r="BU15">
            <v>0.53167667648671613</v>
          </cell>
          <cell r="BV15">
            <v>0.2</v>
          </cell>
          <cell r="CA15" t="str">
            <v>U93</v>
          </cell>
          <cell r="CB15" t="str">
            <v>Signature</v>
          </cell>
          <cell r="CC15">
            <v>20</v>
          </cell>
          <cell r="CD15">
            <v>20</v>
          </cell>
          <cell r="CE15">
            <v>200</v>
          </cell>
          <cell r="CF15" t="str">
            <v>$250PA</v>
          </cell>
          <cell r="CG15">
            <v>75</v>
          </cell>
          <cell r="CH15">
            <v>150</v>
          </cell>
          <cell r="CI15">
            <v>100</v>
          </cell>
          <cell r="CJ15" t="str">
            <v>$0 / $0</v>
          </cell>
          <cell r="CK15">
            <v>1</v>
          </cell>
          <cell r="CL15" t="str">
            <v>$1,500 / $3,000</v>
          </cell>
          <cell r="CM15" t="str">
            <v>N/A</v>
          </cell>
          <cell r="CN15" t="str">
            <v>N/A</v>
          </cell>
          <cell r="CO15" t="str">
            <v>N/A</v>
          </cell>
          <cell r="CP15" t="str">
            <v>Emb</v>
          </cell>
          <cell r="CS15" t="str">
            <v>HMO</v>
          </cell>
          <cell r="CT15" t="str">
            <v>Full</v>
          </cell>
          <cell r="CU15">
            <v>0.94340000000000002</v>
          </cell>
          <cell r="CW15" t="str">
            <v>Full17</v>
          </cell>
          <cell r="CX15">
            <v>0.72199999999999998</v>
          </cell>
          <cell r="CY15" t="str">
            <v>BDX</v>
          </cell>
        </row>
        <row r="16">
          <cell r="B16">
            <v>1011</v>
          </cell>
          <cell r="C16">
            <v>1099</v>
          </cell>
          <cell r="D16" t="str">
            <v>Mining - Metal Mining</v>
          </cell>
          <cell r="E16">
            <v>1.1499999999999999</v>
          </cell>
          <cell r="W16" t="str">
            <v>INS-ND PPO</v>
          </cell>
          <cell r="X16">
            <v>0.10929999999999999</v>
          </cell>
          <cell r="Y16">
            <v>0.02</v>
          </cell>
          <cell r="Z16">
            <v>4.4999999999999998E-2</v>
          </cell>
          <cell r="AA16">
            <v>4.4999999999999998E-2</v>
          </cell>
          <cell r="AB16">
            <v>4.4999999999999998E-2</v>
          </cell>
          <cell r="AC16">
            <v>0.92898879506949339</v>
          </cell>
          <cell r="AD16">
            <v>0.89898879506949336</v>
          </cell>
          <cell r="AE16">
            <v>0.87658879506949339</v>
          </cell>
          <cell r="AF16">
            <v>0.95</v>
          </cell>
          <cell r="AG16">
            <v>0.86658879506949338</v>
          </cell>
          <cell r="BQ16">
            <v>337</v>
          </cell>
          <cell r="BR16" t="str">
            <v>$15/$30/$50   $150l  MO = $30/$75/$135       $100/$300 Ded</v>
          </cell>
          <cell r="BU16">
            <v>0.48432218134508603</v>
          </cell>
          <cell r="BV16">
            <v>0.19800000000000001</v>
          </cell>
          <cell r="CA16" t="str">
            <v>U96</v>
          </cell>
          <cell r="CB16" t="str">
            <v>Signature</v>
          </cell>
          <cell r="CC16">
            <v>20</v>
          </cell>
          <cell r="CD16">
            <v>20</v>
          </cell>
          <cell r="CE16">
            <v>400</v>
          </cell>
          <cell r="CF16" t="str">
            <v>$500PA</v>
          </cell>
          <cell r="CG16">
            <v>75</v>
          </cell>
          <cell r="CH16">
            <v>150</v>
          </cell>
          <cell r="CI16">
            <v>100</v>
          </cell>
          <cell r="CJ16" t="str">
            <v>$0 / $0</v>
          </cell>
          <cell r="CK16">
            <v>1</v>
          </cell>
          <cell r="CL16" t="str">
            <v>$1,500 / $3,000</v>
          </cell>
          <cell r="CM16" t="str">
            <v>N/A</v>
          </cell>
          <cell r="CN16" t="str">
            <v>N/A</v>
          </cell>
          <cell r="CO16" t="str">
            <v>N/A</v>
          </cell>
          <cell r="CP16" t="str">
            <v>Emb</v>
          </cell>
          <cell r="CS16" t="str">
            <v>HMO</v>
          </cell>
          <cell r="CT16" t="str">
            <v>Full</v>
          </cell>
          <cell r="CU16">
            <v>0.93500000000000005</v>
          </cell>
          <cell r="CW16" t="str">
            <v>Full17</v>
          </cell>
          <cell r="CX16">
            <v>0.72050000000000003</v>
          </cell>
          <cell r="CY16" t="str">
            <v>BDX</v>
          </cell>
        </row>
        <row r="17">
          <cell r="B17">
            <v>1221</v>
          </cell>
          <cell r="C17">
            <v>1249</v>
          </cell>
          <cell r="D17" t="str">
            <v>Mining - Coal Mining</v>
          </cell>
          <cell r="E17">
            <v>1.1499999999999999</v>
          </cell>
          <cell r="W17" t="str">
            <v>HMO-Full</v>
          </cell>
          <cell r="X17">
            <v>0.15</v>
          </cell>
          <cell r="Y17">
            <v>0.02</v>
          </cell>
          <cell r="Z17">
            <v>0.03</v>
          </cell>
          <cell r="AA17">
            <v>0.03</v>
          </cell>
          <cell r="AB17">
            <v>0.03</v>
          </cell>
          <cell r="AC17">
            <v>0.9363897876043511</v>
          </cell>
          <cell r="AD17">
            <v>0.90638978760435107</v>
          </cell>
          <cell r="AE17">
            <v>0.8839897876043511</v>
          </cell>
          <cell r="AF17">
            <v>1</v>
          </cell>
          <cell r="AG17">
            <v>0.88098978760435109</v>
          </cell>
          <cell r="BQ17">
            <v>338</v>
          </cell>
          <cell r="BR17" t="str">
            <v>$15/$30/$50   $250l  MO = $30/$75/$135       $100/$300 Ded</v>
          </cell>
          <cell r="BU17">
            <v>0.48432218134508603</v>
          </cell>
          <cell r="BV17">
            <v>0.19800000000000001</v>
          </cell>
          <cell r="CA17" t="str">
            <v>U9C</v>
          </cell>
          <cell r="CB17" t="str">
            <v>Signature</v>
          </cell>
          <cell r="CC17">
            <v>25</v>
          </cell>
          <cell r="CD17">
            <v>25</v>
          </cell>
          <cell r="CE17">
            <v>200</v>
          </cell>
          <cell r="CF17" t="str">
            <v>$250PA</v>
          </cell>
          <cell r="CG17">
            <v>75</v>
          </cell>
          <cell r="CH17">
            <v>150</v>
          </cell>
          <cell r="CI17">
            <v>100</v>
          </cell>
          <cell r="CJ17" t="str">
            <v>$0 / $0</v>
          </cell>
          <cell r="CK17">
            <v>1</v>
          </cell>
          <cell r="CL17" t="str">
            <v>$1,500 / $3,000</v>
          </cell>
          <cell r="CM17" t="str">
            <v>N/A</v>
          </cell>
          <cell r="CN17" t="str">
            <v>N/A</v>
          </cell>
          <cell r="CO17" t="str">
            <v>N/A</v>
          </cell>
          <cell r="CP17" t="str">
            <v>Emb</v>
          </cell>
          <cell r="CS17" t="str">
            <v>HMO</v>
          </cell>
          <cell r="CT17" t="str">
            <v>Full</v>
          </cell>
          <cell r="CU17">
            <v>0.93440000000000001</v>
          </cell>
          <cell r="CW17" t="str">
            <v>Full17</v>
          </cell>
          <cell r="CX17">
            <v>0.71530000000000005</v>
          </cell>
          <cell r="CY17" t="str">
            <v>BDX</v>
          </cell>
        </row>
        <row r="18">
          <cell r="B18">
            <v>1311</v>
          </cell>
          <cell r="C18">
            <v>1389</v>
          </cell>
          <cell r="D18" t="str">
            <v>Mining - Oil &amp; Gas Extraction</v>
          </cell>
          <cell r="E18">
            <v>1.1000000000000001</v>
          </cell>
          <cell r="W18" t="str">
            <v>HMO-Advantage</v>
          </cell>
          <cell r="X18">
            <v>0.154</v>
          </cell>
          <cell r="Y18">
            <v>0.02</v>
          </cell>
          <cell r="Z18">
            <v>0.03</v>
          </cell>
          <cell r="AA18">
            <v>0.03</v>
          </cell>
          <cell r="AB18">
            <v>0.03</v>
          </cell>
          <cell r="AC18">
            <v>0.9363897876043511</v>
          </cell>
          <cell r="AD18">
            <v>0.90638978760435107</v>
          </cell>
          <cell r="AE18">
            <v>0.8839897876043511</v>
          </cell>
          <cell r="AF18">
            <v>1</v>
          </cell>
          <cell r="AG18">
            <v>0.88098978760435109</v>
          </cell>
          <cell r="BQ18">
            <v>359</v>
          </cell>
          <cell r="BR18" t="str">
            <v>$10/$25/$40   $150l   2xMO</v>
          </cell>
          <cell r="BU18">
            <v>0.66149330971980558</v>
          </cell>
          <cell r="BV18">
            <v>0.20799999999999999</v>
          </cell>
          <cell r="CA18" t="str">
            <v>U9F</v>
          </cell>
          <cell r="CB18" t="str">
            <v>Signature</v>
          </cell>
          <cell r="CC18">
            <v>25</v>
          </cell>
          <cell r="CD18">
            <v>25</v>
          </cell>
          <cell r="CE18">
            <v>400</v>
          </cell>
          <cell r="CF18" t="str">
            <v>$500PA</v>
          </cell>
          <cell r="CG18">
            <v>75</v>
          </cell>
          <cell r="CH18">
            <v>150</v>
          </cell>
          <cell r="CI18">
            <v>100</v>
          </cell>
          <cell r="CJ18" t="str">
            <v>$0 / $0</v>
          </cell>
          <cell r="CK18">
            <v>1</v>
          </cell>
          <cell r="CL18" t="str">
            <v>$1,500 / $3,000</v>
          </cell>
          <cell r="CM18" t="str">
            <v>N/A</v>
          </cell>
          <cell r="CN18" t="str">
            <v>N/A</v>
          </cell>
          <cell r="CO18" t="str">
            <v>N/A</v>
          </cell>
          <cell r="CP18" t="str">
            <v>Emb</v>
          </cell>
          <cell r="CS18" t="str">
            <v>HMO</v>
          </cell>
          <cell r="CT18" t="str">
            <v>Full</v>
          </cell>
          <cell r="CU18">
            <v>0.92649999999999999</v>
          </cell>
          <cell r="CW18" t="str">
            <v>Full17</v>
          </cell>
          <cell r="CX18">
            <v>0.71379999999999999</v>
          </cell>
          <cell r="CY18" t="str">
            <v>BDX</v>
          </cell>
        </row>
        <row r="19">
          <cell r="B19">
            <v>1411</v>
          </cell>
          <cell r="C19">
            <v>1499</v>
          </cell>
          <cell r="D19" t="str">
            <v>Mining - Nonmetallic Minerals, Except Fuels</v>
          </cell>
          <cell r="E19">
            <v>1.1499999999999999</v>
          </cell>
          <cell r="W19" t="str">
            <v>HMO-Alliance</v>
          </cell>
          <cell r="X19">
            <v>0.151</v>
          </cell>
          <cell r="Y19">
            <v>0.02</v>
          </cell>
          <cell r="Z19">
            <v>0.03</v>
          </cell>
          <cell r="AA19">
            <v>0.03</v>
          </cell>
          <cell r="AB19">
            <v>0.03</v>
          </cell>
          <cell r="AC19">
            <v>0.9363897876043511</v>
          </cell>
          <cell r="AD19">
            <v>0.90638978760435107</v>
          </cell>
          <cell r="AE19">
            <v>0.8839897876043511</v>
          </cell>
          <cell r="AF19">
            <v>1</v>
          </cell>
          <cell r="AG19">
            <v>0.88098978760435109</v>
          </cell>
          <cell r="BQ19">
            <v>470</v>
          </cell>
          <cell r="BR19" t="str">
            <v>$10/$20/$40/$100   $150l   2xMO</v>
          </cell>
          <cell r="BU19">
            <v>0.66729015309059136</v>
          </cell>
          <cell r="BV19">
            <v>0.20699999999999999</v>
          </cell>
          <cell r="CA19" t="str">
            <v>U9J</v>
          </cell>
          <cell r="CB19" t="str">
            <v>Signature</v>
          </cell>
          <cell r="CC19">
            <v>10</v>
          </cell>
          <cell r="CD19">
            <v>20</v>
          </cell>
          <cell r="CE19">
            <v>100</v>
          </cell>
          <cell r="CF19" t="str">
            <v>$150PDx3</v>
          </cell>
          <cell r="CG19">
            <v>75</v>
          </cell>
          <cell r="CH19">
            <v>150</v>
          </cell>
          <cell r="CI19">
            <v>100</v>
          </cell>
          <cell r="CJ19" t="str">
            <v>$0 / $0</v>
          </cell>
          <cell r="CK19">
            <v>1</v>
          </cell>
          <cell r="CL19" t="str">
            <v>$1,500 / $3,000</v>
          </cell>
          <cell r="CM19" t="str">
            <v>N/A</v>
          </cell>
          <cell r="CN19" t="str">
            <v>N/A</v>
          </cell>
          <cell r="CO19" t="str">
            <v>N/A</v>
          </cell>
          <cell r="CP19" t="str">
            <v>Emb</v>
          </cell>
          <cell r="CS19" t="str">
            <v>HMO</v>
          </cell>
          <cell r="CT19" t="str">
            <v>Full</v>
          </cell>
          <cell r="CU19">
            <v>0.95620000000000005</v>
          </cell>
          <cell r="CW19" t="str">
            <v>Full17</v>
          </cell>
          <cell r="CX19">
            <v>0.72729999999999995</v>
          </cell>
          <cell r="CY19" t="str">
            <v>BDX</v>
          </cell>
        </row>
        <row r="20">
          <cell r="B20">
            <v>1521</v>
          </cell>
          <cell r="C20">
            <v>1549</v>
          </cell>
          <cell r="D20" t="str">
            <v>General Building Contractors</v>
          </cell>
          <cell r="E20">
            <v>0.95</v>
          </cell>
          <cell r="W20" t="str">
            <v>HMO-Focus</v>
          </cell>
          <cell r="X20">
            <v>0.154</v>
          </cell>
          <cell r="Y20">
            <v>0.02</v>
          </cell>
          <cell r="Z20">
            <v>0.03</v>
          </cell>
          <cell r="AA20">
            <v>0.03</v>
          </cell>
          <cell r="AB20">
            <v>0.03</v>
          </cell>
          <cell r="AC20">
            <v>0.9363897876043511</v>
          </cell>
          <cell r="AD20">
            <v>0.90638978760435107</v>
          </cell>
          <cell r="AE20">
            <v>0.8839897876043511</v>
          </cell>
          <cell r="AF20">
            <v>1</v>
          </cell>
          <cell r="AG20">
            <v>0.88098978760435109</v>
          </cell>
          <cell r="BQ20">
            <v>471</v>
          </cell>
          <cell r="BR20" t="str">
            <v>$10/$20/$40/$100   $250l   2xMO</v>
          </cell>
          <cell r="BU20">
            <v>0.66729015309059136</v>
          </cell>
          <cell r="BV20">
            <v>0.20699999999999999</v>
          </cell>
          <cell r="CA20" t="str">
            <v>U9M</v>
          </cell>
          <cell r="CB20" t="str">
            <v>Signature</v>
          </cell>
          <cell r="CC20">
            <v>10</v>
          </cell>
          <cell r="CD20">
            <v>20</v>
          </cell>
          <cell r="CE20">
            <v>200</v>
          </cell>
          <cell r="CF20" t="str">
            <v>$250PDx3</v>
          </cell>
          <cell r="CG20">
            <v>75</v>
          </cell>
          <cell r="CH20">
            <v>150</v>
          </cell>
          <cell r="CI20">
            <v>100</v>
          </cell>
          <cell r="CJ20" t="str">
            <v>$0 / $0</v>
          </cell>
          <cell r="CK20">
            <v>1</v>
          </cell>
          <cell r="CL20" t="str">
            <v>$1,500 / $3,000</v>
          </cell>
          <cell r="CM20" t="str">
            <v>N/A</v>
          </cell>
          <cell r="CN20" t="str">
            <v>N/A</v>
          </cell>
          <cell r="CO20" t="str">
            <v>N/A</v>
          </cell>
          <cell r="CP20" t="str">
            <v>Emb</v>
          </cell>
          <cell r="CS20" t="str">
            <v>HMO</v>
          </cell>
          <cell r="CT20" t="str">
            <v>Full</v>
          </cell>
          <cell r="CU20">
            <v>0.95079999999999998</v>
          </cell>
          <cell r="CW20" t="str">
            <v>Full17</v>
          </cell>
          <cell r="CX20">
            <v>0.72629999999999995</v>
          </cell>
          <cell r="CY20" t="str">
            <v>BDX</v>
          </cell>
        </row>
        <row r="21">
          <cell r="B21">
            <v>1611</v>
          </cell>
          <cell r="C21">
            <v>1629</v>
          </cell>
          <cell r="D21" t="str">
            <v>Heavy Construction, Ex. Building</v>
          </cell>
          <cell r="E21">
            <v>1</v>
          </cell>
          <cell r="W21" t="str">
            <v>INS-Core</v>
          </cell>
          <cell r="X21">
            <v>0.10929999999999999</v>
          </cell>
          <cell r="Y21">
            <v>0.02</v>
          </cell>
          <cell r="Z21">
            <v>4.4999999999999998E-2</v>
          </cell>
          <cell r="AA21">
            <v>4.4999999999999998E-2</v>
          </cell>
          <cell r="AB21">
            <v>4.4999999999999998E-2</v>
          </cell>
          <cell r="AC21">
            <v>0.92898879506949339</v>
          </cell>
          <cell r="AD21">
            <v>0.89898879506949336</v>
          </cell>
          <cell r="AE21">
            <v>0.87658879506949339</v>
          </cell>
          <cell r="AF21">
            <v>0.95</v>
          </cell>
          <cell r="AG21">
            <v>0.86658879506949338</v>
          </cell>
          <cell r="BQ21">
            <v>472</v>
          </cell>
          <cell r="BR21" t="str">
            <v>$10/$25/$40/$100   $150l   2xMO</v>
          </cell>
          <cell r="BU21">
            <v>0.65047114274718476</v>
          </cell>
          <cell r="BV21">
            <v>0.20499999999999999</v>
          </cell>
          <cell r="CA21" t="str">
            <v>U9Q</v>
          </cell>
          <cell r="CB21" t="str">
            <v>Signature</v>
          </cell>
          <cell r="CC21">
            <v>20</v>
          </cell>
          <cell r="CD21">
            <v>30</v>
          </cell>
          <cell r="CE21">
            <v>100</v>
          </cell>
          <cell r="CF21" t="str">
            <v>$150PDx3</v>
          </cell>
          <cell r="CG21">
            <v>75</v>
          </cell>
          <cell r="CH21">
            <v>150</v>
          </cell>
          <cell r="CI21">
            <v>100</v>
          </cell>
          <cell r="CJ21" t="str">
            <v>$0 / $0</v>
          </cell>
          <cell r="CK21">
            <v>1</v>
          </cell>
          <cell r="CL21" t="str">
            <v>$1,500 / $3,000</v>
          </cell>
          <cell r="CM21" t="str">
            <v>N/A</v>
          </cell>
          <cell r="CN21" t="str">
            <v>N/A</v>
          </cell>
          <cell r="CO21" t="str">
            <v>N/A</v>
          </cell>
          <cell r="CP21" t="str">
            <v>Emb</v>
          </cell>
          <cell r="CS21" t="str">
            <v>HMO</v>
          </cell>
          <cell r="CT21" t="str">
            <v>Full</v>
          </cell>
          <cell r="CU21">
            <v>0.93830000000000002</v>
          </cell>
          <cell r="CW21" t="str">
            <v>Full17</v>
          </cell>
          <cell r="CX21">
            <v>0.71389999999999998</v>
          </cell>
          <cell r="CY21" t="str">
            <v>BDX</v>
          </cell>
        </row>
        <row r="22">
          <cell r="B22">
            <v>1711</v>
          </cell>
          <cell r="C22">
            <v>1719</v>
          </cell>
          <cell r="D22" t="str">
            <v>Heavy Construction, Ex. Building</v>
          </cell>
          <cell r="E22">
            <v>1</v>
          </cell>
          <cell r="W22" t="str">
            <v>INS-Core Essential</v>
          </cell>
          <cell r="X22">
            <v>0.10929999999999999</v>
          </cell>
          <cell r="Y22">
            <v>0.02</v>
          </cell>
          <cell r="Z22">
            <v>4.4999999999999998E-2</v>
          </cell>
          <cell r="AA22">
            <v>4.4999999999999998E-2</v>
          </cell>
          <cell r="AB22">
            <v>4.4999999999999998E-2</v>
          </cell>
          <cell r="AC22">
            <v>0.92898879506949339</v>
          </cell>
          <cell r="AD22">
            <v>0.89898879506949336</v>
          </cell>
          <cell r="AE22">
            <v>0.87658879506949339</v>
          </cell>
          <cell r="AF22">
            <v>0.95</v>
          </cell>
          <cell r="AG22">
            <v>0.86658879506949338</v>
          </cell>
          <cell r="BQ22">
            <v>473</v>
          </cell>
          <cell r="BR22" t="str">
            <v>$10/$25/$40/$100   $250l   2xMO</v>
          </cell>
          <cell r="BU22">
            <v>0.65047114274718476</v>
          </cell>
          <cell r="BV22">
            <v>0.20499999999999999</v>
          </cell>
          <cell r="CA22" t="str">
            <v>U9T</v>
          </cell>
          <cell r="CB22" t="str">
            <v>Signature</v>
          </cell>
          <cell r="CC22">
            <v>25</v>
          </cell>
          <cell r="CD22">
            <v>35</v>
          </cell>
          <cell r="CE22" t="str">
            <v>N/A</v>
          </cell>
          <cell r="CF22" t="str">
            <v>N/A</v>
          </cell>
          <cell r="CG22">
            <v>75</v>
          </cell>
          <cell r="CH22">
            <v>150</v>
          </cell>
          <cell r="CI22">
            <v>100</v>
          </cell>
          <cell r="CJ22" t="str">
            <v>$0 / $0</v>
          </cell>
          <cell r="CK22">
            <v>1</v>
          </cell>
          <cell r="CL22" t="str">
            <v>$1,500 / $3,000</v>
          </cell>
          <cell r="CM22" t="str">
            <v>N/A</v>
          </cell>
          <cell r="CN22" t="str">
            <v>N/A</v>
          </cell>
          <cell r="CO22" t="str">
            <v>N/A</v>
          </cell>
          <cell r="CP22" t="str">
            <v>Emb</v>
          </cell>
          <cell r="CS22" t="str">
            <v>HMO</v>
          </cell>
          <cell r="CT22" t="str">
            <v>Full</v>
          </cell>
          <cell r="CU22">
            <v>0.93640000000000001</v>
          </cell>
          <cell r="CW22" t="str">
            <v>Full17</v>
          </cell>
          <cell r="CX22">
            <v>0.70940000000000003</v>
          </cell>
          <cell r="CY22" t="str">
            <v>BDX</v>
          </cell>
        </row>
        <row r="23">
          <cell r="B23">
            <v>1721</v>
          </cell>
          <cell r="C23">
            <v>1739</v>
          </cell>
          <cell r="D23" t="str">
            <v>Special Trade Contractors</v>
          </cell>
          <cell r="E23">
            <v>0.95</v>
          </cell>
          <cell r="W23" t="str">
            <v>INS-Navigate</v>
          </cell>
          <cell r="X23">
            <v>0.10929999999999999</v>
          </cell>
          <cell r="Y23">
            <v>0.02</v>
          </cell>
          <cell r="Z23">
            <v>4.4999999999999998E-2</v>
          </cell>
          <cell r="AA23">
            <v>4.4999999999999998E-2</v>
          </cell>
          <cell r="AB23">
            <v>4.4999999999999998E-2</v>
          </cell>
          <cell r="AC23">
            <v>0.92898879506949339</v>
          </cell>
          <cell r="AD23">
            <v>0.89898879506949336</v>
          </cell>
          <cell r="AE23">
            <v>0.87658879506949339</v>
          </cell>
          <cell r="AF23">
            <v>0.95</v>
          </cell>
          <cell r="AG23">
            <v>0.86658879506949338</v>
          </cell>
          <cell r="BQ23">
            <v>480</v>
          </cell>
          <cell r="BR23" t="str">
            <v>$10/$25/$50/$100   $150l   2xMO</v>
          </cell>
          <cell r="BU23">
            <v>0.58735903111877086</v>
          </cell>
          <cell r="BV23">
            <v>0.20300000000000001</v>
          </cell>
          <cell r="CA23" t="str">
            <v>U9W</v>
          </cell>
          <cell r="CB23" t="str">
            <v>Signature</v>
          </cell>
          <cell r="CC23">
            <v>25</v>
          </cell>
          <cell r="CD23">
            <v>35</v>
          </cell>
          <cell r="CE23">
            <v>100</v>
          </cell>
          <cell r="CF23" t="str">
            <v>$150PDx3</v>
          </cell>
          <cell r="CG23">
            <v>75</v>
          </cell>
          <cell r="CH23">
            <v>150</v>
          </cell>
          <cell r="CI23">
            <v>100</v>
          </cell>
          <cell r="CJ23" t="str">
            <v>$0 / $0</v>
          </cell>
          <cell r="CK23">
            <v>1</v>
          </cell>
          <cell r="CL23" t="str">
            <v>$1,500 / $3,000</v>
          </cell>
          <cell r="CM23" t="str">
            <v>N/A</v>
          </cell>
          <cell r="CN23" t="str">
            <v>N/A</v>
          </cell>
          <cell r="CO23" t="str">
            <v>N/A</v>
          </cell>
          <cell r="CP23" t="str">
            <v>Emb</v>
          </cell>
          <cell r="CS23" t="str">
            <v>HMO</v>
          </cell>
          <cell r="CT23" t="str">
            <v>Full</v>
          </cell>
          <cell r="CU23">
            <v>0.9294</v>
          </cell>
          <cell r="CW23" t="str">
            <v>Full17</v>
          </cell>
          <cell r="CX23">
            <v>0.70720000000000005</v>
          </cell>
          <cell r="CY23" t="str">
            <v>BDX</v>
          </cell>
        </row>
        <row r="24">
          <cell r="B24">
            <v>1741</v>
          </cell>
          <cell r="C24">
            <v>1769</v>
          </cell>
          <cell r="D24" t="str">
            <v>Special Trade Contractors</v>
          </cell>
          <cell r="E24">
            <v>1</v>
          </cell>
          <cell r="BQ24">
            <v>481</v>
          </cell>
          <cell r="BR24" t="str">
            <v>$10/$25/$50/$100   $250l   2xMO</v>
          </cell>
          <cell r="BU24">
            <v>0.58735903111877086</v>
          </cell>
          <cell r="BV24">
            <v>0.20300000000000001</v>
          </cell>
          <cell r="CA24" t="str">
            <v>UA0</v>
          </cell>
          <cell r="CB24" t="str">
            <v>Signature</v>
          </cell>
          <cell r="CC24">
            <v>15</v>
          </cell>
          <cell r="CD24">
            <v>30</v>
          </cell>
          <cell r="CE24">
            <v>200</v>
          </cell>
          <cell r="CF24" t="str">
            <v>$250PDx3</v>
          </cell>
          <cell r="CG24">
            <v>75</v>
          </cell>
          <cell r="CH24">
            <v>150</v>
          </cell>
          <cell r="CI24">
            <v>100</v>
          </cell>
          <cell r="CJ24" t="str">
            <v>$0 / $0</v>
          </cell>
          <cell r="CK24">
            <v>1</v>
          </cell>
          <cell r="CL24" t="str">
            <v>$2,500 / $5,000</v>
          </cell>
          <cell r="CM24" t="str">
            <v>N/A</v>
          </cell>
          <cell r="CN24" t="str">
            <v>N/A</v>
          </cell>
          <cell r="CO24" t="str">
            <v>N/A</v>
          </cell>
          <cell r="CP24" t="str">
            <v>Emb</v>
          </cell>
          <cell r="CS24" t="str">
            <v>HMO</v>
          </cell>
          <cell r="CT24" t="str">
            <v>Full</v>
          </cell>
          <cell r="CU24">
            <v>0.93020000000000003</v>
          </cell>
          <cell r="CW24" t="str">
            <v>Full17</v>
          </cell>
          <cell r="CX24">
            <v>0.71389999999999998</v>
          </cell>
          <cell r="CY24" t="str">
            <v>BDX</v>
          </cell>
        </row>
        <row r="25">
          <cell r="B25">
            <v>1771</v>
          </cell>
          <cell r="C25">
            <v>1779</v>
          </cell>
          <cell r="D25" t="str">
            <v>Special Trade Contractors</v>
          </cell>
          <cell r="E25">
            <v>0.95</v>
          </cell>
          <cell r="BQ25">
            <v>482</v>
          </cell>
          <cell r="BR25" t="str">
            <v>$10/$30/$50/$100   $150l   2xMO</v>
          </cell>
          <cell r="BU25">
            <v>0.57380584802651124</v>
          </cell>
          <cell r="BV25">
            <v>0.20100000000000001</v>
          </cell>
          <cell r="CA25" t="str">
            <v>UB0</v>
          </cell>
          <cell r="CB25" t="str">
            <v>Signature</v>
          </cell>
          <cell r="CC25">
            <v>25</v>
          </cell>
          <cell r="CD25">
            <v>40</v>
          </cell>
          <cell r="CE25">
            <v>200</v>
          </cell>
          <cell r="CF25" t="str">
            <v>$250PDx3</v>
          </cell>
          <cell r="CG25">
            <v>75</v>
          </cell>
          <cell r="CH25">
            <v>150</v>
          </cell>
          <cell r="CI25">
            <v>100</v>
          </cell>
          <cell r="CJ25" t="str">
            <v>$0 / $0</v>
          </cell>
          <cell r="CK25">
            <v>1</v>
          </cell>
          <cell r="CL25" t="str">
            <v>$2,500 / $5,000</v>
          </cell>
          <cell r="CM25" t="str">
            <v>N/A</v>
          </cell>
          <cell r="CN25" t="str">
            <v>N/A</v>
          </cell>
          <cell r="CO25" t="str">
            <v>N/A</v>
          </cell>
          <cell r="CP25" t="str">
            <v>Emb</v>
          </cell>
          <cell r="CS25" t="str">
            <v>HMO</v>
          </cell>
          <cell r="CT25" t="str">
            <v>Full</v>
          </cell>
          <cell r="CU25">
            <v>0.91449999999999998</v>
          </cell>
          <cell r="CW25" t="str">
            <v>Full17</v>
          </cell>
          <cell r="CX25">
            <v>0.70050000000000001</v>
          </cell>
          <cell r="CY25" t="str">
            <v>BDX</v>
          </cell>
        </row>
        <row r="26">
          <cell r="B26">
            <v>1781</v>
          </cell>
          <cell r="C26">
            <v>1789</v>
          </cell>
          <cell r="D26" t="str">
            <v>Special Trade Contractors</v>
          </cell>
          <cell r="E26">
            <v>1</v>
          </cell>
          <cell r="BQ26">
            <v>483</v>
          </cell>
          <cell r="BR26" t="str">
            <v>$10/$30/$50/$100   $250l   2xMO</v>
          </cell>
          <cell r="BU26">
            <v>0.57380584802651124</v>
          </cell>
          <cell r="BV26">
            <v>0.20100000000000001</v>
          </cell>
          <cell r="CA26" t="str">
            <v>UB7</v>
          </cell>
          <cell r="CB26" t="str">
            <v>Signature</v>
          </cell>
          <cell r="CC26">
            <v>35</v>
          </cell>
          <cell r="CD26">
            <v>50</v>
          </cell>
          <cell r="CE26">
            <v>200</v>
          </cell>
          <cell r="CF26" t="str">
            <v>$250PDx3</v>
          </cell>
          <cell r="CG26">
            <v>75</v>
          </cell>
          <cell r="CH26">
            <v>150</v>
          </cell>
          <cell r="CI26">
            <v>100</v>
          </cell>
          <cell r="CJ26" t="str">
            <v>$0 / $0</v>
          </cell>
          <cell r="CK26">
            <v>1</v>
          </cell>
          <cell r="CL26" t="str">
            <v>$2,500 / $5,000</v>
          </cell>
          <cell r="CM26" t="str">
            <v>N/A</v>
          </cell>
          <cell r="CN26" t="str">
            <v>N/A</v>
          </cell>
          <cell r="CO26" t="str">
            <v>N/A</v>
          </cell>
          <cell r="CP26" t="str">
            <v>Emb</v>
          </cell>
          <cell r="CS26" t="str">
            <v>HMO</v>
          </cell>
          <cell r="CT26" t="str">
            <v>Full</v>
          </cell>
          <cell r="CU26">
            <v>0.89649999999999996</v>
          </cell>
          <cell r="CW26" t="str">
            <v>Full17</v>
          </cell>
          <cell r="CX26">
            <v>0.68710000000000004</v>
          </cell>
          <cell r="CY26" t="str">
            <v>BDX</v>
          </cell>
        </row>
        <row r="27">
          <cell r="B27">
            <v>1791</v>
          </cell>
          <cell r="C27">
            <v>1799</v>
          </cell>
          <cell r="D27" t="str">
            <v>Special Trade Contractors</v>
          </cell>
          <cell r="E27">
            <v>1.05</v>
          </cell>
          <cell r="BQ27">
            <v>490</v>
          </cell>
          <cell r="BR27" t="str">
            <v>$10/$35/$60/$100   $150l   2xMO</v>
          </cell>
          <cell r="BU27">
            <v>0.51910324156980059</v>
          </cell>
          <cell r="BV27">
            <v>0.19700000000000001</v>
          </cell>
          <cell r="CA27" t="str">
            <v>UC0</v>
          </cell>
          <cell r="CB27" t="str">
            <v>Signature</v>
          </cell>
          <cell r="CC27">
            <v>20</v>
          </cell>
          <cell r="CD27">
            <v>40</v>
          </cell>
          <cell r="CE27">
            <v>400</v>
          </cell>
          <cell r="CF27" t="str">
            <v>$500PDx5</v>
          </cell>
          <cell r="CG27">
            <v>100</v>
          </cell>
          <cell r="CH27">
            <v>200</v>
          </cell>
          <cell r="CI27">
            <v>100</v>
          </cell>
          <cell r="CJ27" t="str">
            <v>$0 / $0</v>
          </cell>
          <cell r="CK27">
            <v>1</v>
          </cell>
          <cell r="CL27" t="str">
            <v>$4,500 / $9,000</v>
          </cell>
          <cell r="CM27" t="str">
            <v>N/A</v>
          </cell>
          <cell r="CN27" t="str">
            <v>N/A</v>
          </cell>
          <cell r="CO27" t="str">
            <v>N/A</v>
          </cell>
          <cell r="CP27" t="str">
            <v>Emb</v>
          </cell>
          <cell r="CS27" t="str">
            <v>HMO</v>
          </cell>
          <cell r="CT27" t="str">
            <v>Full</v>
          </cell>
          <cell r="CU27">
            <v>0.89170000000000005</v>
          </cell>
          <cell r="CW27" t="str">
            <v>Full17</v>
          </cell>
          <cell r="CX27">
            <v>0.69399999999999995</v>
          </cell>
          <cell r="CY27" t="str">
            <v>BDX</v>
          </cell>
        </row>
        <row r="28">
          <cell r="B28">
            <v>2011</v>
          </cell>
          <cell r="C28">
            <v>2089</v>
          </cell>
          <cell r="D28" t="str">
            <v>Mfg - Food &amp; Kindred Products</v>
          </cell>
          <cell r="E28">
            <v>0.95</v>
          </cell>
          <cell r="BQ28">
            <v>491</v>
          </cell>
          <cell r="BR28" t="str">
            <v>$10/$35/$60/$100   $250l   2xMO</v>
          </cell>
          <cell r="BU28">
            <v>0.51910324156980059</v>
          </cell>
          <cell r="BV28">
            <v>0.19700000000000001</v>
          </cell>
          <cell r="CA28" t="str">
            <v>UC7</v>
          </cell>
          <cell r="CB28" t="str">
            <v>Signature</v>
          </cell>
          <cell r="CC28">
            <v>25</v>
          </cell>
          <cell r="CD28">
            <v>45</v>
          </cell>
          <cell r="CE28">
            <v>200</v>
          </cell>
          <cell r="CF28" t="str">
            <v>$250PDx5</v>
          </cell>
          <cell r="CG28">
            <v>100</v>
          </cell>
          <cell r="CH28">
            <v>200</v>
          </cell>
          <cell r="CI28">
            <v>100</v>
          </cell>
          <cell r="CJ28" t="str">
            <v>$0 / $0</v>
          </cell>
          <cell r="CK28">
            <v>1</v>
          </cell>
          <cell r="CL28" t="str">
            <v>$4,500 / $9,000</v>
          </cell>
          <cell r="CM28" t="str">
            <v>N/A</v>
          </cell>
          <cell r="CN28" t="str">
            <v>N/A</v>
          </cell>
          <cell r="CO28" t="str">
            <v>N/A</v>
          </cell>
          <cell r="CP28" t="str">
            <v>Emb</v>
          </cell>
          <cell r="CS28" t="str">
            <v>HMO</v>
          </cell>
          <cell r="CT28" t="str">
            <v>Full</v>
          </cell>
          <cell r="CU28">
            <v>0.89859999999999995</v>
          </cell>
          <cell r="CW28" t="str">
            <v>Full17</v>
          </cell>
          <cell r="CX28">
            <v>0.69259999999999999</v>
          </cell>
          <cell r="CY28" t="str">
            <v>BDX</v>
          </cell>
        </row>
        <row r="29">
          <cell r="B29">
            <v>2091</v>
          </cell>
          <cell r="C29">
            <v>2099</v>
          </cell>
          <cell r="D29" t="str">
            <v>Mfg - Food &amp; Kindred Products</v>
          </cell>
          <cell r="E29">
            <v>1</v>
          </cell>
          <cell r="BQ29">
            <v>492</v>
          </cell>
          <cell r="BR29" t="str">
            <v>$15/$30/$45/$100   $150l   2xMO</v>
          </cell>
          <cell r="BU29">
            <v>0.5536393647506791</v>
          </cell>
          <cell r="BV29">
            <v>0.19700000000000001</v>
          </cell>
          <cell r="CA29" t="str">
            <v>UD0</v>
          </cell>
          <cell r="CB29" t="str">
            <v>Signature</v>
          </cell>
          <cell r="CC29">
            <v>30</v>
          </cell>
          <cell r="CD29">
            <v>50</v>
          </cell>
          <cell r="CE29">
            <v>200</v>
          </cell>
          <cell r="CF29" t="str">
            <v>$250PDx5</v>
          </cell>
          <cell r="CG29">
            <v>100</v>
          </cell>
          <cell r="CH29">
            <v>200</v>
          </cell>
          <cell r="CI29">
            <v>100</v>
          </cell>
          <cell r="CJ29" t="str">
            <v>$0 / $0</v>
          </cell>
          <cell r="CK29">
            <v>1</v>
          </cell>
          <cell r="CL29" t="str">
            <v>$4,500 / $9,000</v>
          </cell>
          <cell r="CM29" t="str">
            <v>N/A</v>
          </cell>
          <cell r="CN29" t="str">
            <v>N/A</v>
          </cell>
          <cell r="CO29" t="str">
            <v>N/A</v>
          </cell>
          <cell r="CP29" t="str">
            <v>Emb</v>
          </cell>
          <cell r="CS29" t="str">
            <v>HMO</v>
          </cell>
          <cell r="CT29" t="str">
            <v>Full</v>
          </cell>
          <cell r="CU29">
            <v>0.88919999999999999</v>
          </cell>
          <cell r="CW29" t="str">
            <v>Full17</v>
          </cell>
          <cell r="CX29">
            <v>0.68579999999999997</v>
          </cell>
          <cell r="CY29" t="str">
            <v>BDX</v>
          </cell>
        </row>
        <row r="30">
          <cell r="B30">
            <v>2111</v>
          </cell>
          <cell r="C30">
            <v>2149</v>
          </cell>
          <cell r="D30" t="str">
            <v>Mfg - Tobacco Products</v>
          </cell>
          <cell r="E30">
            <v>1.1000000000000001</v>
          </cell>
          <cell r="BQ30">
            <v>493</v>
          </cell>
          <cell r="BR30" t="str">
            <v>$15/$30/$45/$100   $250l   2xMO</v>
          </cell>
          <cell r="BU30">
            <v>0.5536393647506791</v>
          </cell>
          <cell r="BV30">
            <v>0.19700000000000001</v>
          </cell>
          <cell r="CA30" t="str">
            <v>UD7</v>
          </cell>
          <cell r="CB30" t="str">
            <v>Signature</v>
          </cell>
          <cell r="CC30">
            <v>30</v>
          </cell>
          <cell r="CD30">
            <v>50</v>
          </cell>
          <cell r="CE30">
            <v>400</v>
          </cell>
          <cell r="CF30" t="str">
            <v>$500PDx5</v>
          </cell>
          <cell r="CG30">
            <v>100</v>
          </cell>
          <cell r="CH30">
            <v>200</v>
          </cell>
          <cell r="CI30">
            <v>100</v>
          </cell>
          <cell r="CJ30" t="str">
            <v>$0 / $0</v>
          </cell>
          <cell r="CK30">
            <v>1</v>
          </cell>
          <cell r="CL30" t="str">
            <v>$4,500 / $9,000</v>
          </cell>
          <cell r="CM30" t="str">
            <v>N/A</v>
          </cell>
          <cell r="CN30" t="str">
            <v>N/A</v>
          </cell>
          <cell r="CO30" t="str">
            <v>N/A</v>
          </cell>
          <cell r="CP30" t="str">
            <v>Emb</v>
          </cell>
          <cell r="CS30" t="str">
            <v>HMO</v>
          </cell>
          <cell r="CT30" t="str">
            <v>Full</v>
          </cell>
          <cell r="CU30">
            <v>0.87319999999999998</v>
          </cell>
          <cell r="CW30" t="str">
            <v>Full17</v>
          </cell>
          <cell r="CX30">
            <v>0.68069999999999997</v>
          </cell>
          <cell r="CY30" t="str">
            <v>BDX</v>
          </cell>
        </row>
        <row r="31">
          <cell r="B31">
            <v>2211</v>
          </cell>
          <cell r="C31">
            <v>2299</v>
          </cell>
          <cell r="D31" t="str">
            <v>Mfg - Textile Mill Products</v>
          </cell>
          <cell r="E31">
            <v>1</v>
          </cell>
          <cell r="BQ31" t="str">
            <v>2DJ</v>
          </cell>
          <cell r="BR31" t="str">
            <v>$5/$10   $250l   2xMO</v>
          </cell>
          <cell r="BU31">
            <v>0.81012927248762912</v>
          </cell>
          <cell r="BV31">
            <v>0.23100000000000001</v>
          </cell>
          <cell r="CA31" t="str">
            <v>UE0</v>
          </cell>
          <cell r="CB31" t="str">
            <v>Signature</v>
          </cell>
          <cell r="CC31">
            <v>25</v>
          </cell>
          <cell r="CD31">
            <v>45</v>
          </cell>
          <cell r="CE31" t="str">
            <v>N/A</v>
          </cell>
          <cell r="CF31" t="str">
            <v>N/A</v>
          </cell>
          <cell r="CG31">
            <v>100</v>
          </cell>
          <cell r="CH31">
            <v>200</v>
          </cell>
          <cell r="CI31">
            <v>100</v>
          </cell>
          <cell r="CJ31" t="str">
            <v>$0 / $0</v>
          </cell>
          <cell r="CK31">
            <v>0.9</v>
          </cell>
          <cell r="CL31" t="str">
            <v>$2,500 / $5,000</v>
          </cell>
          <cell r="CM31" t="str">
            <v>N/A</v>
          </cell>
          <cell r="CN31" t="str">
            <v>N/A</v>
          </cell>
          <cell r="CO31" t="str">
            <v>N/A</v>
          </cell>
          <cell r="CP31" t="str">
            <v>Emb</v>
          </cell>
          <cell r="CS31" t="str">
            <v>HMO</v>
          </cell>
          <cell r="CT31" t="str">
            <v>Full</v>
          </cell>
          <cell r="CU31">
            <v>0.88619999999999999</v>
          </cell>
          <cell r="CW31" t="str">
            <v>Full17</v>
          </cell>
          <cell r="CX31">
            <v>0.69969999999999999</v>
          </cell>
          <cell r="CY31" t="str">
            <v>BDX</v>
          </cell>
        </row>
        <row r="32">
          <cell r="B32">
            <v>2311</v>
          </cell>
          <cell r="C32">
            <v>2399</v>
          </cell>
          <cell r="D32" t="str">
            <v>Mfg - Apparel &amp; Other Textile Products</v>
          </cell>
          <cell r="E32">
            <v>1</v>
          </cell>
          <cell r="BQ32" t="str">
            <v>2EI</v>
          </cell>
          <cell r="BR32" t="str">
            <v>$20/$35   $150l   2xMO   $100/$300 Ded</v>
          </cell>
          <cell r="BU32">
            <v>0.49232345811039591</v>
          </cell>
          <cell r="BV32">
            <v>0.214</v>
          </cell>
          <cell r="CA32" t="str">
            <v>UE7</v>
          </cell>
          <cell r="CB32" t="str">
            <v>Signature</v>
          </cell>
          <cell r="CC32">
            <v>25</v>
          </cell>
          <cell r="CD32">
            <v>45</v>
          </cell>
          <cell r="CE32" t="str">
            <v>N/A</v>
          </cell>
          <cell r="CF32" t="str">
            <v>N/A</v>
          </cell>
          <cell r="CG32">
            <v>100</v>
          </cell>
          <cell r="CH32">
            <v>200</v>
          </cell>
          <cell r="CI32">
            <v>100</v>
          </cell>
          <cell r="CJ32" t="str">
            <v>$0 / $0</v>
          </cell>
          <cell r="CK32">
            <v>0.8</v>
          </cell>
          <cell r="CL32" t="str">
            <v>$3,500 / $7,000</v>
          </cell>
          <cell r="CM32" t="str">
            <v>N/A</v>
          </cell>
          <cell r="CN32" t="str">
            <v>N/A</v>
          </cell>
          <cell r="CO32" t="str">
            <v>N/A</v>
          </cell>
          <cell r="CP32" t="str">
            <v>Emb</v>
          </cell>
          <cell r="CS32" t="str">
            <v>HMO</v>
          </cell>
          <cell r="CT32" t="str">
            <v>Full</v>
          </cell>
          <cell r="CU32">
            <v>0.85129999999999995</v>
          </cell>
          <cell r="CW32" t="str">
            <v>Full17</v>
          </cell>
          <cell r="CX32">
            <v>0.69969999999999999</v>
          </cell>
          <cell r="CY32" t="str">
            <v>BDX</v>
          </cell>
        </row>
        <row r="33">
          <cell r="B33">
            <v>2411</v>
          </cell>
          <cell r="C33">
            <v>2429</v>
          </cell>
          <cell r="D33" t="str">
            <v>Mfg - Lumber &amp; Wood Products</v>
          </cell>
          <cell r="E33">
            <v>1.05</v>
          </cell>
          <cell r="BQ33" t="str">
            <v>2EJ</v>
          </cell>
          <cell r="BR33" t="str">
            <v>$5/$15   $250l   2xMO</v>
          </cell>
          <cell r="BU33">
            <v>0.79058329638951497</v>
          </cell>
          <cell r="BV33">
            <v>0.23100000000000001</v>
          </cell>
          <cell r="CA33" t="str">
            <v>UF0</v>
          </cell>
          <cell r="CB33" t="str">
            <v>Signature</v>
          </cell>
          <cell r="CC33">
            <v>25</v>
          </cell>
          <cell r="CD33">
            <v>45</v>
          </cell>
          <cell r="CE33" t="str">
            <v>N/A</v>
          </cell>
          <cell r="CF33" t="str">
            <v>N/A</v>
          </cell>
          <cell r="CG33">
            <v>100</v>
          </cell>
          <cell r="CH33">
            <v>200</v>
          </cell>
          <cell r="CI33">
            <v>100</v>
          </cell>
          <cell r="CJ33" t="str">
            <v>$0 / $0</v>
          </cell>
          <cell r="CK33">
            <v>0.7</v>
          </cell>
          <cell r="CL33" t="str">
            <v>$4,500 / $9,000</v>
          </cell>
          <cell r="CM33" t="str">
            <v>N/A</v>
          </cell>
          <cell r="CN33" t="str">
            <v>N/A</v>
          </cell>
          <cell r="CO33" t="str">
            <v>N/A</v>
          </cell>
          <cell r="CP33" t="str">
            <v>Emb</v>
          </cell>
          <cell r="CS33" t="str">
            <v>HMO</v>
          </cell>
          <cell r="CT33" t="str">
            <v>Full</v>
          </cell>
          <cell r="CU33">
            <v>0.81730000000000003</v>
          </cell>
          <cell r="CW33" t="str">
            <v>Full17</v>
          </cell>
          <cell r="CX33">
            <v>0.69969999999999999</v>
          </cell>
          <cell r="CY33" t="str">
            <v>BDX</v>
          </cell>
        </row>
        <row r="34">
          <cell r="B34">
            <v>2431</v>
          </cell>
          <cell r="C34">
            <v>2499</v>
          </cell>
          <cell r="D34" t="str">
            <v>Mfg - Lumber &amp; Wood Products</v>
          </cell>
          <cell r="E34">
            <v>1</v>
          </cell>
          <cell r="BQ34" t="str">
            <v>2GI</v>
          </cell>
          <cell r="BR34" t="str">
            <v>$10/$15   $250l   2xMO</v>
          </cell>
          <cell r="BU34">
            <v>0.74855209966725433</v>
          </cell>
          <cell r="BV34">
            <v>0.22500000000000001</v>
          </cell>
          <cell r="CA34" t="str">
            <v>UF8</v>
          </cell>
          <cell r="CB34" t="str">
            <v>Signature</v>
          </cell>
          <cell r="CC34">
            <v>30</v>
          </cell>
          <cell r="CD34">
            <v>50</v>
          </cell>
          <cell r="CE34" t="str">
            <v>N/A</v>
          </cell>
          <cell r="CF34" t="str">
            <v>N/A</v>
          </cell>
          <cell r="CG34">
            <v>100</v>
          </cell>
          <cell r="CH34">
            <v>200</v>
          </cell>
          <cell r="CI34">
            <v>100</v>
          </cell>
          <cell r="CJ34" t="str">
            <v>$0 / $0</v>
          </cell>
          <cell r="CK34">
            <v>0.9</v>
          </cell>
          <cell r="CL34" t="str">
            <v>$2,500 / $5,000</v>
          </cell>
          <cell r="CM34" t="str">
            <v>N/A</v>
          </cell>
          <cell r="CN34" t="str">
            <v>N/A</v>
          </cell>
          <cell r="CO34" t="str">
            <v>N/A</v>
          </cell>
          <cell r="CP34" t="str">
            <v>Emb</v>
          </cell>
          <cell r="CS34" t="str">
            <v>HMO</v>
          </cell>
          <cell r="CT34" t="str">
            <v>Full</v>
          </cell>
          <cell r="CU34">
            <v>0.87780000000000002</v>
          </cell>
          <cell r="CW34" t="str">
            <v>Full17</v>
          </cell>
          <cell r="CX34">
            <v>0.69289999999999996</v>
          </cell>
          <cell r="CY34" t="str">
            <v>BDX</v>
          </cell>
        </row>
        <row r="35">
          <cell r="B35">
            <v>2511</v>
          </cell>
          <cell r="C35">
            <v>2599</v>
          </cell>
          <cell r="D35" t="str">
            <v>Mfg - Furniture &amp; Fixtures</v>
          </cell>
          <cell r="E35">
            <v>0.95</v>
          </cell>
          <cell r="BQ35" t="str">
            <v>2GJ</v>
          </cell>
          <cell r="BR35" t="str">
            <v>$10/$10   $250l   2xMO</v>
          </cell>
          <cell r="BU35">
            <v>0.76692237795495566</v>
          </cell>
          <cell r="BV35">
            <v>0.22500000000000001</v>
          </cell>
          <cell r="CA35" t="str">
            <v>UG4</v>
          </cell>
          <cell r="CB35" t="str">
            <v>Signature</v>
          </cell>
          <cell r="CC35">
            <v>35</v>
          </cell>
          <cell r="CD35">
            <v>55</v>
          </cell>
          <cell r="CE35" t="str">
            <v>N/A</v>
          </cell>
          <cell r="CF35" t="str">
            <v>N/A</v>
          </cell>
          <cell r="CG35">
            <v>100</v>
          </cell>
          <cell r="CH35">
            <v>200</v>
          </cell>
          <cell r="CI35">
            <v>100</v>
          </cell>
          <cell r="CJ35" t="str">
            <v>$0 / $0</v>
          </cell>
          <cell r="CK35">
            <v>0.9</v>
          </cell>
          <cell r="CL35" t="str">
            <v>$2,500 / $5,000</v>
          </cell>
          <cell r="CM35" t="str">
            <v>N/A</v>
          </cell>
          <cell r="CN35" t="str">
            <v>N/A</v>
          </cell>
          <cell r="CO35" t="str">
            <v>N/A</v>
          </cell>
          <cell r="CP35" t="str">
            <v>Emb</v>
          </cell>
          <cell r="CS35" t="str">
            <v>HMO</v>
          </cell>
          <cell r="CT35" t="str">
            <v>Full</v>
          </cell>
          <cell r="CU35">
            <v>0.86929999999999996</v>
          </cell>
          <cell r="CW35" t="str">
            <v>Full17</v>
          </cell>
          <cell r="CX35">
            <v>0.68600000000000005</v>
          </cell>
          <cell r="CY35" t="str">
            <v>BDX</v>
          </cell>
        </row>
        <row r="36">
          <cell r="B36">
            <v>2611</v>
          </cell>
          <cell r="C36">
            <v>2679</v>
          </cell>
          <cell r="D36" t="str">
            <v>Mfg - Paper &amp; Allied Products</v>
          </cell>
          <cell r="E36">
            <v>1</v>
          </cell>
          <cell r="BQ36" t="str">
            <v>2HI</v>
          </cell>
          <cell r="BR36" t="str">
            <v>$5/$10   $150l   2xMO</v>
          </cell>
          <cell r="BU36">
            <v>0.81012927248762912</v>
          </cell>
          <cell r="BV36">
            <v>0.23100000000000001</v>
          </cell>
          <cell r="CA36" t="str">
            <v>UG7</v>
          </cell>
          <cell r="CB36" t="str">
            <v>Signature</v>
          </cell>
          <cell r="CC36">
            <v>35</v>
          </cell>
          <cell r="CD36">
            <v>55</v>
          </cell>
          <cell r="CE36" t="str">
            <v>N/A</v>
          </cell>
          <cell r="CF36" t="str">
            <v>N/A</v>
          </cell>
          <cell r="CG36">
            <v>100</v>
          </cell>
          <cell r="CH36">
            <v>200</v>
          </cell>
          <cell r="CI36">
            <v>100</v>
          </cell>
          <cell r="CJ36" t="str">
            <v>$0 / $0</v>
          </cell>
          <cell r="CK36">
            <v>0.8</v>
          </cell>
          <cell r="CL36" t="str">
            <v>$3,500 / $7,000</v>
          </cell>
          <cell r="CM36" t="str">
            <v>N/A</v>
          </cell>
          <cell r="CN36" t="str">
            <v>N/A</v>
          </cell>
          <cell r="CO36" t="str">
            <v>N/A</v>
          </cell>
          <cell r="CP36" t="str">
            <v>Emb</v>
          </cell>
          <cell r="CS36" t="str">
            <v>HMO</v>
          </cell>
          <cell r="CT36" t="str">
            <v>Full</v>
          </cell>
          <cell r="CU36">
            <v>0.83460000000000001</v>
          </cell>
          <cell r="CW36" t="str">
            <v>Full17</v>
          </cell>
          <cell r="CX36">
            <v>0.68600000000000005</v>
          </cell>
          <cell r="CY36" t="str">
            <v>BDX</v>
          </cell>
        </row>
        <row r="37">
          <cell r="B37">
            <v>2711</v>
          </cell>
          <cell r="C37">
            <v>2799</v>
          </cell>
          <cell r="D37" t="str">
            <v>Mfg - Printing &amp; Publishing</v>
          </cell>
          <cell r="E37">
            <v>0.95</v>
          </cell>
          <cell r="BQ37" t="str">
            <v>2II</v>
          </cell>
          <cell r="BR37" t="str">
            <v>$5/$15   $150l   2xMO</v>
          </cell>
          <cell r="BU37">
            <v>0.79058329638951497</v>
          </cell>
          <cell r="BV37">
            <v>0.23100000000000001</v>
          </cell>
          <cell r="CA37" t="str">
            <v>UH0</v>
          </cell>
          <cell r="CB37" t="str">
            <v>Signature</v>
          </cell>
          <cell r="CC37">
            <v>35</v>
          </cell>
          <cell r="CD37">
            <v>55</v>
          </cell>
          <cell r="CE37" t="str">
            <v>N/A</v>
          </cell>
          <cell r="CF37" t="str">
            <v>N/A</v>
          </cell>
          <cell r="CG37">
            <v>100</v>
          </cell>
          <cell r="CH37">
            <v>200</v>
          </cell>
          <cell r="CI37">
            <v>100</v>
          </cell>
          <cell r="CJ37" t="str">
            <v>$0 / $0</v>
          </cell>
          <cell r="CK37">
            <v>0.7</v>
          </cell>
          <cell r="CL37" t="str">
            <v>$4,500 / $9,000</v>
          </cell>
          <cell r="CM37" t="str">
            <v>N/A</v>
          </cell>
          <cell r="CN37" t="str">
            <v>N/A</v>
          </cell>
          <cell r="CO37" t="str">
            <v>N/A</v>
          </cell>
          <cell r="CP37" t="str">
            <v>Emb</v>
          </cell>
          <cell r="CS37" t="str">
            <v>HMO</v>
          </cell>
          <cell r="CT37" t="str">
            <v>Full</v>
          </cell>
          <cell r="CU37">
            <v>0.80059999999999998</v>
          </cell>
          <cell r="CW37" t="str">
            <v>Full17</v>
          </cell>
          <cell r="CX37">
            <v>0.68600000000000005</v>
          </cell>
          <cell r="CY37" t="str">
            <v>BDX</v>
          </cell>
        </row>
        <row r="38">
          <cell r="B38">
            <v>2811</v>
          </cell>
          <cell r="C38">
            <v>2819</v>
          </cell>
          <cell r="D38" t="str">
            <v>Mfg - Chemicals &amp; Allied Products</v>
          </cell>
          <cell r="E38">
            <v>1.05</v>
          </cell>
          <cell r="W38" t="str">
            <v>Subscribers</v>
          </cell>
          <cell r="X38" t="str">
            <v>INS</v>
          </cell>
          <cell r="Y38" t="str">
            <v>HMO</v>
          </cell>
          <cell r="BQ38" t="str">
            <v>2IJ</v>
          </cell>
          <cell r="BR38" t="str">
            <v>$10/$20   $250l   2xMO</v>
          </cell>
          <cell r="BU38">
            <v>0.73003485915325128</v>
          </cell>
          <cell r="BV38">
            <v>0.22500000000000001</v>
          </cell>
          <cell r="CA38" t="str">
            <v>UH7</v>
          </cell>
          <cell r="CB38" t="str">
            <v>Signature</v>
          </cell>
          <cell r="CC38">
            <v>45</v>
          </cell>
          <cell r="CD38">
            <v>65</v>
          </cell>
          <cell r="CE38" t="str">
            <v>N/A</v>
          </cell>
          <cell r="CF38" t="str">
            <v>N/A</v>
          </cell>
          <cell r="CG38">
            <v>100</v>
          </cell>
          <cell r="CH38">
            <v>200</v>
          </cell>
          <cell r="CI38">
            <v>100</v>
          </cell>
          <cell r="CJ38" t="str">
            <v>$0 / $0</v>
          </cell>
          <cell r="CK38">
            <v>0.9</v>
          </cell>
          <cell r="CL38" t="str">
            <v>$2,500 / $5,000</v>
          </cell>
          <cell r="CM38" t="str">
            <v>N/A</v>
          </cell>
          <cell r="CN38" t="str">
            <v>N/A</v>
          </cell>
          <cell r="CO38" t="str">
            <v>N/A</v>
          </cell>
          <cell r="CP38" t="str">
            <v>Emb</v>
          </cell>
          <cell r="CS38" t="str">
            <v>HMO</v>
          </cell>
          <cell r="CT38" t="str">
            <v>Full</v>
          </cell>
          <cell r="CU38">
            <v>0.85229999999999995</v>
          </cell>
          <cell r="CW38" t="str">
            <v>Full17</v>
          </cell>
          <cell r="CX38">
            <v>0.6724</v>
          </cell>
          <cell r="CY38" t="str">
            <v>BDX</v>
          </cell>
        </row>
        <row r="39">
          <cell r="B39">
            <v>2821</v>
          </cell>
          <cell r="C39">
            <v>2869</v>
          </cell>
          <cell r="D39" t="str">
            <v>Mfg - Chemicals &amp; Allied Products</v>
          </cell>
          <cell r="E39">
            <v>1</v>
          </cell>
          <cell r="W39">
            <v>0</v>
          </cell>
          <cell r="X39">
            <v>0.107</v>
          </cell>
          <cell r="Y39">
            <v>0.122</v>
          </cell>
          <cell r="BQ39" t="str">
            <v>2JI</v>
          </cell>
          <cell r="BR39" t="str">
            <v>$10/$10   $150l   2xMO</v>
          </cell>
          <cell r="BU39">
            <v>0.76692237795495566</v>
          </cell>
          <cell r="BV39">
            <v>0.22500000000000001</v>
          </cell>
          <cell r="CA39" t="str">
            <v>UIX</v>
          </cell>
          <cell r="CB39" t="str">
            <v>Signature</v>
          </cell>
          <cell r="CC39">
            <v>20</v>
          </cell>
          <cell r="CD39">
            <v>35</v>
          </cell>
          <cell r="CE39" t="str">
            <v>N/A</v>
          </cell>
          <cell r="CF39" t="str">
            <v>N/A</v>
          </cell>
          <cell r="CG39">
            <v>75</v>
          </cell>
          <cell r="CH39">
            <v>150</v>
          </cell>
          <cell r="CI39">
            <v>100</v>
          </cell>
          <cell r="CJ39" t="str">
            <v>$250 / $500</v>
          </cell>
          <cell r="CK39">
            <v>0.7</v>
          </cell>
          <cell r="CL39" t="str">
            <v>$3,000 / $6,000</v>
          </cell>
          <cell r="CM39" t="str">
            <v>N/A</v>
          </cell>
          <cell r="CN39" t="str">
            <v>N/A</v>
          </cell>
          <cell r="CO39" t="str">
            <v>N/A</v>
          </cell>
          <cell r="CP39" t="str">
            <v>Emb</v>
          </cell>
          <cell r="CS39" t="str">
            <v>HMO</v>
          </cell>
          <cell r="CT39" t="str">
            <v>Full</v>
          </cell>
          <cell r="CU39">
            <v>0.80059999999999998</v>
          </cell>
          <cell r="CW39" t="str">
            <v>Full17</v>
          </cell>
          <cell r="CX39">
            <v>0.66210000000000002</v>
          </cell>
          <cell r="CY39" t="str">
            <v>BEY</v>
          </cell>
        </row>
        <row r="40">
          <cell r="B40">
            <v>2871</v>
          </cell>
          <cell r="C40">
            <v>2891</v>
          </cell>
          <cell r="D40" t="str">
            <v>Mfg - Chemicals &amp; Allied Products</v>
          </cell>
          <cell r="E40">
            <v>1.05</v>
          </cell>
          <cell r="W40">
            <v>500</v>
          </cell>
          <cell r="X40">
            <v>9.1999999999999985E-2</v>
          </cell>
          <cell r="Y40">
            <v>0.10699999999999998</v>
          </cell>
          <cell r="BQ40" t="str">
            <v>2JJ</v>
          </cell>
          <cell r="BR40" t="str">
            <v>$10/$25   $250l   2xMO</v>
          </cell>
          <cell r="BU40">
            <v>0.70416950732416783</v>
          </cell>
          <cell r="BV40">
            <v>0.22500000000000001</v>
          </cell>
          <cell r="CA40" t="str">
            <v>UJ0</v>
          </cell>
          <cell r="CB40" t="str">
            <v>Signature</v>
          </cell>
          <cell r="CC40">
            <v>20</v>
          </cell>
          <cell r="CD40">
            <v>35</v>
          </cell>
          <cell r="CE40" t="str">
            <v>N/A</v>
          </cell>
          <cell r="CF40" t="str">
            <v>N/A</v>
          </cell>
          <cell r="CG40">
            <v>75</v>
          </cell>
          <cell r="CH40">
            <v>150</v>
          </cell>
          <cell r="CI40">
            <v>100</v>
          </cell>
          <cell r="CJ40" t="str">
            <v>$500 / $1,000</v>
          </cell>
          <cell r="CK40">
            <v>0.7</v>
          </cell>
          <cell r="CL40" t="str">
            <v>$3,000 / $6,000</v>
          </cell>
          <cell r="CM40" t="str">
            <v>N/A</v>
          </cell>
          <cell r="CN40" t="str">
            <v>N/A</v>
          </cell>
          <cell r="CO40" t="str">
            <v>N/A</v>
          </cell>
          <cell r="CP40" t="str">
            <v>Emb</v>
          </cell>
          <cell r="CS40" t="str">
            <v>HMO</v>
          </cell>
          <cell r="CT40" t="str">
            <v>Full</v>
          </cell>
          <cell r="CU40">
            <v>0.79330000000000001</v>
          </cell>
          <cell r="CW40" t="str">
            <v>Full17</v>
          </cell>
          <cell r="CX40">
            <v>0.65390000000000004</v>
          </cell>
          <cell r="CY40" t="str">
            <v>BEY</v>
          </cell>
        </row>
        <row r="41">
          <cell r="B41">
            <v>2892</v>
          </cell>
          <cell r="C41">
            <v>2892</v>
          </cell>
          <cell r="D41" t="str">
            <v>Mfg - Chemicals &amp; Allied Products</v>
          </cell>
          <cell r="E41">
            <v>1.1499999999999999</v>
          </cell>
          <cell r="W41">
            <v>2500</v>
          </cell>
          <cell r="X41">
            <v>7.1999999999999995E-2</v>
          </cell>
          <cell r="Y41">
            <v>8.6999999999999994E-2</v>
          </cell>
          <cell r="BQ41" t="str">
            <v>2KI</v>
          </cell>
          <cell r="BR41" t="str">
            <v>$10/$15   $150l   2xMO</v>
          </cell>
          <cell r="BU41">
            <v>0.74855209966725433</v>
          </cell>
          <cell r="BV41">
            <v>0.22500000000000001</v>
          </cell>
          <cell r="CA41" t="str">
            <v>UJ7</v>
          </cell>
          <cell r="CB41" t="str">
            <v>Signature</v>
          </cell>
          <cell r="CC41">
            <v>25</v>
          </cell>
          <cell r="CD41">
            <v>40</v>
          </cell>
          <cell r="CE41" t="str">
            <v>N/A</v>
          </cell>
          <cell r="CF41" t="str">
            <v>N/A</v>
          </cell>
          <cell r="CG41">
            <v>75</v>
          </cell>
          <cell r="CH41">
            <v>150</v>
          </cell>
          <cell r="CI41">
            <v>100</v>
          </cell>
          <cell r="CJ41" t="str">
            <v>$1,000 / $2,000</v>
          </cell>
          <cell r="CK41">
            <v>0.7</v>
          </cell>
          <cell r="CL41" t="str">
            <v>$4,500 / $9,000</v>
          </cell>
          <cell r="CM41" t="str">
            <v>N/A</v>
          </cell>
          <cell r="CN41" t="str">
            <v>N/A</v>
          </cell>
          <cell r="CO41" t="str">
            <v>N/A</v>
          </cell>
          <cell r="CP41" t="str">
            <v>Emb</v>
          </cell>
          <cell r="CS41" t="str">
            <v>HMO</v>
          </cell>
          <cell r="CT41" t="str">
            <v>Full</v>
          </cell>
          <cell r="CU41">
            <v>0.73529999999999995</v>
          </cell>
          <cell r="CW41" t="str">
            <v>Full17</v>
          </cell>
          <cell r="CX41">
            <v>0.62070000000000003</v>
          </cell>
          <cell r="CY41" t="str">
            <v>BEY</v>
          </cell>
        </row>
        <row r="42">
          <cell r="B42">
            <v>2893</v>
          </cell>
          <cell r="C42">
            <v>2899</v>
          </cell>
          <cell r="D42" t="str">
            <v>Mfg - Chemicals &amp; Allied Products</v>
          </cell>
          <cell r="E42">
            <v>1.05</v>
          </cell>
          <cell r="BQ42" t="str">
            <v>2KJ</v>
          </cell>
          <cell r="BR42" t="str">
            <v>$10/$35   $250l   2xMO</v>
          </cell>
          <cell r="BU42">
            <v>0.59754841214234911</v>
          </cell>
          <cell r="BV42">
            <v>0.22500000000000001</v>
          </cell>
          <cell r="CA42" t="str">
            <v>UK0</v>
          </cell>
          <cell r="CB42" t="str">
            <v>Signature</v>
          </cell>
          <cell r="CC42">
            <v>25</v>
          </cell>
          <cell r="CD42">
            <v>40</v>
          </cell>
          <cell r="CE42" t="str">
            <v>N/A</v>
          </cell>
          <cell r="CF42" t="str">
            <v>N/A</v>
          </cell>
          <cell r="CG42">
            <v>75</v>
          </cell>
          <cell r="CH42">
            <v>150</v>
          </cell>
          <cell r="CI42">
            <v>100</v>
          </cell>
          <cell r="CJ42" t="str">
            <v>$1,500 / $3,000</v>
          </cell>
          <cell r="CK42">
            <v>0.7</v>
          </cell>
          <cell r="CL42" t="str">
            <v>$5,000 / $10,000</v>
          </cell>
          <cell r="CM42" t="str">
            <v>N/A</v>
          </cell>
          <cell r="CN42" t="str">
            <v>N/A</v>
          </cell>
          <cell r="CO42" t="str">
            <v>N/A</v>
          </cell>
          <cell r="CP42" t="str">
            <v>Emb</v>
          </cell>
          <cell r="CS42" t="str">
            <v>HMO</v>
          </cell>
          <cell r="CT42" t="str">
            <v>Full</v>
          </cell>
          <cell r="CU42">
            <v>0.71799999999999997</v>
          </cell>
          <cell r="CW42" t="str">
            <v>Full17</v>
          </cell>
          <cell r="CX42">
            <v>0.60809999999999997</v>
          </cell>
          <cell r="CY42" t="str">
            <v>BEY</v>
          </cell>
        </row>
        <row r="43">
          <cell r="B43">
            <v>2911</v>
          </cell>
          <cell r="C43">
            <v>2999</v>
          </cell>
          <cell r="D43" t="str">
            <v>Mfg - Petroleum &amp; Coal Products</v>
          </cell>
          <cell r="E43">
            <v>1.05</v>
          </cell>
          <cell r="BQ43" t="str">
            <v>2LI</v>
          </cell>
          <cell r="BR43" t="str">
            <v>$10/$20   $150l   2xMO</v>
          </cell>
          <cell r="BU43">
            <v>0.73003485915325128</v>
          </cell>
          <cell r="BV43">
            <v>0.22500000000000001</v>
          </cell>
          <cell r="CA43" t="str">
            <v>UK6</v>
          </cell>
          <cell r="CB43" t="str">
            <v>Signature</v>
          </cell>
          <cell r="CC43">
            <v>45</v>
          </cell>
          <cell r="CD43">
            <v>60</v>
          </cell>
          <cell r="CE43" t="str">
            <v>N/A</v>
          </cell>
          <cell r="CF43" t="str">
            <v>N/A</v>
          </cell>
          <cell r="CG43">
            <v>75</v>
          </cell>
          <cell r="CH43">
            <v>150</v>
          </cell>
          <cell r="CI43">
            <v>100</v>
          </cell>
          <cell r="CJ43" t="str">
            <v>$2,000 / $4,000</v>
          </cell>
          <cell r="CK43">
            <v>0.7</v>
          </cell>
          <cell r="CL43" t="str">
            <v>$5,000 / $10,000</v>
          </cell>
          <cell r="CM43" t="str">
            <v>N/A</v>
          </cell>
          <cell r="CN43" t="str">
            <v>N/A</v>
          </cell>
          <cell r="CO43" t="str">
            <v>N/A</v>
          </cell>
          <cell r="CP43" t="str">
            <v>Emb</v>
          </cell>
          <cell r="CS43" t="str">
            <v>HMO</v>
          </cell>
          <cell r="CT43" t="str">
            <v>Full</v>
          </cell>
          <cell r="CU43">
            <v>0.68879999999999997</v>
          </cell>
          <cell r="CW43" t="str">
            <v>Full17</v>
          </cell>
          <cell r="CX43">
            <v>0.57830000000000004</v>
          </cell>
          <cell r="CY43" t="str">
            <v>BEY</v>
          </cell>
        </row>
        <row r="44">
          <cell r="B44">
            <v>3011</v>
          </cell>
          <cell r="C44">
            <v>3089</v>
          </cell>
          <cell r="D44" t="str">
            <v>Mfg - Rubber &amp; Misc. Plastics Products</v>
          </cell>
          <cell r="E44">
            <v>0.95</v>
          </cell>
          <cell r="BQ44" t="str">
            <v>2LJ</v>
          </cell>
          <cell r="BR44" t="str">
            <v>$15/$25   $250l   2xMO</v>
          </cell>
          <cell r="BU44">
            <v>0.61856401050347953</v>
          </cell>
          <cell r="BV44">
            <v>0.22</v>
          </cell>
          <cell r="CA44" t="str">
            <v>UKG</v>
          </cell>
          <cell r="CB44" t="str">
            <v>Signature</v>
          </cell>
          <cell r="CC44">
            <v>45</v>
          </cell>
          <cell r="CD44">
            <v>60</v>
          </cell>
          <cell r="CE44" t="str">
            <v>N/A</v>
          </cell>
          <cell r="CF44" t="str">
            <v>N/A</v>
          </cell>
          <cell r="CG44">
            <v>75</v>
          </cell>
          <cell r="CH44">
            <v>150</v>
          </cell>
          <cell r="CI44">
            <v>100</v>
          </cell>
          <cell r="CJ44" t="str">
            <v>$3,000 / $6,000</v>
          </cell>
          <cell r="CK44">
            <v>0.7</v>
          </cell>
          <cell r="CL44" t="str">
            <v>$6,000 / $12,000</v>
          </cell>
          <cell r="CM44" t="str">
            <v>N/A</v>
          </cell>
          <cell r="CN44" t="str">
            <v>N/A</v>
          </cell>
          <cell r="CO44" t="str">
            <v>N/A</v>
          </cell>
          <cell r="CP44" t="str">
            <v>Emb</v>
          </cell>
          <cell r="CS44" t="str">
            <v>HMO</v>
          </cell>
          <cell r="CT44" t="str">
            <v>Full</v>
          </cell>
          <cell r="CU44">
            <v>0.65990000000000004</v>
          </cell>
          <cell r="CW44" t="str">
            <v>Full17</v>
          </cell>
          <cell r="CX44">
            <v>0.56130000000000002</v>
          </cell>
          <cell r="CY44" t="str">
            <v>BEY</v>
          </cell>
        </row>
        <row r="45">
          <cell r="B45">
            <v>3111</v>
          </cell>
          <cell r="C45">
            <v>3199</v>
          </cell>
          <cell r="D45" t="str">
            <v>Mfg - Leather &amp; Leather Products</v>
          </cell>
          <cell r="E45">
            <v>1</v>
          </cell>
          <cell r="BQ45" t="str">
            <v>2MI</v>
          </cell>
          <cell r="BR45" t="str">
            <v>$10/$25   $150l   2xMO</v>
          </cell>
          <cell r="BU45">
            <v>0.70416950732416783</v>
          </cell>
          <cell r="BV45">
            <v>0.22500000000000001</v>
          </cell>
          <cell r="CA45" t="str">
            <v>Y27</v>
          </cell>
          <cell r="CB45" t="str">
            <v>Signature</v>
          </cell>
          <cell r="CC45">
            <v>10</v>
          </cell>
          <cell r="CD45">
            <v>20</v>
          </cell>
          <cell r="CE45">
            <v>200</v>
          </cell>
          <cell r="CF45" t="str">
            <v>$500PA</v>
          </cell>
          <cell r="CG45">
            <v>75</v>
          </cell>
          <cell r="CH45">
            <v>150</v>
          </cell>
          <cell r="CI45">
            <v>100</v>
          </cell>
          <cell r="CJ45" t="str">
            <v>$0 / $0</v>
          </cell>
          <cell r="CK45">
            <v>1</v>
          </cell>
          <cell r="CL45" t="str">
            <v>$1,500 / $3,000</v>
          </cell>
          <cell r="CM45" t="str">
            <v>N/A</v>
          </cell>
          <cell r="CN45" t="str">
            <v>N/A</v>
          </cell>
          <cell r="CO45" t="str">
            <v>N/A</v>
          </cell>
          <cell r="CP45" t="str">
            <v>Emb</v>
          </cell>
          <cell r="CS45" t="str">
            <v>HMO</v>
          </cell>
          <cell r="CT45" t="str">
            <v>Full</v>
          </cell>
          <cell r="CU45">
            <v>0.95169999999999999</v>
          </cell>
          <cell r="CW45" t="str">
            <v>Full17</v>
          </cell>
          <cell r="CX45">
            <v>0.79369999999999996</v>
          </cell>
          <cell r="CY45" t="str">
            <v>BDX</v>
          </cell>
        </row>
        <row r="46">
          <cell r="B46">
            <v>3211</v>
          </cell>
          <cell r="C46">
            <v>3289</v>
          </cell>
          <cell r="D46" t="str">
            <v>Mfg - Stone, Clay, &amp; Glass Products</v>
          </cell>
          <cell r="E46">
            <v>1</v>
          </cell>
          <cell r="BQ46" t="str">
            <v>2MJ</v>
          </cell>
          <cell r="BR46" t="str">
            <v>$15/$35   $250l   2xMO</v>
          </cell>
          <cell r="BU46">
            <v>0.54971220748117489</v>
          </cell>
          <cell r="BV46">
            <v>0.22</v>
          </cell>
          <cell r="CA46" t="str">
            <v>Y2I</v>
          </cell>
          <cell r="CB46" t="str">
            <v>Signature</v>
          </cell>
          <cell r="CC46">
            <v>10</v>
          </cell>
          <cell r="CD46">
            <v>20</v>
          </cell>
          <cell r="CE46">
            <v>200</v>
          </cell>
          <cell r="CF46" t="str">
            <v>$750PA</v>
          </cell>
          <cell r="CG46">
            <v>75</v>
          </cell>
          <cell r="CH46">
            <v>150</v>
          </cell>
          <cell r="CI46">
            <v>100</v>
          </cell>
          <cell r="CJ46" t="str">
            <v>$0 / $0</v>
          </cell>
          <cell r="CK46">
            <v>1</v>
          </cell>
          <cell r="CL46" t="str">
            <v>$1,500 / $3,000</v>
          </cell>
          <cell r="CM46" t="str">
            <v>N/A</v>
          </cell>
          <cell r="CN46" t="str">
            <v>N/A</v>
          </cell>
          <cell r="CO46" t="str">
            <v>N/A</v>
          </cell>
          <cell r="CP46" t="str">
            <v>Emb</v>
          </cell>
          <cell r="CS46" t="str">
            <v>HMO</v>
          </cell>
          <cell r="CT46" t="str">
            <v>Full</v>
          </cell>
          <cell r="CU46">
            <v>0.94989999999999997</v>
          </cell>
          <cell r="CW46" t="str">
            <v>Full17</v>
          </cell>
          <cell r="CX46">
            <v>0.79090000000000005</v>
          </cell>
          <cell r="CY46" t="str">
            <v>BDX</v>
          </cell>
        </row>
        <row r="47">
          <cell r="B47">
            <v>3291</v>
          </cell>
          <cell r="C47">
            <v>3299</v>
          </cell>
          <cell r="D47" t="str">
            <v>Mfg - Stone, Clay, &amp; Glass Products</v>
          </cell>
          <cell r="E47">
            <v>1.1499999999999999</v>
          </cell>
          <cell r="BQ47" t="str">
            <v>2NI</v>
          </cell>
          <cell r="BR47" t="str">
            <v>$10/$35   $150l   2xMO</v>
          </cell>
          <cell r="BU47">
            <v>0.59754841214234911</v>
          </cell>
          <cell r="BV47">
            <v>0.22500000000000001</v>
          </cell>
          <cell r="CA47" t="str">
            <v>Y30</v>
          </cell>
          <cell r="CB47" t="str">
            <v>Signature</v>
          </cell>
          <cell r="CC47">
            <v>15</v>
          </cell>
          <cell r="CD47">
            <v>30</v>
          </cell>
          <cell r="CE47">
            <v>200</v>
          </cell>
          <cell r="CF47" t="str">
            <v>$500PA</v>
          </cell>
          <cell r="CG47">
            <v>75</v>
          </cell>
          <cell r="CH47">
            <v>150</v>
          </cell>
          <cell r="CI47">
            <v>100</v>
          </cell>
          <cell r="CJ47" t="str">
            <v>$0 / $0</v>
          </cell>
          <cell r="CK47">
            <v>1</v>
          </cell>
          <cell r="CL47" t="str">
            <v>$2,500 / $5,000</v>
          </cell>
          <cell r="CM47" t="str">
            <v>N/A</v>
          </cell>
          <cell r="CN47" t="str">
            <v>N/A</v>
          </cell>
          <cell r="CO47" t="str">
            <v>N/A</v>
          </cell>
          <cell r="CP47" t="str">
            <v>Emb</v>
          </cell>
          <cell r="CS47" t="str">
            <v>HMO</v>
          </cell>
          <cell r="CT47" t="str">
            <v>Full</v>
          </cell>
          <cell r="CU47">
            <v>0.93440000000000001</v>
          </cell>
          <cell r="CW47" t="str">
            <v>Full17</v>
          </cell>
          <cell r="CX47">
            <v>0.78200000000000003</v>
          </cell>
          <cell r="CY47" t="str">
            <v>BDX</v>
          </cell>
        </row>
        <row r="48">
          <cell r="B48">
            <v>3311</v>
          </cell>
          <cell r="C48">
            <v>3399</v>
          </cell>
          <cell r="D48" t="str">
            <v>Mfg - Primary Metal Industries</v>
          </cell>
          <cell r="E48">
            <v>1.1000000000000001</v>
          </cell>
          <cell r="BQ48" t="str">
            <v>2OI</v>
          </cell>
          <cell r="BR48" t="str">
            <v>$15/$25   $150l   2xMO</v>
          </cell>
          <cell r="BU48">
            <v>0.61856401050347953</v>
          </cell>
          <cell r="BV48">
            <v>0.22</v>
          </cell>
          <cell r="CA48" t="str">
            <v>Y33</v>
          </cell>
          <cell r="CB48" t="str">
            <v>Signature</v>
          </cell>
          <cell r="CC48">
            <v>15</v>
          </cell>
          <cell r="CD48">
            <v>30</v>
          </cell>
          <cell r="CE48">
            <v>200</v>
          </cell>
          <cell r="CF48" t="str">
            <v>$750PA</v>
          </cell>
          <cell r="CG48">
            <v>75</v>
          </cell>
          <cell r="CH48">
            <v>150</v>
          </cell>
          <cell r="CI48">
            <v>100</v>
          </cell>
          <cell r="CJ48" t="str">
            <v>$0 / $0</v>
          </cell>
          <cell r="CK48">
            <v>1</v>
          </cell>
          <cell r="CL48" t="str">
            <v>$2,500 / $5,000</v>
          </cell>
          <cell r="CM48" t="str">
            <v>N/A</v>
          </cell>
          <cell r="CN48" t="str">
            <v>N/A</v>
          </cell>
          <cell r="CO48" t="str">
            <v>N/A</v>
          </cell>
          <cell r="CP48" t="str">
            <v>Emb</v>
          </cell>
          <cell r="CS48" t="str">
            <v>HMO</v>
          </cell>
          <cell r="CT48" t="str">
            <v>Full</v>
          </cell>
          <cell r="CU48">
            <v>0.93189999999999995</v>
          </cell>
          <cell r="CW48" t="str">
            <v>Full17</v>
          </cell>
          <cell r="CX48">
            <v>0.7792</v>
          </cell>
          <cell r="CY48" t="str">
            <v>BDX</v>
          </cell>
        </row>
        <row r="49">
          <cell r="B49">
            <v>3411</v>
          </cell>
          <cell r="C49">
            <v>3499</v>
          </cell>
          <cell r="D49" t="str">
            <v>Mfg - Fabricated Metal Products</v>
          </cell>
          <cell r="E49">
            <v>0.95</v>
          </cell>
          <cell r="BQ49" t="str">
            <v>2OJ</v>
          </cell>
          <cell r="BR49" t="str">
            <v>$20/$30   $250l   2xMO</v>
          </cell>
          <cell r="BU49">
            <v>0.54486245401322175</v>
          </cell>
          <cell r="BV49">
            <v>0.214</v>
          </cell>
          <cell r="CA49" t="str">
            <v>Y37</v>
          </cell>
          <cell r="CB49" t="str">
            <v>Signature</v>
          </cell>
          <cell r="CC49">
            <v>20</v>
          </cell>
          <cell r="CD49">
            <v>40</v>
          </cell>
          <cell r="CE49">
            <v>400</v>
          </cell>
          <cell r="CF49" t="str">
            <v>$500PA</v>
          </cell>
          <cell r="CG49">
            <v>100</v>
          </cell>
          <cell r="CH49">
            <v>200</v>
          </cell>
          <cell r="CI49">
            <v>100</v>
          </cell>
          <cell r="CJ49" t="str">
            <v>$0 / $0</v>
          </cell>
          <cell r="CK49">
            <v>1</v>
          </cell>
          <cell r="CL49" t="str">
            <v>$4,500 / $9,000</v>
          </cell>
          <cell r="CM49" t="str">
            <v>N/A</v>
          </cell>
          <cell r="CN49" t="str">
            <v>N/A</v>
          </cell>
          <cell r="CO49" t="str">
            <v>N/A</v>
          </cell>
          <cell r="CP49" t="str">
            <v>Emb</v>
          </cell>
          <cell r="CS49" t="str">
            <v>HMO</v>
          </cell>
          <cell r="CT49" t="str">
            <v>Full</v>
          </cell>
          <cell r="CU49">
            <v>0.90290000000000004</v>
          </cell>
          <cell r="CW49" t="str">
            <v>Full17</v>
          </cell>
          <cell r="CX49">
            <v>0.76619999999999999</v>
          </cell>
          <cell r="CY49" t="str">
            <v>BDX</v>
          </cell>
        </row>
        <row r="50">
          <cell r="B50">
            <v>3511</v>
          </cell>
          <cell r="C50">
            <v>3599</v>
          </cell>
          <cell r="D50" t="str">
            <v>Mfg - Industrial Machinery &amp; Equipment</v>
          </cell>
          <cell r="E50">
            <v>0.95</v>
          </cell>
          <cell r="BQ50" t="str">
            <v>2PI</v>
          </cell>
          <cell r="BR50" t="str">
            <v>$15/$35   $150l   2xMO</v>
          </cell>
          <cell r="BU50">
            <v>0.54971220748117489</v>
          </cell>
          <cell r="BV50">
            <v>0.22</v>
          </cell>
          <cell r="CA50" t="str">
            <v>Y3I</v>
          </cell>
          <cell r="CB50" t="str">
            <v>Signature</v>
          </cell>
          <cell r="CC50">
            <v>20</v>
          </cell>
          <cell r="CD50">
            <v>40</v>
          </cell>
          <cell r="CE50">
            <v>400</v>
          </cell>
          <cell r="CF50" t="str">
            <v>$750PA</v>
          </cell>
          <cell r="CG50">
            <v>100</v>
          </cell>
          <cell r="CH50">
            <v>200</v>
          </cell>
          <cell r="CI50">
            <v>100</v>
          </cell>
          <cell r="CJ50" t="str">
            <v>$0 / $0</v>
          </cell>
          <cell r="CK50">
            <v>1</v>
          </cell>
          <cell r="CL50" t="str">
            <v>$4,500 / $9,000</v>
          </cell>
          <cell r="CM50" t="str">
            <v>N/A</v>
          </cell>
          <cell r="CN50" t="str">
            <v>N/A</v>
          </cell>
          <cell r="CO50" t="str">
            <v>N/A</v>
          </cell>
          <cell r="CP50" t="str">
            <v>Emb</v>
          </cell>
          <cell r="CS50" t="str">
            <v>HMO</v>
          </cell>
          <cell r="CT50" t="str">
            <v>Full</v>
          </cell>
          <cell r="CU50">
            <v>0.89990000000000003</v>
          </cell>
          <cell r="CW50" t="str">
            <v>Full17</v>
          </cell>
          <cell r="CX50">
            <v>0.76339999999999997</v>
          </cell>
          <cell r="CY50" t="str">
            <v>BDX</v>
          </cell>
        </row>
        <row r="51">
          <cell r="B51">
            <v>3611</v>
          </cell>
          <cell r="C51">
            <v>3699</v>
          </cell>
          <cell r="D51" t="str">
            <v>Mfg - Electronic &amp; Other Electric Equipment</v>
          </cell>
          <cell r="E51">
            <v>0.95</v>
          </cell>
          <cell r="BQ51" t="str">
            <v>2PJ</v>
          </cell>
          <cell r="BR51" t="str">
            <v>$20/$35   $250l   2xMO   $100/$300 Ded</v>
          </cell>
          <cell r="BU51">
            <v>0.49232345811039591</v>
          </cell>
          <cell r="BV51">
            <v>0.214</v>
          </cell>
          <cell r="CA51" t="str">
            <v>Y40</v>
          </cell>
          <cell r="CB51" t="str">
            <v>Signature</v>
          </cell>
          <cell r="CC51">
            <v>30</v>
          </cell>
          <cell r="CD51">
            <v>50</v>
          </cell>
          <cell r="CE51">
            <v>400</v>
          </cell>
          <cell r="CF51" t="str">
            <v>$500PA</v>
          </cell>
          <cell r="CG51">
            <v>100</v>
          </cell>
          <cell r="CH51">
            <v>200</v>
          </cell>
          <cell r="CI51">
            <v>100</v>
          </cell>
          <cell r="CJ51" t="str">
            <v>$0 / $0</v>
          </cell>
          <cell r="CK51">
            <v>1</v>
          </cell>
          <cell r="CL51" t="str">
            <v>$4,500 / $9,000</v>
          </cell>
          <cell r="CM51" t="str">
            <v>N/A</v>
          </cell>
          <cell r="CN51" t="str">
            <v>N/A</v>
          </cell>
          <cell r="CO51" t="str">
            <v>N/A</v>
          </cell>
          <cell r="CP51" t="str">
            <v>Emb</v>
          </cell>
          <cell r="CS51" t="str">
            <v>HMO</v>
          </cell>
          <cell r="CT51" t="str">
            <v>Full</v>
          </cell>
          <cell r="CU51">
            <v>0.88400000000000001</v>
          </cell>
          <cell r="CW51" t="str">
            <v>Full17</v>
          </cell>
          <cell r="CX51">
            <v>0.75149999999999995</v>
          </cell>
          <cell r="CY51" t="str">
            <v>BDX</v>
          </cell>
        </row>
        <row r="52">
          <cell r="B52">
            <v>3711</v>
          </cell>
          <cell r="C52">
            <v>3799</v>
          </cell>
          <cell r="D52" t="str">
            <v>Mfg - Transportation Equipment</v>
          </cell>
          <cell r="E52">
            <v>0.95</v>
          </cell>
          <cell r="BQ52" t="str">
            <v>2QI</v>
          </cell>
          <cell r="BR52" t="str">
            <v>$20/$30   $150l   2xMO</v>
          </cell>
          <cell r="BU52">
            <v>0.54486245401322175</v>
          </cell>
          <cell r="BV52">
            <v>0.214</v>
          </cell>
          <cell r="CA52" t="str">
            <v>Y43</v>
          </cell>
          <cell r="CB52" t="str">
            <v>Signature</v>
          </cell>
          <cell r="CC52">
            <v>30</v>
          </cell>
          <cell r="CD52">
            <v>50</v>
          </cell>
          <cell r="CE52">
            <v>400</v>
          </cell>
          <cell r="CF52" t="str">
            <v>$750PA</v>
          </cell>
          <cell r="CG52">
            <v>100</v>
          </cell>
          <cell r="CH52">
            <v>200</v>
          </cell>
          <cell r="CI52">
            <v>100</v>
          </cell>
          <cell r="CJ52" t="str">
            <v>$0 / $0</v>
          </cell>
          <cell r="CK52">
            <v>1</v>
          </cell>
          <cell r="CL52" t="str">
            <v>$4,500 / $9,000</v>
          </cell>
          <cell r="CM52" t="str">
            <v>N/A</v>
          </cell>
          <cell r="CN52" t="str">
            <v>N/A</v>
          </cell>
          <cell r="CO52" t="str">
            <v>N/A</v>
          </cell>
          <cell r="CP52" t="str">
            <v>Emb</v>
          </cell>
          <cell r="CS52" t="str">
            <v>HMO</v>
          </cell>
          <cell r="CT52" t="str">
            <v>Full</v>
          </cell>
          <cell r="CU52">
            <v>0.88109999999999999</v>
          </cell>
          <cell r="CW52" t="str">
            <v>Full17</v>
          </cell>
          <cell r="CX52">
            <v>0.74870000000000003</v>
          </cell>
          <cell r="CY52" t="str">
            <v>BDX</v>
          </cell>
        </row>
        <row r="53">
          <cell r="B53">
            <v>3811</v>
          </cell>
          <cell r="C53">
            <v>3879</v>
          </cell>
          <cell r="D53" t="str">
            <v>Mfg - Instruments &amp; Related Products</v>
          </cell>
          <cell r="E53">
            <v>0.95</v>
          </cell>
          <cell r="BQ53" t="str">
            <v>3AK</v>
          </cell>
          <cell r="BR53" t="str">
            <v>$5/$10/$25   $250l   2xMO</v>
          </cell>
          <cell r="BU53">
            <v>0.84095051717032798</v>
          </cell>
          <cell r="BV53">
            <v>0.222</v>
          </cell>
          <cell r="CA53" t="str">
            <v>Y6O</v>
          </cell>
          <cell r="CB53" t="str">
            <v>Signature</v>
          </cell>
          <cell r="CC53">
            <v>25</v>
          </cell>
          <cell r="CD53">
            <v>40</v>
          </cell>
          <cell r="CE53" t="str">
            <v>N/A</v>
          </cell>
          <cell r="CF53" t="str">
            <v>N/A</v>
          </cell>
          <cell r="CG53">
            <v>50</v>
          </cell>
          <cell r="CH53" t="str">
            <v>N/A</v>
          </cell>
          <cell r="CI53">
            <v>100</v>
          </cell>
          <cell r="CJ53" t="str">
            <v>$1,000 / $2,000</v>
          </cell>
          <cell r="CK53">
            <v>1</v>
          </cell>
          <cell r="CL53" t="str">
            <v>$3,500 / $7,000</v>
          </cell>
          <cell r="CM53" t="str">
            <v>N/A</v>
          </cell>
          <cell r="CN53" t="str">
            <v>N/A</v>
          </cell>
          <cell r="CO53" t="str">
            <v>N/A</v>
          </cell>
          <cell r="CP53" t="str">
            <v>Emb</v>
          </cell>
          <cell r="CS53" t="str">
            <v>HMO</v>
          </cell>
          <cell r="CT53" t="str">
            <v>Full</v>
          </cell>
          <cell r="CU53">
            <v>0.87080000000000002</v>
          </cell>
          <cell r="CW53" t="str">
            <v>Full17</v>
          </cell>
          <cell r="CX53">
            <v>0.68020000000000003</v>
          </cell>
          <cell r="CY53" t="str">
            <v>BEY</v>
          </cell>
        </row>
        <row r="54">
          <cell r="B54">
            <v>3911</v>
          </cell>
          <cell r="C54">
            <v>3999</v>
          </cell>
          <cell r="D54" t="str">
            <v>Mfg - Misc. Manufacturing Industries</v>
          </cell>
          <cell r="E54">
            <v>0.95</v>
          </cell>
          <cell r="BQ54" t="str">
            <v>3HV</v>
          </cell>
          <cell r="BR54" t="str">
            <v>$15/$35/30% (max $100)   $150l   2xMO   $200 Ded</v>
          </cell>
          <cell r="BU54">
            <v>0.39336889240064471</v>
          </cell>
          <cell r="BV54">
            <v>0.19024596121137324</v>
          </cell>
          <cell r="CA54" t="str">
            <v>Y6R</v>
          </cell>
          <cell r="CB54" t="str">
            <v>Signature</v>
          </cell>
          <cell r="CC54">
            <v>30</v>
          </cell>
          <cell r="CD54">
            <v>40</v>
          </cell>
          <cell r="CE54">
            <v>500</v>
          </cell>
          <cell r="CF54" t="str">
            <v>N/A</v>
          </cell>
          <cell r="CG54">
            <v>50</v>
          </cell>
          <cell r="CH54" t="str">
            <v>N/A</v>
          </cell>
          <cell r="CI54">
            <v>100</v>
          </cell>
          <cell r="CJ54" t="str">
            <v>$1,000 / $2,000</v>
          </cell>
          <cell r="CK54">
            <v>1</v>
          </cell>
          <cell r="CL54" t="str">
            <v>$3,500 / $7,000</v>
          </cell>
          <cell r="CM54" t="str">
            <v>N/A</v>
          </cell>
          <cell r="CN54" t="str">
            <v>N/A</v>
          </cell>
          <cell r="CO54" t="str">
            <v>N/A</v>
          </cell>
          <cell r="CP54" t="str">
            <v>Emb</v>
          </cell>
          <cell r="CS54" t="str">
            <v>HMO</v>
          </cell>
          <cell r="CT54" t="str">
            <v>Full</v>
          </cell>
          <cell r="CU54">
            <v>0.8448</v>
          </cell>
          <cell r="CW54" t="str">
            <v>Full17</v>
          </cell>
          <cell r="CX54">
            <v>0.67130000000000001</v>
          </cell>
          <cell r="CY54" t="str">
            <v>BEY</v>
          </cell>
        </row>
        <row r="55">
          <cell r="B55">
            <v>4011</v>
          </cell>
          <cell r="C55">
            <v>4019</v>
          </cell>
          <cell r="D55" t="str">
            <v>Railroad Transportation</v>
          </cell>
          <cell r="E55">
            <v>1.05</v>
          </cell>
          <cell r="BQ55" t="str">
            <v>3ID</v>
          </cell>
          <cell r="BR55" t="str">
            <v>$20/$35/$50   $250l   2xMO   $100/$300 Ded</v>
          </cell>
          <cell r="BU55">
            <v>0.47705571571128413</v>
          </cell>
          <cell r="BV55">
            <v>0.19</v>
          </cell>
          <cell r="CA55" t="str">
            <v>Y6U</v>
          </cell>
          <cell r="CB55" t="str">
            <v>Signature</v>
          </cell>
          <cell r="CC55">
            <v>25</v>
          </cell>
          <cell r="CD55">
            <v>40</v>
          </cell>
          <cell r="CE55" t="str">
            <v>N/A</v>
          </cell>
          <cell r="CF55" t="str">
            <v>N/A</v>
          </cell>
          <cell r="CG55">
            <v>50</v>
          </cell>
          <cell r="CH55" t="str">
            <v>N/A</v>
          </cell>
          <cell r="CI55">
            <v>100</v>
          </cell>
          <cell r="CJ55" t="str">
            <v>$1,000 / $2,000</v>
          </cell>
          <cell r="CK55">
            <v>0.9</v>
          </cell>
          <cell r="CL55" t="str">
            <v>$3,500 / $7,000</v>
          </cell>
          <cell r="CM55" t="str">
            <v>N/A</v>
          </cell>
          <cell r="CN55" t="str">
            <v>N/A</v>
          </cell>
          <cell r="CO55" t="str">
            <v>N/A</v>
          </cell>
          <cell r="CP55" t="str">
            <v>Emb</v>
          </cell>
          <cell r="CS55" t="str">
            <v>HMO</v>
          </cell>
          <cell r="CT55" t="str">
            <v>Full</v>
          </cell>
          <cell r="CU55">
            <v>0.83709999999999996</v>
          </cell>
          <cell r="CW55" t="str">
            <v>Full17</v>
          </cell>
          <cell r="CX55">
            <v>0.66410000000000002</v>
          </cell>
          <cell r="CY55" t="str">
            <v>BEY</v>
          </cell>
        </row>
        <row r="56">
          <cell r="B56">
            <v>4111</v>
          </cell>
          <cell r="C56">
            <v>4179</v>
          </cell>
          <cell r="D56" t="str">
            <v>Local &amp; Interurban Passenger Transit</v>
          </cell>
          <cell r="E56">
            <v>1.1499999999999999</v>
          </cell>
          <cell r="BQ56" t="str">
            <v>3IF</v>
          </cell>
          <cell r="BR56" t="str">
            <v>$10/$25/$50   $150l   2xMO</v>
          </cell>
          <cell r="BU56">
            <v>0.59568689060919544</v>
          </cell>
          <cell r="BV56">
            <v>0.20599999999999999</v>
          </cell>
          <cell r="CA56" t="str">
            <v>Y6X</v>
          </cell>
          <cell r="CB56" t="str">
            <v>Signature</v>
          </cell>
          <cell r="CC56">
            <v>50</v>
          </cell>
          <cell r="CD56">
            <v>70</v>
          </cell>
          <cell r="CE56" t="str">
            <v>N/A</v>
          </cell>
          <cell r="CF56" t="str">
            <v>N/A</v>
          </cell>
          <cell r="CG56">
            <v>50</v>
          </cell>
          <cell r="CH56" t="str">
            <v>N/A</v>
          </cell>
          <cell r="CI56">
            <v>100</v>
          </cell>
          <cell r="CJ56" t="str">
            <v>$1,500 / $3,000</v>
          </cell>
          <cell r="CK56">
            <v>0.7</v>
          </cell>
          <cell r="CL56" t="str">
            <v>$6,000 / $12,000</v>
          </cell>
          <cell r="CM56" t="str">
            <v>N/A</v>
          </cell>
          <cell r="CN56" t="str">
            <v>N/A</v>
          </cell>
          <cell r="CO56" t="str">
            <v>N/A</v>
          </cell>
          <cell r="CP56" t="str">
            <v>Emb</v>
          </cell>
          <cell r="CS56" t="str">
            <v>HMO</v>
          </cell>
          <cell r="CT56" t="str">
            <v>Full</v>
          </cell>
          <cell r="CU56">
            <v>0.71989999999999998</v>
          </cell>
          <cell r="CW56" t="str">
            <v>Full17</v>
          </cell>
          <cell r="CX56">
            <v>0.57410000000000005</v>
          </cell>
          <cell r="CY56" t="str">
            <v>BEY</v>
          </cell>
        </row>
        <row r="57">
          <cell r="B57">
            <v>4211</v>
          </cell>
          <cell r="C57">
            <v>4239</v>
          </cell>
          <cell r="D57" t="str">
            <v>Trucking &amp; Warehousing</v>
          </cell>
          <cell r="E57">
            <v>1.1000000000000001</v>
          </cell>
          <cell r="BQ57" t="str">
            <v>3IJ</v>
          </cell>
          <cell r="BR57" t="str">
            <v>$10/$25/$40   $250l   2xMO</v>
          </cell>
          <cell r="BU57">
            <v>0.66149330971980558</v>
          </cell>
          <cell r="BV57">
            <v>0.20799999999999999</v>
          </cell>
          <cell r="CA57" t="str">
            <v>Y70</v>
          </cell>
          <cell r="CB57" t="str">
            <v>Signature</v>
          </cell>
          <cell r="CC57">
            <v>50</v>
          </cell>
          <cell r="CD57">
            <v>70</v>
          </cell>
          <cell r="CE57" t="str">
            <v>N/A</v>
          </cell>
          <cell r="CF57" t="str">
            <v>N/A</v>
          </cell>
          <cell r="CG57">
            <v>50</v>
          </cell>
          <cell r="CH57" t="str">
            <v>N/A</v>
          </cell>
          <cell r="CI57">
            <v>100</v>
          </cell>
          <cell r="CJ57" t="str">
            <v>$1,500 / $3,000</v>
          </cell>
          <cell r="CK57">
            <v>0.8</v>
          </cell>
          <cell r="CL57" t="str">
            <v>$6,000 / $12,000</v>
          </cell>
          <cell r="CM57" t="str">
            <v>N/A</v>
          </cell>
          <cell r="CN57" t="str">
            <v>N/A</v>
          </cell>
          <cell r="CO57" t="str">
            <v>N/A</v>
          </cell>
          <cell r="CP57" t="str">
            <v>Emb</v>
          </cell>
          <cell r="CS57" t="str">
            <v>HMO</v>
          </cell>
          <cell r="CT57" t="str">
            <v>Full</v>
          </cell>
          <cell r="CU57">
            <v>0.73360000000000003</v>
          </cell>
          <cell r="CW57" t="str">
            <v>Full17</v>
          </cell>
          <cell r="CX57">
            <v>0.59819999999999995</v>
          </cell>
          <cell r="CY57" t="str">
            <v>BEY</v>
          </cell>
        </row>
        <row r="58">
          <cell r="B58">
            <v>4311</v>
          </cell>
          <cell r="C58">
            <v>4319</v>
          </cell>
          <cell r="D58" t="str">
            <v>U.S. Postal Service</v>
          </cell>
          <cell r="E58">
            <v>1.1000000000000001</v>
          </cell>
          <cell r="BQ58" t="str">
            <v>3IK</v>
          </cell>
          <cell r="BR58" t="str">
            <v>$10/$25/$50   $250l   2xMO</v>
          </cell>
          <cell r="BU58">
            <v>0.59568689060919544</v>
          </cell>
          <cell r="BV58">
            <v>0.20599999999999999</v>
          </cell>
          <cell r="CA58" t="str">
            <v>Y73</v>
          </cell>
          <cell r="CB58" t="str">
            <v>Signature</v>
          </cell>
          <cell r="CC58">
            <v>30</v>
          </cell>
          <cell r="CD58">
            <v>45</v>
          </cell>
          <cell r="CE58" t="str">
            <v>N/A</v>
          </cell>
          <cell r="CF58" t="str">
            <v>N/A</v>
          </cell>
          <cell r="CG58">
            <v>50</v>
          </cell>
          <cell r="CH58" t="str">
            <v>N/A</v>
          </cell>
          <cell r="CI58">
            <v>100</v>
          </cell>
          <cell r="CJ58" t="str">
            <v>$2,000 / $4,000</v>
          </cell>
          <cell r="CK58">
            <v>0.7</v>
          </cell>
          <cell r="CL58" t="str">
            <v>$3,500 / $7,000</v>
          </cell>
          <cell r="CM58" t="str">
            <v>N/A</v>
          </cell>
          <cell r="CN58" t="str">
            <v>N/A</v>
          </cell>
          <cell r="CO58" t="str">
            <v>N/A</v>
          </cell>
          <cell r="CP58" t="str">
            <v>Emb</v>
          </cell>
          <cell r="CS58" t="str">
            <v>HMO</v>
          </cell>
          <cell r="CT58" t="str">
            <v>Full</v>
          </cell>
          <cell r="CU58">
            <v>0.77539999999999998</v>
          </cell>
          <cell r="CW58" t="str">
            <v>Full17</v>
          </cell>
          <cell r="CX58">
            <v>0.61140000000000005</v>
          </cell>
          <cell r="CY58" t="str">
            <v>BEY</v>
          </cell>
        </row>
        <row r="59">
          <cell r="B59">
            <v>4411</v>
          </cell>
          <cell r="C59">
            <v>4499</v>
          </cell>
          <cell r="D59" t="str">
            <v>Water Transportation</v>
          </cell>
          <cell r="E59">
            <v>1</v>
          </cell>
          <cell r="BQ59" t="str">
            <v>3JF</v>
          </cell>
          <cell r="BR59" t="str">
            <v>$10/$25/$35   $150l   2xMO</v>
          </cell>
          <cell r="BU59">
            <v>0.69823386629520823</v>
          </cell>
          <cell r="BV59">
            <v>0.20899999999999999</v>
          </cell>
          <cell r="CA59" t="str">
            <v>Y76</v>
          </cell>
          <cell r="CB59" t="str">
            <v>Signature</v>
          </cell>
          <cell r="CC59">
            <v>30</v>
          </cell>
          <cell r="CD59">
            <v>50</v>
          </cell>
          <cell r="CE59">
            <v>300</v>
          </cell>
          <cell r="CF59" t="str">
            <v>$250PDx3</v>
          </cell>
          <cell r="CG59">
            <v>100</v>
          </cell>
          <cell r="CH59">
            <v>200</v>
          </cell>
          <cell r="CI59">
            <v>100</v>
          </cell>
          <cell r="CJ59" t="str">
            <v>$2,000 / $4,000</v>
          </cell>
          <cell r="CK59">
            <v>1</v>
          </cell>
          <cell r="CL59" t="str">
            <v>$5,000 / $10,000</v>
          </cell>
          <cell r="CM59" t="str">
            <v>N/A</v>
          </cell>
          <cell r="CN59" t="str">
            <v>N/A</v>
          </cell>
          <cell r="CO59" t="str">
            <v>N/A</v>
          </cell>
          <cell r="CP59" t="str">
            <v>Emb</v>
          </cell>
          <cell r="CS59" t="str">
            <v>HMO</v>
          </cell>
          <cell r="CT59" t="str">
            <v>Full</v>
          </cell>
          <cell r="CU59">
            <v>0.77480000000000004</v>
          </cell>
          <cell r="CW59" t="str">
            <v>Full17</v>
          </cell>
          <cell r="CX59">
            <v>0.66539999999999999</v>
          </cell>
          <cell r="CY59" t="str">
            <v>BEY</v>
          </cell>
        </row>
        <row r="60">
          <cell r="B60">
            <v>4511</v>
          </cell>
          <cell r="C60">
            <v>4519</v>
          </cell>
          <cell r="D60" t="str">
            <v>Transportation by Air</v>
          </cell>
          <cell r="E60">
            <v>1</v>
          </cell>
          <cell r="BQ60" t="str">
            <v>3JV</v>
          </cell>
          <cell r="BR60" t="str">
            <v>$15/$35/30% (max $100)   $250l   2xMO   $200 Ded</v>
          </cell>
          <cell r="BU60">
            <v>0.39336889240064471</v>
          </cell>
          <cell r="BV60">
            <v>0.19024596121137324</v>
          </cell>
          <cell r="CA60" t="str">
            <v>Y7A</v>
          </cell>
          <cell r="CB60" t="str">
            <v>Signature</v>
          </cell>
          <cell r="CC60">
            <v>55</v>
          </cell>
          <cell r="CD60">
            <v>55</v>
          </cell>
          <cell r="CE60" t="str">
            <v>N/A</v>
          </cell>
          <cell r="CF60" t="str">
            <v>N/A</v>
          </cell>
          <cell r="CG60">
            <v>100</v>
          </cell>
          <cell r="CH60">
            <v>200</v>
          </cell>
          <cell r="CI60">
            <v>100</v>
          </cell>
          <cell r="CJ60" t="str">
            <v>$3,000 / $6,000</v>
          </cell>
          <cell r="CK60">
            <v>0.6</v>
          </cell>
          <cell r="CL60" t="str">
            <v>$6,000 / $12,000</v>
          </cell>
          <cell r="CM60" t="str">
            <v>N/A</v>
          </cell>
          <cell r="CN60" t="str">
            <v>N/A</v>
          </cell>
          <cell r="CO60" t="str">
            <v>N/A</v>
          </cell>
          <cell r="CP60" t="str">
            <v>Emb</v>
          </cell>
          <cell r="CS60" t="str">
            <v>HMO</v>
          </cell>
          <cell r="CT60" t="str">
            <v>Full</v>
          </cell>
          <cell r="CU60">
            <v>0.69579999999999997</v>
          </cell>
          <cell r="CW60" t="str">
            <v>Full17</v>
          </cell>
          <cell r="CX60">
            <v>0.55810000000000004</v>
          </cell>
          <cell r="CY60" t="str">
            <v>BEY</v>
          </cell>
        </row>
        <row r="61">
          <cell r="B61">
            <v>4521</v>
          </cell>
          <cell r="C61">
            <v>4529</v>
          </cell>
          <cell r="D61" t="str">
            <v>Transportation by Air</v>
          </cell>
          <cell r="E61">
            <v>1.1499999999999999</v>
          </cell>
          <cell r="BQ61" t="str">
            <v>3KD</v>
          </cell>
          <cell r="BR61" t="str">
            <v>$10/$20/$25   $150l   2xMO</v>
          </cell>
          <cell r="BU61">
            <v>0.8017605901565652</v>
          </cell>
          <cell r="BV61">
            <v>0.21299999999999999</v>
          </cell>
          <cell r="CA61" t="str">
            <v>Y7K</v>
          </cell>
          <cell r="CB61" t="str">
            <v>Signature</v>
          </cell>
          <cell r="CC61">
            <v>35</v>
          </cell>
          <cell r="CD61">
            <v>70</v>
          </cell>
          <cell r="CE61" t="str">
            <v>N/A</v>
          </cell>
          <cell r="CF61" t="str">
            <v>N/A</v>
          </cell>
          <cell r="CG61">
            <v>50</v>
          </cell>
          <cell r="CH61" t="str">
            <v>N/A</v>
          </cell>
          <cell r="CI61">
            <v>100</v>
          </cell>
          <cell r="CJ61" t="str">
            <v>$3,000 / $6,000</v>
          </cell>
          <cell r="CK61">
            <v>1</v>
          </cell>
          <cell r="CL61" t="str">
            <v>$6,000 / $12,000</v>
          </cell>
          <cell r="CM61" t="str">
            <v>N/A</v>
          </cell>
          <cell r="CN61" t="str">
            <v>N/A</v>
          </cell>
          <cell r="CO61" t="str">
            <v>N/A</v>
          </cell>
          <cell r="CP61" t="str">
            <v>Emb</v>
          </cell>
          <cell r="CS61" t="str">
            <v>HMO</v>
          </cell>
          <cell r="CT61" t="str">
            <v>Full</v>
          </cell>
          <cell r="CU61">
            <v>0.74199999999999999</v>
          </cell>
          <cell r="CW61" t="str">
            <v>Full17</v>
          </cell>
          <cell r="CX61">
            <v>0.59289999999999998</v>
          </cell>
          <cell r="CY61" t="str">
            <v>BEY</v>
          </cell>
        </row>
        <row r="62">
          <cell r="B62">
            <v>4581</v>
          </cell>
          <cell r="C62">
            <v>4589</v>
          </cell>
          <cell r="D62" t="str">
            <v>Transportation by Air</v>
          </cell>
          <cell r="E62">
            <v>1</v>
          </cell>
          <cell r="BQ62" t="str">
            <v>3KE</v>
          </cell>
          <cell r="BR62" t="str">
            <v>$10/$20/$25   $250l   2xMO</v>
          </cell>
          <cell r="BU62">
            <v>0.8017605901565652</v>
          </cell>
          <cell r="BV62">
            <v>0.21299999999999999</v>
          </cell>
          <cell r="CA62" t="str">
            <v>Y7P</v>
          </cell>
          <cell r="CB62" t="str">
            <v>Signature</v>
          </cell>
          <cell r="CC62">
            <v>35</v>
          </cell>
          <cell r="CD62">
            <v>70</v>
          </cell>
          <cell r="CE62" t="str">
            <v>N/A</v>
          </cell>
          <cell r="CF62" t="str">
            <v>N/A</v>
          </cell>
          <cell r="CG62">
            <v>50</v>
          </cell>
          <cell r="CH62" t="str">
            <v>N/A</v>
          </cell>
          <cell r="CI62">
            <v>100</v>
          </cell>
          <cell r="CJ62" t="str">
            <v>$3,000 / $6,000</v>
          </cell>
          <cell r="CK62">
            <v>0.7</v>
          </cell>
          <cell r="CL62" t="str">
            <v>$6,000 / $12,000</v>
          </cell>
          <cell r="CM62" t="str">
            <v>N/A</v>
          </cell>
          <cell r="CN62" t="str">
            <v>N/A</v>
          </cell>
          <cell r="CO62" t="str">
            <v>N/A</v>
          </cell>
          <cell r="CP62" t="str">
            <v>Emb</v>
          </cell>
          <cell r="CS62" t="str">
            <v>HMO</v>
          </cell>
          <cell r="CT62" t="str">
            <v>Full</v>
          </cell>
          <cell r="CU62">
            <v>0.70379999999999998</v>
          </cell>
          <cell r="CW62" t="str">
            <v>Full17</v>
          </cell>
          <cell r="CX62">
            <v>0.58509999999999995</v>
          </cell>
          <cell r="CY62" t="str">
            <v>BEY</v>
          </cell>
        </row>
        <row r="63">
          <cell r="B63">
            <v>4611</v>
          </cell>
          <cell r="C63">
            <v>4619</v>
          </cell>
          <cell r="D63" t="str">
            <v>Pipelines, Except Natural Gas</v>
          </cell>
          <cell r="E63">
            <v>1</v>
          </cell>
          <cell r="BQ63" t="str">
            <v>3KF</v>
          </cell>
          <cell r="BR63" t="str">
            <v>$20/$30/$50   $150l   2xMO</v>
          </cell>
          <cell r="BU63">
            <v>0.51812349339445651</v>
          </cell>
          <cell r="BV63">
            <v>0.192</v>
          </cell>
          <cell r="CA63" t="str">
            <v>Y7S</v>
          </cell>
          <cell r="CB63" t="str">
            <v>Signature</v>
          </cell>
          <cell r="CC63">
            <v>15</v>
          </cell>
          <cell r="CD63">
            <v>15</v>
          </cell>
          <cell r="CE63">
            <v>0</v>
          </cell>
          <cell r="CF63">
            <v>0</v>
          </cell>
          <cell r="CG63">
            <v>50</v>
          </cell>
          <cell r="CH63">
            <v>100</v>
          </cell>
          <cell r="CI63">
            <v>100</v>
          </cell>
          <cell r="CJ63" t="str">
            <v>$0 / $0</v>
          </cell>
          <cell r="CK63">
            <v>1</v>
          </cell>
          <cell r="CL63" t="str">
            <v>$1,500 / $3,000</v>
          </cell>
          <cell r="CM63" t="str">
            <v>N/A</v>
          </cell>
          <cell r="CN63" t="str">
            <v>N/A</v>
          </cell>
          <cell r="CO63" t="str">
            <v>N/A</v>
          </cell>
          <cell r="CP63" t="str">
            <v>Emb</v>
          </cell>
          <cell r="CS63" t="str">
            <v>HMO</v>
          </cell>
          <cell r="CT63" t="str">
            <v>Full</v>
          </cell>
          <cell r="CU63">
            <v>0.9677</v>
          </cell>
          <cell r="CW63" t="str">
            <v>Full17</v>
          </cell>
          <cell r="CX63">
            <v>0.77380000000000004</v>
          </cell>
          <cell r="CY63" t="str">
            <v>BDX</v>
          </cell>
        </row>
        <row r="64">
          <cell r="B64">
            <v>4721</v>
          </cell>
          <cell r="C64">
            <v>4789</v>
          </cell>
          <cell r="D64" t="str">
            <v>Transportation Services</v>
          </cell>
          <cell r="E64">
            <v>1</v>
          </cell>
          <cell r="BQ64" t="str">
            <v>3NE</v>
          </cell>
          <cell r="BR64" t="str">
            <v>$20/$35/$50   $150l   2xMO   $100/$300 Ded</v>
          </cell>
          <cell r="BU64">
            <v>0.47705571571128413</v>
          </cell>
          <cell r="BV64">
            <v>0.19</v>
          </cell>
          <cell r="CA64" t="str">
            <v>Y7V</v>
          </cell>
          <cell r="CB64" t="str">
            <v>Signature</v>
          </cell>
          <cell r="CC64">
            <v>30</v>
          </cell>
          <cell r="CD64">
            <v>30</v>
          </cell>
          <cell r="CE64">
            <v>0</v>
          </cell>
          <cell r="CF64">
            <v>0</v>
          </cell>
          <cell r="CG64">
            <v>50</v>
          </cell>
          <cell r="CH64">
            <v>100</v>
          </cell>
          <cell r="CI64">
            <v>100</v>
          </cell>
          <cell r="CJ64" t="str">
            <v>$0 / $0</v>
          </cell>
          <cell r="CK64">
            <v>1</v>
          </cell>
          <cell r="CL64" t="str">
            <v>$1,500 / $3,000</v>
          </cell>
          <cell r="CM64" t="str">
            <v>N/A</v>
          </cell>
          <cell r="CN64" t="str">
            <v>N/A</v>
          </cell>
          <cell r="CO64" t="str">
            <v>N/A</v>
          </cell>
          <cell r="CP64" t="str">
            <v>Emb</v>
          </cell>
          <cell r="CS64" t="str">
            <v>HMO</v>
          </cell>
          <cell r="CT64" t="str">
            <v>Full</v>
          </cell>
          <cell r="CU64">
            <v>0.93959999999999999</v>
          </cell>
          <cell r="CW64" t="str">
            <v>Full17</v>
          </cell>
          <cell r="CX64">
            <v>0.74780000000000002</v>
          </cell>
          <cell r="CY64" t="str">
            <v>BDX</v>
          </cell>
        </row>
        <row r="65">
          <cell r="B65">
            <v>4811</v>
          </cell>
          <cell r="C65">
            <v>4899</v>
          </cell>
          <cell r="D65" t="str">
            <v>Communications</v>
          </cell>
          <cell r="E65">
            <v>0.95</v>
          </cell>
          <cell r="BQ65" t="str">
            <v>3NG</v>
          </cell>
          <cell r="BR65" t="str">
            <v>$10/$20/$40   $150l   2xMO</v>
          </cell>
          <cell r="BU65">
            <v>0.67855725710704817</v>
          </cell>
          <cell r="BV65">
            <v>0.21</v>
          </cell>
          <cell r="CA65" t="str">
            <v>Y80</v>
          </cell>
          <cell r="CB65" t="str">
            <v>Signature</v>
          </cell>
          <cell r="CC65">
            <v>15</v>
          </cell>
          <cell r="CD65">
            <v>15</v>
          </cell>
          <cell r="CE65">
            <v>50</v>
          </cell>
          <cell r="CF65" t="str">
            <v>$100PA</v>
          </cell>
          <cell r="CG65">
            <v>50</v>
          </cell>
          <cell r="CH65">
            <v>100</v>
          </cell>
          <cell r="CI65">
            <v>100</v>
          </cell>
          <cell r="CJ65" t="str">
            <v>$0 / $0</v>
          </cell>
          <cell r="CK65">
            <v>1</v>
          </cell>
          <cell r="CL65" t="str">
            <v>$1,500 / $3,000</v>
          </cell>
          <cell r="CM65" t="str">
            <v>N/A</v>
          </cell>
          <cell r="CN65" t="str">
            <v>N/A</v>
          </cell>
          <cell r="CO65" t="str">
            <v>N/A</v>
          </cell>
          <cell r="CP65" t="str">
            <v>Emb</v>
          </cell>
          <cell r="CS65" t="str">
            <v>HMO</v>
          </cell>
          <cell r="CT65" t="str">
            <v>Full</v>
          </cell>
          <cell r="CU65">
            <v>0.96440000000000003</v>
          </cell>
          <cell r="CW65" t="str">
            <v>Full17</v>
          </cell>
          <cell r="CX65">
            <v>0.76839999999999997</v>
          </cell>
          <cell r="CY65" t="str">
            <v>BDX</v>
          </cell>
        </row>
        <row r="66">
          <cell r="B66">
            <v>4911</v>
          </cell>
          <cell r="C66">
            <v>4949</v>
          </cell>
          <cell r="D66" t="str">
            <v>Electric, Gas, &amp; Sanitary Services</v>
          </cell>
          <cell r="E66">
            <v>0.95</v>
          </cell>
          <cell r="BQ66" t="str">
            <v>3NH</v>
          </cell>
          <cell r="BR66" t="str">
            <v>$10/$20/$40   $250l   2xMO</v>
          </cell>
          <cell r="BU66">
            <v>0.67855725710704817</v>
          </cell>
          <cell r="BV66">
            <v>0.21</v>
          </cell>
          <cell r="CA66" t="str">
            <v>Y83</v>
          </cell>
          <cell r="CB66" t="str">
            <v>Signature</v>
          </cell>
          <cell r="CC66">
            <v>20</v>
          </cell>
          <cell r="CD66">
            <v>20</v>
          </cell>
          <cell r="CE66">
            <v>100</v>
          </cell>
          <cell r="CF66" t="str">
            <v>$200PA</v>
          </cell>
          <cell r="CG66">
            <v>50</v>
          </cell>
          <cell r="CH66">
            <v>100</v>
          </cell>
          <cell r="CI66">
            <v>100</v>
          </cell>
          <cell r="CJ66" t="str">
            <v>$0 / $0</v>
          </cell>
          <cell r="CK66">
            <v>1</v>
          </cell>
          <cell r="CL66" t="str">
            <v>$1,500 / $3,000</v>
          </cell>
          <cell r="CM66" t="str">
            <v>N/A</v>
          </cell>
          <cell r="CN66" t="str">
            <v>N/A</v>
          </cell>
          <cell r="CO66" t="str">
            <v>N/A</v>
          </cell>
          <cell r="CP66" t="str">
            <v>Emb</v>
          </cell>
          <cell r="CS66" t="str">
            <v>HMO</v>
          </cell>
          <cell r="CT66" t="str">
            <v>Full</v>
          </cell>
          <cell r="CU66">
            <v>0.95199999999999996</v>
          </cell>
          <cell r="CW66" t="str">
            <v>Full17</v>
          </cell>
          <cell r="CX66">
            <v>0.75939999999999996</v>
          </cell>
          <cell r="CY66" t="str">
            <v>BDX</v>
          </cell>
        </row>
        <row r="67">
          <cell r="B67">
            <v>4951</v>
          </cell>
          <cell r="C67">
            <v>4959</v>
          </cell>
          <cell r="D67" t="str">
            <v>Electric, Gas, &amp; Sanitary Services</v>
          </cell>
          <cell r="E67">
            <v>1</v>
          </cell>
          <cell r="BQ67" t="str">
            <v>3OD</v>
          </cell>
          <cell r="BR67" t="str">
            <v>$5/$15/$30   $250l   2xMO</v>
          </cell>
          <cell r="BU67">
            <v>0.79547387269810743</v>
          </cell>
          <cell r="BV67">
            <v>0.219</v>
          </cell>
          <cell r="CA67" t="str">
            <v>Y86</v>
          </cell>
          <cell r="CB67" t="str">
            <v>Signature</v>
          </cell>
          <cell r="CC67">
            <v>25</v>
          </cell>
          <cell r="CD67">
            <v>25</v>
          </cell>
          <cell r="CE67">
            <v>125</v>
          </cell>
          <cell r="CF67" t="str">
            <v>$250PA</v>
          </cell>
          <cell r="CG67">
            <v>50</v>
          </cell>
          <cell r="CH67">
            <v>100</v>
          </cell>
          <cell r="CI67">
            <v>100</v>
          </cell>
          <cell r="CJ67" t="str">
            <v>$0 / $0</v>
          </cell>
          <cell r="CK67">
            <v>1</v>
          </cell>
          <cell r="CL67" t="str">
            <v>$1,500 / $3,000</v>
          </cell>
          <cell r="CM67" t="str">
            <v>N/A</v>
          </cell>
          <cell r="CN67" t="str">
            <v>N/A</v>
          </cell>
          <cell r="CO67" t="str">
            <v>N/A</v>
          </cell>
          <cell r="CP67" t="str">
            <v>Emb</v>
          </cell>
          <cell r="CS67" t="str">
            <v>HMO</v>
          </cell>
          <cell r="CT67" t="str">
            <v>Full</v>
          </cell>
          <cell r="CU67">
            <v>0.9415</v>
          </cell>
          <cell r="CW67" t="str">
            <v>Full17</v>
          </cell>
          <cell r="CX67">
            <v>0.75119999999999998</v>
          </cell>
          <cell r="CY67" t="str">
            <v>BDX</v>
          </cell>
        </row>
        <row r="68">
          <cell r="B68">
            <v>4961</v>
          </cell>
          <cell r="C68">
            <v>4979</v>
          </cell>
          <cell r="D68" t="str">
            <v>Electric, Gas, &amp; Sanitary Services</v>
          </cell>
          <cell r="E68">
            <v>0.95</v>
          </cell>
          <cell r="BQ68" t="str">
            <v>3OG</v>
          </cell>
          <cell r="BR68" t="str">
            <v>$5/$15/$30   $150l   2xMO</v>
          </cell>
          <cell r="BU68">
            <v>0.79547387269810743</v>
          </cell>
          <cell r="BV68">
            <v>0.219</v>
          </cell>
          <cell r="CA68" t="str">
            <v>Y8A</v>
          </cell>
          <cell r="CB68" t="str">
            <v>Signature</v>
          </cell>
          <cell r="CC68">
            <v>30</v>
          </cell>
          <cell r="CD68">
            <v>30</v>
          </cell>
          <cell r="CE68">
            <v>100</v>
          </cell>
          <cell r="CF68" t="str">
            <v>$200PA</v>
          </cell>
          <cell r="CG68">
            <v>50</v>
          </cell>
          <cell r="CH68">
            <v>100</v>
          </cell>
          <cell r="CI68">
            <v>100</v>
          </cell>
          <cell r="CJ68" t="str">
            <v>$0 / $0</v>
          </cell>
          <cell r="CK68">
            <v>1</v>
          </cell>
          <cell r="CL68" t="str">
            <v>$2,000 / $4,000</v>
          </cell>
          <cell r="CM68" t="str">
            <v>N/A</v>
          </cell>
          <cell r="CN68" t="str">
            <v>N/A</v>
          </cell>
          <cell r="CO68" t="str">
            <v>N/A</v>
          </cell>
          <cell r="CP68" t="str">
            <v>Emb</v>
          </cell>
          <cell r="CS68" t="str">
            <v>HMO</v>
          </cell>
          <cell r="CT68" t="str">
            <v>Full</v>
          </cell>
          <cell r="CU68">
            <v>0.93189999999999995</v>
          </cell>
          <cell r="CW68" t="str">
            <v>Full17</v>
          </cell>
          <cell r="CX68">
            <v>0.74460000000000004</v>
          </cell>
          <cell r="CY68" t="str">
            <v>BDX</v>
          </cell>
        </row>
        <row r="69">
          <cell r="B69">
            <v>5011</v>
          </cell>
          <cell r="C69">
            <v>5099</v>
          </cell>
          <cell r="D69" t="str">
            <v>Wholesale Trade - Durable Goods</v>
          </cell>
          <cell r="E69">
            <v>0.95</v>
          </cell>
          <cell r="BQ69" t="str">
            <v>3OH</v>
          </cell>
          <cell r="BR69" t="str">
            <v>$15/$25/$40   $150l   2xMO</v>
          </cell>
          <cell r="BU69">
            <v>0.60336158464939071</v>
          </cell>
          <cell r="BV69">
            <v>0.20200000000000001</v>
          </cell>
          <cell r="CA69" t="str">
            <v>Y8H</v>
          </cell>
          <cell r="CB69" t="str">
            <v>Signature</v>
          </cell>
          <cell r="CC69">
            <v>20</v>
          </cell>
          <cell r="CD69">
            <v>20</v>
          </cell>
          <cell r="CE69">
            <v>125</v>
          </cell>
          <cell r="CF69" t="str">
            <v>$250PA</v>
          </cell>
          <cell r="CG69">
            <v>50</v>
          </cell>
          <cell r="CH69">
            <v>100</v>
          </cell>
          <cell r="CI69">
            <v>100</v>
          </cell>
          <cell r="CJ69" t="str">
            <v>$0 / $0</v>
          </cell>
          <cell r="CK69">
            <v>1</v>
          </cell>
          <cell r="CL69" t="str">
            <v>$2,000 / $4,000</v>
          </cell>
          <cell r="CM69" t="str">
            <v>N/A</v>
          </cell>
          <cell r="CN69" t="str">
            <v>N/A</v>
          </cell>
          <cell r="CO69" t="str">
            <v>N/A</v>
          </cell>
          <cell r="CP69" t="str">
            <v>Emb</v>
          </cell>
          <cell r="CS69" t="str">
            <v>HMO</v>
          </cell>
          <cell r="CT69" t="str">
            <v>Full</v>
          </cell>
          <cell r="CU69">
            <v>0.94889999999999997</v>
          </cell>
          <cell r="CW69" t="str">
            <v>Full17</v>
          </cell>
          <cell r="CX69">
            <v>0.75860000000000005</v>
          </cell>
          <cell r="CY69" t="str">
            <v>BDX</v>
          </cell>
        </row>
        <row r="70">
          <cell r="B70">
            <v>5111</v>
          </cell>
          <cell r="C70">
            <v>5119</v>
          </cell>
          <cell r="D70" t="str">
            <v>Wholesale Trade - Non-durable Goods</v>
          </cell>
          <cell r="E70">
            <v>1</v>
          </cell>
          <cell r="BQ70" t="str">
            <v>3QA</v>
          </cell>
          <cell r="BR70" t="str">
            <v>$5/$10/$25   $150l   2xMO</v>
          </cell>
          <cell r="BU70">
            <v>0.84095051717032798</v>
          </cell>
          <cell r="BV70">
            <v>0.222</v>
          </cell>
          <cell r="CA70" t="str">
            <v>Y8K</v>
          </cell>
          <cell r="CB70" t="str">
            <v>Signature</v>
          </cell>
          <cell r="CC70">
            <v>20</v>
          </cell>
          <cell r="CD70">
            <v>40</v>
          </cell>
          <cell r="CE70">
            <v>125</v>
          </cell>
          <cell r="CF70" t="str">
            <v>$250PA</v>
          </cell>
          <cell r="CG70">
            <v>50</v>
          </cell>
          <cell r="CH70">
            <v>100</v>
          </cell>
          <cell r="CI70">
            <v>100</v>
          </cell>
          <cell r="CJ70" t="str">
            <v>$0 / $0</v>
          </cell>
          <cell r="CK70">
            <v>1</v>
          </cell>
          <cell r="CL70" t="str">
            <v>$2,000 / $4,000</v>
          </cell>
          <cell r="CM70" t="str">
            <v>N/A</v>
          </cell>
          <cell r="CN70" t="str">
            <v>N/A</v>
          </cell>
          <cell r="CO70" t="str">
            <v>N/A</v>
          </cell>
          <cell r="CP70" t="str">
            <v>Emb</v>
          </cell>
          <cell r="CS70" t="str">
            <v>HMO</v>
          </cell>
          <cell r="CT70" t="str">
            <v>Full</v>
          </cell>
          <cell r="CU70">
            <v>0.93300000000000005</v>
          </cell>
          <cell r="CW70" t="str">
            <v>Full17</v>
          </cell>
          <cell r="CX70">
            <v>0.74150000000000005</v>
          </cell>
          <cell r="CY70" t="str">
            <v>BDX</v>
          </cell>
        </row>
        <row r="71">
          <cell r="B71">
            <v>5121</v>
          </cell>
          <cell r="C71">
            <v>5129</v>
          </cell>
          <cell r="D71" t="str">
            <v>Wholesale Trade - Non-durable Goods</v>
          </cell>
          <cell r="E71">
            <v>0.95</v>
          </cell>
          <cell r="BQ71" t="str">
            <v>3QG</v>
          </cell>
          <cell r="BR71" t="str">
            <v>$10/$20/$30   $150l   2xMO</v>
          </cell>
          <cell r="BU71">
            <v>0.75848837907886868</v>
          </cell>
          <cell r="BV71">
            <v>0.21199999999999999</v>
          </cell>
          <cell r="CA71" t="str">
            <v>Y8P</v>
          </cell>
          <cell r="CB71" t="str">
            <v>Signature</v>
          </cell>
          <cell r="CC71">
            <v>30</v>
          </cell>
          <cell r="CD71">
            <v>30</v>
          </cell>
          <cell r="CE71">
            <v>250</v>
          </cell>
          <cell r="CF71" t="str">
            <v>$500PA</v>
          </cell>
          <cell r="CG71">
            <v>50</v>
          </cell>
          <cell r="CH71">
            <v>100</v>
          </cell>
          <cell r="CI71">
            <v>100</v>
          </cell>
          <cell r="CJ71" t="str">
            <v>$0 / $0</v>
          </cell>
          <cell r="CK71">
            <v>1</v>
          </cell>
          <cell r="CL71" t="str">
            <v>$2,000 / $4,000</v>
          </cell>
          <cell r="CM71" t="str">
            <v>N/A</v>
          </cell>
          <cell r="CN71" t="str">
            <v>N/A</v>
          </cell>
          <cell r="CO71" t="str">
            <v>N/A</v>
          </cell>
          <cell r="CP71" t="str">
            <v>Emb</v>
          </cell>
          <cell r="CS71" t="str">
            <v>HMO</v>
          </cell>
          <cell r="CT71" t="str">
            <v>Full</v>
          </cell>
          <cell r="CU71">
            <v>0.9234</v>
          </cell>
          <cell r="CW71" t="str">
            <v>Full17</v>
          </cell>
          <cell r="CX71">
            <v>0.73960000000000004</v>
          </cell>
          <cell r="CY71" t="str">
            <v>BDX</v>
          </cell>
        </row>
        <row r="72">
          <cell r="B72">
            <v>5131</v>
          </cell>
          <cell r="C72">
            <v>5199</v>
          </cell>
          <cell r="D72" t="str">
            <v>Wholesale Trade - Non-durable Goods</v>
          </cell>
          <cell r="E72">
            <v>1</v>
          </cell>
          <cell r="BQ72" t="str">
            <v>3QH</v>
          </cell>
          <cell r="BR72" t="str">
            <v>$15/$25/$40   $250l   2xMO</v>
          </cell>
          <cell r="BU72">
            <v>0.60336158464939071</v>
          </cell>
          <cell r="BV72">
            <v>0.20200000000000001</v>
          </cell>
          <cell r="CA72" t="str">
            <v>Y8S</v>
          </cell>
          <cell r="CB72" t="str">
            <v>Signature</v>
          </cell>
          <cell r="CC72">
            <v>15</v>
          </cell>
          <cell r="CD72">
            <v>30</v>
          </cell>
          <cell r="CE72">
            <v>125</v>
          </cell>
          <cell r="CF72" t="str">
            <v>$250PA</v>
          </cell>
          <cell r="CG72">
            <v>50</v>
          </cell>
          <cell r="CH72">
            <v>100</v>
          </cell>
          <cell r="CI72">
            <v>100</v>
          </cell>
          <cell r="CJ72" t="str">
            <v>$0 / $0</v>
          </cell>
          <cell r="CK72">
            <v>1</v>
          </cell>
          <cell r="CL72" t="str">
            <v>$2,000 / $4,000</v>
          </cell>
          <cell r="CM72" t="str">
            <v>N/A</v>
          </cell>
          <cell r="CN72" t="str">
            <v>N/A</v>
          </cell>
          <cell r="CO72" t="str">
            <v>N/A</v>
          </cell>
          <cell r="CP72" t="str">
            <v>Emb</v>
          </cell>
          <cell r="CS72" t="str">
            <v>HMO</v>
          </cell>
          <cell r="CT72" t="str">
            <v>Full</v>
          </cell>
          <cell r="CU72">
            <v>0.94620000000000004</v>
          </cell>
          <cell r="CW72" t="str">
            <v>Full17</v>
          </cell>
          <cell r="CX72">
            <v>0.75319999999999998</v>
          </cell>
          <cell r="CY72" t="str">
            <v>BDX</v>
          </cell>
        </row>
        <row r="73">
          <cell r="B73">
            <v>5211</v>
          </cell>
          <cell r="C73">
            <v>5279</v>
          </cell>
          <cell r="D73" t="str">
            <v>Building Materials &amp; Garden Supplies</v>
          </cell>
          <cell r="E73">
            <v>0.95</v>
          </cell>
          <cell r="BQ73" t="str">
            <v>3XD</v>
          </cell>
          <cell r="BR73" t="str">
            <v>$15/$30/$45   $250l   2xMO</v>
          </cell>
          <cell r="BU73">
            <v>0.56253874401005444</v>
          </cell>
          <cell r="BV73">
            <v>0.19900000000000001</v>
          </cell>
          <cell r="CA73" t="str">
            <v>Y8V</v>
          </cell>
          <cell r="CB73" t="str">
            <v>Signature</v>
          </cell>
          <cell r="CC73">
            <v>30</v>
          </cell>
          <cell r="CD73">
            <v>40</v>
          </cell>
          <cell r="CE73">
            <v>250</v>
          </cell>
          <cell r="CF73" t="str">
            <v>$500PA</v>
          </cell>
          <cell r="CG73">
            <v>50</v>
          </cell>
          <cell r="CH73">
            <v>100</v>
          </cell>
          <cell r="CI73">
            <v>100</v>
          </cell>
          <cell r="CJ73" t="str">
            <v>$0 / $0</v>
          </cell>
          <cell r="CK73">
            <v>1</v>
          </cell>
          <cell r="CL73" t="str">
            <v>$2,500 / $5,000</v>
          </cell>
          <cell r="CM73" t="str">
            <v>N/A</v>
          </cell>
          <cell r="CN73" t="str">
            <v>N/A</v>
          </cell>
          <cell r="CO73" t="str">
            <v>N/A</v>
          </cell>
          <cell r="CP73" t="str">
            <v>Emb</v>
          </cell>
          <cell r="CS73" t="str">
            <v>HMO</v>
          </cell>
          <cell r="CT73" t="str">
            <v>Full</v>
          </cell>
          <cell r="CU73">
            <v>0.91320000000000001</v>
          </cell>
          <cell r="CW73" t="str">
            <v>Full17</v>
          </cell>
          <cell r="CX73">
            <v>0.73109999999999997</v>
          </cell>
          <cell r="CY73" t="str">
            <v>BDX</v>
          </cell>
        </row>
        <row r="74">
          <cell r="B74">
            <v>5311</v>
          </cell>
          <cell r="C74">
            <v>5399</v>
          </cell>
          <cell r="D74" t="str">
            <v>General Merchandise Stores</v>
          </cell>
          <cell r="E74">
            <v>1</v>
          </cell>
          <cell r="BQ74" t="str">
            <v>3XE</v>
          </cell>
          <cell r="BR74" t="str">
            <v>$15/$30/$45   $150l   2xMO</v>
          </cell>
          <cell r="BU74">
            <v>0.56253874401005444</v>
          </cell>
          <cell r="BV74">
            <v>0.19900000000000001</v>
          </cell>
          <cell r="CA74" t="str">
            <v>Y90</v>
          </cell>
          <cell r="CB74" t="str">
            <v>Signature</v>
          </cell>
          <cell r="CC74">
            <v>35</v>
          </cell>
          <cell r="CD74">
            <v>45</v>
          </cell>
          <cell r="CE74">
            <v>375</v>
          </cell>
          <cell r="CF74" t="str">
            <v>$750PA</v>
          </cell>
          <cell r="CG74">
            <v>50</v>
          </cell>
          <cell r="CH74">
            <v>100</v>
          </cell>
          <cell r="CI74">
            <v>100</v>
          </cell>
          <cell r="CJ74" t="str">
            <v>$0 / $0</v>
          </cell>
          <cell r="CK74">
            <v>1</v>
          </cell>
          <cell r="CL74" t="str">
            <v>$2,500 / $5,000</v>
          </cell>
          <cell r="CM74" t="str">
            <v>N/A</v>
          </cell>
          <cell r="CN74" t="str">
            <v>N/A</v>
          </cell>
          <cell r="CO74" t="str">
            <v>N/A</v>
          </cell>
          <cell r="CP74" t="str">
            <v>Emb</v>
          </cell>
          <cell r="CS74" t="str">
            <v>HMO</v>
          </cell>
          <cell r="CT74" t="str">
            <v>Full</v>
          </cell>
          <cell r="CU74">
            <v>0.89770000000000005</v>
          </cell>
          <cell r="CW74" t="str">
            <v>Full17</v>
          </cell>
          <cell r="CX74">
            <v>0.71960000000000002</v>
          </cell>
          <cell r="CY74" t="str">
            <v>BDX</v>
          </cell>
        </row>
        <row r="75">
          <cell r="B75">
            <v>5411</v>
          </cell>
          <cell r="C75">
            <v>5499</v>
          </cell>
          <cell r="D75" t="str">
            <v>Food Stores</v>
          </cell>
          <cell r="E75">
            <v>1</v>
          </cell>
          <cell r="BQ75" t="str">
            <v>3XF</v>
          </cell>
          <cell r="BR75" t="str">
            <v>$20/$30/$50   $250l   2xMO</v>
          </cell>
          <cell r="BU75">
            <v>0.51812349339445651</v>
          </cell>
          <cell r="BV75">
            <v>0.192</v>
          </cell>
          <cell r="CA75" t="str">
            <v>Y93</v>
          </cell>
          <cell r="CB75" t="str">
            <v>Signature</v>
          </cell>
          <cell r="CC75">
            <v>20</v>
          </cell>
          <cell r="CD75">
            <v>40</v>
          </cell>
          <cell r="CE75">
            <v>250</v>
          </cell>
          <cell r="CF75" t="str">
            <v>$500PA</v>
          </cell>
          <cell r="CG75">
            <v>50</v>
          </cell>
          <cell r="CH75">
            <v>100</v>
          </cell>
          <cell r="CI75">
            <v>100</v>
          </cell>
          <cell r="CJ75" t="str">
            <v>$0 / $0</v>
          </cell>
          <cell r="CK75">
            <v>1</v>
          </cell>
          <cell r="CL75" t="str">
            <v>$2,500 / $5,000</v>
          </cell>
          <cell r="CM75" t="str">
            <v>N/A</v>
          </cell>
          <cell r="CN75" t="str">
            <v>N/A</v>
          </cell>
          <cell r="CO75" t="str">
            <v>N/A</v>
          </cell>
          <cell r="CP75" t="str">
            <v>Emb</v>
          </cell>
          <cell r="CS75" t="str">
            <v>HMO</v>
          </cell>
          <cell r="CT75" t="str">
            <v>Full</v>
          </cell>
          <cell r="CU75">
            <v>0.92379999999999995</v>
          </cell>
          <cell r="CW75" t="str">
            <v>Full17</v>
          </cell>
          <cell r="CX75">
            <v>0.73729999999999996</v>
          </cell>
          <cell r="CY75" t="str">
            <v>BDX</v>
          </cell>
        </row>
        <row r="76">
          <cell r="B76">
            <v>5511</v>
          </cell>
          <cell r="C76">
            <v>5519</v>
          </cell>
          <cell r="D76" t="str">
            <v>Automotive Dealers &amp; Service Stations</v>
          </cell>
          <cell r="E76">
            <v>1.1000000000000001</v>
          </cell>
          <cell r="BQ76" t="str">
            <v>3YG</v>
          </cell>
          <cell r="BR76" t="str">
            <v>$10/$20/$30   $250l   2xMO</v>
          </cell>
          <cell r="BU76">
            <v>0.75848837907886868</v>
          </cell>
          <cell r="BV76">
            <v>0.21199999999999999</v>
          </cell>
          <cell r="CA76" t="str">
            <v>Y96</v>
          </cell>
          <cell r="CB76" t="str">
            <v>Signature</v>
          </cell>
          <cell r="CC76">
            <v>20</v>
          </cell>
          <cell r="CD76">
            <v>40</v>
          </cell>
          <cell r="CE76">
            <v>125</v>
          </cell>
          <cell r="CF76" t="str">
            <v>$250PDx3</v>
          </cell>
          <cell r="CG76">
            <v>100</v>
          </cell>
          <cell r="CH76">
            <v>200</v>
          </cell>
          <cell r="CI76">
            <v>100</v>
          </cell>
          <cell r="CJ76" t="str">
            <v>$0 / $0</v>
          </cell>
          <cell r="CK76">
            <v>1</v>
          </cell>
          <cell r="CL76" t="str">
            <v>$3,000 / $6,000</v>
          </cell>
          <cell r="CM76" t="str">
            <v>N/A</v>
          </cell>
          <cell r="CN76" t="str">
            <v>N/A</v>
          </cell>
          <cell r="CO76" t="str">
            <v>N/A</v>
          </cell>
          <cell r="CP76" t="str">
            <v>Emb</v>
          </cell>
          <cell r="CS76" t="str">
            <v>HMO</v>
          </cell>
          <cell r="CT76" t="str">
            <v>Full</v>
          </cell>
          <cell r="CU76">
            <v>0.91649999999999998</v>
          </cell>
          <cell r="CW76" t="str">
            <v>Full17</v>
          </cell>
          <cell r="CX76">
            <v>0.73580000000000001</v>
          </cell>
          <cell r="CY76" t="str">
            <v>BDX</v>
          </cell>
        </row>
        <row r="77">
          <cell r="B77">
            <v>5521</v>
          </cell>
          <cell r="C77">
            <v>5529</v>
          </cell>
          <cell r="D77" t="str">
            <v>Automotive Dealers &amp; Service Stations</v>
          </cell>
          <cell r="E77">
            <v>1.3</v>
          </cell>
          <cell r="BQ77" t="str">
            <v>3YJ</v>
          </cell>
          <cell r="BR77" t="str">
            <v>$10/$25/$35   $250l   2xMO</v>
          </cell>
          <cell r="BU77">
            <v>0.69823386629520823</v>
          </cell>
          <cell r="BV77">
            <v>0.20899999999999999</v>
          </cell>
          <cell r="CA77" t="str">
            <v>Y9A</v>
          </cell>
          <cell r="CB77" t="str">
            <v>Signature</v>
          </cell>
          <cell r="CC77">
            <v>20</v>
          </cell>
          <cell r="CD77">
            <v>40</v>
          </cell>
          <cell r="CE77" t="str">
            <v>Ded + Co-Ins</v>
          </cell>
          <cell r="CF77" t="str">
            <v>$250PDx3</v>
          </cell>
          <cell r="CG77">
            <v>100</v>
          </cell>
          <cell r="CH77">
            <v>200</v>
          </cell>
          <cell r="CI77">
            <v>100</v>
          </cell>
          <cell r="CJ77" t="str">
            <v>$0 / $0</v>
          </cell>
          <cell r="CK77">
            <v>1</v>
          </cell>
          <cell r="CL77" t="str">
            <v>$3,000 / $6,000</v>
          </cell>
          <cell r="CM77" t="str">
            <v>N/A</v>
          </cell>
          <cell r="CN77" t="str">
            <v>N/A</v>
          </cell>
          <cell r="CO77" t="str">
            <v>N/A</v>
          </cell>
          <cell r="CP77" t="str">
            <v>Emb</v>
          </cell>
          <cell r="CS77" t="str">
            <v>HMO</v>
          </cell>
          <cell r="CT77" t="str">
            <v>Full</v>
          </cell>
          <cell r="CU77">
            <v>0.88759999999999994</v>
          </cell>
          <cell r="CW77" t="str">
            <v>Full17</v>
          </cell>
          <cell r="CX77">
            <v>0.72960000000000003</v>
          </cell>
          <cell r="CY77" t="str">
            <v>BDX</v>
          </cell>
        </row>
        <row r="78">
          <cell r="B78">
            <v>5531</v>
          </cell>
          <cell r="C78">
            <v>5539</v>
          </cell>
          <cell r="D78" t="str">
            <v>Automotive Dealers &amp; Service Stations</v>
          </cell>
          <cell r="E78">
            <v>1.1000000000000001</v>
          </cell>
          <cell r="BQ78" t="str">
            <v>42F</v>
          </cell>
          <cell r="BR78" t="str">
            <v>$15/$30/$50/30% (max $250)   $150l   2xMO</v>
          </cell>
          <cell r="BU78">
            <v>0.52416527380907829</v>
          </cell>
          <cell r="BV78">
            <v>0.19018658674655536</v>
          </cell>
          <cell r="CA78" t="str">
            <v>Y9H</v>
          </cell>
          <cell r="CB78" t="str">
            <v>Signature</v>
          </cell>
          <cell r="CC78">
            <v>30</v>
          </cell>
          <cell r="CD78">
            <v>40</v>
          </cell>
          <cell r="CE78">
            <v>250</v>
          </cell>
          <cell r="CF78" t="str">
            <v>$500PDx3</v>
          </cell>
          <cell r="CG78">
            <v>100</v>
          </cell>
          <cell r="CH78">
            <v>200</v>
          </cell>
          <cell r="CI78">
            <v>100</v>
          </cell>
          <cell r="CJ78" t="str">
            <v>$0 / $0</v>
          </cell>
          <cell r="CK78">
            <v>1</v>
          </cell>
          <cell r="CL78" t="str">
            <v>$3,000 / $6,000</v>
          </cell>
          <cell r="CM78" t="str">
            <v>N/A</v>
          </cell>
          <cell r="CN78" t="str">
            <v>N/A</v>
          </cell>
          <cell r="CO78" t="str">
            <v>N/A</v>
          </cell>
          <cell r="CP78" t="str">
            <v>Emb</v>
          </cell>
          <cell r="CS78" t="str">
            <v>HMO</v>
          </cell>
          <cell r="CT78" t="str">
            <v>Full</v>
          </cell>
          <cell r="CU78">
            <v>0.89559999999999995</v>
          </cell>
          <cell r="CW78" t="str">
            <v>Full17</v>
          </cell>
          <cell r="CX78">
            <v>0.72350000000000003</v>
          </cell>
          <cell r="CY78" t="str">
            <v>BDX</v>
          </cell>
        </row>
        <row r="79">
          <cell r="B79">
            <v>5541</v>
          </cell>
          <cell r="C79">
            <v>5549</v>
          </cell>
          <cell r="D79" t="str">
            <v>Automotive Dealers &amp; Service Stations</v>
          </cell>
          <cell r="E79">
            <v>1.1499999999999999</v>
          </cell>
          <cell r="BQ79" t="str">
            <v>43F</v>
          </cell>
          <cell r="BR79" t="str">
            <v>$15/$30/$50/30% (max $250)   $250l   2xMO</v>
          </cell>
          <cell r="BU79">
            <v>0.52416527380907829</v>
          </cell>
          <cell r="BV79">
            <v>0.19018658674655536</v>
          </cell>
          <cell r="CA79" t="str">
            <v>Y9K</v>
          </cell>
          <cell r="CB79" t="str">
            <v>Signature</v>
          </cell>
          <cell r="CC79">
            <v>30</v>
          </cell>
          <cell r="CD79">
            <v>40</v>
          </cell>
          <cell r="CE79" t="str">
            <v>Ded + Co-Ins</v>
          </cell>
          <cell r="CF79" t="str">
            <v>$500PDx3</v>
          </cell>
          <cell r="CG79">
            <v>100</v>
          </cell>
          <cell r="CH79">
            <v>200</v>
          </cell>
          <cell r="CI79">
            <v>100</v>
          </cell>
          <cell r="CJ79" t="str">
            <v>$0 / $0</v>
          </cell>
          <cell r="CK79">
            <v>1</v>
          </cell>
          <cell r="CL79" t="str">
            <v>$3,000 / $6,000</v>
          </cell>
          <cell r="CM79" t="str">
            <v>N/A</v>
          </cell>
          <cell r="CN79" t="str">
            <v>N/A</v>
          </cell>
          <cell r="CO79" t="str">
            <v>N/A</v>
          </cell>
          <cell r="CP79" t="str">
            <v>Emb</v>
          </cell>
          <cell r="CS79" t="str">
            <v>HMO</v>
          </cell>
          <cell r="CT79" t="str">
            <v>Full</v>
          </cell>
          <cell r="CU79">
            <v>0.87360000000000004</v>
          </cell>
          <cell r="CW79" t="str">
            <v>Full17</v>
          </cell>
          <cell r="CX79">
            <v>0.71870000000000001</v>
          </cell>
          <cell r="CY79" t="str">
            <v>BDX</v>
          </cell>
        </row>
        <row r="80">
          <cell r="B80">
            <v>5551</v>
          </cell>
          <cell r="C80">
            <v>5559</v>
          </cell>
          <cell r="D80" t="str">
            <v>Automotive Dealers &amp; Service Stations</v>
          </cell>
          <cell r="E80">
            <v>1</v>
          </cell>
          <cell r="BQ80" t="str">
            <v>45X</v>
          </cell>
          <cell r="BR80" t="str">
            <v>$10/$30/$50/30% (max $250)   $150l   2xMO</v>
          </cell>
          <cell r="BU80">
            <v>0.56760077624933203</v>
          </cell>
          <cell r="BV80">
            <v>0.19374878743383606</v>
          </cell>
          <cell r="CA80" t="str">
            <v>Y9N</v>
          </cell>
          <cell r="CB80" t="str">
            <v>Signature</v>
          </cell>
          <cell r="CC80">
            <v>30</v>
          </cell>
          <cell r="CD80">
            <v>40</v>
          </cell>
          <cell r="CE80">
            <v>350</v>
          </cell>
          <cell r="CF80" t="str">
            <v>$750PDx3</v>
          </cell>
          <cell r="CG80">
            <v>100</v>
          </cell>
          <cell r="CH80">
            <v>200</v>
          </cell>
          <cell r="CI80">
            <v>100</v>
          </cell>
          <cell r="CJ80" t="str">
            <v>$0 / $0</v>
          </cell>
          <cell r="CK80">
            <v>1</v>
          </cell>
          <cell r="CL80" t="str">
            <v>$3,500 / $7,000</v>
          </cell>
          <cell r="CM80" t="str">
            <v>N/A</v>
          </cell>
          <cell r="CN80" t="str">
            <v>N/A</v>
          </cell>
          <cell r="CO80" t="str">
            <v>N/A</v>
          </cell>
          <cell r="CP80" t="str">
            <v>Emb</v>
          </cell>
          <cell r="CS80" t="str">
            <v>HMO</v>
          </cell>
          <cell r="CT80" t="str">
            <v>Full</v>
          </cell>
          <cell r="CU80">
            <v>0.88470000000000004</v>
          </cell>
          <cell r="CW80" t="str">
            <v>Full17</v>
          </cell>
          <cell r="CX80">
            <v>0.7177</v>
          </cell>
          <cell r="CY80" t="str">
            <v>BDX</v>
          </cell>
        </row>
        <row r="81">
          <cell r="B81">
            <v>5561</v>
          </cell>
          <cell r="C81">
            <v>5569</v>
          </cell>
          <cell r="D81" t="str">
            <v>Automotive Dealers &amp; Service Stations</v>
          </cell>
          <cell r="E81">
            <v>1.05</v>
          </cell>
          <cell r="BQ81" t="str">
            <v>45Y</v>
          </cell>
          <cell r="BR81" t="str">
            <v>$10/$30/$50/30% (max $250)    $250l   2xMO</v>
          </cell>
          <cell r="BU81">
            <v>0.56760077624933203</v>
          </cell>
          <cell r="BV81">
            <v>0.19374878743383606</v>
          </cell>
          <cell r="CA81" t="str">
            <v>Y9Q</v>
          </cell>
          <cell r="CB81" t="str">
            <v>Signature</v>
          </cell>
          <cell r="CC81">
            <v>30</v>
          </cell>
          <cell r="CD81">
            <v>45</v>
          </cell>
          <cell r="CE81">
            <v>500</v>
          </cell>
          <cell r="CF81" t="str">
            <v>$1000PDx3</v>
          </cell>
          <cell r="CG81">
            <v>100</v>
          </cell>
          <cell r="CH81">
            <v>200</v>
          </cell>
          <cell r="CI81">
            <v>100</v>
          </cell>
          <cell r="CJ81" t="str">
            <v>$0 / $0</v>
          </cell>
          <cell r="CK81">
            <v>1</v>
          </cell>
          <cell r="CL81" t="str">
            <v>$3,500 / $7,000</v>
          </cell>
          <cell r="CM81" t="str">
            <v>N/A</v>
          </cell>
          <cell r="CN81" t="str">
            <v>N/A</v>
          </cell>
          <cell r="CO81" t="str">
            <v>N/A</v>
          </cell>
          <cell r="CP81" t="str">
            <v>Emb</v>
          </cell>
          <cell r="CS81" t="str">
            <v>HMO</v>
          </cell>
          <cell r="CT81" t="str">
            <v>Full</v>
          </cell>
          <cell r="CU81">
            <v>0.87150000000000005</v>
          </cell>
          <cell r="CW81" t="str">
            <v>Full17</v>
          </cell>
          <cell r="CX81">
            <v>0.70709999999999995</v>
          </cell>
          <cell r="CY81" t="str">
            <v>BDX</v>
          </cell>
        </row>
        <row r="82">
          <cell r="B82">
            <v>5571</v>
          </cell>
          <cell r="C82">
            <v>5599</v>
          </cell>
          <cell r="D82" t="str">
            <v>Automotive Dealers &amp; Service Stations</v>
          </cell>
          <cell r="E82">
            <v>1.1499999999999999</v>
          </cell>
          <cell r="BQ82" t="str">
            <v>Y1Q HSA Rx 3Z4</v>
          </cell>
          <cell r="BR82" t="str">
            <v>$10/$30/$50   Medical Deductible   2x MO</v>
          </cell>
          <cell r="BU82">
            <v>0.252135</v>
          </cell>
          <cell r="BV82">
            <v>2E-3</v>
          </cell>
          <cell r="CA82" t="str">
            <v>Y9T</v>
          </cell>
          <cell r="CB82" t="str">
            <v>Signature</v>
          </cell>
          <cell r="CC82">
            <v>20</v>
          </cell>
          <cell r="CD82">
            <v>30</v>
          </cell>
          <cell r="CE82" t="str">
            <v>N/A</v>
          </cell>
          <cell r="CF82" t="str">
            <v>N/A</v>
          </cell>
          <cell r="CG82">
            <v>100</v>
          </cell>
          <cell r="CH82">
            <v>200</v>
          </cell>
          <cell r="CI82">
            <v>100</v>
          </cell>
          <cell r="CJ82" t="str">
            <v>$0 / $0</v>
          </cell>
          <cell r="CK82">
            <v>0.8</v>
          </cell>
          <cell r="CL82" t="str">
            <v>$3,500 / $7,000</v>
          </cell>
          <cell r="CM82" t="str">
            <v>N/A</v>
          </cell>
          <cell r="CN82" t="str">
            <v>N/A</v>
          </cell>
          <cell r="CO82" t="str">
            <v>N/A</v>
          </cell>
          <cell r="CP82" t="str">
            <v>Emb</v>
          </cell>
          <cell r="CS82" t="str">
            <v>HMO</v>
          </cell>
          <cell r="CT82" t="str">
            <v>Full</v>
          </cell>
          <cell r="CU82">
            <v>0.86709999999999998</v>
          </cell>
          <cell r="CW82" t="str">
            <v>Full17</v>
          </cell>
          <cell r="CX82">
            <v>0.70199999999999996</v>
          </cell>
          <cell r="CY82" t="str">
            <v>BDX</v>
          </cell>
        </row>
        <row r="83">
          <cell r="B83">
            <v>5611</v>
          </cell>
          <cell r="C83">
            <v>5699</v>
          </cell>
          <cell r="D83" t="str">
            <v>Apparel &amp; Accessory Stores</v>
          </cell>
          <cell r="E83">
            <v>1</v>
          </cell>
          <cell r="CA83" t="str">
            <v>Y9W</v>
          </cell>
          <cell r="CB83" t="str">
            <v>Signature</v>
          </cell>
          <cell r="CC83">
            <v>25</v>
          </cell>
          <cell r="CD83">
            <v>40</v>
          </cell>
          <cell r="CE83" t="str">
            <v>N/A</v>
          </cell>
          <cell r="CF83" t="str">
            <v>N/A</v>
          </cell>
          <cell r="CG83">
            <v>100</v>
          </cell>
          <cell r="CH83">
            <v>300</v>
          </cell>
          <cell r="CI83">
            <v>100</v>
          </cell>
          <cell r="CJ83" t="str">
            <v>$0 / $0</v>
          </cell>
          <cell r="CK83">
            <v>0.8</v>
          </cell>
          <cell r="CL83" t="str">
            <v>$4,000 / $8,000</v>
          </cell>
          <cell r="CM83" t="str">
            <v>N/A</v>
          </cell>
          <cell r="CN83" t="str">
            <v>N/A</v>
          </cell>
          <cell r="CO83" t="str">
            <v>N/A</v>
          </cell>
          <cell r="CP83" t="str">
            <v>Emb</v>
          </cell>
          <cell r="CS83" t="str">
            <v>HMO</v>
          </cell>
          <cell r="CT83" t="str">
            <v>Full</v>
          </cell>
          <cell r="CU83">
            <v>0.84360000000000002</v>
          </cell>
          <cell r="CW83" t="str">
            <v>Full17</v>
          </cell>
          <cell r="CX83">
            <v>0.6865</v>
          </cell>
          <cell r="CY83" t="str">
            <v>BDX</v>
          </cell>
        </row>
        <row r="84">
          <cell r="B84">
            <v>5711</v>
          </cell>
          <cell r="C84">
            <v>5739</v>
          </cell>
          <cell r="D84" t="str">
            <v>Furniture &amp; Home Furnishings Stores</v>
          </cell>
          <cell r="E84">
            <v>0.95</v>
          </cell>
          <cell r="CA84" t="str">
            <v>YA1</v>
          </cell>
          <cell r="CB84" t="str">
            <v>Signature</v>
          </cell>
          <cell r="CC84">
            <v>30</v>
          </cell>
          <cell r="CD84">
            <v>40</v>
          </cell>
          <cell r="CE84" t="str">
            <v>N/A</v>
          </cell>
          <cell r="CF84" t="str">
            <v>N/A</v>
          </cell>
          <cell r="CG84">
            <v>100</v>
          </cell>
          <cell r="CH84">
            <v>300</v>
          </cell>
          <cell r="CI84">
            <v>100</v>
          </cell>
          <cell r="CJ84" t="str">
            <v>$0 / $0</v>
          </cell>
          <cell r="CK84">
            <v>0.7</v>
          </cell>
          <cell r="CL84" t="str">
            <v>$4,000 / $8,000</v>
          </cell>
          <cell r="CM84" t="str">
            <v>N/A</v>
          </cell>
          <cell r="CN84" t="str">
            <v>N/A</v>
          </cell>
          <cell r="CO84" t="str">
            <v>N/A</v>
          </cell>
          <cell r="CP84" t="str">
            <v>Emb</v>
          </cell>
          <cell r="CS84" t="str">
            <v>HMO</v>
          </cell>
          <cell r="CT84" t="str">
            <v>Full</v>
          </cell>
          <cell r="CU84">
            <v>0.81689999999999996</v>
          </cell>
          <cell r="CW84" t="str">
            <v>Full17</v>
          </cell>
          <cell r="CX84">
            <v>0.65920000000000001</v>
          </cell>
          <cell r="CY84" t="str">
            <v>BDX</v>
          </cell>
        </row>
        <row r="85">
          <cell r="B85">
            <v>5811</v>
          </cell>
          <cell r="C85">
            <v>5819</v>
          </cell>
          <cell r="D85" t="str">
            <v>Eating &amp; Drinking Places</v>
          </cell>
          <cell r="E85">
            <v>1.075</v>
          </cell>
          <cell r="BQ85" t="str">
            <v>3QM</v>
          </cell>
          <cell r="BR85" t="str">
            <v>$20/$35/$50   $150l   2xMO   $100/$300 Ded</v>
          </cell>
          <cell r="BU85">
            <v>0.49060889880354386</v>
          </cell>
          <cell r="BV85">
            <v>0.19</v>
          </cell>
          <cell r="CA85" t="str">
            <v>YB1</v>
          </cell>
          <cell r="CB85" t="str">
            <v>Signature</v>
          </cell>
          <cell r="CC85">
            <v>45</v>
          </cell>
          <cell r="CD85">
            <v>50</v>
          </cell>
          <cell r="CE85" t="str">
            <v>N/A</v>
          </cell>
          <cell r="CF85" t="str">
            <v>N/A</v>
          </cell>
          <cell r="CG85">
            <v>100</v>
          </cell>
          <cell r="CH85">
            <v>300</v>
          </cell>
          <cell r="CI85">
            <v>100</v>
          </cell>
          <cell r="CJ85" t="str">
            <v>$0 / $0</v>
          </cell>
          <cell r="CK85">
            <v>0.5</v>
          </cell>
          <cell r="CL85" t="str">
            <v>$5,000 / $10,000</v>
          </cell>
          <cell r="CM85" t="str">
            <v>N/A</v>
          </cell>
          <cell r="CN85" t="str">
            <v>N/A</v>
          </cell>
          <cell r="CO85" t="str">
            <v>N/A</v>
          </cell>
          <cell r="CP85" t="str">
            <v>Emb</v>
          </cell>
          <cell r="CS85" t="str">
            <v>HMO</v>
          </cell>
          <cell r="CT85" t="str">
            <v>Full</v>
          </cell>
          <cell r="CU85">
            <v>0.74970000000000003</v>
          </cell>
          <cell r="CW85" t="str">
            <v>Full17</v>
          </cell>
          <cell r="CX85">
            <v>0.59309999999999996</v>
          </cell>
          <cell r="CY85" t="str">
            <v>BDX</v>
          </cell>
        </row>
        <row r="86">
          <cell r="B86">
            <v>5911</v>
          </cell>
          <cell r="C86">
            <v>5919</v>
          </cell>
          <cell r="D86" t="str">
            <v>Misc. Retail</v>
          </cell>
          <cell r="E86">
            <v>1</v>
          </cell>
          <cell r="BQ86" t="str">
            <v>3QN</v>
          </cell>
          <cell r="BR86" t="str">
            <v>$20/$35/$50   $250l   2xMO   $100/$300 Ded</v>
          </cell>
          <cell r="BU86">
            <v>0.49060889880354386</v>
          </cell>
          <cell r="BV86">
            <v>0.19</v>
          </cell>
        </row>
        <row r="87">
          <cell r="B87">
            <v>5921</v>
          </cell>
          <cell r="C87">
            <v>5929</v>
          </cell>
          <cell r="D87" t="str">
            <v>Misc. Retail</v>
          </cell>
          <cell r="E87">
            <v>1.3</v>
          </cell>
          <cell r="BQ87" t="str">
            <v>3QO</v>
          </cell>
          <cell r="BR87" t="str">
            <v>$15/$30/$50   $150l   2xMO   $100/$300 Ded</v>
          </cell>
          <cell r="BU87">
            <v>0.51338804388029347</v>
          </cell>
          <cell r="BV87">
            <v>0.19800000000000001</v>
          </cell>
        </row>
        <row r="88">
          <cell r="B88">
            <v>5931</v>
          </cell>
          <cell r="C88">
            <v>5969</v>
          </cell>
          <cell r="D88" t="str">
            <v>Misc. Retail</v>
          </cell>
          <cell r="E88">
            <v>1</v>
          </cell>
          <cell r="BQ88" t="str">
            <v>3QP</v>
          </cell>
          <cell r="BR88" t="str">
            <v>$15/$30/$50   $250l   2xMO   $100/$300 Ded</v>
          </cell>
          <cell r="BU88">
            <v>0.51338804388029347</v>
          </cell>
          <cell r="BV88">
            <v>0.19800000000000001</v>
          </cell>
        </row>
        <row r="89">
          <cell r="B89">
            <v>5981</v>
          </cell>
          <cell r="C89">
            <v>5989</v>
          </cell>
          <cell r="D89" t="str">
            <v>Misc. Retail</v>
          </cell>
          <cell r="E89">
            <v>1.1000000000000001</v>
          </cell>
          <cell r="BQ89" t="str">
            <v>KMV HSA 3QQ</v>
          </cell>
          <cell r="BR89" t="str">
            <v>$10/$30/$50   2.0x MO</v>
          </cell>
          <cell r="BU89">
            <v>0.32107418799999998</v>
          </cell>
          <cell r="BV89">
            <v>2E-3</v>
          </cell>
          <cell r="CA89" t="str">
            <v/>
          </cell>
        </row>
        <row r="90">
          <cell r="B90">
            <v>5991</v>
          </cell>
          <cell r="C90">
            <v>5999</v>
          </cell>
          <cell r="D90" t="str">
            <v>Misc. Retail</v>
          </cell>
          <cell r="E90">
            <v>1</v>
          </cell>
          <cell r="BQ90" t="str">
            <v>2Y7</v>
          </cell>
          <cell r="BR90" t="str">
            <v>$20/$35   $150l   2xMO   $100/$300 Ded</v>
          </cell>
          <cell r="BU90">
            <v>0.50893018968247805</v>
          </cell>
          <cell r="BV90">
            <v>0.214</v>
          </cell>
          <cell r="CA90" t="str">
            <v>MMX 17 HMO ( High MKU )</v>
          </cell>
          <cell r="CB90" t="str">
            <v>Signature</v>
          </cell>
          <cell r="CC90">
            <v>15</v>
          </cell>
          <cell r="CD90">
            <v>25</v>
          </cell>
          <cell r="CE90">
            <v>0</v>
          </cell>
          <cell r="CF90">
            <v>125</v>
          </cell>
          <cell r="CG90">
            <v>25</v>
          </cell>
          <cell r="CH90">
            <v>50</v>
          </cell>
          <cell r="CI90" t="str">
            <v>N/A</v>
          </cell>
          <cell r="CJ90" t="str">
            <v>$0 / $0</v>
          </cell>
          <cell r="CK90">
            <v>1</v>
          </cell>
          <cell r="CL90" t="str">
            <v>$500 / $1,000</v>
          </cell>
          <cell r="CM90" t="str">
            <v>N/A</v>
          </cell>
          <cell r="CN90" t="str">
            <v>N/A</v>
          </cell>
          <cell r="CO90" t="str">
            <v>N/A</v>
          </cell>
          <cell r="CP90" t="str">
            <v>Emb</v>
          </cell>
          <cell r="CQ90" t="str">
            <v>PX8</v>
          </cell>
          <cell r="CS90" t="str">
            <v>HMO</v>
          </cell>
          <cell r="CT90" t="str">
            <v>Full</v>
          </cell>
          <cell r="CU90">
            <v>0.97829999999999995</v>
          </cell>
          <cell r="CV90" t="str">
            <v>MMX HMO RX ( High 31K )</v>
          </cell>
          <cell r="CX90">
            <v>0.83220000000000005</v>
          </cell>
          <cell r="CY90" t="str">
            <v>BDX</v>
          </cell>
        </row>
        <row r="91">
          <cell r="B91">
            <v>6011</v>
          </cell>
          <cell r="C91">
            <v>6099</v>
          </cell>
          <cell r="D91" t="str">
            <v>Depository Institutions</v>
          </cell>
          <cell r="E91">
            <v>0.9</v>
          </cell>
          <cell r="BQ91" t="str">
            <v>2Y8</v>
          </cell>
          <cell r="BR91" t="str">
            <v>$20/$35   $250l   2xMO   $100/$300 Ded</v>
          </cell>
          <cell r="BU91">
            <v>0.50893018968247805</v>
          </cell>
          <cell r="BV91">
            <v>0.214</v>
          </cell>
          <cell r="CA91" t="str">
            <v>MMX 17 HMO ( Med M2O )</v>
          </cell>
          <cell r="CB91" t="str">
            <v>Signature</v>
          </cell>
          <cell r="CC91">
            <v>20</v>
          </cell>
          <cell r="CD91">
            <v>35</v>
          </cell>
          <cell r="CE91" t="str">
            <v>N/A</v>
          </cell>
          <cell r="CF91" t="str">
            <v>10% After Ded</v>
          </cell>
          <cell r="CG91">
            <v>75</v>
          </cell>
          <cell r="CH91">
            <v>150</v>
          </cell>
          <cell r="CI91" t="str">
            <v>N/A</v>
          </cell>
          <cell r="CJ91" t="str">
            <v>$500 / $1,000</v>
          </cell>
          <cell r="CK91">
            <v>0.9</v>
          </cell>
          <cell r="CL91" t="str">
            <v>$1,500 / $3,000</v>
          </cell>
          <cell r="CM91" t="str">
            <v>N/A</v>
          </cell>
          <cell r="CN91" t="str">
            <v>N/A</v>
          </cell>
          <cell r="CO91" t="str">
            <v>N/A</v>
          </cell>
          <cell r="CP91" t="str">
            <v>Emb</v>
          </cell>
          <cell r="CQ91" t="str">
            <v>PX7</v>
          </cell>
          <cell r="CS91" t="str">
            <v>HMO</v>
          </cell>
          <cell r="CT91" t="str">
            <v>Full</v>
          </cell>
          <cell r="CU91">
            <v>0.86109999999999998</v>
          </cell>
          <cell r="CV91" t="str">
            <v>MMX HMO RX ( Med 31N )</v>
          </cell>
          <cell r="CX91">
            <v>0.6149</v>
          </cell>
          <cell r="CY91" t="str">
            <v>BEY</v>
          </cell>
        </row>
        <row r="92">
          <cell r="B92">
            <v>6111</v>
          </cell>
          <cell r="C92">
            <v>6169</v>
          </cell>
          <cell r="D92" t="str">
            <v>Nondepository Institutions</v>
          </cell>
          <cell r="E92">
            <v>0.9</v>
          </cell>
          <cell r="CA92" t="str">
            <v>MMX 17 HMO ( Low MQV )</v>
          </cell>
          <cell r="CB92" t="str">
            <v>Signature</v>
          </cell>
          <cell r="CC92">
            <v>30</v>
          </cell>
          <cell r="CD92">
            <v>50</v>
          </cell>
          <cell r="CE92" t="str">
            <v>N/A</v>
          </cell>
          <cell r="CF92" t="str">
            <v>20% After Ded</v>
          </cell>
          <cell r="CG92">
            <v>100</v>
          </cell>
          <cell r="CH92">
            <v>200</v>
          </cell>
          <cell r="CI92" t="str">
            <v>N/A</v>
          </cell>
          <cell r="CJ92" t="str">
            <v>$1,500 / $3,000</v>
          </cell>
          <cell r="CK92">
            <v>0.8</v>
          </cell>
          <cell r="CL92" t="str">
            <v>$3,000 / $6,000</v>
          </cell>
          <cell r="CM92" t="str">
            <v>N/A</v>
          </cell>
          <cell r="CN92" t="str">
            <v>N/A</v>
          </cell>
          <cell r="CO92" t="str">
            <v>N/A</v>
          </cell>
          <cell r="CP92" t="str">
            <v>Emb</v>
          </cell>
          <cell r="CQ92" t="str">
            <v>PX6</v>
          </cell>
          <cell r="CS92" t="str">
            <v>HMO</v>
          </cell>
          <cell r="CT92" t="str">
            <v>Full</v>
          </cell>
          <cell r="CU92">
            <v>0.75509999999999999</v>
          </cell>
          <cell r="CV92" t="str">
            <v>MMX HMO RX ( Low 31J )</v>
          </cell>
          <cell r="CX92">
            <v>0.53820000000000001</v>
          </cell>
          <cell r="CY92" t="str">
            <v>BEY</v>
          </cell>
        </row>
        <row r="93">
          <cell r="B93">
            <v>6211</v>
          </cell>
          <cell r="C93">
            <v>6289</v>
          </cell>
          <cell r="D93" t="str">
            <v>Security &amp; Commodity Brokers</v>
          </cell>
          <cell r="E93">
            <v>1</v>
          </cell>
        </row>
        <row r="94">
          <cell r="B94">
            <v>6311</v>
          </cell>
          <cell r="C94">
            <v>6399</v>
          </cell>
          <cell r="D94" t="str">
            <v>Insurance Carriers</v>
          </cell>
          <cell r="E94">
            <v>0.95</v>
          </cell>
        </row>
        <row r="95">
          <cell r="B95">
            <v>6411</v>
          </cell>
          <cell r="C95">
            <v>6419</v>
          </cell>
          <cell r="D95" t="str">
            <v>Insurance Agents, Brokers, &amp; Service</v>
          </cell>
          <cell r="E95">
            <v>1.05</v>
          </cell>
        </row>
        <row r="96">
          <cell r="B96">
            <v>6511</v>
          </cell>
          <cell r="C96">
            <v>6559</v>
          </cell>
          <cell r="D96" t="str">
            <v>Real Estate</v>
          </cell>
          <cell r="E96">
            <v>1.1000000000000001</v>
          </cell>
        </row>
        <row r="97">
          <cell r="B97">
            <v>6711</v>
          </cell>
          <cell r="C97">
            <v>6799</v>
          </cell>
          <cell r="D97" t="str">
            <v>Holding &amp; Other Investment Offices</v>
          </cell>
          <cell r="E97">
            <v>0.95</v>
          </cell>
          <cell r="CA97" t="str">
            <v>UL0</v>
          </cell>
          <cell r="CB97" t="str">
            <v>Advantage</v>
          </cell>
          <cell r="CC97">
            <v>10</v>
          </cell>
          <cell r="CD97">
            <v>10</v>
          </cell>
          <cell r="CE97">
            <v>0</v>
          </cell>
          <cell r="CF97">
            <v>0</v>
          </cell>
          <cell r="CG97">
            <v>75</v>
          </cell>
          <cell r="CH97">
            <v>150</v>
          </cell>
          <cell r="CI97">
            <v>100</v>
          </cell>
          <cell r="CJ97" t="str">
            <v>$0 / $0</v>
          </cell>
          <cell r="CK97">
            <v>1</v>
          </cell>
          <cell r="CL97" t="str">
            <v>$1,500 / $3,000</v>
          </cell>
          <cell r="CM97" t="str">
            <v>N/A</v>
          </cell>
          <cell r="CN97" t="str">
            <v>N/A</v>
          </cell>
          <cell r="CO97" t="str">
            <v>N/A</v>
          </cell>
          <cell r="CP97" t="str">
            <v>Emb</v>
          </cell>
          <cell r="CS97" t="str">
            <v>HMO</v>
          </cell>
          <cell r="CT97" t="str">
            <v>Advantage</v>
          </cell>
          <cell r="CU97">
            <v>0.97270000000000001</v>
          </cell>
          <cell r="CW97" t="str">
            <v>Adv17</v>
          </cell>
          <cell r="CX97">
            <v>0.73780000000000001</v>
          </cell>
          <cell r="CY97" t="str">
            <v>BDX</v>
          </cell>
        </row>
        <row r="98">
          <cell r="B98">
            <v>7011</v>
          </cell>
          <cell r="C98">
            <v>7019</v>
          </cell>
          <cell r="D98" t="str">
            <v>Hotels &amp; Other Lodging Places</v>
          </cell>
          <cell r="E98">
            <v>1.1000000000000001</v>
          </cell>
          <cell r="BQ98" t="str">
            <v>MMX HMO RX ( High 31K )</v>
          </cell>
          <cell r="BR98" t="str">
            <v>$5/$10/$25     Mail = $12.50/$25/$62.50</v>
          </cell>
          <cell r="BU98">
            <v>0.831479618142002</v>
          </cell>
          <cell r="BV98">
            <v>0.17288271000000002</v>
          </cell>
          <cell r="CA98" t="str">
            <v>UL5</v>
          </cell>
          <cell r="CB98" t="str">
            <v>Advantage</v>
          </cell>
          <cell r="CC98">
            <v>10</v>
          </cell>
          <cell r="CD98">
            <v>10</v>
          </cell>
          <cell r="CE98">
            <v>200</v>
          </cell>
          <cell r="CF98" t="str">
            <v>$250PA</v>
          </cell>
          <cell r="CG98">
            <v>75</v>
          </cell>
          <cell r="CH98">
            <v>150</v>
          </cell>
          <cell r="CI98">
            <v>100</v>
          </cell>
          <cell r="CJ98" t="str">
            <v>$0 / $0</v>
          </cell>
          <cell r="CK98">
            <v>1</v>
          </cell>
          <cell r="CL98" t="str">
            <v>$1,500 / $3,000</v>
          </cell>
          <cell r="CM98" t="str">
            <v>N/A</v>
          </cell>
          <cell r="CN98" t="str">
            <v>N/A</v>
          </cell>
          <cell r="CO98" t="str">
            <v>N/A</v>
          </cell>
          <cell r="CP98" t="str">
            <v>Emb</v>
          </cell>
          <cell r="CS98" t="str">
            <v>HMO</v>
          </cell>
          <cell r="CT98" t="str">
            <v>Advantage</v>
          </cell>
          <cell r="CU98">
            <v>0.96150000000000002</v>
          </cell>
          <cell r="CW98" t="str">
            <v>Adv17</v>
          </cell>
          <cell r="CX98">
            <v>0.73560000000000003</v>
          </cell>
          <cell r="CY98" t="str">
            <v>BDX</v>
          </cell>
        </row>
        <row r="99">
          <cell r="B99">
            <v>7021</v>
          </cell>
          <cell r="C99">
            <v>7029</v>
          </cell>
          <cell r="D99" t="str">
            <v>Hotels &amp; Other Lodging Places</v>
          </cell>
          <cell r="E99">
            <v>1.05</v>
          </cell>
          <cell r="BQ99" t="str">
            <v>MMX HMO RX ( Med 31N )</v>
          </cell>
          <cell r="BR99" t="str">
            <v>$10/$20/$50     Mail = $25/$75/$125</v>
          </cell>
          <cell r="BU99">
            <v>0.59429891402745805</v>
          </cell>
          <cell r="BV99">
            <v>0.15245748000000001</v>
          </cell>
          <cell r="CA99" t="str">
            <v>ULI</v>
          </cell>
          <cell r="CB99" t="str">
            <v>Advantage</v>
          </cell>
          <cell r="CC99">
            <v>15</v>
          </cell>
          <cell r="CD99">
            <v>15</v>
          </cell>
          <cell r="CE99">
            <v>200</v>
          </cell>
          <cell r="CF99" t="str">
            <v>$250PA</v>
          </cell>
          <cell r="CG99">
            <v>75</v>
          </cell>
          <cell r="CH99">
            <v>150</v>
          </cell>
          <cell r="CI99">
            <v>100</v>
          </cell>
          <cell r="CJ99" t="str">
            <v>$0 / $0</v>
          </cell>
          <cell r="CK99">
            <v>1</v>
          </cell>
          <cell r="CL99" t="str">
            <v>$1,500 / $3,000</v>
          </cell>
          <cell r="CM99" t="str">
            <v>N/A</v>
          </cell>
          <cell r="CN99" t="str">
            <v>N/A</v>
          </cell>
          <cell r="CO99" t="str">
            <v>N/A</v>
          </cell>
          <cell r="CP99" t="str">
            <v>Emb</v>
          </cell>
          <cell r="CS99" t="str">
            <v>HMO</v>
          </cell>
          <cell r="CT99" t="str">
            <v>Advantage</v>
          </cell>
          <cell r="CU99">
            <v>0.95230000000000004</v>
          </cell>
          <cell r="CW99" t="str">
            <v>Adv17</v>
          </cell>
          <cell r="CX99">
            <v>0.7288</v>
          </cell>
          <cell r="CY99" t="str">
            <v>BDX</v>
          </cell>
        </row>
        <row r="100">
          <cell r="B100">
            <v>7031</v>
          </cell>
          <cell r="C100">
            <v>7039</v>
          </cell>
          <cell r="D100" t="str">
            <v>Hotels &amp; Other Lodging Places</v>
          </cell>
          <cell r="E100">
            <v>1.1499999999999999</v>
          </cell>
          <cell r="BQ100" t="str">
            <v>MMX HMO RX ( Low 31J )</v>
          </cell>
          <cell r="BR100" t="str">
            <v>$20/$40/40% Co-Ins  Max: $100     Mail = $50/$100/40% Co-Ins  Max: $250</v>
          </cell>
          <cell r="BU100">
            <v>0.40953473729382184</v>
          </cell>
          <cell r="BV100">
            <v>0.15503202000000002</v>
          </cell>
          <cell r="CA100" t="str">
            <v>ULQ</v>
          </cell>
          <cell r="CB100" t="str">
            <v>Advantage</v>
          </cell>
          <cell r="CC100">
            <v>15</v>
          </cell>
          <cell r="CD100">
            <v>15</v>
          </cell>
          <cell r="CE100">
            <v>400</v>
          </cell>
          <cell r="CF100" t="str">
            <v>$500PA</v>
          </cell>
          <cell r="CG100">
            <v>75</v>
          </cell>
          <cell r="CH100">
            <v>150</v>
          </cell>
          <cell r="CI100">
            <v>100</v>
          </cell>
          <cell r="CJ100" t="str">
            <v>$0 / $0</v>
          </cell>
          <cell r="CK100">
            <v>1</v>
          </cell>
          <cell r="CL100" t="str">
            <v>$1,500 / $3,000</v>
          </cell>
          <cell r="CM100" t="str">
            <v>N/A</v>
          </cell>
          <cell r="CN100" t="str">
            <v>N/A</v>
          </cell>
          <cell r="CO100" t="str">
            <v>N/A</v>
          </cell>
          <cell r="CP100" t="str">
            <v>Emb</v>
          </cell>
          <cell r="CS100" t="str">
            <v>HMO</v>
          </cell>
          <cell r="CT100" t="str">
            <v>Advantage</v>
          </cell>
          <cell r="CU100">
            <v>0.94369999999999998</v>
          </cell>
          <cell r="CW100" t="str">
            <v>Adv17</v>
          </cell>
          <cell r="CX100">
            <v>0.72719999999999996</v>
          </cell>
          <cell r="CY100" t="str">
            <v>BDX</v>
          </cell>
        </row>
        <row r="101">
          <cell r="B101">
            <v>7041</v>
          </cell>
          <cell r="C101">
            <v>7049</v>
          </cell>
          <cell r="D101" t="str">
            <v>Hotels &amp; Other Lodging Places</v>
          </cell>
          <cell r="E101">
            <v>1.05</v>
          </cell>
          <cell r="CA101" t="str">
            <v>UM4</v>
          </cell>
          <cell r="CB101" t="str">
            <v>Advantage</v>
          </cell>
          <cell r="CC101">
            <v>20</v>
          </cell>
          <cell r="CD101">
            <v>20</v>
          </cell>
          <cell r="CE101">
            <v>0</v>
          </cell>
          <cell r="CF101">
            <v>0</v>
          </cell>
          <cell r="CG101">
            <v>75</v>
          </cell>
          <cell r="CH101">
            <v>150</v>
          </cell>
          <cell r="CI101">
            <v>100</v>
          </cell>
          <cell r="CJ101" t="str">
            <v>$0 / $0</v>
          </cell>
          <cell r="CK101">
            <v>1</v>
          </cell>
          <cell r="CL101" t="str">
            <v>$1,500 / $3,000</v>
          </cell>
          <cell r="CM101" t="str">
            <v>N/A</v>
          </cell>
          <cell r="CN101" t="str">
            <v>N/A</v>
          </cell>
          <cell r="CO101" t="str">
            <v>N/A</v>
          </cell>
          <cell r="CP101" t="str">
            <v>Emb</v>
          </cell>
          <cell r="CS101" t="str">
            <v>HMO</v>
          </cell>
          <cell r="CT101" t="str">
            <v>Advantage</v>
          </cell>
          <cell r="CU101">
            <v>0.95369999999999999</v>
          </cell>
          <cell r="CW101" t="str">
            <v>Adv17</v>
          </cell>
          <cell r="CX101">
            <v>0.72409999999999997</v>
          </cell>
          <cell r="CY101" t="str">
            <v>BDX</v>
          </cell>
        </row>
        <row r="102">
          <cell r="B102">
            <v>7211</v>
          </cell>
          <cell r="C102">
            <v>7219</v>
          </cell>
          <cell r="D102" t="str">
            <v>Personal Services</v>
          </cell>
          <cell r="E102">
            <v>1.3</v>
          </cell>
          <cell r="CA102" t="str">
            <v>UM7</v>
          </cell>
          <cell r="CB102" t="str">
            <v>Advantage</v>
          </cell>
          <cell r="CC102">
            <v>20</v>
          </cell>
          <cell r="CD102">
            <v>20</v>
          </cell>
          <cell r="CE102">
            <v>200</v>
          </cell>
          <cell r="CF102" t="str">
            <v>$250PA</v>
          </cell>
          <cell r="CG102">
            <v>75</v>
          </cell>
          <cell r="CH102">
            <v>150</v>
          </cell>
          <cell r="CI102">
            <v>100</v>
          </cell>
          <cell r="CJ102" t="str">
            <v>$0 / $0</v>
          </cell>
          <cell r="CK102">
            <v>1</v>
          </cell>
          <cell r="CL102" t="str">
            <v>$1,500 / $3,000</v>
          </cell>
          <cell r="CM102" t="str">
            <v>N/A</v>
          </cell>
          <cell r="CN102" t="str">
            <v>N/A</v>
          </cell>
          <cell r="CO102" t="str">
            <v>N/A</v>
          </cell>
          <cell r="CP102" t="str">
            <v>Emb</v>
          </cell>
          <cell r="CS102" t="str">
            <v>HMO</v>
          </cell>
          <cell r="CT102" t="str">
            <v>Advantage</v>
          </cell>
          <cell r="CU102">
            <v>0.94340000000000002</v>
          </cell>
          <cell r="CW102" t="str">
            <v>Adv17</v>
          </cell>
          <cell r="CX102">
            <v>0.72199999999999998</v>
          </cell>
          <cell r="CY102" t="str">
            <v>BDX</v>
          </cell>
        </row>
        <row r="103">
          <cell r="B103">
            <v>7221</v>
          </cell>
          <cell r="C103">
            <v>7229</v>
          </cell>
          <cell r="D103" t="str">
            <v>Personal Services</v>
          </cell>
          <cell r="E103">
            <v>1</v>
          </cell>
          <cell r="CA103" t="str">
            <v>UMF</v>
          </cell>
          <cell r="CB103" t="str">
            <v>Advantage</v>
          </cell>
          <cell r="CC103">
            <v>20</v>
          </cell>
          <cell r="CD103">
            <v>20</v>
          </cell>
          <cell r="CE103">
            <v>400</v>
          </cell>
          <cell r="CF103" t="str">
            <v>$500PA</v>
          </cell>
          <cell r="CG103">
            <v>75</v>
          </cell>
          <cell r="CH103">
            <v>150</v>
          </cell>
          <cell r="CI103">
            <v>100</v>
          </cell>
          <cell r="CJ103" t="str">
            <v>$0 / $0</v>
          </cell>
          <cell r="CK103">
            <v>1</v>
          </cell>
          <cell r="CL103" t="str">
            <v>$1,500 / $3,000</v>
          </cell>
          <cell r="CM103" t="str">
            <v>N/A</v>
          </cell>
          <cell r="CN103" t="str">
            <v>N/A</v>
          </cell>
          <cell r="CO103" t="str">
            <v>N/A</v>
          </cell>
          <cell r="CP103" t="str">
            <v>Emb</v>
          </cell>
          <cell r="CS103" t="str">
            <v>HMO</v>
          </cell>
          <cell r="CT103" t="str">
            <v>Advantage</v>
          </cell>
          <cell r="CU103">
            <v>0.93500000000000005</v>
          </cell>
          <cell r="CW103" t="str">
            <v>Adv17</v>
          </cell>
          <cell r="CX103">
            <v>0.72050000000000003</v>
          </cell>
          <cell r="CY103" t="str">
            <v>BDX</v>
          </cell>
        </row>
        <row r="104">
          <cell r="B104">
            <v>7231</v>
          </cell>
          <cell r="C104">
            <v>7249</v>
          </cell>
          <cell r="D104" t="str">
            <v>Personal Services</v>
          </cell>
          <cell r="E104">
            <v>1.3</v>
          </cell>
          <cell r="CA104" t="str">
            <v>UMO</v>
          </cell>
          <cell r="CB104" t="str">
            <v>Advantage</v>
          </cell>
          <cell r="CC104">
            <v>25</v>
          </cell>
          <cell r="CD104">
            <v>25</v>
          </cell>
          <cell r="CE104">
            <v>200</v>
          </cell>
          <cell r="CF104" t="str">
            <v>$250PA</v>
          </cell>
          <cell r="CG104">
            <v>75</v>
          </cell>
          <cell r="CH104">
            <v>150</v>
          </cell>
          <cell r="CI104">
            <v>100</v>
          </cell>
          <cell r="CJ104" t="str">
            <v>$0 / $0</v>
          </cell>
          <cell r="CK104">
            <v>1</v>
          </cell>
          <cell r="CL104" t="str">
            <v>$1,500 / $3,000</v>
          </cell>
          <cell r="CM104" t="str">
            <v>N/A</v>
          </cell>
          <cell r="CN104" t="str">
            <v>N/A</v>
          </cell>
          <cell r="CO104" t="str">
            <v>N/A</v>
          </cell>
          <cell r="CP104" t="str">
            <v>Emb</v>
          </cell>
          <cell r="CS104" t="str">
            <v>HMO</v>
          </cell>
          <cell r="CT104" t="str">
            <v>Advantage</v>
          </cell>
          <cell r="CU104">
            <v>0.93440000000000001</v>
          </cell>
          <cell r="CW104" t="str">
            <v>Adv17</v>
          </cell>
          <cell r="CX104">
            <v>0.71530000000000005</v>
          </cell>
          <cell r="CY104" t="str">
            <v>BDX</v>
          </cell>
        </row>
        <row r="105">
          <cell r="B105">
            <v>7251</v>
          </cell>
          <cell r="C105">
            <v>7259</v>
          </cell>
          <cell r="D105" t="str">
            <v>Personal Services</v>
          </cell>
          <cell r="E105">
            <v>1.05</v>
          </cell>
          <cell r="BQ105" t="str">
            <v>0B</v>
          </cell>
          <cell r="BR105" t="str">
            <v>$15/$40/$60     2x MO</v>
          </cell>
          <cell r="BU105">
            <v>0.46072657945554962</v>
          </cell>
          <cell r="BV105">
            <v>0.19425651344597009</v>
          </cell>
          <cell r="CA105" t="str">
            <v>UN3</v>
          </cell>
          <cell r="CB105" t="str">
            <v>Advantage</v>
          </cell>
          <cell r="CC105">
            <v>25</v>
          </cell>
          <cell r="CD105">
            <v>25</v>
          </cell>
          <cell r="CE105">
            <v>400</v>
          </cell>
          <cell r="CF105" t="str">
            <v>$500PA</v>
          </cell>
          <cell r="CG105">
            <v>75</v>
          </cell>
          <cell r="CH105">
            <v>150</v>
          </cell>
          <cell r="CI105">
            <v>100</v>
          </cell>
          <cell r="CJ105" t="str">
            <v>$0 / $0</v>
          </cell>
          <cell r="CK105">
            <v>1</v>
          </cell>
          <cell r="CL105" t="str">
            <v>$1,500 / $3,000</v>
          </cell>
          <cell r="CM105" t="str">
            <v>N/A</v>
          </cell>
          <cell r="CN105" t="str">
            <v>N/A</v>
          </cell>
          <cell r="CO105" t="str">
            <v>N/A</v>
          </cell>
          <cell r="CP105" t="str">
            <v>Emb</v>
          </cell>
          <cell r="CS105" t="str">
            <v>HMO</v>
          </cell>
          <cell r="CT105" t="str">
            <v>Advantage</v>
          </cell>
          <cell r="CU105">
            <v>0.92649999999999999</v>
          </cell>
          <cell r="CW105" t="str">
            <v>Adv17</v>
          </cell>
          <cell r="CX105">
            <v>0.71379999999999999</v>
          </cell>
          <cell r="CY105" t="str">
            <v>BDX</v>
          </cell>
        </row>
        <row r="106">
          <cell r="B106">
            <v>7261</v>
          </cell>
          <cell r="C106">
            <v>7269</v>
          </cell>
          <cell r="D106" t="str">
            <v>Personal Services</v>
          </cell>
          <cell r="E106">
            <v>1</v>
          </cell>
          <cell r="BQ106" t="str">
            <v>0H</v>
          </cell>
          <cell r="BR106" t="str">
            <v>$10/$30/$70     2.5x MO</v>
          </cell>
          <cell r="BU106">
            <v>0.49240510379167463</v>
          </cell>
          <cell r="BV106">
            <v>0.19922707561087716</v>
          </cell>
          <cell r="CA106" t="str">
            <v>UN6</v>
          </cell>
          <cell r="CB106" t="str">
            <v>Advantage</v>
          </cell>
          <cell r="CC106">
            <v>10</v>
          </cell>
          <cell r="CD106">
            <v>20</v>
          </cell>
          <cell r="CE106">
            <v>100</v>
          </cell>
          <cell r="CF106" t="str">
            <v>$150PDx3</v>
          </cell>
          <cell r="CG106">
            <v>75</v>
          </cell>
          <cell r="CH106">
            <v>150</v>
          </cell>
          <cell r="CI106">
            <v>100</v>
          </cell>
          <cell r="CJ106" t="str">
            <v>$0 / $0</v>
          </cell>
          <cell r="CK106">
            <v>1</v>
          </cell>
          <cell r="CL106" t="str">
            <v>$1,500 / $3,000</v>
          </cell>
          <cell r="CM106" t="str">
            <v>N/A</v>
          </cell>
          <cell r="CN106" t="str">
            <v>N/A</v>
          </cell>
          <cell r="CO106" t="str">
            <v>N/A</v>
          </cell>
          <cell r="CP106" t="str">
            <v>Emb</v>
          </cell>
          <cell r="CS106" t="str">
            <v>HMO</v>
          </cell>
          <cell r="CT106" t="str">
            <v>Advantage</v>
          </cell>
          <cell r="CU106">
            <v>0.95620000000000005</v>
          </cell>
          <cell r="CW106" t="str">
            <v>Adv17</v>
          </cell>
          <cell r="CX106">
            <v>0.72729999999999995</v>
          </cell>
          <cell r="CY106" t="str">
            <v>BDX</v>
          </cell>
        </row>
        <row r="107">
          <cell r="B107">
            <v>7291</v>
          </cell>
          <cell r="C107">
            <v>7299</v>
          </cell>
          <cell r="D107" t="str">
            <v>Personal Services</v>
          </cell>
          <cell r="E107">
            <v>1.1499999999999999</v>
          </cell>
          <cell r="BQ107" t="str">
            <v>0I</v>
          </cell>
          <cell r="BR107" t="str">
            <v>$10/$35/$70     2.5x MO</v>
          </cell>
          <cell r="BU107">
            <v>0.48170951954416846</v>
          </cell>
          <cell r="BV107">
            <v>0.1971185153321392</v>
          </cell>
          <cell r="CA107" t="str">
            <v>UNF</v>
          </cell>
          <cell r="CB107" t="str">
            <v>Advantage</v>
          </cell>
          <cell r="CC107">
            <v>10</v>
          </cell>
          <cell r="CD107">
            <v>20</v>
          </cell>
          <cell r="CE107">
            <v>200</v>
          </cell>
          <cell r="CF107" t="str">
            <v>$250PDx3</v>
          </cell>
          <cell r="CG107">
            <v>75</v>
          </cell>
          <cell r="CH107">
            <v>150</v>
          </cell>
          <cell r="CI107">
            <v>100</v>
          </cell>
          <cell r="CJ107" t="str">
            <v>$0 / $0</v>
          </cell>
          <cell r="CK107">
            <v>1</v>
          </cell>
          <cell r="CL107" t="str">
            <v>$1,500 / $3,000</v>
          </cell>
          <cell r="CM107" t="str">
            <v>N/A</v>
          </cell>
          <cell r="CN107" t="str">
            <v>N/A</v>
          </cell>
          <cell r="CO107" t="str">
            <v>N/A</v>
          </cell>
          <cell r="CP107" t="str">
            <v>Emb</v>
          </cell>
          <cell r="CS107" t="str">
            <v>HMO</v>
          </cell>
          <cell r="CT107" t="str">
            <v>Advantage</v>
          </cell>
          <cell r="CU107">
            <v>0.95079999999999998</v>
          </cell>
          <cell r="CW107" t="str">
            <v>Adv17</v>
          </cell>
          <cell r="CX107">
            <v>0.72629999999999995</v>
          </cell>
          <cell r="CY107" t="str">
            <v>BDX</v>
          </cell>
        </row>
        <row r="108">
          <cell r="B108">
            <v>7311</v>
          </cell>
          <cell r="C108">
            <v>7311</v>
          </cell>
          <cell r="D108" t="str">
            <v>Business Services</v>
          </cell>
          <cell r="E108">
            <v>0.95</v>
          </cell>
          <cell r="BQ108">
            <v>239</v>
          </cell>
          <cell r="BR108" t="str">
            <v>$10/$35/$60     2x MO</v>
          </cell>
          <cell r="BU108">
            <v>0.51028550799170391</v>
          </cell>
          <cell r="BV108">
            <v>0.19904247344568177</v>
          </cell>
          <cell r="CA108" t="str">
            <v>UNM</v>
          </cell>
          <cell r="CB108" t="str">
            <v>Advantage</v>
          </cell>
          <cell r="CC108">
            <v>20</v>
          </cell>
          <cell r="CD108">
            <v>30</v>
          </cell>
          <cell r="CE108">
            <v>100</v>
          </cell>
          <cell r="CF108" t="str">
            <v>$150PDx3</v>
          </cell>
          <cell r="CG108">
            <v>75</v>
          </cell>
          <cell r="CH108">
            <v>150</v>
          </cell>
          <cell r="CI108">
            <v>100</v>
          </cell>
          <cell r="CJ108" t="str">
            <v>$0 / $0</v>
          </cell>
          <cell r="CK108">
            <v>1</v>
          </cell>
          <cell r="CL108" t="str">
            <v>$1,500 / $3,000</v>
          </cell>
          <cell r="CM108" t="str">
            <v>N/A</v>
          </cell>
          <cell r="CN108" t="str">
            <v>N/A</v>
          </cell>
          <cell r="CO108" t="str">
            <v>N/A</v>
          </cell>
          <cell r="CP108" t="str">
            <v>Emb</v>
          </cell>
          <cell r="CS108" t="str">
            <v>HMO</v>
          </cell>
          <cell r="CT108" t="str">
            <v>Advantage</v>
          </cell>
          <cell r="CU108">
            <v>0.93830000000000002</v>
          </cell>
          <cell r="CW108" t="str">
            <v>Adv17</v>
          </cell>
          <cell r="CX108">
            <v>0.71389999999999998</v>
          </cell>
          <cell r="CY108" t="str">
            <v>BDX</v>
          </cell>
        </row>
        <row r="109">
          <cell r="B109">
            <v>7312</v>
          </cell>
          <cell r="C109">
            <v>7339</v>
          </cell>
          <cell r="D109" t="str">
            <v>Business Services</v>
          </cell>
          <cell r="E109">
            <v>1</v>
          </cell>
          <cell r="BQ109">
            <v>240</v>
          </cell>
          <cell r="BR109" t="str">
            <v>$10/$35/$60/$100     2x MO</v>
          </cell>
          <cell r="BU109">
            <v>0.50236587690767265</v>
          </cell>
          <cell r="BV109">
            <v>0.1974891963620227</v>
          </cell>
          <cell r="CA109" t="str">
            <v>UNS</v>
          </cell>
          <cell r="CB109" t="str">
            <v>Advantage</v>
          </cell>
          <cell r="CC109">
            <v>25</v>
          </cell>
          <cell r="CD109">
            <v>35</v>
          </cell>
          <cell r="CE109">
            <v>0</v>
          </cell>
          <cell r="CF109">
            <v>0</v>
          </cell>
          <cell r="CG109">
            <v>75</v>
          </cell>
          <cell r="CH109">
            <v>150</v>
          </cell>
          <cell r="CI109">
            <v>100</v>
          </cell>
          <cell r="CJ109" t="str">
            <v>$0 / $0</v>
          </cell>
          <cell r="CK109">
            <v>1</v>
          </cell>
          <cell r="CL109" t="str">
            <v>$1,500 / $3,000</v>
          </cell>
          <cell r="CM109" t="str">
            <v>N/A</v>
          </cell>
          <cell r="CN109" t="str">
            <v>N/A</v>
          </cell>
          <cell r="CO109" t="str">
            <v>N/A</v>
          </cell>
          <cell r="CP109" t="str">
            <v>Emb</v>
          </cell>
          <cell r="CS109" t="str">
            <v>HMO</v>
          </cell>
          <cell r="CT109" t="str">
            <v>Advantage</v>
          </cell>
          <cell r="CU109">
            <v>0.93640000000000001</v>
          </cell>
          <cell r="CW109" t="str">
            <v>Adv17</v>
          </cell>
          <cell r="CX109">
            <v>0.70940000000000003</v>
          </cell>
          <cell r="CY109" t="str">
            <v>BDX</v>
          </cell>
        </row>
        <row r="110">
          <cell r="B110">
            <v>7340</v>
          </cell>
          <cell r="C110">
            <v>7349</v>
          </cell>
          <cell r="D110" t="str">
            <v>Business Services</v>
          </cell>
          <cell r="E110">
            <v>1.05</v>
          </cell>
          <cell r="BQ110">
            <v>241</v>
          </cell>
          <cell r="BR110" t="str">
            <v>$10/$35/$70     2x MO</v>
          </cell>
          <cell r="BU110">
            <v>0.4849753467953154</v>
          </cell>
          <cell r="BV110">
            <v>0.19786082649821435</v>
          </cell>
          <cell r="CA110" t="str">
            <v>UNV</v>
          </cell>
          <cell r="CB110" t="str">
            <v>Advantage</v>
          </cell>
          <cell r="CC110">
            <v>25</v>
          </cell>
          <cell r="CD110">
            <v>35</v>
          </cell>
          <cell r="CE110">
            <v>100</v>
          </cell>
          <cell r="CF110" t="str">
            <v>$150PDx3</v>
          </cell>
          <cell r="CG110">
            <v>75</v>
          </cell>
          <cell r="CH110">
            <v>150</v>
          </cell>
          <cell r="CI110">
            <v>100</v>
          </cell>
          <cell r="CJ110" t="str">
            <v>$0 / $0</v>
          </cell>
          <cell r="CK110">
            <v>1</v>
          </cell>
          <cell r="CL110" t="str">
            <v>$1,500 / $3,000</v>
          </cell>
          <cell r="CM110" t="str">
            <v>N/A</v>
          </cell>
          <cell r="CN110" t="str">
            <v>N/A</v>
          </cell>
          <cell r="CO110" t="str">
            <v>N/A</v>
          </cell>
          <cell r="CP110" t="str">
            <v>Emb</v>
          </cell>
          <cell r="CS110" t="str">
            <v>HMO</v>
          </cell>
          <cell r="CT110" t="str">
            <v>Advantage</v>
          </cell>
          <cell r="CU110">
            <v>0.9294</v>
          </cell>
          <cell r="CW110" t="str">
            <v>Adv17</v>
          </cell>
          <cell r="CX110">
            <v>0.70720000000000005</v>
          </cell>
          <cell r="CY110" t="str">
            <v>BDX</v>
          </cell>
        </row>
        <row r="111">
          <cell r="B111">
            <v>7351</v>
          </cell>
          <cell r="C111">
            <v>7359</v>
          </cell>
          <cell r="D111" t="str">
            <v>Business Services</v>
          </cell>
          <cell r="E111">
            <v>1</v>
          </cell>
          <cell r="BQ111">
            <v>242</v>
          </cell>
          <cell r="BR111" t="str">
            <v>$10/$30/$50/$100     2x MO</v>
          </cell>
          <cell r="BU111">
            <v>0.55739506608949796</v>
          </cell>
          <cell r="BV111">
            <v>0.19993045554606514</v>
          </cell>
          <cell r="CA111" t="str">
            <v>UP0</v>
          </cell>
          <cell r="CB111" t="str">
            <v>Advantage</v>
          </cell>
          <cell r="CC111">
            <v>15</v>
          </cell>
          <cell r="CD111">
            <v>30</v>
          </cell>
          <cell r="CE111">
            <v>200</v>
          </cell>
          <cell r="CF111" t="str">
            <v>$250PDx3</v>
          </cell>
          <cell r="CG111">
            <v>75</v>
          </cell>
          <cell r="CH111">
            <v>150</v>
          </cell>
          <cell r="CI111">
            <v>100</v>
          </cell>
          <cell r="CJ111" t="str">
            <v>$0 / $0</v>
          </cell>
          <cell r="CK111">
            <v>1</v>
          </cell>
          <cell r="CL111" t="str">
            <v>$2,500 / $5,000</v>
          </cell>
          <cell r="CM111" t="str">
            <v>N/A</v>
          </cell>
          <cell r="CN111" t="str">
            <v>N/A</v>
          </cell>
          <cell r="CO111" t="str">
            <v>N/A</v>
          </cell>
          <cell r="CP111" t="str">
            <v>Emb</v>
          </cell>
          <cell r="CS111" t="str">
            <v>HMO</v>
          </cell>
          <cell r="CT111" t="str">
            <v>Advantage</v>
          </cell>
          <cell r="CU111">
            <v>0.93300000000000005</v>
          </cell>
          <cell r="CW111" t="str">
            <v>Adv17</v>
          </cell>
          <cell r="CX111">
            <v>0.71389999999999998</v>
          </cell>
          <cell r="CY111" t="str">
            <v>BDX</v>
          </cell>
        </row>
        <row r="112">
          <cell r="B112">
            <v>7361</v>
          </cell>
          <cell r="C112">
            <v>7369</v>
          </cell>
          <cell r="D112" t="str">
            <v>Employee Leasing Firms (P.E.O.)</v>
          </cell>
          <cell r="E112">
            <v>1.3</v>
          </cell>
          <cell r="BQ112">
            <v>243</v>
          </cell>
          <cell r="BR112" t="str">
            <v>$10/$30/$50/$100     2x MO   $100/$300 Ded</v>
          </cell>
          <cell r="BU112">
            <v>0.51436779205563754</v>
          </cell>
          <cell r="BV112">
            <v>0.20030054268812689</v>
          </cell>
          <cell r="CA112" t="str">
            <v>UP7</v>
          </cell>
          <cell r="CB112" t="str">
            <v>Advantage</v>
          </cell>
          <cell r="CC112">
            <v>25</v>
          </cell>
          <cell r="CD112">
            <v>40</v>
          </cell>
          <cell r="CE112">
            <v>200</v>
          </cell>
          <cell r="CF112" t="str">
            <v>$250PDx3</v>
          </cell>
          <cell r="CG112">
            <v>75</v>
          </cell>
          <cell r="CH112">
            <v>150</v>
          </cell>
          <cell r="CI112">
            <v>100</v>
          </cell>
          <cell r="CJ112" t="str">
            <v>$0 / $0</v>
          </cell>
          <cell r="CK112">
            <v>1</v>
          </cell>
          <cell r="CL112" t="str">
            <v>$2,500 / $5,000</v>
          </cell>
          <cell r="CM112" t="str">
            <v>N/A</v>
          </cell>
          <cell r="CN112" t="str">
            <v>N/A</v>
          </cell>
          <cell r="CO112" t="str">
            <v>N/A</v>
          </cell>
          <cell r="CP112" t="str">
            <v>Emb</v>
          </cell>
          <cell r="CS112" t="str">
            <v>HMO</v>
          </cell>
          <cell r="CT112" t="str">
            <v>Advantage</v>
          </cell>
          <cell r="CU112">
            <v>0.91449999999999998</v>
          </cell>
          <cell r="CW112" t="str">
            <v>Adv17</v>
          </cell>
          <cell r="CX112">
            <v>0.70050000000000001</v>
          </cell>
          <cell r="CY112" t="str">
            <v>BDX</v>
          </cell>
        </row>
        <row r="113">
          <cell r="B113">
            <v>7371</v>
          </cell>
          <cell r="C113">
            <v>7379</v>
          </cell>
          <cell r="D113" t="str">
            <v>Computer &amp; Data Processing Services</v>
          </cell>
          <cell r="E113">
            <v>0.95</v>
          </cell>
          <cell r="BQ113">
            <v>244</v>
          </cell>
          <cell r="BR113" t="str">
            <v>$10/$35/$70     2x MO   $100/$300 Ded</v>
          </cell>
          <cell r="BU113">
            <v>0.44774491613224071</v>
          </cell>
          <cell r="BV113">
            <v>0.19824486671576527</v>
          </cell>
          <cell r="CA113" t="str">
            <v>UPE</v>
          </cell>
          <cell r="CB113" t="str">
            <v>Advantage</v>
          </cell>
          <cell r="CC113">
            <v>35</v>
          </cell>
          <cell r="CD113">
            <v>50</v>
          </cell>
          <cell r="CE113">
            <v>200</v>
          </cell>
          <cell r="CF113" t="str">
            <v>$250PDx3</v>
          </cell>
          <cell r="CG113">
            <v>75</v>
          </cell>
          <cell r="CH113">
            <v>150</v>
          </cell>
          <cell r="CI113">
            <v>100</v>
          </cell>
          <cell r="CJ113" t="str">
            <v>$0 / $0</v>
          </cell>
          <cell r="CK113">
            <v>1</v>
          </cell>
          <cell r="CL113" t="str">
            <v>$2,500 / $5,000</v>
          </cell>
          <cell r="CM113" t="str">
            <v>N/A</v>
          </cell>
          <cell r="CN113" t="str">
            <v>N/A</v>
          </cell>
          <cell r="CO113" t="str">
            <v>N/A</v>
          </cell>
          <cell r="CP113" t="str">
            <v>Emb</v>
          </cell>
          <cell r="CS113" t="str">
            <v>HMO</v>
          </cell>
          <cell r="CT113" t="str">
            <v>Advantage</v>
          </cell>
          <cell r="CU113">
            <v>0.89649999999999996</v>
          </cell>
          <cell r="CW113" t="str">
            <v>Adv17</v>
          </cell>
          <cell r="CX113">
            <v>0.68710000000000004</v>
          </cell>
          <cell r="CY113" t="str">
            <v>BDX</v>
          </cell>
        </row>
        <row r="114">
          <cell r="B114">
            <v>7381</v>
          </cell>
          <cell r="C114">
            <v>7381</v>
          </cell>
          <cell r="D114" t="str">
            <v>Misc. Business Services</v>
          </cell>
          <cell r="E114">
            <v>1.05</v>
          </cell>
          <cell r="BQ114">
            <v>245</v>
          </cell>
          <cell r="BR114" t="str">
            <v>$10/$25/$45     2x MO</v>
          </cell>
          <cell r="BU114">
            <v>0.61634324797269957</v>
          </cell>
          <cell r="BV114">
            <v>0.20333415731864626</v>
          </cell>
          <cell r="CA114" t="str">
            <v>UPH</v>
          </cell>
          <cell r="CB114" t="str">
            <v>Advantage</v>
          </cell>
          <cell r="CC114">
            <v>20</v>
          </cell>
          <cell r="CD114">
            <v>40</v>
          </cell>
          <cell r="CE114">
            <v>400</v>
          </cell>
          <cell r="CF114" t="str">
            <v>$500PDx5</v>
          </cell>
          <cell r="CG114">
            <v>100</v>
          </cell>
          <cell r="CH114">
            <v>200</v>
          </cell>
          <cell r="CI114">
            <v>100</v>
          </cell>
          <cell r="CJ114" t="str">
            <v>$0 / $0</v>
          </cell>
          <cell r="CK114">
            <v>1</v>
          </cell>
          <cell r="CL114" t="str">
            <v>$4,500 / $9,000</v>
          </cell>
          <cell r="CM114" t="str">
            <v>N/A</v>
          </cell>
          <cell r="CN114" t="str">
            <v>N/A</v>
          </cell>
          <cell r="CO114" t="str">
            <v>N/A</v>
          </cell>
          <cell r="CP114" t="str">
            <v>Emb</v>
          </cell>
          <cell r="CS114" t="str">
            <v>HMO</v>
          </cell>
          <cell r="CT114" t="str">
            <v>Advantage</v>
          </cell>
          <cell r="CU114">
            <v>0.89170000000000005</v>
          </cell>
          <cell r="CW114" t="str">
            <v>Adv17</v>
          </cell>
          <cell r="CX114">
            <v>0.69399999999999995</v>
          </cell>
          <cell r="CY114" t="str">
            <v>BDX</v>
          </cell>
        </row>
        <row r="115">
          <cell r="B115">
            <v>7382</v>
          </cell>
          <cell r="C115">
            <v>7389</v>
          </cell>
          <cell r="D115" t="str">
            <v>Misc. Business Services</v>
          </cell>
          <cell r="E115">
            <v>1</v>
          </cell>
          <cell r="BQ115">
            <v>246</v>
          </cell>
          <cell r="BR115" t="str">
            <v>$15/$35/$50     2x MO</v>
          </cell>
          <cell r="BU115">
            <v>0.51412285501180155</v>
          </cell>
          <cell r="BV115">
            <v>0.19669777263001251</v>
          </cell>
          <cell r="CA115" t="str">
            <v>UPL</v>
          </cell>
          <cell r="CB115" t="str">
            <v>Advantage</v>
          </cell>
          <cell r="CC115">
            <v>25</v>
          </cell>
          <cell r="CD115">
            <v>45</v>
          </cell>
          <cell r="CE115">
            <v>200</v>
          </cell>
          <cell r="CF115" t="str">
            <v>$250PDx5</v>
          </cell>
          <cell r="CG115">
            <v>100</v>
          </cell>
          <cell r="CH115">
            <v>200</v>
          </cell>
          <cell r="CI115">
            <v>100</v>
          </cell>
          <cell r="CJ115" t="str">
            <v>$0 / $0</v>
          </cell>
          <cell r="CK115">
            <v>1</v>
          </cell>
          <cell r="CL115" t="str">
            <v>$4,500 / $9,000</v>
          </cell>
          <cell r="CM115" t="str">
            <v>N/A</v>
          </cell>
          <cell r="CN115" t="str">
            <v>N/A</v>
          </cell>
          <cell r="CO115" t="str">
            <v>N/A</v>
          </cell>
          <cell r="CP115" t="str">
            <v>Emb</v>
          </cell>
          <cell r="CS115" t="str">
            <v>HMO</v>
          </cell>
          <cell r="CT115" t="str">
            <v>Advantage</v>
          </cell>
          <cell r="CU115">
            <v>0.89859999999999995</v>
          </cell>
          <cell r="CW115" t="str">
            <v>Adv17</v>
          </cell>
          <cell r="CX115">
            <v>0.69259999999999999</v>
          </cell>
          <cell r="CY115" t="str">
            <v>BDX</v>
          </cell>
        </row>
        <row r="116">
          <cell r="B116">
            <v>7511</v>
          </cell>
          <cell r="C116">
            <v>7519</v>
          </cell>
          <cell r="D116" t="str">
            <v>Auto Repair, Services, &amp; Parking</v>
          </cell>
          <cell r="E116">
            <v>1.05</v>
          </cell>
          <cell r="BQ116" t="str">
            <v>2V</v>
          </cell>
          <cell r="BR116" t="str">
            <v>$10/$35/$60     2.5x MO</v>
          </cell>
          <cell r="BU116">
            <v>0.50718297210311436</v>
          </cell>
          <cell r="BV116">
            <v>0.19904247344568177</v>
          </cell>
          <cell r="CA116" t="str">
            <v>UQ0</v>
          </cell>
          <cell r="CB116" t="str">
            <v>Advantage</v>
          </cell>
          <cell r="CC116">
            <v>30</v>
          </cell>
          <cell r="CD116">
            <v>50</v>
          </cell>
          <cell r="CE116">
            <v>200</v>
          </cell>
          <cell r="CF116" t="str">
            <v>$250PDx5</v>
          </cell>
          <cell r="CG116">
            <v>100</v>
          </cell>
          <cell r="CH116">
            <v>200</v>
          </cell>
          <cell r="CI116">
            <v>100</v>
          </cell>
          <cell r="CJ116" t="str">
            <v>$0 / $0</v>
          </cell>
          <cell r="CK116">
            <v>1</v>
          </cell>
          <cell r="CL116" t="str">
            <v>$4,500 / $9,000</v>
          </cell>
          <cell r="CM116" t="str">
            <v>N/A</v>
          </cell>
          <cell r="CN116" t="str">
            <v>N/A</v>
          </cell>
          <cell r="CO116" t="str">
            <v>N/A</v>
          </cell>
          <cell r="CP116" t="str">
            <v>Emb</v>
          </cell>
          <cell r="CS116" t="str">
            <v>HMO</v>
          </cell>
          <cell r="CT116" t="str">
            <v>Advantage</v>
          </cell>
          <cell r="CU116">
            <v>0.88919999999999999</v>
          </cell>
          <cell r="CW116" t="str">
            <v>Adv17</v>
          </cell>
          <cell r="CX116">
            <v>0.68579999999999997</v>
          </cell>
          <cell r="CY116" t="str">
            <v>BDX</v>
          </cell>
        </row>
        <row r="117">
          <cell r="B117">
            <v>7521</v>
          </cell>
          <cell r="C117">
            <v>7529</v>
          </cell>
          <cell r="D117" t="str">
            <v>Auto Repair, Services, &amp; Parking</v>
          </cell>
          <cell r="E117">
            <v>1.1499999999999999</v>
          </cell>
          <cell r="BQ117">
            <v>335</v>
          </cell>
          <cell r="BR117" t="str">
            <v xml:space="preserve">$10/$30/$70     2xMO   </v>
          </cell>
          <cell r="BU117">
            <v>0.49558928536154284</v>
          </cell>
          <cell r="BV117">
            <v>0.21326585118259705</v>
          </cell>
          <cell r="CA117" t="str">
            <v>UQ7</v>
          </cell>
          <cell r="CB117" t="str">
            <v>Advantage</v>
          </cell>
          <cell r="CC117">
            <v>30</v>
          </cell>
          <cell r="CD117">
            <v>50</v>
          </cell>
          <cell r="CE117">
            <v>400</v>
          </cell>
          <cell r="CF117" t="str">
            <v>$500PDx5</v>
          </cell>
          <cell r="CG117">
            <v>100</v>
          </cell>
          <cell r="CH117">
            <v>200</v>
          </cell>
          <cell r="CI117">
            <v>100</v>
          </cell>
          <cell r="CJ117" t="str">
            <v>$0 / $0</v>
          </cell>
          <cell r="CK117">
            <v>1</v>
          </cell>
          <cell r="CL117" t="str">
            <v>$4,500 / $9,000</v>
          </cell>
          <cell r="CM117" t="str">
            <v>N/A</v>
          </cell>
          <cell r="CN117" t="str">
            <v>N/A</v>
          </cell>
          <cell r="CO117" t="str">
            <v>N/A</v>
          </cell>
          <cell r="CP117" t="str">
            <v>Emb</v>
          </cell>
          <cell r="CS117" t="str">
            <v>HMO</v>
          </cell>
          <cell r="CT117" t="str">
            <v>Advantage</v>
          </cell>
          <cell r="CU117">
            <v>0.87319999999999998</v>
          </cell>
          <cell r="CW117" t="str">
            <v>Adv17</v>
          </cell>
          <cell r="CX117">
            <v>0.68069999999999997</v>
          </cell>
          <cell r="CY117" t="str">
            <v>BDX</v>
          </cell>
        </row>
        <row r="118">
          <cell r="B118">
            <v>7531</v>
          </cell>
          <cell r="C118">
            <v>7539</v>
          </cell>
          <cell r="D118" t="str">
            <v>Auto Repair, Services, &amp; Parking</v>
          </cell>
          <cell r="E118">
            <v>1.05</v>
          </cell>
          <cell r="BQ118">
            <v>336</v>
          </cell>
          <cell r="BR118" t="str">
            <v>$10/$35/$60     2xMO   $100/$300 Ded</v>
          </cell>
          <cell r="BU118">
            <v>0.47117722665921974</v>
          </cell>
          <cell r="BV118">
            <v>0.19988599296794379</v>
          </cell>
          <cell r="CA118" t="str">
            <v>UQF</v>
          </cell>
          <cell r="CB118" t="str">
            <v>Advantage</v>
          </cell>
          <cell r="CC118">
            <v>25</v>
          </cell>
          <cell r="CD118">
            <v>45</v>
          </cell>
          <cell r="CE118" t="str">
            <v>N/A</v>
          </cell>
          <cell r="CF118" t="str">
            <v>N/A</v>
          </cell>
          <cell r="CG118">
            <v>100</v>
          </cell>
          <cell r="CH118">
            <v>200</v>
          </cell>
          <cell r="CI118">
            <v>100</v>
          </cell>
          <cell r="CJ118" t="str">
            <v>$0 / $0</v>
          </cell>
          <cell r="CK118">
            <v>0.9</v>
          </cell>
          <cell r="CL118" t="str">
            <v>$2,500 / $5,000</v>
          </cell>
          <cell r="CM118" t="str">
            <v>N/A</v>
          </cell>
          <cell r="CN118" t="str">
            <v>N/A</v>
          </cell>
          <cell r="CO118" t="str">
            <v>N/A</v>
          </cell>
          <cell r="CP118" t="str">
            <v>Emb</v>
          </cell>
          <cell r="CS118" t="str">
            <v>HMO</v>
          </cell>
          <cell r="CT118" t="str">
            <v>Advantage</v>
          </cell>
          <cell r="CU118">
            <v>0.88619999999999999</v>
          </cell>
          <cell r="CW118" t="str">
            <v>Adv17</v>
          </cell>
          <cell r="CX118">
            <v>0.69969999999999999</v>
          </cell>
          <cell r="CY118" t="str">
            <v>BDX</v>
          </cell>
        </row>
        <row r="119">
          <cell r="B119">
            <v>7541</v>
          </cell>
          <cell r="C119">
            <v>7549</v>
          </cell>
          <cell r="D119" t="str">
            <v>Auto Repair, Services, &amp; Parking</v>
          </cell>
          <cell r="E119">
            <v>1.1000000000000001</v>
          </cell>
          <cell r="BQ119">
            <v>337</v>
          </cell>
          <cell r="BR119" t="str">
            <v>$10/$30/$70     2xMO   $100/$300 Ded</v>
          </cell>
          <cell r="BU119">
            <v>0.45737910652312408</v>
          </cell>
          <cell r="BV119">
            <v>0.20001096340385754</v>
          </cell>
          <cell r="CA119" t="str">
            <v>UQQ</v>
          </cell>
          <cell r="CB119" t="str">
            <v>Advantage</v>
          </cell>
          <cell r="CC119">
            <v>25</v>
          </cell>
          <cell r="CD119">
            <v>45</v>
          </cell>
          <cell r="CE119" t="str">
            <v>N/A</v>
          </cell>
          <cell r="CF119" t="str">
            <v>N/A</v>
          </cell>
          <cell r="CG119">
            <v>100</v>
          </cell>
          <cell r="CH119">
            <v>200</v>
          </cell>
          <cell r="CI119">
            <v>100</v>
          </cell>
          <cell r="CJ119" t="str">
            <v>$0 / $0</v>
          </cell>
          <cell r="CK119">
            <v>0.8</v>
          </cell>
          <cell r="CL119" t="str">
            <v>$3,500 / $7,000</v>
          </cell>
          <cell r="CM119" t="str">
            <v>N/A</v>
          </cell>
          <cell r="CN119" t="str">
            <v>N/A</v>
          </cell>
          <cell r="CO119" t="str">
            <v>N/A</v>
          </cell>
          <cell r="CP119" t="str">
            <v>Emb</v>
          </cell>
          <cell r="CS119" t="str">
            <v>HMO</v>
          </cell>
          <cell r="CT119" t="str">
            <v>Advantage</v>
          </cell>
          <cell r="CU119">
            <v>0.85129999999999995</v>
          </cell>
          <cell r="CW119" t="str">
            <v>Adv17</v>
          </cell>
          <cell r="CX119">
            <v>0.69969999999999999</v>
          </cell>
          <cell r="CY119" t="str">
            <v>BDX</v>
          </cell>
        </row>
        <row r="120">
          <cell r="B120">
            <v>7621</v>
          </cell>
          <cell r="C120">
            <v>7649</v>
          </cell>
          <cell r="D120" t="str">
            <v>Miscellaneous Repair Services</v>
          </cell>
          <cell r="E120">
            <v>1</v>
          </cell>
          <cell r="BQ120">
            <v>338</v>
          </cell>
          <cell r="BR120" t="str">
            <v>$10/$25/$45     2xMO   $100/$300 Ded</v>
          </cell>
          <cell r="BU120">
            <v>0.58858371633795104</v>
          </cell>
          <cell r="BV120">
            <v>0.20676609870286239</v>
          </cell>
          <cell r="CA120" t="str">
            <v>URI</v>
          </cell>
          <cell r="CB120" t="str">
            <v>Advantage</v>
          </cell>
          <cell r="CC120">
            <v>25</v>
          </cell>
          <cell r="CD120">
            <v>45</v>
          </cell>
          <cell r="CE120" t="str">
            <v>N/A</v>
          </cell>
          <cell r="CF120" t="str">
            <v>N/A</v>
          </cell>
          <cell r="CG120">
            <v>100</v>
          </cell>
          <cell r="CH120">
            <v>200</v>
          </cell>
          <cell r="CI120">
            <v>100</v>
          </cell>
          <cell r="CJ120" t="str">
            <v>$0 / $0</v>
          </cell>
          <cell r="CK120">
            <v>0.7</v>
          </cell>
          <cell r="CL120" t="str">
            <v>$4,500 / $9,000</v>
          </cell>
          <cell r="CM120" t="str">
            <v>N/A</v>
          </cell>
          <cell r="CN120" t="str">
            <v>N/A</v>
          </cell>
          <cell r="CO120" t="str">
            <v>N/A</v>
          </cell>
          <cell r="CP120" t="str">
            <v>Emb</v>
          </cell>
          <cell r="CS120" t="str">
            <v>HMO</v>
          </cell>
          <cell r="CT120" t="str">
            <v>Advantage</v>
          </cell>
          <cell r="CU120">
            <v>0.81730000000000003</v>
          </cell>
          <cell r="CW120" t="str">
            <v>Adv17</v>
          </cell>
          <cell r="CX120">
            <v>0.69969999999999999</v>
          </cell>
          <cell r="CY120" t="str">
            <v>BDX</v>
          </cell>
        </row>
        <row r="121">
          <cell r="B121">
            <v>7691</v>
          </cell>
          <cell r="C121">
            <v>7699</v>
          </cell>
          <cell r="D121" t="str">
            <v>Miscellaneous Repair Services</v>
          </cell>
          <cell r="E121">
            <v>1.05</v>
          </cell>
          <cell r="BQ121">
            <v>339</v>
          </cell>
          <cell r="BR121" t="str">
            <v>$10/$30/$50     2x MO   $100/$300 Ded</v>
          </cell>
          <cell r="BU121">
            <v>0.52441021085291428</v>
          </cell>
          <cell r="BV121">
            <v>0.19489999999999999</v>
          </cell>
          <cell r="CA121" t="str">
            <v>URV</v>
          </cell>
          <cell r="CB121" t="str">
            <v>Advantage</v>
          </cell>
          <cell r="CC121">
            <v>30</v>
          </cell>
          <cell r="CD121">
            <v>50</v>
          </cell>
          <cell r="CE121" t="str">
            <v>N/A</v>
          </cell>
          <cell r="CF121" t="str">
            <v>N/A</v>
          </cell>
          <cell r="CG121">
            <v>100</v>
          </cell>
          <cell r="CH121">
            <v>200</v>
          </cell>
          <cell r="CI121">
            <v>100</v>
          </cell>
          <cell r="CJ121" t="str">
            <v>$0 / $0</v>
          </cell>
          <cell r="CK121">
            <v>0.9</v>
          </cell>
          <cell r="CL121" t="str">
            <v>$2,500 / $5,000</v>
          </cell>
          <cell r="CM121" t="str">
            <v>N/A</v>
          </cell>
          <cell r="CN121" t="str">
            <v>N/A</v>
          </cell>
          <cell r="CO121" t="str">
            <v>N/A</v>
          </cell>
          <cell r="CP121" t="str">
            <v>Emb</v>
          </cell>
          <cell r="CS121" t="str">
            <v>HMO</v>
          </cell>
          <cell r="CT121" t="str">
            <v>Advantage</v>
          </cell>
          <cell r="CU121">
            <v>0.87780000000000002</v>
          </cell>
          <cell r="CW121" t="str">
            <v>Adv17</v>
          </cell>
          <cell r="CX121">
            <v>0.69289999999999996</v>
          </cell>
          <cell r="CY121" t="str">
            <v>BDX</v>
          </cell>
        </row>
        <row r="122">
          <cell r="B122">
            <v>7811</v>
          </cell>
          <cell r="C122">
            <v>7849</v>
          </cell>
          <cell r="D122" t="str">
            <v>Motion Pictures</v>
          </cell>
          <cell r="E122">
            <v>1</v>
          </cell>
          <cell r="BQ122">
            <v>340</v>
          </cell>
          <cell r="BR122" t="str">
            <v xml:space="preserve">$7/$25/$50     2xMO  </v>
          </cell>
          <cell r="BU122">
            <v>0.62499769018823892</v>
          </cell>
          <cell r="BV122">
            <v>0.20921084058546452</v>
          </cell>
          <cell r="CA122" t="str">
            <v>USI</v>
          </cell>
          <cell r="CB122" t="str">
            <v>Advantage</v>
          </cell>
          <cell r="CC122">
            <v>35</v>
          </cell>
          <cell r="CD122">
            <v>55</v>
          </cell>
          <cell r="CE122" t="str">
            <v>N/A</v>
          </cell>
          <cell r="CF122" t="str">
            <v>N/A</v>
          </cell>
          <cell r="CG122">
            <v>100</v>
          </cell>
          <cell r="CH122">
            <v>200</v>
          </cell>
          <cell r="CI122">
            <v>100</v>
          </cell>
          <cell r="CJ122" t="str">
            <v>$0 / $0</v>
          </cell>
          <cell r="CK122">
            <v>0.9</v>
          </cell>
          <cell r="CL122" t="str">
            <v>$2,500 / $5,000</v>
          </cell>
          <cell r="CM122" t="str">
            <v>N/A</v>
          </cell>
          <cell r="CN122" t="str">
            <v>N/A</v>
          </cell>
          <cell r="CO122" t="str">
            <v>N/A</v>
          </cell>
          <cell r="CP122" t="str">
            <v>Emb</v>
          </cell>
          <cell r="CS122" t="str">
            <v>HMO</v>
          </cell>
          <cell r="CT122" t="str">
            <v>Advantage</v>
          </cell>
          <cell r="CU122">
            <v>0.86929999999999996</v>
          </cell>
          <cell r="CW122" t="str">
            <v>Adv17</v>
          </cell>
          <cell r="CX122">
            <v>0.68600000000000005</v>
          </cell>
          <cell r="CY122" t="str">
            <v>BDX</v>
          </cell>
        </row>
        <row r="123">
          <cell r="B123">
            <v>7911</v>
          </cell>
          <cell r="C123">
            <v>7999</v>
          </cell>
          <cell r="D123" t="str">
            <v>Amusement &amp; Recreation Services</v>
          </cell>
          <cell r="E123">
            <v>1.1499999999999999</v>
          </cell>
          <cell r="BQ123">
            <v>341</v>
          </cell>
          <cell r="BR123" t="str">
            <v>$7/$35/$50     2x MO   $100/$300 Ded</v>
          </cell>
          <cell r="BU123">
            <v>0.54473998549130376</v>
          </cell>
          <cell r="BV123">
            <v>0.19689999999999999</v>
          </cell>
          <cell r="CA123" t="str">
            <v>UTI</v>
          </cell>
          <cell r="CB123" t="str">
            <v>Advantage</v>
          </cell>
          <cell r="CC123">
            <v>35</v>
          </cell>
          <cell r="CD123">
            <v>55</v>
          </cell>
          <cell r="CE123" t="str">
            <v>N/A</v>
          </cell>
          <cell r="CF123" t="str">
            <v>N/A</v>
          </cell>
          <cell r="CG123">
            <v>100</v>
          </cell>
          <cell r="CH123">
            <v>200</v>
          </cell>
          <cell r="CI123">
            <v>100</v>
          </cell>
          <cell r="CJ123" t="str">
            <v>$0 / $0</v>
          </cell>
          <cell r="CK123">
            <v>0.8</v>
          </cell>
          <cell r="CL123" t="str">
            <v>$3,500 / $7,000</v>
          </cell>
          <cell r="CM123" t="str">
            <v>N/A</v>
          </cell>
          <cell r="CN123" t="str">
            <v>N/A</v>
          </cell>
          <cell r="CO123" t="str">
            <v>N/A</v>
          </cell>
          <cell r="CP123" t="str">
            <v>Emb</v>
          </cell>
          <cell r="CS123" t="str">
            <v>HMO</v>
          </cell>
          <cell r="CT123" t="str">
            <v>Advantage</v>
          </cell>
          <cell r="CU123">
            <v>0.83460000000000001</v>
          </cell>
          <cell r="CW123" t="str">
            <v>Adv17</v>
          </cell>
          <cell r="CX123">
            <v>0.68600000000000005</v>
          </cell>
          <cell r="CY123" t="str">
            <v>BDX</v>
          </cell>
        </row>
        <row r="124">
          <cell r="B124">
            <v>8011</v>
          </cell>
          <cell r="C124">
            <v>8099</v>
          </cell>
          <cell r="D124" t="str">
            <v>Health Services</v>
          </cell>
          <cell r="E124">
            <v>1.1499999999999999</v>
          </cell>
          <cell r="BQ124">
            <v>342</v>
          </cell>
          <cell r="BR124" t="str">
            <v>$10/$25/$50     2x MO   $100/$300 Ded</v>
          </cell>
          <cell r="BU124">
            <v>0.53714693713238726</v>
          </cell>
          <cell r="BV124">
            <v>0.19689999999999999</v>
          </cell>
          <cell r="CA124" t="str">
            <v>UTN</v>
          </cell>
          <cell r="CB124" t="str">
            <v>Advantage</v>
          </cell>
          <cell r="CC124">
            <v>35</v>
          </cell>
          <cell r="CD124">
            <v>55</v>
          </cell>
          <cell r="CE124" t="str">
            <v>N/A</v>
          </cell>
          <cell r="CF124" t="str">
            <v>N/A</v>
          </cell>
          <cell r="CG124">
            <v>100</v>
          </cell>
          <cell r="CH124">
            <v>200</v>
          </cell>
          <cell r="CI124">
            <v>100</v>
          </cell>
          <cell r="CJ124" t="str">
            <v>$0 / $0</v>
          </cell>
          <cell r="CK124">
            <v>0.7</v>
          </cell>
          <cell r="CL124" t="str">
            <v>$4,500 / $9,000</v>
          </cell>
          <cell r="CM124" t="str">
            <v>N/A</v>
          </cell>
          <cell r="CN124" t="str">
            <v>N/A</v>
          </cell>
          <cell r="CO124" t="str">
            <v>N/A</v>
          </cell>
          <cell r="CP124" t="str">
            <v>Emb</v>
          </cell>
          <cell r="CS124" t="str">
            <v>HMO</v>
          </cell>
          <cell r="CT124" t="str">
            <v>Advantage</v>
          </cell>
          <cell r="CU124">
            <v>0.80059999999999998</v>
          </cell>
          <cell r="CW124" t="str">
            <v>Adv17</v>
          </cell>
          <cell r="CX124">
            <v>0.68600000000000005</v>
          </cell>
          <cell r="CY124" t="str">
            <v>BDX</v>
          </cell>
        </row>
        <row r="125">
          <cell r="B125">
            <v>8111</v>
          </cell>
          <cell r="C125">
            <v>8119</v>
          </cell>
          <cell r="D125" t="str">
            <v>Legal Services</v>
          </cell>
          <cell r="E125">
            <v>1</v>
          </cell>
          <cell r="BQ125">
            <v>343</v>
          </cell>
          <cell r="BR125" t="str">
            <v>$7/$35/$50     2x MO</v>
          </cell>
          <cell r="BU125">
            <v>0.59299258312699921</v>
          </cell>
          <cell r="BV125">
            <v>0.2064</v>
          </cell>
          <cell r="CA125" t="str">
            <v>UTR</v>
          </cell>
          <cell r="CB125" t="str">
            <v>Advantage</v>
          </cell>
          <cell r="CC125">
            <v>45</v>
          </cell>
          <cell r="CD125">
            <v>65</v>
          </cell>
          <cell r="CE125" t="str">
            <v>N/A</v>
          </cell>
          <cell r="CF125" t="str">
            <v>N/A</v>
          </cell>
          <cell r="CG125">
            <v>100</v>
          </cell>
          <cell r="CH125">
            <v>200</v>
          </cell>
          <cell r="CI125">
            <v>100</v>
          </cell>
          <cell r="CJ125" t="str">
            <v>$0 / $0</v>
          </cell>
          <cell r="CK125">
            <v>0.9</v>
          </cell>
          <cell r="CL125" t="str">
            <v>$2,500 / $5,000</v>
          </cell>
          <cell r="CM125" t="str">
            <v>N/A</v>
          </cell>
          <cell r="CN125" t="str">
            <v>N/A</v>
          </cell>
          <cell r="CO125" t="str">
            <v>N/A</v>
          </cell>
          <cell r="CP125" t="str">
            <v>Emb</v>
          </cell>
          <cell r="CS125" t="str">
            <v>HMO</v>
          </cell>
          <cell r="CT125" t="str">
            <v>Advantage</v>
          </cell>
          <cell r="CU125">
            <v>0.84919999999999995</v>
          </cell>
          <cell r="CW125" t="str">
            <v>Adv17</v>
          </cell>
          <cell r="CX125">
            <v>0.6724</v>
          </cell>
          <cell r="CY125" t="str">
            <v>BDX</v>
          </cell>
        </row>
        <row r="126">
          <cell r="B126">
            <v>8211</v>
          </cell>
          <cell r="C126">
            <v>8229</v>
          </cell>
          <cell r="D126" t="str">
            <v>Educational Services</v>
          </cell>
          <cell r="E126">
            <v>1.05</v>
          </cell>
          <cell r="BQ126">
            <v>344</v>
          </cell>
          <cell r="BR126" t="str">
            <v>$7/$25/$50     2x MO   $100/$300 Ded</v>
          </cell>
          <cell r="BU126">
            <v>0.57372420234523247</v>
          </cell>
          <cell r="BV126">
            <v>0.19950000000000001</v>
          </cell>
          <cell r="CA126" t="str">
            <v>UR0</v>
          </cell>
          <cell r="CB126" t="str">
            <v>Advantage</v>
          </cell>
          <cell r="CC126">
            <v>20</v>
          </cell>
          <cell r="CD126">
            <v>35</v>
          </cell>
          <cell r="CE126" t="str">
            <v>N/A</v>
          </cell>
          <cell r="CF126" t="str">
            <v>N/A</v>
          </cell>
          <cell r="CG126">
            <v>75</v>
          </cell>
          <cell r="CH126">
            <v>150</v>
          </cell>
          <cell r="CI126">
            <v>100</v>
          </cell>
          <cell r="CJ126" t="str">
            <v>$250 / $500</v>
          </cell>
          <cell r="CK126">
            <v>0.7</v>
          </cell>
          <cell r="CL126" t="str">
            <v>$3,000 / $6,000</v>
          </cell>
          <cell r="CM126" t="str">
            <v>N/A</v>
          </cell>
          <cell r="CN126" t="str">
            <v>N/A</v>
          </cell>
          <cell r="CO126" t="str">
            <v>N/A</v>
          </cell>
          <cell r="CP126" t="str">
            <v>Emb</v>
          </cell>
          <cell r="CS126" t="str">
            <v>HMO</v>
          </cell>
          <cell r="CT126" t="str">
            <v>Advantage</v>
          </cell>
          <cell r="CU126">
            <v>0.80059999999999998</v>
          </cell>
          <cell r="CW126" t="str">
            <v>Adv17</v>
          </cell>
          <cell r="CX126">
            <v>0.66210000000000002</v>
          </cell>
          <cell r="CY126" t="str">
            <v>BEY</v>
          </cell>
        </row>
        <row r="127">
          <cell r="B127">
            <v>8231</v>
          </cell>
          <cell r="C127">
            <v>8249</v>
          </cell>
          <cell r="D127" t="str">
            <v>Educational Services</v>
          </cell>
          <cell r="E127">
            <v>1</v>
          </cell>
          <cell r="BQ127">
            <v>345</v>
          </cell>
          <cell r="BR127" t="str">
            <v>$7/$30/$50     2x MO   $100/$300 Ded</v>
          </cell>
          <cell r="BU127">
            <v>0.55886468835251413</v>
          </cell>
          <cell r="BV127">
            <v>0.1976</v>
          </cell>
          <cell r="CA127" t="str">
            <v>YAO</v>
          </cell>
          <cell r="CB127" t="str">
            <v>Advantage</v>
          </cell>
          <cell r="CC127">
            <v>20</v>
          </cell>
          <cell r="CD127">
            <v>35</v>
          </cell>
          <cell r="CE127" t="str">
            <v>N/A</v>
          </cell>
          <cell r="CF127" t="str">
            <v>N/A</v>
          </cell>
          <cell r="CG127">
            <v>75</v>
          </cell>
          <cell r="CH127">
            <v>150</v>
          </cell>
          <cell r="CI127">
            <v>100</v>
          </cell>
          <cell r="CJ127" t="str">
            <v>$500 / $1,000</v>
          </cell>
          <cell r="CK127">
            <v>0.7</v>
          </cell>
          <cell r="CL127" t="str">
            <v>$3,000 / $6,000</v>
          </cell>
          <cell r="CM127" t="str">
            <v>N/A</v>
          </cell>
          <cell r="CN127" t="str">
            <v>N/A</v>
          </cell>
          <cell r="CO127" t="str">
            <v>N/A</v>
          </cell>
          <cell r="CP127" t="str">
            <v>Emb</v>
          </cell>
          <cell r="CS127" t="str">
            <v>HMO</v>
          </cell>
          <cell r="CT127" t="str">
            <v>Advantage</v>
          </cell>
          <cell r="CU127">
            <v>0.79330000000000001</v>
          </cell>
          <cell r="CW127" t="str">
            <v>Adv17</v>
          </cell>
          <cell r="CX127">
            <v>0.65390000000000004</v>
          </cell>
          <cell r="CY127" t="str">
            <v>BEY</v>
          </cell>
        </row>
        <row r="128">
          <cell r="B128">
            <v>8291</v>
          </cell>
          <cell r="C128">
            <v>8299</v>
          </cell>
          <cell r="D128" t="str">
            <v>Educational Services</v>
          </cell>
          <cell r="E128">
            <v>1.05</v>
          </cell>
          <cell r="BQ128">
            <v>346</v>
          </cell>
          <cell r="BR128" t="str">
            <v>$10/$30/$60     2x MO   $100/$300 Ded</v>
          </cell>
          <cell r="BU128">
            <v>0.48203610226928317</v>
          </cell>
          <cell r="BV128">
            <v>0.19309999999999999</v>
          </cell>
          <cell r="CA128" t="str">
            <v>YC0</v>
          </cell>
          <cell r="CB128" t="str">
            <v>Advantage</v>
          </cell>
          <cell r="CC128">
            <v>25</v>
          </cell>
          <cell r="CD128">
            <v>40</v>
          </cell>
          <cell r="CE128" t="str">
            <v>N/A</v>
          </cell>
          <cell r="CF128" t="str">
            <v>N/A</v>
          </cell>
          <cell r="CG128">
            <v>75</v>
          </cell>
          <cell r="CH128">
            <v>150</v>
          </cell>
          <cell r="CI128">
            <v>100</v>
          </cell>
          <cell r="CJ128" t="str">
            <v>$1,000 / $2,000</v>
          </cell>
          <cell r="CK128">
            <v>0.7</v>
          </cell>
          <cell r="CL128" t="str">
            <v>$4,500 / $9,000</v>
          </cell>
          <cell r="CM128" t="str">
            <v>N/A</v>
          </cell>
          <cell r="CN128" t="str">
            <v>N/A</v>
          </cell>
          <cell r="CO128" t="str">
            <v>N/A</v>
          </cell>
          <cell r="CP128" t="str">
            <v>Emb</v>
          </cell>
          <cell r="CS128" t="str">
            <v>HMO</v>
          </cell>
          <cell r="CT128" t="str">
            <v>Advantage</v>
          </cell>
          <cell r="CU128">
            <v>0.73529999999999995</v>
          </cell>
          <cell r="CW128" t="str">
            <v>Adv17</v>
          </cell>
          <cell r="CX128">
            <v>0.62070000000000003</v>
          </cell>
          <cell r="CY128" t="str">
            <v>BEY</v>
          </cell>
        </row>
        <row r="129">
          <cell r="B129">
            <v>8321</v>
          </cell>
          <cell r="C129">
            <v>8399</v>
          </cell>
          <cell r="D129" t="str">
            <v>Social Services</v>
          </cell>
          <cell r="E129">
            <v>1.1499999999999999</v>
          </cell>
          <cell r="BQ129">
            <v>347</v>
          </cell>
          <cell r="BR129" t="str">
            <v>$10/$25/$45     2x MO   $150/$450 Ded</v>
          </cell>
          <cell r="BU129">
            <v>0.57486724188313387</v>
          </cell>
          <cell r="BV129">
            <v>0.19320000000000001</v>
          </cell>
          <cell r="CA129" t="str">
            <v>YDK</v>
          </cell>
          <cell r="CB129" t="str">
            <v>Advantage</v>
          </cell>
          <cell r="CC129">
            <v>25</v>
          </cell>
          <cell r="CD129">
            <v>40</v>
          </cell>
          <cell r="CE129" t="str">
            <v>N/A</v>
          </cell>
          <cell r="CF129" t="str">
            <v>N/A</v>
          </cell>
          <cell r="CG129">
            <v>75</v>
          </cell>
          <cell r="CH129">
            <v>150</v>
          </cell>
          <cell r="CI129">
            <v>100</v>
          </cell>
          <cell r="CJ129" t="str">
            <v>$1,500 / $3,000</v>
          </cell>
          <cell r="CK129">
            <v>0.7</v>
          </cell>
          <cell r="CL129" t="str">
            <v>$5,000 / $10,000</v>
          </cell>
          <cell r="CM129" t="str">
            <v>N/A</v>
          </cell>
          <cell r="CN129" t="str">
            <v>N/A</v>
          </cell>
          <cell r="CO129" t="str">
            <v>N/A</v>
          </cell>
          <cell r="CP129" t="str">
            <v>Emb</v>
          </cell>
          <cell r="CS129" t="str">
            <v>HMO</v>
          </cell>
          <cell r="CT129" t="str">
            <v>Advantage</v>
          </cell>
          <cell r="CU129">
            <v>0.71799999999999997</v>
          </cell>
          <cell r="CW129" t="str">
            <v>Adv17</v>
          </cell>
          <cell r="CX129">
            <v>0.60809999999999997</v>
          </cell>
          <cell r="CY129" t="str">
            <v>BEY</v>
          </cell>
        </row>
        <row r="130">
          <cell r="B130">
            <v>8411</v>
          </cell>
          <cell r="C130">
            <v>8429</v>
          </cell>
          <cell r="D130" t="str">
            <v>Museums, Botanical, Zoological Gardens</v>
          </cell>
          <cell r="E130">
            <v>1</v>
          </cell>
          <cell r="BQ130">
            <v>348</v>
          </cell>
          <cell r="BR130" t="str">
            <v>$10/$25/$45     2x MO   $250/$750 Ded</v>
          </cell>
          <cell r="BU130">
            <v>0.54906720659907338</v>
          </cell>
          <cell r="BV130">
            <v>0.18509999999999999</v>
          </cell>
          <cell r="CA130" t="str">
            <v>YEO</v>
          </cell>
          <cell r="CB130" t="str">
            <v>Advantage</v>
          </cell>
          <cell r="CC130">
            <v>45</v>
          </cell>
          <cell r="CD130">
            <v>60</v>
          </cell>
          <cell r="CE130" t="str">
            <v>N/A</v>
          </cell>
          <cell r="CF130" t="str">
            <v>N/A</v>
          </cell>
          <cell r="CG130">
            <v>75</v>
          </cell>
          <cell r="CH130">
            <v>150</v>
          </cell>
          <cell r="CI130">
            <v>100</v>
          </cell>
          <cell r="CJ130" t="str">
            <v>$2,000 / $4,000</v>
          </cell>
          <cell r="CK130">
            <v>0.7</v>
          </cell>
          <cell r="CL130" t="str">
            <v>$5,000 / $10,000</v>
          </cell>
          <cell r="CM130" t="str">
            <v>N/A</v>
          </cell>
          <cell r="CN130" t="str">
            <v>N/A</v>
          </cell>
          <cell r="CO130" t="str">
            <v>N/A</v>
          </cell>
          <cell r="CP130" t="str">
            <v>Emb</v>
          </cell>
          <cell r="CS130" t="str">
            <v>HMO</v>
          </cell>
          <cell r="CT130" t="str">
            <v>Advantage</v>
          </cell>
          <cell r="CU130">
            <v>0.68879999999999997</v>
          </cell>
          <cell r="CW130" t="str">
            <v>Adv17</v>
          </cell>
          <cell r="CX130">
            <v>0.57830000000000004</v>
          </cell>
          <cell r="CY130" t="str">
            <v>BEY</v>
          </cell>
        </row>
        <row r="131">
          <cell r="B131">
            <v>8611</v>
          </cell>
          <cell r="C131">
            <v>8699</v>
          </cell>
          <cell r="D131" t="str">
            <v>Membership Organizations</v>
          </cell>
          <cell r="E131">
            <v>1.3</v>
          </cell>
          <cell r="BQ131">
            <v>349</v>
          </cell>
          <cell r="BR131" t="str">
            <v>$10/$30/$50     2x MO   $150/$450 Ded</v>
          </cell>
          <cell r="BU131">
            <v>0.52930895172963466</v>
          </cell>
          <cell r="BV131">
            <v>0.19040000000000001</v>
          </cell>
          <cell r="CA131" t="str">
            <v>YD9</v>
          </cell>
          <cell r="CB131" t="str">
            <v>Advantage</v>
          </cell>
          <cell r="CC131">
            <v>45</v>
          </cell>
          <cell r="CD131">
            <v>60</v>
          </cell>
          <cell r="CE131" t="str">
            <v>N/A</v>
          </cell>
          <cell r="CF131" t="str">
            <v>N/A</v>
          </cell>
          <cell r="CG131">
            <v>75</v>
          </cell>
          <cell r="CH131">
            <v>150</v>
          </cell>
          <cell r="CI131">
            <v>100</v>
          </cell>
          <cell r="CJ131" t="str">
            <v>$3,000 / $6,000</v>
          </cell>
          <cell r="CK131">
            <v>0.7</v>
          </cell>
          <cell r="CL131" t="str">
            <v>$6,000 / $12,000</v>
          </cell>
          <cell r="CM131" t="str">
            <v>N/A</v>
          </cell>
          <cell r="CN131" t="str">
            <v>N/A</v>
          </cell>
          <cell r="CO131" t="str">
            <v>N/A</v>
          </cell>
          <cell r="CP131" t="str">
            <v>Emb</v>
          </cell>
          <cell r="CS131" t="str">
            <v>HMO</v>
          </cell>
          <cell r="CT131" t="str">
            <v>Advantage</v>
          </cell>
          <cell r="CU131">
            <v>0.65990000000000004</v>
          </cell>
          <cell r="CW131" t="str">
            <v>Adv17</v>
          </cell>
          <cell r="CX131">
            <v>0.56130000000000002</v>
          </cell>
          <cell r="CY131" t="str">
            <v>BEY</v>
          </cell>
        </row>
        <row r="132">
          <cell r="B132">
            <v>8711</v>
          </cell>
          <cell r="C132">
            <v>8748</v>
          </cell>
          <cell r="D132" t="str">
            <v>Engineering &amp; Management Services</v>
          </cell>
          <cell r="E132">
            <v>0.9</v>
          </cell>
          <cell r="BQ132">
            <v>350</v>
          </cell>
          <cell r="BR132" t="str">
            <v>$10/$30/$50     2x MO   $250/$750 Ded</v>
          </cell>
          <cell r="BU132">
            <v>0.50620322392777028</v>
          </cell>
          <cell r="BV132">
            <v>0.1822</v>
          </cell>
          <cell r="CA132" t="str">
            <v>Y47</v>
          </cell>
          <cell r="CB132" t="str">
            <v>Advantage</v>
          </cell>
          <cell r="CC132">
            <v>10</v>
          </cell>
          <cell r="CD132">
            <v>20</v>
          </cell>
          <cell r="CE132">
            <v>200</v>
          </cell>
          <cell r="CF132" t="str">
            <v>$500PA</v>
          </cell>
          <cell r="CG132">
            <v>75</v>
          </cell>
          <cell r="CH132">
            <v>150</v>
          </cell>
          <cell r="CI132">
            <v>100</v>
          </cell>
          <cell r="CJ132" t="str">
            <v>$0 / $0</v>
          </cell>
          <cell r="CK132">
            <v>1</v>
          </cell>
          <cell r="CL132" t="str">
            <v>$1,500 / $3,000</v>
          </cell>
          <cell r="CM132" t="str">
            <v>N/A</v>
          </cell>
          <cell r="CN132" t="str">
            <v>N/A</v>
          </cell>
          <cell r="CO132" t="str">
            <v>N/A</v>
          </cell>
          <cell r="CP132" t="str">
            <v>Emb</v>
          </cell>
          <cell r="CS132" t="str">
            <v>HMO</v>
          </cell>
          <cell r="CT132" t="str">
            <v>Advantage</v>
          </cell>
          <cell r="CU132">
            <v>0.95169999999999999</v>
          </cell>
          <cell r="CW132" t="str">
            <v>Adv17</v>
          </cell>
          <cell r="CX132">
            <v>0.79369999999999996</v>
          </cell>
          <cell r="CY132" t="str">
            <v>BDX</v>
          </cell>
        </row>
        <row r="133">
          <cell r="B133">
            <v>8811</v>
          </cell>
          <cell r="C133">
            <v>8819</v>
          </cell>
          <cell r="D133" t="str">
            <v>Private Households</v>
          </cell>
          <cell r="E133">
            <v>1.3</v>
          </cell>
          <cell r="BQ133">
            <v>416</v>
          </cell>
          <cell r="BR133" t="str">
            <v>$10/$35/$60     2xMO   $100/$300 Ded</v>
          </cell>
          <cell r="BU133">
            <v>0.46497215488204063</v>
          </cell>
          <cell r="BV133">
            <v>0.19739589563376653</v>
          </cell>
          <cell r="CA133" t="str">
            <v>Y4D</v>
          </cell>
          <cell r="CB133" t="str">
            <v>Advantage</v>
          </cell>
          <cell r="CC133">
            <v>10</v>
          </cell>
          <cell r="CD133">
            <v>20</v>
          </cell>
          <cell r="CE133">
            <v>200</v>
          </cell>
          <cell r="CF133" t="str">
            <v>$750PA</v>
          </cell>
          <cell r="CG133">
            <v>75</v>
          </cell>
          <cell r="CH133">
            <v>150</v>
          </cell>
          <cell r="CI133">
            <v>100</v>
          </cell>
          <cell r="CJ133" t="str">
            <v>$0 / $0</v>
          </cell>
          <cell r="CK133">
            <v>1</v>
          </cell>
          <cell r="CL133" t="str">
            <v>$1,500 / $3,000</v>
          </cell>
          <cell r="CM133" t="str">
            <v>N/A</v>
          </cell>
          <cell r="CN133" t="str">
            <v>N/A</v>
          </cell>
          <cell r="CO133" t="str">
            <v>N/A</v>
          </cell>
          <cell r="CP133" t="str">
            <v>Emb</v>
          </cell>
          <cell r="CS133" t="str">
            <v>HMO</v>
          </cell>
          <cell r="CT133" t="str">
            <v>Advantage</v>
          </cell>
          <cell r="CU133">
            <v>0.94989999999999997</v>
          </cell>
          <cell r="CW133" t="str">
            <v>Adv17</v>
          </cell>
          <cell r="CX133">
            <v>0.79090000000000005</v>
          </cell>
          <cell r="CY133" t="str">
            <v>BDX</v>
          </cell>
        </row>
        <row r="134">
          <cell r="B134">
            <v>8991</v>
          </cell>
          <cell r="C134">
            <v>8999</v>
          </cell>
          <cell r="D134" t="str">
            <v>Services, (not elsewhere classified)</v>
          </cell>
          <cell r="E134">
            <v>1.1000000000000001</v>
          </cell>
          <cell r="BQ134">
            <v>463</v>
          </cell>
          <cell r="BR134" t="str">
            <v>$10/$30/$70/25% (max $250)     2xMO</v>
          </cell>
          <cell r="BU134">
            <v>0.48995573335331438</v>
          </cell>
          <cell r="BV134">
            <v>0.16395191290283267</v>
          </cell>
          <cell r="CA134" t="str">
            <v>Y4J</v>
          </cell>
          <cell r="CB134" t="str">
            <v>Advantage</v>
          </cell>
          <cell r="CC134">
            <v>15</v>
          </cell>
          <cell r="CD134">
            <v>30</v>
          </cell>
          <cell r="CE134">
            <v>200</v>
          </cell>
          <cell r="CF134" t="str">
            <v>$500PA</v>
          </cell>
          <cell r="CG134">
            <v>75</v>
          </cell>
          <cell r="CH134">
            <v>150</v>
          </cell>
          <cell r="CI134">
            <v>100</v>
          </cell>
          <cell r="CJ134" t="str">
            <v>$0 / $0</v>
          </cell>
          <cell r="CK134">
            <v>1</v>
          </cell>
          <cell r="CL134" t="str">
            <v>$2,500 / $5,000</v>
          </cell>
          <cell r="CM134" t="str">
            <v>N/A</v>
          </cell>
          <cell r="CN134" t="str">
            <v>N/A</v>
          </cell>
          <cell r="CO134" t="str">
            <v>N/A</v>
          </cell>
          <cell r="CP134" t="str">
            <v>Emb</v>
          </cell>
          <cell r="CS134" t="str">
            <v>HMO</v>
          </cell>
          <cell r="CT134" t="str">
            <v>Advantage</v>
          </cell>
          <cell r="CU134">
            <v>0.93440000000000001</v>
          </cell>
          <cell r="CW134" t="str">
            <v>Adv17</v>
          </cell>
          <cell r="CX134">
            <v>0.78200000000000003</v>
          </cell>
          <cell r="CY134" t="str">
            <v>BDX</v>
          </cell>
        </row>
        <row r="135">
          <cell r="B135">
            <v>9111</v>
          </cell>
          <cell r="C135">
            <v>9199</v>
          </cell>
          <cell r="D135" t="str">
            <v>Executive, Legislative, &amp; General</v>
          </cell>
          <cell r="E135">
            <v>1.05</v>
          </cell>
          <cell r="BQ135">
            <v>464</v>
          </cell>
          <cell r="BR135" t="str">
            <v>$10/$30/$50/20% (max $250)     2xMO</v>
          </cell>
          <cell r="BU135">
            <v>0.56115076742831693</v>
          </cell>
          <cell r="BV135">
            <v>0.16533657049108241</v>
          </cell>
          <cell r="CA135" t="str">
            <v>Y4N</v>
          </cell>
          <cell r="CB135" t="str">
            <v>Advantage</v>
          </cell>
          <cell r="CC135">
            <v>15</v>
          </cell>
          <cell r="CD135">
            <v>30</v>
          </cell>
          <cell r="CE135">
            <v>200</v>
          </cell>
          <cell r="CF135" t="str">
            <v>$750PA</v>
          </cell>
          <cell r="CG135">
            <v>75</v>
          </cell>
          <cell r="CH135">
            <v>150</v>
          </cell>
          <cell r="CI135">
            <v>100</v>
          </cell>
          <cell r="CJ135" t="str">
            <v>$0 / $0</v>
          </cell>
          <cell r="CK135">
            <v>1</v>
          </cell>
          <cell r="CL135" t="str">
            <v>$2,500 / $5,000</v>
          </cell>
          <cell r="CM135" t="str">
            <v>N/A</v>
          </cell>
          <cell r="CN135" t="str">
            <v>N/A</v>
          </cell>
          <cell r="CO135" t="str">
            <v>N/A</v>
          </cell>
          <cell r="CP135" t="str">
            <v>Emb</v>
          </cell>
          <cell r="CS135" t="str">
            <v>HMO</v>
          </cell>
          <cell r="CT135" t="str">
            <v>Advantage</v>
          </cell>
          <cell r="CU135">
            <v>0.93189999999999995</v>
          </cell>
          <cell r="CW135" t="str">
            <v>Adv17</v>
          </cell>
          <cell r="CX135">
            <v>0.7792</v>
          </cell>
          <cell r="CY135" t="str">
            <v>BDX</v>
          </cell>
        </row>
        <row r="136">
          <cell r="B136">
            <v>9211</v>
          </cell>
          <cell r="C136">
            <v>9219</v>
          </cell>
          <cell r="D136" t="str">
            <v>Justice, Public Order, &amp; Safety</v>
          </cell>
          <cell r="E136">
            <v>1.05</v>
          </cell>
          <cell r="BQ136">
            <v>465</v>
          </cell>
          <cell r="BR136" t="str">
            <v>$10/$25/$50/20% (max $250)     2xMO</v>
          </cell>
          <cell r="BU136">
            <v>0.57503053324569131</v>
          </cell>
          <cell r="BV136">
            <v>0.16735586869683344</v>
          </cell>
          <cell r="CA136" t="str">
            <v>Y4W</v>
          </cell>
          <cell r="CB136" t="str">
            <v>Advantage</v>
          </cell>
          <cell r="CC136">
            <v>20</v>
          </cell>
          <cell r="CD136">
            <v>40</v>
          </cell>
          <cell r="CE136">
            <v>400</v>
          </cell>
          <cell r="CF136" t="str">
            <v>$500PA</v>
          </cell>
          <cell r="CG136">
            <v>100</v>
          </cell>
          <cell r="CH136">
            <v>200</v>
          </cell>
          <cell r="CI136">
            <v>100</v>
          </cell>
          <cell r="CJ136" t="str">
            <v>$0 / $0</v>
          </cell>
          <cell r="CK136">
            <v>1</v>
          </cell>
          <cell r="CL136" t="str">
            <v>$4,500 / $9,000</v>
          </cell>
          <cell r="CM136" t="str">
            <v>N/A</v>
          </cell>
          <cell r="CN136" t="str">
            <v>N/A</v>
          </cell>
          <cell r="CO136" t="str">
            <v>N/A</v>
          </cell>
          <cell r="CP136" t="str">
            <v>Emb</v>
          </cell>
          <cell r="CS136" t="str">
            <v>HMO</v>
          </cell>
          <cell r="CT136" t="str">
            <v>Advantage</v>
          </cell>
          <cell r="CU136">
            <v>0.90290000000000004</v>
          </cell>
          <cell r="CW136" t="str">
            <v>Adv17</v>
          </cell>
          <cell r="CX136">
            <v>0.76619999999999999</v>
          </cell>
          <cell r="CY136" t="str">
            <v>BDX</v>
          </cell>
        </row>
        <row r="137">
          <cell r="B137">
            <v>9221</v>
          </cell>
          <cell r="C137">
            <v>9229</v>
          </cell>
          <cell r="D137" t="str">
            <v>Justice, Public Order, &amp; Safety</v>
          </cell>
          <cell r="E137">
            <v>1.1000000000000001</v>
          </cell>
          <cell r="BQ137">
            <v>466</v>
          </cell>
          <cell r="BR137" t="str">
            <v>$15/$35/$50/20% (max $250)     2xMO</v>
          </cell>
          <cell r="BU137">
            <v>0.50718297210311436</v>
          </cell>
          <cell r="BV137">
            <v>0.15766407833746948</v>
          </cell>
          <cell r="CA137" t="str">
            <v>Y51</v>
          </cell>
          <cell r="CB137" t="str">
            <v>Advantage</v>
          </cell>
          <cell r="CC137">
            <v>20</v>
          </cell>
          <cell r="CD137">
            <v>40</v>
          </cell>
          <cell r="CE137">
            <v>400</v>
          </cell>
          <cell r="CF137" t="str">
            <v>$750PA</v>
          </cell>
          <cell r="CG137">
            <v>100</v>
          </cell>
          <cell r="CH137">
            <v>200</v>
          </cell>
          <cell r="CI137">
            <v>100</v>
          </cell>
          <cell r="CJ137" t="str">
            <v>$0 / $0</v>
          </cell>
          <cell r="CK137">
            <v>1</v>
          </cell>
          <cell r="CL137" t="str">
            <v>$4,500 / $9,000</v>
          </cell>
          <cell r="CM137" t="str">
            <v>N/A</v>
          </cell>
          <cell r="CN137" t="str">
            <v>N/A</v>
          </cell>
          <cell r="CO137" t="str">
            <v>N/A</v>
          </cell>
          <cell r="CP137" t="str">
            <v>Emb</v>
          </cell>
          <cell r="CS137" t="str">
            <v>HMO</v>
          </cell>
          <cell r="CT137" t="str">
            <v>Advantage</v>
          </cell>
          <cell r="CU137">
            <v>0.89990000000000003</v>
          </cell>
          <cell r="CW137" t="str">
            <v>Adv17</v>
          </cell>
          <cell r="CX137">
            <v>0.76339999999999997</v>
          </cell>
          <cell r="CY137" t="str">
            <v>BDX</v>
          </cell>
        </row>
        <row r="138">
          <cell r="B138">
            <v>9311</v>
          </cell>
          <cell r="C138">
            <v>9319</v>
          </cell>
          <cell r="D138" t="str">
            <v>Finance, Taxation, &amp; Monetary Policy</v>
          </cell>
          <cell r="E138">
            <v>1.1000000000000001</v>
          </cell>
          <cell r="BQ138">
            <v>467</v>
          </cell>
          <cell r="BR138" t="str">
            <v>$15/$40/$60/25% (max $250)     2xMO</v>
          </cell>
          <cell r="BU138">
            <v>0.45354175950302639</v>
          </cell>
          <cell r="BV138">
            <v>0.15615445031330599</v>
          </cell>
          <cell r="CA138" t="str">
            <v>Y54</v>
          </cell>
          <cell r="CB138" t="str">
            <v>Advantage</v>
          </cell>
          <cell r="CC138">
            <v>30</v>
          </cell>
          <cell r="CD138">
            <v>50</v>
          </cell>
          <cell r="CE138">
            <v>400</v>
          </cell>
          <cell r="CF138" t="str">
            <v>$500PA</v>
          </cell>
          <cell r="CG138">
            <v>100</v>
          </cell>
          <cell r="CH138">
            <v>200</v>
          </cell>
          <cell r="CI138">
            <v>100</v>
          </cell>
          <cell r="CJ138" t="str">
            <v>$0 / $0</v>
          </cell>
          <cell r="CK138">
            <v>1</v>
          </cell>
          <cell r="CL138" t="str">
            <v>$4,500 / $9,000</v>
          </cell>
          <cell r="CM138" t="str">
            <v>N/A</v>
          </cell>
          <cell r="CN138" t="str">
            <v>N/A</v>
          </cell>
          <cell r="CO138" t="str">
            <v>N/A</v>
          </cell>
          <cell r="CP138" t="str">
            <v>Emb</v>
          </cell>
          <cell r="CS138" t="str">
            <v>HMO</v>
          </cell>
          <cell r="CT138" t="str">
            <v>Advantage</v>
          </cell>
          <cell r="CU138">
            <v>0.88400000000000001</v>
          </cell>
          <cell r="CW138" t="str">
            <v>Adv17</v>
          </cell>
          <cell r="CX138">
            <v>0.75149999999999995</v>
          </cell>
          <cell r="CY138" t="str">
            <v>BDX</v>
          </cell>
        </row>
        <row r="139">
          <cell r="B139">
            <v>9411</v>
          </cell>
          <cell r="C139">
            <v>9459</v>
          </cell>
          <cell r="D139" t="str">
            <v>Administration of Human Resources</v>
          </cell>
          <cell r="E139">
            <v>1.1000000000000001</v>
          </cell>
          <cell r="BQ139">
            <v>468</v>
          </cell>
          <cell r="BR139" t="str">
            <v>$15/$40/$60/30% (max $250)     2xMO</v>
          </cell>
          <cell r="BU139">
            <v>0.45141897178978091</v>
          </cell>
          <cell r="BV139">
            <v>0.15855846593339135</v>
          </cell>
          <cell r="CA139" t="str">
            <v>Y57</v>
          </cell>
          <cell r="CB139" t="str">
            <v>Advantage</v>
          </cell>
          <cell r="CC139">
            <v>30</v>
          </cell>
          <cell r="CD139">
            <v>50</v>
          </cell>
          <cell r="CE139">
            <v>400</v>
          </cell>
          <cell r="CF139" t="str">
            <v>$750PA</v>
          </cell>
          <cell r="CG139">
            <v>100</v>
          </cell>
          <cell r="CH139">
            <v>200</v>
          </cell>
          <cell r="CI139">
            <v>100</v>
          </cell>
          <cell r="CJ139" t="str">
            <v>$0 / $0</v>
          </cell>
          <cell r="CK139">
            <v>1</v>
          </cell>
          <cell r="CL139" t="str">
            <v>$4,500 / $9,000</v>
          </cell>
          <cell r="CM139" t="str">
            <v>N/A</v>
          </cell>
          <cell r="CN139" t="str">
            <v>N/A</v>
          </cell>
          <cell r="CO139" t="str">
            <v>N/A</v>
          </cell>
          <cell r="CP139" t="str">
            <v>Emb</v>
          </cell>
          <cell r="CS139" t="str">
            <v>HMO</v>
          </cell>
          <cell r="CT139" t="str">
            <v>Advantage</v>
          </cell>
          <cell r="CU139">
            <v>0.88109999999999999</v>
          </cell>
          <cell r="CW139" t="str">
            <v>Adv17</v>
          </cell>
          <cell r="CX139">
            <v>0.74870000000000003</v>
          </cell>
          <cell r="CY139" t="str">
            <v>BDX</v>
          </cell>
        </row>
        <row r="140">
          <cell r="B140">
            <v>9511</v>
          </cell>
          <cell r="C140">
            <v>9539</v>
          </cell>
          <cell r="D140" t="str">
            <v>Environmental Quality &amp; Housing</v>
          </cell>
          <cell r="E140">
            <v>1.05</v>
          </cell>
          <cell r="BQ140">
            <v>469</v>
          </cell>
          <cell r="BR140" t="str">
            <v>$15/$50/$100/25% (max $250)     2xMO</v>
          </cell>
          <cell r="BU140">
            <v>0.40724865821801909</v>
          </cell>
          <cell r="BV140">
            <v>0.14453850748513369</v>
          </cell>
          <cell r="CA140" t="str">
            <v>YB4</v>
          </cell>
          <cell r="CB140" t="str">
            <v>Advantage</v>
          </cell>
          <cell r="CC140">
            <v>25</v>
          </cell>
          <cell r="CD140">
            <v>40</v>
          </cell>
          <cell r="CE140" t="str">
            <v>N/A</v>
          </cell>
          <cell r="CF140" t="str">
            <v>N/A</v>
          </cell>
          <cell r="CG140">
            <v>50</v>
          </cell>
          <cell r="CH140" t="str">
            <v>N/A</v>
          </cell>
          <cell r="CI140">
            <v>100</v>
          </cell>
          <cell r="CJ140" t="str">
            <v>$1,000 / $2,000</v>
          </cell>
          <cell r="CK140">
            <v>1</v>
          </cell>
          <cell r="CL140" t="str">
            <v>$3,500 / $7,000</v>
          </cell>
          <cell r="CM140" t="str">
            <v>N/A</v>
          </cell>
          <cell r="CN140" t="str">
            <v>N/A</v>
          </cell>
          <cell r="CO140" t="str">
            <v>N/A</v>
          </cell>
          <cell r="CP140" t="str">
            <v>Emb</v>
          </cell>
          <cell r="CS140" t="str">
            <v>HMO</v>
          </cell>
          <cell r="CT140" t="str">
            <v>Advantage</v>
          </cell>
          <cell r="CU140">
            <v>0.87080000000000002</v>
          </cell>
          <cell r="CW140" t="str">
            <v>Adv17</v>
          </cell>
          <cell r="CX140">
            <v>0.68020000000000003</v>
          </cell>
          <cell r="CY140" t="str">
            <v>BEY</v>
          </cell>
        </row>
        <row r="141">
          <cell r="B141">
            <v>9611</v>
          </cell>
          <cell r="C141">
            <v>9669</v>
          </cell>
          <cell r="D141" t="str">
            <v>Administration of Economic Programs</v>
          </cell>
          <cell r="E141">
            <v>1.05</v>
          </cell>
          <cell r="BQ141">
            <v>470</v>
          </cell>
          <cell r="BR141" t="str">
            <v>$20/$50/$100/30% (max $250)     2xMO</v>
          </cell>
          <cell r="BU141">
            <v>0.39451193193854611</v>
          </cell>
          <cell r="BV141">
            <v>0.14128934682601774</v>
          </cell>
          <cell r="CA141" t="str">
            <v>YC1</v>
          </cell>
          <cell r="CB141" t="str">
            <v>Advantage</v>
          </cell>
          <cell r="CC141">
            <v>30</v>
          </cell>
          <cell r="CD141">
            <v>40</v>
          </cell>
          <cell r="CE141">
            <v>500</v>
          </cell>
          <cell r="CF141" t="str">
            <v>N/A</v>
          </cell>
          <cell r="CG141">
            <v>50</v>
          </cell>
          <cell r="CH141" t="str">
            <v>N/A</v>
          </cell>
          <cell r="CI141">
            <v>100</v>
          </cell>
          <cell r="CJ141" t="str">
            <v>$1,000 / $2,000</v>
          </cell>
          <cell r="CK141">
            <v>1</v>
          </cell>
          <cell r="CL141" t="str">
            <v>$3,500 / $7,000</v>
          </cell>
          <cell r="CM141" t="str">
            <v>N/A</v>
          </cell>
          <cell r="CN141" t="str">
            <v>N/A</v>
          </cell>
          <cell r="CO141" t="str">
            <v>N/A</v>
          </cell>
          <cell r="CP141" t="str">
            <v>Emb</v>
          </cell>
          <cell r="CS141" t="str">
            <v>HMO</v>
          </cell>
          <cell r="CT141" t="str">
            <v>Advantage</v>
          </cell>
          <cell r="CU141">
            <v>0.8448</v>
          </cell>
          <cell r="CW141" t="str">
            <v>Adv17</v>
          </cell>
          <cell r="CX141">
            <v>0.67130000000000001</v>
          </cell>
          <cell r="CY141" t="str">
            <v>BEY</v>
          </cell>
        </row>
        <row r="142">
          <cell r="B142">
            <v>9711</v>
          </cell>
          <cell r="C142">
            <v>9729</v>
          </cell>
          <cell r="D142" t="str">
            <v>National Security &amp; International Affairs</v>
          </cell>
          <cell r="E142">
            <v>1.1000000000000001</v>
          </cell>
          <cell r="BQ142">
            <v>471</v>
          </cell>
          <cell r="BR142" t="str">
            <v>$10/$30/25% (max $250)     2xMO</v>
          </cell>
          <cell r="BU142">
            <v>0.48522028383915139</v>
          </cell>
          <cell r="BV142">
            <v>0.1629906317581522</v>
          </cell>
          <cell r="CA142" t="str">
            <v>YC6</v>
          </cell>
          <cell r="CB142" t="str">
            <v>Advantage</v>
          </cell>
          <cell r="CC142">
            <v>25</v>
          </cell>
          <cell r="CD142">
            <v>40</v>
          </cell>
          <cell r="CE142" t="str">
            <v>N/A</v>
          </cell>
          <cell r="CF142" t="str">
            <v>N/A</v>
          </cell>
          <cell r="CG142">
            <v>50</v>
          </cell>
          <cell r="CH142" t="str">
            <v>N/A</v>
          </cell>
          <cell r="CI142">
            <v>100</v>
          </cell>
          <cell r="CJ142" t="str">
            <v>$1,000 / $2,000</v>
          </cell>
          <cell r="CK142">
            <v>0.9</v>
          </cell>
          <cell r="CL142" t="str">
            <v>$3,500 / $7,000</v>
          </cell>
          <cell r="CM142" t="str">
            <v>N/A</v>
          </cell>
          <cell r="CN142" t="str">
            <v>N/A</v>
          </cell>
          <cell r="CO142" t="str">
            <v>N/A</v>
          </cell>
          <cell r="CP142" t="str">
            <v>Emb</v>
          </cell>
          <cell r="CS142" t="str">
            <v>HMO</v>
          </cell>
          <cell r="CT142" t="str">
            <v>Advantage</v>
          </cell>
          <cell r="CU142">
            <v>0.83709999999999996</v>
          </cell>
          <cell r="CW142" t="str">
            <v>Adv17</v>
          </cell>
          <cell r="CX142">
            <v>0.66410000000000002</v>
          </cell>
          <cell r="CY142" t="str">
            <v>BEY</v>
          </cell>
        </row>
        <row r="143">
          <cell r="B143">
            <v>9991</v>
          </cell>
          <cell r="C143">
            <v>9999</v>
          </cell>
          <cell r="D143" t="str">
            <v>Nonclassifiable Establishments</v>
          </cell>
          <cell r="E143">
            <v>1.3</v>
          </cell>
          <cell r="BQ143">
            <v>472</v>
          </cell>
          <cell r="BR143" t="str">
            <v>$10/$30/20% (max $250)     2xMO</v>
          </cell>
          <cell r="BU143">
            <v>0.52775768378533983</v>
          </cell>
          <cell r="BV143">
            <v>0.15963851581414024</v>
          </cell>
          <cell r="CA143" t="str">
            <v>YD1</v>
          </cell>
          <cell r="CB143" t="str">
            <v>Advantage</v>
          </cell>
          <cell r="CC143">
            <v>50</v>
          </cell>
          <cell r="CD143">
            <v>70</v>
          </cell>
          <cell r="CE143" t="str">
            <v>N/A</v>
          </cell>
          <cell r="CF143" t="str">
            <v>N/A</v>
          </cell>
          <cell r="CG143">
            <v>50</v>
          </cell>
          <cell r="CH143" t="str">
            <v>N/A</v>
          </cell>
          <cell r="CI143">
            <v>100</v>
          </cell>
          <cell r="CJ143" t="str">
            <v>$1,500 / $3,000</v>
          </cell>
          <cell r="CK143">
            <v>0.7</v>
          </cell>
          <cell r="CL143" t="str">
            <v>$6,000 / $12,000</v>
          </cell>
          <cell r="CM143" t="str">
            <v>N/A</v>
          </cell>
          <cell r="CN143" t="str">
            <v>N/A</v>
          </cell>
          <cell r="CO143" t="str">
            <v>N/A</v>
          </cell>
          <cell r="CP143" t="str">
            <v>Emb</v>
          </cell>
          <cell r="CS143" t="str">
            <v>HMO</v>
          </cell>
          <cell r="CT143" t="str">
            <v>Advantage</v>
          </cell>
          <cell r="CU143">
            <v>0.71989999999999998</v>
          </cell>
          <cell r="CW143" t="str">
            <v>Adv17</v>
          </cell>
          <cell r="CX143">
            <v>0.57410000000000005</v>
          </cell>
          <cell r="CY143" t="str">
            <v>BEY</v>
          </cell>
        </row>
        <row r="144">
          <cell r="BQ144">
            <v>473</v>
          </cell>
          <cell r="BR144" t="str">
            <v>$10/$25/20% (max $250)     2xMO</v>
          </cell>
          <cell r="BU144">
            <v>0.54057605574609136</v>
          </cell>
          <cell r="BV144">
            <v>0.15761921760838921</v>
          </cell>
          <cell r="CA144" t="str">
            <v>YE1</v>
          </cell>
          <cell r="CB144" t="str">
            <v>Advantage</v>
          </cell>
          <cell r="CC144">
            <v>50</v>
          </cell>
          <cell r="CD144">
            <v>70</v>
          </cell>
          <cell r="CE144" t="str">
            <v>N/A</v>
          </cell>
          <cell r="CF144" t="str">
            <v>N/A</v>
          </cell>
          <cell r="CG144">
            <v>50</v>
          </cell>
          <cell r="CH144" t="str">
            <v>N/A</v>
          </cell>
          <cell r="CI144">
            <v>100</v>
          </cell>
          <cell r="CJ144" t="str">
            <v>$1,500 / $3,000</v>
          </cell>
          <cell r="CK144">
            <v>0.8</v>
          </cell>
          <cell r="CL144" t="str">
            <v>$6,000 / $12,000</v>
          </cell>
          <cell r="CM144" t="str">
            <v>N/A</v>
          </cell>
          <cell r="CN144" t="str">
            <v>N/A</v>
          </cell>
          <cell r="CO144" t="str">
            <v>N/A</v>
          </cell>
          <cell r="CP144" t="str">
            <v>Emb</v>
          </cell>
          <cell r="CS144" t="str">
            <v>HMO</v>
          </cell>
          <cell r="CT144" t="str">
            <v>Advantage</v>
          </cell>
          <cell r="CU144">
            <v>0.73360000000000003</v>
          </cell>
          <cell r="CW144" t="str">
            <v>Adv17</v>
          </cell>
          <cell r="CX144">
            <v>0.59819999999999995</v>
          </cell>
          <cell r="CY144" t="str">
            <v>BEY</v>
          </cell>
        </row>
        <row r="145">
          <cell r="BQ145">
            <v>474</v>
          </cell>
          <cell r="BR145" t="str">
            <v>$15/$35/20% (max $250)     2xMO</v>
          </cell>
          <cell r="BU145">
            <v>0.47550444776698936</v>
          </cell>
          <cell r="BV145">
            <v>0.14994672545477628</v>
          </cell>
          <cell r="CA145" t="str">
            <v>YE4</v>
          </cell>
          <cell r="CB145" t="str">
            <v>Advantage</v>
          </cell>
          <cell r="CC145">
            <v>30</v>
          </cell>
          <cell r="CD145">
            <v>45</v>
          </cell>
          <cell r="CE145" t="str">
            <v>N/A</v>
          </cell>
          <cell r="CF145" t="str">
            <v>N/A</v>
          </cell>
          <cell r="CG145">
            <v>50</v>
          </cell>
          <cell r="CH145" t="str">
            <v>N/A</v>
          </cell>
          <cell r="CI145">
            <v>100</v>
          </cell>
          <cell r="CJ145" t="str">
            <v>$2,000 / $4,000</v>
          </cell>
          <cell r="CK145">
            <v>0.7</v>
          </cell>
          <cell r="CL145" t="str">
            <v>$3,500 / $7,000</v>
          </cell>
          <cell r="CM145" t="str">
            <v>N/A</v>
          </cell>
          <cell r="CN145" t="str">
            <v>N/A</v>
          </cell>
          <cell r="CO145" t="str">
            <v>N/A</v>
          </cell>
          <cell r="CP145" t="str">
            <v>Emb</v>
          </cell>
          <cell r="CS145" t="str">
            <v>HMO</v>
          </cell>
          <cell r="CT145" t="str">
            <v>Advantage</v>
          </cell>
          <cell r="CU145">
            <v>0.77539999999999998</v>
          </cell>
          <cell r="CW145" t="str">
            <v>Adv17</v>
          </cell>
          <cell r="CX145">
            <v>0.61140000000000005</v>
          </cell>
          <cell r="CY145" t="str">
            <v>BEY</v>
          </cell>
        </row>
        <row r="146">
          <cell r="BQ146">
            <v>475</v>
          </cell>
          <cell r="BR146" t="str">
            <v>$15/$40/25% (max $250)     2xMO</v>
          </cell>
          <cell r="BU146">
            <v>0.42708855876873653</v>
          </cell>
          <cell r="BV146">
            <v>0.1532988413987883</v>
          </cell>
          <cell r="CA146" t="str">
            <v>YE8</v>
          </cell>
          <cell r="CB146" t="str">
            <v>Advantage</v>
          </cell>
          <cell r="CC146">
            <v>30</v>
          </cell>
          <cell r="CD146">
            <v>50</v>
          </cell>
          <cell r="CE146">
            <v>300</v>
          </cell>
          <cell r="CF146" t="str">
            <v>$250PDx3</v>
          </cell>
          <cell r="CG146">
            <v>100</v>
          </cell>
          <cell r="CH146">
            <v>200</v>
          </cell>
          <cell r="CI146">
            <v>100</v>
          </cell>
          <cell r="CJ146" t="str">
            <v>$2,000 / $4,000</v>
          </cell>
          <cell r="CK146">
            <v>1</v>
          </cell>
          <cell r="CL146" t="str">
            <v>$5,000 / $10,000</v>
          </cell>
          <cell r="CM146" t="str">
            <v>N/A</v>
          </cell>
          <cell r="CN146" t="str">
            <v>N/A</v>
          </cell>
          <cell r="CO146" t="str">
            <v>N/A</v>
          </cell>
          <cell r="CP146" t="str">
            <v>Emb</v>
          </cell>
          <cell r="CS146" t="str">
            <v>HMO</v>
          </cell>
          <cell r="CT146" t="str">
            <v>Advantage</v>
          </cell>
          <cell r="CU146">
            <v>0.77480000000000004</v>
          </cell>
          <cell r="CW146" t="str">
            <v>Adv17</v>
          </cell>
          <cell r="CX146">
            <v>0.66539999999999999</v>
          </cell>
          <cell r="CY146" t="str">
            <v>BEY</v>
          </cell>
        </row>
        <row r="147">
          <cell r="BQ147">
            <v>476</v>
          </cell>
          <cell r="BR147" t="str">
            <v>$15/$40/30% (max $250)     2xMO</v>
          </cell>
          <cell r="BU147">
            <v>0.41353537567647686</v>
          </cell>
          <cell r="BV147">
            <v>0.15261237859995869</v>
          </cell>
          <cell r="CA147" t="str">
            <v>YEW</v>
          </cell>
          <cell r="CB147" t="str">
            <v>Advantage</v>
          </cell>
          <cell r="CC147">
            <v>55</v>
          </cell>
          <cell r="CD147">
            <v>55</v>
          </cell>
          <cell r="CE147" t="str">
            <v>N/A</v>
          </cell>
          <cell r="CF147" t="str">
            <v>N/A</v>
          </cell>
          <cell r="CG147">
            <v>100</v>
          </cell>
          <cell r="CH147">
            <v>200</v>
          </cell>
          <cell r="CI147">
            <v>100</v>
          </cell>
          <cell r="CJ147" t="str">
            <v>$3,000 / $6,000</v>
          </cell>
          <cell r="CK147">
            <v>0.6</v>
          </cell>
          <cell r="CL147" t="str">
            <v>$6,000 / $12,000</v>
          </cell>
          <cell r="CM147" t="str">
            <v>N/A</v>
          </cell>
          <cell r="CN147" t="str">
            <v>N/A</v>
          </cell>
          <cell r="CO147" t="str">
            <v>N/A</v>
          </cell>
          <cell r="CP147" t="str">
            <v>Emb</v>
          </cell>
          <cell r="CS147" t="str">
            <v>HMO</v>
          </cell>
          <cell r="CT147" t="str">
            <v>Advantage</v>
          </cell>
          <cell r="CU147">
            <v>0.69579999999999997</v>
          </cell>
          <cell r="CW147" t="str">
            <v>Adv17</v>
          </cell>
          <cell r="CX147">
            <v>0.55810000000000004</v>
          </cell>
          <cell r="CY147" t="str">
            <v>BEY</v>
          </cell>
        </row>
        <row r="148">
          <cell r="BQ148">
            <v>477</v>
          </cell>
          <cell r="BR148" t="str">
            <v>$20/$50/25% (max $250)     2xMO</v>
          </cell>
          <cell r="BU148">
            <v>0.41084106819428062</v>
          </cell>
          <cell r="BV148">
            <v>0.14360706870808487</v>
          </cell>
          <cell r="CA148" t="str">
            <v>YF1</v>
          </cell>
          <cell r="CB148" t="str">
            <v>Advantage</v>
          </cell>
          <cell r="CC148">
            <v>35</v>
          </cell>
          <cell r="CD148">
            <v>70</v>
          </cell>
          <cell r="CE148" t="str">
            <v>N/A</v>
          </cell>
          <cell r="CF148" t="str">
            <v>N/A</v>
          </cell>
          <cell r="CG148">
            <v>50</v>
          </cell>
          <cell r="CH148" t="str">
            <v>N/A</v>
          </cell>
          <cell r="CI148">
            <v>100</v>
          </cell>
          <cell r="CJ148" t="str">
            <v>$3,000 / $6,000</v>
          </cell>
          <cell r="CK148">
            <v>1</v>
          </cell>
          <cell r="CL148" t="str">
            <v>$6,000 / $12,000</v>
          </cell>
          <cell r="CM148" t="str">
            <v>N/A</v>
          </cell>
          <cell r="CN148" t="str">
            <v>N/A</v>
          </cell>
          <cell r="CO148" t="str">
            <v>N/A</v>
          </cell>
          <cell r="CP148" t="str">
            <v>Emb</v>
          </cell>
          <cell r="CS148" t="str">
            <v>HMO</v>
          </cell>
          <cell r="CT148" t="str">
            <v>Advantage</v>
          </cell>
          <cell r="CU148">
            <v>0.74199999999999999</v>
          </cell>
          <cell r="CW148" t="str">
            <v>Adv17</v>
          </cell>
          <cell r="CX148">
            <v>0.59289999999999998</v>
          </cell>
          <cell r="CY148" t="str">
            <v>BEY</v>
          </cell>
        </row>
        <row r="149">
          <cell r="BQ149">
            <v>478</v>
          </cell>
          <cell r="BR149" t="str">
            <v>$20/$50/30% (max$250)     2xMO</v>
          </cell>
          <cell r="BU149">
            <v>0.39655307397051293</v>
          </cell>
          <cell r="BV149">
            <v>0.15907499155526372</v>
          </cell>
          <cell r="CA149" t="str">
            <v>YF4</v>
          </cell>
          <cell r="CB149" t="str">
            <v>Advantage</v>
          </cell>
          <cell r="CC149">
            <v>35</v>
          </cell>
          <cell r="CD149">
            <v>70</v>
          </cell>
          <cell r="CE149" t="str">
            <v>N/A</v>
          </cell>
          <cell r="CF149" t="str">
            <v>N/A</v>
          </cell>
          <cell r="CG149">
            <v>50</v>
          </cell>
          <cell r="CH149" t="str">
            <v>N/A</v>
          </cell>
          <cell r="CI149">
            <v>100</v>
          </cell>
          <cell r="CJ149" t="str">
            <v>$3,000 / $6,000</v>
          </cell>
          <cell r="CK149">
            <v>0.7</v>
          </cell>
          <cell r="CL149" t="str">
            <v>$6,000 / $12,000</v>
          </cell>
          <cell r="CM149" t="str">
            <v>N/A</v>
          </cell>
          <cell r="CN149" t="str">
            <v>N/A</v>
          </cell>
          <cell r="CO149" t="str">
            <v>N/A</v>
          </cell>
          <cell r="CP149" t="str">
            <v>Emb</v>
          </cell>
          <cell r="CS149" t="str">
            <v>HMO</v>
          </cell>
          <cell r="CT149" t="str">
            <v>Advantage</v>
          </cell>
          <cell r="CU149">
            <v>0.70379999999999998</v>
          </cell>
          <cell r="CW149" t="str">
            <v>Adv17</v>
          </cell>
          <cell r="CX149">
            <v>0.58509999999999995</v>
          </cell>
          <cell r="CY149" t="str">
            <v>BEY</v>
          </cell>
        </row>
        <row r="150">
          <cell r="BQ150">
            <v>479</v>
          </cell>
          <cell r="BR150" t="str">
            <v>$10/$20/$40     2xMO</v>
          </cell>
          <cell r="BU150">
            <v>0.66614711355268996</v>
          </cell>
          <cell r="BV150">
            <v>0.20973256079353209</v>
          </cell>
          <cell r="CA150" t="str">
            <v>YF8</v>
          </cell>
          <cell r="CB150" t="str">
            <v>Advantage</v>
          </cell>
          <cell r="CC150">
            <v>15</v>
          </cell>
          <cell r="CD150">
            <v>15</v>
          </cell>
          <cell r="CE150">
            <v>0</v>
          </cell>
          <cell r="CF150">
            <v>0</v>
          </cell>
          <cell r="CG150">
            <v>50</v>
          </cell>
          <cell r="CH150">
            <v>100</v>
          </cell>
          <cell r="CI150">
            <v>100</v>
          </cell>
          <cell r="CJ150" t="str">
            <v>$0 / $0</v>
          </cell>
          <cell r="CK150">
            <v>1</v>
          </cell>
          <cell r="CL150" t="str">
            <v>$1,500 / $3,000</v>
          </cell>
          <cell r="CM150" t="str">
            <v>N/A</v>
          </cell>
          <cell r="CN150" t="str">
            <v>N/A</v>
          </cell>
          <cell r="CO150" t="str">
            <v>N/A</v>
          </cell>
          <cell r="CP150" t="str">
            <v>Emb</v>
          </cell>
          <cell r="CS150" t="str">
            <v>HMO</v>
          </cell>
          <cell r="CT150" t="str">
            <v>Advantage</v>
          </cell>
          <cell r="CU150">
            <v>0.9677</v>
          </cell>
          <cell r="CW150" t="str">
            <v>Adv17</v>
          </cell>
          <cell r="CX150">
            <v>0.77380000000000004</v>
          </cell>
          <cell r="CY150" t="str">
            <v>BDX</v>
          </cell>
        </row>
        <row r="151">
          <cell r="BQ151">
            <v>480</v>
          </cell>
          <cell r="BR151" t="str">
            <v>10%(max $250) /20%(max $250) /30%(max $250)     2.5xMO</v>
          </cell>
          <cell r="BU151">
            <v>0.49836523852501768</v>
          </cell>
          <cell r="BV151">
            <v>0.22678999999999999</v>
          </cell>
          <cell r="CA151" t="str">
            <v>YFQ</v>
          </cell>
          <cell r="CB151" t="str">
            <v>Advantage</v>
          </cell>
          <cell r="CC151">
            <v>30</v>
          </cell>
          <cell r="CD151">
            <v>30</v>
          </cell>
          <cell r="CE151">
            <v>0</v>
          </cell>
          <cell r="CF151">
            <v>0</v>
          </cell>
          <cell r="CG151">
            <v>50</v>
          </cell>
          <cell r="CH151">
            <v>100</v>
          </cell>
          <cell r="CI151">
            <v>100</v>
          </cell>
          <cell r="CJ151" t="str">
            <v>$0 / $0</v>
          </cell>
          <cell r="CK151">
            <v>1</v>
          </cell>
          <cell r="CL151" t="str">
            <v>$1,500 / $3,000</v>
          </cell>
          <cell r="CM151" t="str">
            <v>N/A</v>
          </cell>
          <cell r="CN151" t="str">
            <v>N/A</v>
          </cell>
          <cell r="CO151" t="str">
            <v>N/A</v>
          </cell>
          <cell r="CP151" t="str">
            <v>Emb</v>
          </cell>
          <cell r="CS151" t="str">
            <v>HMO</v>
          </cell>
          <cell r="CT151" t="str">
            <v>Advantage</v>
          </cell>
          <cell r="CU151">
            <v>0.93959999999999999</v>
          </cell>
          <cell r="CW151" t="str">
            <v>Adv17</v>
          </cell>
          <cell r="CX151">
            <v>0.74780000000000002</v>
          </cell>
          <cell r="CY151" t="str">
            <v>BDX</v>
          </cell>
        </row>
        <row r="152">
          <cell r="BQ152">
            <v>481</v>
          </cell>
          <cell r="BR152" t="str">
            <v>$15/$50/30% (max $250)     2xMO  $400Ded</v>
          </cell>
          <cell r="BU152">
            <v>0.33393083642977101</v>
          </cell>
          <cell r="BV152">
            <v>0.19083</v>
          </cell>
          <cell r="CA152" t="str">
            <v>YFW</v>
          </cell>
          <cell r="CB152" t="str">
            <v>Advantage</v>
          </cell>
          <cell r="CC152">
            <v>15</v>
          </cell>
          <cell r="CD152">
            <v>15</v>
          </cell>
          <cell r="CE152">
            <v>50</v>
          </cell>
          <cell r="CF152" t="str">
            <v>$100PA</v>
          </cell>
          <cell r="CG152">
            <v>50</v>
          </cell>
          <cell r="CH152">
            <v>100</v>
          </cell>
          <cell r="CI152">
            <v>100</v>
          </cell>
          <cell r="CJ152" t="str">
            <v>$0 / $0</v>
          </cell>
          <cell r="CK152">
            <v>1</v>
          </cell>
          <cell r="CL152" t="str">
            <v>$1,500 / $3,000</v>
          </cell>
          <cell r="CM152" t="str">
            <v>N/A</v>
          </cell>
          <cell r="CN152" t="str">
            <v>N/A</v>
          </cell>
          <cell r="CO152" t="str">
            <v>N/A</v>
          </cell>
          <cell r="CP152" t="str">
            <v>Emb</v>
          </cell>
          <cell r="CS152" t="str">
            <v>HMO</v>
          </cell>
          <cell r="CT152" t="str">
            <v>Advantage</v>
          </cell>
          <cell r="CU152">
            <v>0.96440000000000003</v>
          </cell>
          <cell r="CW152" t="str">
            <v>Adv17</v>
          </cell>
          <cell r="CX152">
            <v>0.76839999999999997</v>
          </cell>
          <cell r="CY152" t="str">
            <v>BDX</v>
          </cell>
        </row>
        <row r="153">
          <cell r="BQ153">
            <v>482</v>
          </cell>
          <cell r="BR153" t="str">
            <v>$15/$35/30% (max $250)     2xMO  $500Ded</v>
          </cell>
          <cell r="BU153">
            <v>0.32878715850921469</v>
          </cell>
          <cell r="BV153">
            <v>0.19689000000000001</v>
          </cell>
          <cell r="CA153" t="str">
            <v>YG1</v>
          </cell>
          <cell r="CB153" t="str">
            <v>Advantage</v>
          </cell>
          <cell r="CC153">
            <v>20</v>
          </cell>
          <cell r="CD153">
            <v>20</v>
          </cell>
          <cell r="CE153">
            <v>100</v>
          </cell>
          <cell r="CF153" t="str">
            <v>$200PA</v>
          </cell>
          <cell r="CG153">
            <v>50</v>
          </cell>
          <cell r="CH153">
            <v>100</v>
          </cell>
          <cell r="CI153">
            <v>100</v>
          </cell>
          <cell r="CJ153" t="str">
            <v>$0 / $0</v>
          </cell>
          <cell r="CK153">
            <v>1</v>
          </cell>
          <cell r="CL153" t="str">
            <v>$1,500 / $3,000</v>
          </cell>
          <cell r="CM153" t="str">
            <v>N/A</v>
          </cell>
          <cell r="CN153" t="str">
            <v>N/A</v>
          </cell>
          <cell r="CO153" t="str">
            <v>N/A</v>
          </cell>
          <cell r="CP153" t="str">
            <v>Emb</v>
          </cell>
          <cell r="CS153" t="str">
            <v>HMO</v>
          </cell>
          <cell r="CT153" t="str">
            <v>Advantage</v>
          </cell>
          <cell r="CU153">
            <v>0.95199999999999996</v>
          </cell>
          <cell r="CW153" t="str">
            <v>Adv17</v>
          </cell>
          <cell r="CX153">
            <v>0.75939999999999996</v>
          </cell>
          <cell r="CY153" t="str">
            <v>BDX</v>
          </cell>
        </row>
        <row r="154">
          <cell r="BQ154" t="str">
            <v>4F</v>
          </cell>
          <cell r="BR154" t="str">
            <v>$10/$30/$50/$100     2.5x MO</v>
          </cell>
          <cell r="BU154">
            <v>0.55421088451962974</v>
          </cell>
          <cell r="BV154">
            <v>0.20303516667713239</v>
          </cell>
          <cell r="CA154" t="str">
            <v>YG4</v>
          </cell>
          <cell r="CB154" t="str">
            <v>Advantage</v>
          </cell>
          <cell r="CC154">
            <v>25</v>
          </cell>
          <cell r="CD154">
            <v>25</v>
          </cell>
          <cell r="CE154">
            <v>125</v>
          </cell>
          <cell r="CF154" t="str">
            <v>$250PA</v>
          </cell>
          <cell r="CG154">
            <v>50</v>
          </cell>
          <cell r="CH154">
            <v>100</v>
          </cell>
          <cell r="CI154">
            <v>100</v>
          </cell>
          <cell r="CJ154" t="str">
            <v>$0 / $0</v>
          </cell>
          <cell r="CK154">
            <v>1</v>
          </cell>
          <cell r="CL154" t="str">
            <v>$1,500 / $3,000</v>
          </cell>
          <cell r="CM154" t="str">
            <v>N/A</v>
          </cell>
          <cell r="CN154" t="str">
            <v>N/A</v>
          </cell>
          <cell r="CO154" t="str">
            <v>N/A</v>
          </cell>
          <cell r="CP154" t="str">
            <v>Emb</v>
          </cell>
          <cell r="CS154" t="str">
            <v>HMO</v>
          </cell>
          <cell r="CT154" t="str">
            <v>Advantage</v>
          </cell>
          <cell r="CU154">
            <v>0.9415</v>
          </cell>
          <cell r="CW154" t="str">
            <v>Adv17</v>
          </cell>
          <cell r="CX154">
            <v>0.75119999999999998</v>
          </cell>
          <cell r="CY154" t="str">
            <v>BDX</v>
          </cell>
        </row>
        <row r="155">
          <cell r="BQ155" t="str">
            <v>5E</v>
          </cell>
          <cell r="BR155" t="str">
            <v>$15/$35/$50     2.5x MO</v>
          </cell>
          <cell r="BU155">
            <v>0.51126525616704799</v>
          </cell>
          <cell r="BV155">
            <v>0.19529283030845274</v>
          </cell>
          <cell r="CA155" t="str">
            <v>YG8</v>
          </cell>
          <cell r="CB155" t="str">
            <v>Advantage</v>
          </cell>
          <cell r="CC155">
            <v>30</v>
          </cell>
          <cell r="CD155">
            <v>30</v>
          </cell>
          <cell r="CE155">
            <v>100</v>
          </cell>
          <cell r="CF155" t="str">
            <v>$200PA</v>
          </cell>
          <cell r="CG155">
            <v>50</v>
          </cell>
          <cell r="CH155">
            <v>100</v>
          </cell>
          <cell r="CI155">
            <v>100</v>
          </cell>
          <cell r="CJ155" t="str">
            <v>$0 / $0</v>
          </cell>
          <cell r="CK155">
            <v>1</v>
          </cell>
          <cell r="CL155" t="str">
            <v>$2,000 / $4,000</v>
          </cell>
          <cell r="CM155" t="str">
            <v>N/A</v>
          </cell>
          <cell r="CN155" t="str">
            <v>N/A</v>
          </cell>
          <cell r="CO155" t="str">
            <v>N/A</v>
          </cell>
          <cell r="CP155" t="str">
            <v>Emb</v>
          </cell>
          <cell r="CS155" t="str">
            <v>HMO</v>
          </cell>
          <cell r="CT155" t="str">
            <v>Advantage</v>
          </cell>
          <cell r="CU155">
            <v>0.93189999999999995</v>
          </cell>
          <cell r="CW155" t="str">
            <v>Adv17</v>
          </cell>
          <cell r="CX155">
            <v>0.74460000000000004</v>
          </cell>
          <cell r="CY155" t="str">
            <v>BDX</v>
          </cell>
        </row>
        <row r="156">
          <cell r="BQ156" t="str">
            <v>5S</v>
          </cell>
          <cell r="BR156" t="str">
            <v>$10/$30/$50/$100   2.5x MO   $100/$300 Ded</v>
          </cell>
          <cell r="BU156">
            <v>0.51142854752960532</v>
          </cell>
          <cell r="BV156">
            <v>0.19263477468729739</v>
          </cell>
          <cell r="CA156" t="str">
            <v>YGN</v>
          </cell>
          <cell r="CB156" t="str">
            <v>Advantage</v>
          </cell>
          <cell r="CC156">
            <v>20</v>
          </cell>
          <cell r="CD156">
            <v>20</v>
          </cell>
          <cell r="CE156">
            <v>125</v>
          </cell>
          <cell r="CF156" t="str">
            <v>$250PA</v>
          </cell>
          <cell r="CG156">
            <v>50</v>
          </cell>
          <cell r="CH156">
            <v>100</v>
          </cell>
          <cell r="CI156">
            <v>100</v>
          </cell>
          <cell r="CJ156" t="str">
            <v>$0 / $0</v>
          </cell>
          <cell r="CK156">
            <v>1</v>
          </cell>
          <cell r="CL156" t="str">
            <v>$2,000 / $4,000</v>
          </cell>
          <cell r="CM156" t="str">
            <v>N/A</v>
          </cell>
          <cell r="CN156" t="str">
            <v>N/A</v>
          </cell>
          <cell r="CO156" t="str">
            <v>N/A</v>
          </cell>
          <cell r="CP156" t="str">
            <v>Emb</v>
          </cell>
          <cell r="CS156" t="str">
            <v>HMO</v>
          </cell>
          <cell r="CT156" t="str">
            <v>Advantage</v>
          </cell>
          <cell r="CU156">
            <v>0.94889999999999997</v>
          </cell>
          <cell r="CW156" t="str">
            <v>Adv17</v>
          </cell>
          <cell r="CX156">
            <v>0.75860000000000005</v>
          </cell>
          <cell r="CY156" t="str">
            <v>BDX</v>
          </cell>
        </row>
        <row r="157">
          <cell r="BQ157" t="str">
            <v>5U</v>
          </cell>
          <cell r="BR157" t="str">
            <v>$10/$35/$60/$100   2.5x MO</v>
          </cell>
          <cell r="BU157">
            <v>0.49901840397524705</v>
          </cell>
          <cell r="BV157">
            <v>0.19901059918208941</v>
          </cell>
          <cell r="CA157" t="str">
            <v>YGR</v>
          </cell>
          <cell r="CB157" t="str">
            <v>Advantage</v>
          </cell>
          <cell r="CC157">
            <v>20</v>
          </cell>
          <cell r="CD157">
            <v>40</v>
          </cell>
          <cell r="CE157">
            <v>125</v>
          </cell>
          <cell r="CF157" t="str">
            <v>$250PA</v>
          </cell>
          <cell r="CG157">
            <v>50</v>
          </cell>
          <cell r="CH157">
            <v>100</v>
          </cell>
          <cell r="CI157">
            <v>100</v>
          </cell>
          <cell r="CJ157" t="str">
            <v>$0 / $0</v>
          </cell>
          <cell r="CK157">
            <v>1</v>
          </cell>
          <cell r="CL157" t="str">
            <v>$2,000 / $4,000</v>
          </cell>
          <cell r="CM157" t="str">
            <v>N/A</v>
          </cell>
          <cell r="CN157" t="str">
            <v>N/A</v>
          </cell>
          <cell r="CO157" t="str">
            <v>N/A</v>
          </cell>
          <cell r="CP157" t="str">
            <v>Emb</v>
          </cell>
          <cell r="CS157" t="str">
            <v>HMO</v>
          </cell>
          <cell r="CT157" t="str">
            <v>Advantage</v>
          </cell>
          <cell r="CU157">
            <v>0.93300000000000005</v>
          </cell>
          <cell r="CW157" t="str">
            <v>Adv17</v>
          </cell>
          <cell r="CX157">
            <v>0.74150000000000005</v>
          </cell>
          <cell r="CY157" t="str">
            <v>BDX</v>
          </cell>
        </row>
        <row r="158">
          <cell r="BQ158" t="str">
            <v>5V</v>
          </cell>
          <cell r="BR158" t="str">
            <v>$10/$35/$60/$100   2.5x MO   $100/$300 Ded</v>
          </cell>
          <cell r="BU158">
            <v>0.46080822513682829</v>
          </cell>
          <cell r="BV158">
            <v>0.18865040339495537</v>
          </cell>
          <cell r="CA158" t="str">
            <v>YGW</v>
          </cell>
          <cell r="CB158" t="str">
            <v>Advantage</v>
          </cell>
          <cell r="CC158">
            <v>30</v>
          </cell>
          <cell r="CD158">
            <v>30</v>
          </cell>
          <cell r="CE158">
            <v>250</v>
          </cell>
          <cell r="CF158" t="str">
            <v>$500PA</v>
          </cell>
          <cell r="CG158">
            <v>50</v>
          </cell>
          <cell r="CH158">
            <v>100</v>
          </cell>
          <cell r="CI158">
            <v>100</v>
          </cell>
          <cell r="CJ158" t="str">
            <v>$0 / $0</v>
          </cell>
          <cell r="CK158">
            <v>1</v>
          </cell>
          <cell r="CL158" t="str">
            <v>$2,000 / $4,000</v>
          </cell>
          <cell r="CM158" t="str">
            <v>N/A</v>
          </cell>
          <cell r="CN158" t="str">
            <v>N/A</v>
          </cell>
          <cell r="CO158" t="str">
            <v>N/A</v>
          </cell>
          <cell r="CP158" t="str">
            <v>Emb</v>
          </cell>
          <cell r="CS158" t="str">
            <v>HMO</v>
          </cell>
          <cell r="CT158" t="str">
            <v>Advantage</v>
          </cell>
          <cell r="CU158">
            <v>0.9234</v>
          </cell>
          <cell r="CW158" t="str">
            <v>Adv17</v>
          </cell>
          <cell r="CX158">
            <v>0.73960000000000004</v>
          </cell>
          <cell r="CY158" t="str">
            <v>BDX</v>
          </cell>
        </row>
        <row r="159">
          <cell r="BQ159" t="str">
            <v>6M</v>
          </cell>
          <cell r="BR159" t="str">
            <v>$10/$35/$60     2.5x MO   $100/$300 Ded</v>
          </cell>
          <cell r="BU159">
            <v>0.46831962781446618</v>
          </cell>
          <cell r="BV159">
            <v>0.18868227765854767</v>
          </cell>
          <cell r="CA159" t="str">
            <v>YH1</v>
          </cell>
          <cell r="CB159" t="str">
            <v>Advantage</v>
          </cell>
          <cell r="CC159">
            <v>15</v>
          </cell>
          <cell r="CD159">
            <v>30</v>
          </cell>
          <cell r="CE159">
            <v>125</v>
          </cell>
          <cell r="CF159" t="str">
            <v>$250PA</v>
          </cell>
          <cell r="CG159">
            <v>50</v>
          </cell>
          <cell r="CH159">
            <v>100</v>
          </cell>
          <cell r="CI159">
            <v>100</v>
          </cell>
          <cell r="CJ159" t="str">
            <v>$0 / $0</v>
          </cell>
          <cell r="CK159">
            <v>1</v>
          </cell>
          <cell r="CL159" t="str">
            <v>$2,000 / $4,000</v>
          </cell>
          <cell r="CM159" t="str">
            <v>N/A</v>
          </cell>
          <cell r="CN159" t="str">
            <v>N/A</v>
          </cell>
          <cell r="CO159" t="str">
            <v>N/A</v>
          </cell>
          <cell r="CP159" t="str">
            <v>Emb</v>
          </cell>
          <cell r="CS159" t="str">
            <v>HMO</v>
          </cell>
          <cell r="CT159" t="str">
            <v>Advantage</v>
          </cell>
          <cell r="CU159">
            <v>0.94620000000000004</v>
          </cell>
          <cell r="CW159" t="str">
            <v>Adv17</v>
          </cell>
          <cell r="CX159">
            <v>0.75319999999999998</v>
          </cell>
          <cell r="CY159" t="str">
            <v>BDX</v>
          </cell>
        </row>
        <row r="160">
          <cell r="BQ160" t="str">
            <v>AQ</v>
          </cell>
          <cell r="BR160" t="str">
            <v>$10/$30/$70     2.5x MO   $100/$300 Ded</v>
          </cell>
          <cell r="BU160">
            <v>0.4544398619970918</v>
          </cell>
          <cell r="BV160">
            <v>0.18885444108673144</v>
          </cell>
          <cell r="CA160" t="str">
            <v>YH4</v>
          </cell>
          <cell r="CB160" t="str">
            <v>Advantage</v>
          </cell>
          <cell r="CC160">
            <v>30</v>
          </cell>
          <cell r="CD160">
            <v>40</v>
          </cell>
          <cell r="CE160">
            <v>250</v>
          </cell>
          <cell r="CF160" t="str">
            <v>$500PA</v>
          </cell>
          <cell r="CG160">
            <v>50</v>
          </cell>
          <cell r="CH160">
            <v>100</v>
          </cell>
          <cell r="CI160">
            <v>100</v>
          </cell>
          <cell r="CJ160" t="str">
            <v>$0 / $0</v>
          </cell>
          <cell r="CK160">
            <v>1</v>
          </cell>
          <cell r="CL160" t="str">
            <v>$2,500 / $5,000</v>
          </cell>
          <cell r="CM160" t="str">
            <v>N/A</v>
          </cell>
          <cell r="CN160" t="str">
            <v>N/A</v>
          </cell>
          <cell r="CO160" t="str">
            <v>N/A</v>
          </cell>
          <cell r="CP160" t="str">
            <v>Emb</v>
          </cell>
          <cell r="CS160" t="str">
            <v>HMO</v>
          </cell>
          <cell r="CT160" t="str">
            <v>Advantage</v>
          </cell>
          <cell r="CU160">
            <v>0.91320000000000001</v>
          </cell>
          <cell r="CW160" t="str">
            <v>Adv17</v>
          </cell>
          <cell r="CX160">
            <v>0.73109999999999997</v>
          </cell>
          <cell r="CY160" t="str">
            <v>BDX</v>
          </cell>
        </row>
        <row r="161">
          <cell r="BQ161" t="str">
            <v>AT</v>
          </cell>
          <cell r="BR161" t="str">
            <v>$10/$35/$70     2.5x MO   $100/$300 Ded</v>
          </cell>
          <cell r="BU161">
            <v>0.44480567160620843</v>
          </cell>
          <cell r="BV161">
            <v>0.18677206576289584</v>
          </cell>
          <cell r="CA161" t="str">
            <v>YH7</v>
          </cell>
          <cell r="CB161" t="str">
            <v>Advantage</v>
          </cell>
          <cell r="CC161">
            <v>35</v>
          </cell>
          <cell r="CD161">
            <v>45</v>
          </cell>
          <cell r="CE161">
            <v>375</v>
          </cell>
          <cell r="CF161" t="str">
            <v>$750PA</v>
          </cell>
          <cell r="CG161">
            <v>50</v>
          </cell>
          <cell r="CH161">
            <v>100</v>
          </cell>
          <cell r="CI161">
            <v>100</v>
          </cell>
          <cell r="CJ161" t="str">
            <v>$0 / $0</v>
          </cell>
          <cell r="CK161">
            <v>1</v>
          </cell>
          <cell r="CL161" t="str">
            <v>$2,500 / $5,000</v>
          </cell>
          <cell r="CM161" t="str">
            <v>N/A</v>
          </cell>
          <cell r="CN161" t="str">
            <v>N/A</v>
          </cell>
          <cell r="CO161" t="str">
            <v>N/A</v>
          </cell>
          <cell r="CP161" t="str">
            <v>Emb</v>
          </cell>
          <cell r="CS161" t="str">
            <v>HMO</v>
          </cell>
          <cell r="CT161" t="str">
            <v>Advantage</v>
          </cell>
          <cell r="CU161">
            <v>0.89770000000000005</v>
          </cell>
          <cell r="CW161" t="str">
            <v>Adv17</v>
          </cell>
          <cell r="CX161">
            <v>0.71960000000000002</v>
          </cell>
          <cell r="CY161" t="str">
            <v>BDX</v>
          </cell>
        </row>
        <row r="162">
          <cell r="BQ162" t="str">
            <v>B9</v>
          </cell>
          <cell r="BR162" t="str">
            <v>$10/$25/$50     2x MO</v>
          </cell>
          <cell r="BU162">
            <v>0.58237864456077182</v>
          </cell>
          <cell r="BV162">
            <v>0.20730000000000001</v>
          </cell>
          <cell r="CA162" t="str">
            <v>YHM</v>
          </cell>
          <cell r="CB162" t="str">
            <v>Advantage</v>
          </cell>
          <cell r="CC162">
            <v>20</v>
          </cell>
          <cell r="CD162">
            <v>40</v>
          </cell>
          <cell r="CE162">
            <v>250</v>
          </cell>
          <cell r="CF162" t="str">
            <v>$500PA</v>
          </cell>
          <cell r="CG162">
            <v>50</v>
          </cell>
          <cell r="CH162">
            <v>100</v>
          </cell>
          <cell r="CI162">
            <v>100</v>
          </cell>
          <cell r="CJ162" t="str">
            <v>$0 / $0</v>
          </cell>
          <cell r="CK162">
            <v>1</v>
          </cell>
          <cell r="CL162" t="str">
            <v>$2,500 / $5,000</v>
          </cell>
          <cell r="CM162" t="str">
            <v>N/A</v>
          </cell>
          <cell r="CN162" t="str">
            <v>N/A</v>
          </cell>
          <cell r="CO162" t="str">
            <v>N/A</v>
          </cell>
          <cell r="CP162" t="str">
            <v>Emb</v>
          </cell>
          <cell r="CS162" t="str">
            <v>HMO</v>
          </cell>
          <cell r="CT162" t="str">
            <v>Advantage</v>
          </cell>
          <cell r="CU162">
            <v>0.92379999999999995</v>
          </cell>
          <cell r="CW162" t="str">
            <v>Adv17</v>
          </cell>
          <cell r="CX162">
            <v>0.73729999999999996</v>
          </cell>
          <cell r="CY162" t="str">
            <v>BDX</v>
          </cell>
        </row>
        <row r="163">
          <cell r="BQ163" t="str">
            <v>C2</v>
          </cell>
          <cell r="BR163" t="str">
            <v>$10/$30/$50     2x MO</v>
          </cell>
          <cell r="BU163">
            <v>0.56833558738084011</v>
          </cell>
          <cell r="BV163">
            <v>0.2074</v>
          </cell>
          <cell r="CA163" t="str">
            <v>YHQ</v>
          </cell>
          <cell r="CB163" t="str">
            <v>Advantage</v>
          </cell>
          <cell r="CC163">
            <v>20</v>
          </cell>
          <cell r="CD163">
            <v>40</v>
          </cell>
          <cell r="CE163">
            <v>125</v>
          </cell>
          <cell r="CF163" t="str">
            <v>$250PDx3</v>
          </cell>
          <cell r="CG163">
            <v>100</v>
          </cell>
          <cell r="CH163">
            <v>200</v>
          </cell>
          <cell r="CI163">
            <v>100</v>
          </cell>
          <cell r="CJ163" t="str">
            <v>$0 / $0</v>
          </cell>
          <cell r="CK163">
            <v>1</v>
          </cell>
          <cell r="CL163" t="str">
            <v>$3,000 / $6,000</v>
          </cell>
          <cell r="CM163" t="str">
            <v>N/A</v>
          </cell>
          <cell r="CN163" t="str">
            <v>N/A</v>
          </cell>
          <cell r="CO163" t="str">
            <v>N/A</v>
          </cell>
          <cell r="CP163" t="str">
            <v>Emb</v>
          </cell>
          <cell r="CS163" t="str">
            <v>HMO</v>
          </cell>
          <cell r="CT163" t="str">
            <v>Advantage</v>
          </cell>
          <cell r="CU163">
            <v>0.91649999999999998</v>
          </cell>
          <cell r="CW163" t="str">
            <v>Adv17</v>
          </cell>
          <cell r="CX163">
            <v>0.73580000000000001</v>
          </cell>
          <cell r="CY163" t="str">
            <v>BDX</v>
          </cell>
        </row>
        <row r="164">
          <cell r="BQ164" t="str">
            <v>F5</v>
          </cell>
          <cell r="BR164" t="str">
            <v>$10/$25/$45     2.5x MO</v>
          </cell>
          <cell r="BU164">
            <v>0.61348564912794612</v>
          </cell>
          <cell r="BV164">
            <v>0.20614555767646231</v>
          </cell>
          <cell r="CA164" t="str">
            <v>YHU</v>
          </cell>
          <cell r="CB164" t="str">
            <v>Advantage</v>
          </cell>
          <cell r="CC164">
            <v>20</v>
          </cell>
          <cell r="CD164">
            <v>40</v>
          </cell>
          <cell r="CE164" t="str">
            <v>Ded + Co-Ins</v>
          </cell>
          <cell r="CF164" t="str">
            <v>$250PDx3</v>
          </cell>
          <cell r="CG164">
            <v>100</v>
          </cell>
          <cell r="CH164">
            <v>200</v>
          </cell>
          <cell r="CI164">
            <v>100</v>
          </cell>
          <cell r="CJ164" t="str">
            <v>$0 / $0</v>
          </cell>
          <cell r="CK164">
            <v>1</v>
          </cell>
          <cell r="CL164" t="str">
            <v>$3,000 / $6,000</v>
          </cell>
          <cell r="CM164" t="str">
            <v>N/A</v>
          </cell>
          <cell r="CN164" t="str">
            <v>N/A</v>
          </cell>
          <cell r="CO164" t="str">
            <v>N/A</v>
          </cell>
          <cell r="CP164" t="str">
            <v>Emb</v>
          </cell>
          <cell r="CS164" t="str">
            <v>HMO</v>
          </cell>
          <cell r="CT164" t="str">
            <v>Advantage</v>
          </cell>
          <cell r="CU164">
            <v>0.88759999999999994</v>
          </cell>
          <cell r="CW164" t="str">
            <v>Adv17</v>
          </cell>
          <cell r="CX164">
            <v>0.72960000000000003</v>
          </cell>
          <cell r="CY164" t="str">
            <v>BDX</v>
          </cell>
        </row>
        <row r="165">
          <cell r="BQ165" t="str">
            <v>F7</v>
          </cell>
          <cell r="BR165" t="str">
            <v>$10/$25/$45     2.5x MO   $100/$300 Ded</v>
          </cell>
          <cell r="BU165">
            <v>0.56637609103015207</v>
          </cell>
          <cell r="BV165">
            <v>0.19571263768259545</v>
          </cell>
          <cell r="CA165" t="str">
            <v>YI1</v>
          </cell>
          <cell r="CB165" t="str">
            <v>Advantage</v>
          </cell>
          <cell r="CC165">
            <v>30</v>
          </cell>
          <cell r="CD165">
            <v>40</v>
          </cell>
          <cell r="CE165">
            <v>250</v>
          </cell>
          <cell r="CF165" t="str">
            <v>$500PDx3</v>
          </cell>
          <cell r="CG165">
            <v>100</v>
          </cell>
          <cell r="CH165">
            <v>200</v>
          </cell>
          <cell r="CI165">
            <v>100</v>
          </cell>
          <cell r="CJ165" t="str">
            <v>$0 / $0</v>
          </cell>
          <cell r="CK165">
            <v>1</v>
          </cell>
          <cell r="CL165" t="str">
            <v>$3,000 / $6,000</v>
          </cell>
          <cell r="CM165" t="str">
            <v>N/A</v>
          </cell>
          <cell r="CN165" t="str">
            <v>N/A</v>
          </cell>
          <cell r="CO165" t="str">
            <v>N/A</v>
          </cell>
          <cell r="CP165" t="str">
            <v>Emb</v>
          </cell>
          <cell r="CS165" t="str">
            <v>HMO</v>
          </cell>
          <cell r="CT165" t="str">
            <v>Advantage</v>
          </cell>
          <cell r="CU165">
            <v>0.89559999999999995</v>
          </cell>
          <cell r="CW165" t="str">
            <v>Adv17</v>
          </cell>
          <cell r="CX165">
            <v>0.72350000000000003</v>
          </cell>
          <cell r="CY165" t="str">
            <v>BDX</v>
          </cell>
        </row>
        <row r="166">
          <cell r="BQ166" t="str">
            <v>G4</v>
          </cell>
          <cell r="BR166" t="str">
            <v>$10/$30/$50     2.5x MO   $100/$300 Ded</v>
          </cell>
          <cell r="BU166">
            <v>0.52179754905199671</v>
          </cell>
          <cell r="BV166">
            <v>0.19267461751678777</v>
          </cell>
          <cell r="CA166" t="str">
            <v>YI4</v>
          </cell>
          <cell r="CB166" t="str">
            <v>Advantage</v>
          </cell>
          <cell r="CC166">
            <v>30</v>
          </cell>
          <cell r="CD166">
            <v>40</v>
          </cell>
          <cell r="CE166" t="str">
            <v>Ded + Co-Ins</v>
          </cell>
          <cell r="CF166" t="str">
            <v>$500PDx3</v>
          </cell>
          <cell r="CG166">
            <v>100</v>
          </cell>
          <cell r="CH166">
            <v>200</v>
          </cell>
          <cell r="CI166">
            <v>100</v>
          </cell>
          <cell r="CJ166" t="str">
            <v>$0 / $0</v>
          </cell>
          <cell r="CK166">
            <v>1</v>
          </cell>
          <cell r="CL166" t="str">
            <v>$3,000 / $6,000</v>
          </cell>
          <cell r="CM166" t="str">
            <v>N/A</v>
          </cell>
          <cell r="CN166" t="str">
            <v>N/A</v>
          </cell>
          <cell r="CO166" t="str">
            <v>N/A</v>
          </cell>
          <cell r="CP166" t="str">
            <v>Emb</v>
          </cell>
          <cell r="CS166" t="str">
            <v>HMO</v>
          </cell>
          <cell r="CT166" t="str">
            <v>Advantage</v>
          </cell>
          <cell r="CU166">
            <v>0.87360000000000004</v>
          </cell>
          <cell r="CW166" t="str">
            <v>Adv17</v>
          </cell>
          <cell r="CX166">
            <v>0.71870000000000001</v>
          </cell>
          <cell r="CY166" t="str">
            <v>BDX</v>
          </cell>
        </row>
        <row r="167">
          <cell r="BQ167" t="str">
            <v>H9</v>
          </cell>
          <cell r="BR167" t="str">
            <v>$10/$30/$50     2.5x MO</v>
          </cell>
          <cell r="BU167">
            <v>0.56539634285480789</v>
          </cell>
          <cell r="BV167">
            <v>0.20307500950662283</v>
          </cell>
          <cell r="CA167" t="str">
            <v>YJ1</v>
          </cell>
          <cell r="CB167" t="str">
            <v>Advantage</v>
          </cell>
          <cell r="CC167">
            <v>30</v>
          </cell>
          <cell r="CD167">
            <v>40</v>
          </cell>
          <cell r="CE167">
            <v>350</v>
          </cell>
          <cell r="CF167" t="str">
            <v>$750PDx3</v>
          </cell>
          <cell r="CG167">
            <v>100</v>
          </cell>
          <cell r="CH167">
            <v>200</v>
          </cell>
          <cell r="CI167">
            <v>100</v>
          </cell>
          <cell r="CJ167" t="str">
            <v>$0 / $0</v>
          </cell>
          <cell r="CK167">
            <v>1</v>
          </cell>
          <cell r="CL167" t="str">
            <v>$3,500 / $7,000</v>
          </cell>
          <cell r="CM167" t="str">
            <v>N/A</v>
          </cell>
          <cell r="CN167" t="str">
            <v>N/A</v>
          </cell>
          <cell r="CO167" t="str">
            <v>N/A</v>
          </cell>
          <cell r="CP167" t="str">
            <v>Emb</v>
          </cell>
          <cell r="CS167" t="str">
            <v>HMO</v>
          </cell>
          <cell r="CT167" t="str">
            <v>Advantage</v>
          </cell>
          <cell r="CU167">
            <v>0.88470000000000004</v>
          </cell>
          <cell r="CW167" t="str">
            <v>Adv17</v>
          </cell>
          <cell r="CX167">
            <v>0.7177</v>
          </cell>
          <cell r="CY167" t="str">
            <v>BDX</v>
          </cell>
        </row>
        <row r="168">
          <cell r="BQ168" t="str">
            <v>J5</v>
          </cell>
          <cell r="BR168" t="str">
            <v>$7/$25/$45     2x MO</v>
          </cell>
          <cell r="BU168">
            <v>0.66084014426957616</v>
          </cell>
          <cell r="BV168">
            <v>0.21110000000000001</v>
          </cell>
          <cell r="CA168" t="str">
            <v>YJ4</v>
          </cell>
          <cell r="CB168" t="str">
            <v>Advantage</v>
          </cell>
          <cell r="CC168">
            <v>30</v>
          </cell>
          <cell r="CD168">
            <v>45</v>
          </cell>
          <cell r="CE168">
            <v>500</v>
          </cell>
          <cell r="CF168" t="str">
            <v>$1000PDx3</v>
          </cell>
          <cell r="CG168">
            <v>100</v>
          </cell>
          <cell r="CH168">
            <v>200</v>
          </cell>
          <cell r="CI168">
            <v>100</v>
          </cell>
          <cell r="CJ168" t="str">
            <v>$0 / $0</v>
          </cell>
          <cell r="CK168">
            <v>1</v>
          </cell>
          <cell r="CL168" t="str">
            <v>$3,500 / $7,000</v>
          </cell>
          <cell r="CM168" t="str">
            <v>N/A</v>
          </cell>
          <cell r="CN168" t="str">
            <v>N/A</v>
          </cell>
          <cell r="CO168" t="str">
            <v>N/A</v>
          </cell>
          <cell r="CP168" t="str">
            <v>Emb</v>
          </cell>
          <cell r="CS168" t="str">
            <v>HMO</v>
          </cell>
          <cell r="CT168" t="str">
            <v>Advantage</v>
          </cell>
          <cell r="CU168">
            <v>0.87150000000000005</v>
          </cell>
          <cell r="CW168" t="str">
            <v>Adv17</v>
          </cell>
          <cell r="CX168">
            <v>0.70709999999999995</v>
          </cell>
          <cell r="CY168" t="str">
            <v>BDX</v>
          </cell>
        </row>
        <row r="169">
          <cell r="BQ169" t="str">
            <v>J6</v>
          </cell>
          <cell r="BR169" t="str">
            <v>$7/$30/$50     2x MO</v>
          </cell>
          <cell r="BU169">
            <v>0.60858690825122574</v>
          </cell>
          <cell r="BV169">
            <v>0.2087</v>
          </cell>
          <cell r="CA169" t="str">
            <v>YJK</v>
          </cell>
          <cell r="CB169" t="str">
            <v>Advantage</v>
          </cell>
          <cell r="CC169">
            <v>20</v>
          </cell>
          <cell r="CD169">
            <v>30</v>
          </cell>
          <cell r="CE169" t="str">
            <v>N/A</v>
          </cell>
          <cell r="CF169" t="str">
            <v>N/A</v>
          </cell>
          <cell r="CG169">
            <v>100</v>
          </cell>
          <cell r="CH169">
            <v>200</v>
          </cell>
          <cell r="CI169">
            <v>100</v>
          </cell>
          <cell r="CJ169" t="str">
            <v>$0 / $0</v>
          </cell>
          <cell r="CK169">
            <v>0.8</v>
          </cell>
          <cell r="CL169" t="str">
            <v>$3,500 / $7,000</v>
          </cell>
          <cell r="CM169" t="str">
            <v>N/A</v>
          </cell>
          <cell r="CN169" t="str">
            <v>N/A</v>
          </cell>
          <cell r="CO169" t="str">
            <v>N/A</v>
          </cell>
          <cell r="CP169" t="str">
            <v>Emb</v>
          </cell>
          <cell r="CS169" t="str">
            <v>HMO</v>
          </cell>
          <cell r="CT169" t="str">
            <v>Advantage</v>
          </cell>
          <cell r="CU169">
            <v>0.86709999999999998</v>
          </cell>
          <cell r="CW169" t="str">
            <v>Adv17</v>
          </cell>
          <cell r="CX169">
            <v>0.70199999999999996</v>
          </cell>
          <cell r="CY169" t="str">
            <v>BDX</v>
          </cell>
        </row>
        <row r="170">
          <cell r="BQ170" t="str">
            <v>K5</v>
          </cell>
          <cell r="BR170" t="str">
            <v>$10/$25/$50     2.5x MO</v>
          </cell>
          <cell r="BU170">
            <v>0.57943940003473959</v>
          </cell>
          <cell r="BV170">
            <v>0.20518358745402132</v>
          </cell>
          <cell r="CA170" t="str">
            <v>YJN</v>
          </cell>
          <cell r="CB170" t="str">
            <v>Advantage</v>
          </cell>
          <cell r="CC170">
            <v>25</v>
          </cell>
          <cell r="CD170">
            <v>40</v>
          </cell>
          <cell r="CE170" t="str">
            <v>N/A</v>
          </cell>
          <cell r="CF170" t="str">
            <v>N/A</v>
          </cell>
          <cell r="CG170">
            <v>100</v>
          </cell>
          <cell r="CH170">
            <v>300</v>
          </cell>
          <cell r="CI170">
            <v>100</v>
          </cell>
          <cell r="CJ170" t="str">
            <v>$0 / $0</v>
          </cell>
          <cell r="CK170">
            <v>0.8</v>
          </cell>
          <cell r="CL170" t="str">
            <v>$4,000 / $8,000</v>
          </cell>
          <cell r="CM170" t="str">
            <v>N/A</v>
          </cell>
          <cell r="CN170" t="str">
            <v>N/A</v>
          </cell>
          <cell r="CO170" t="str">
            <v>N/A</v>
          </cell>
          <cell r="CP170" t="str">
            <v>Emb</v>
          </cell>
          <cell r="CS170" t="str">
            <v>HMO</v>
          </cell>
          <cell r="CT170" t="str">
            <v>Advantage</v>
          </cell>
          <cell r="CU170">
            <v>0.84360000000000002</v>
          </cell>
          <cell r="CW170" t="str">
            <v>Adv17</v>
          </cell>
          <cell r="CX170">
            <v>0.6865</v>
          </cell>
          <cell r="CY170" t="str">
            <v>BDX</v>
          </cell>
        </row>
        <row r="171">
          <cell r="BQ171" t="str">
            <v>N1</v>
          </cell>
          <cell r="BR171" t="str">
            <v>$10/$30/$60     2x MO</v>
          </cell>
          <cell r="BU171">
            <v>0.52220577745839014</v>
          </cell>
          <cell r="BV171">
            <v>0.20030207466087013</v>
          </cell>
          <cell r="CA171" t="str">
            <v>YJR</v>
          </cell>
          <cell r="CB171" t="str">
            <v>Advantage</v>
          </cell>
          <cell r="CC171">
            <v>30</v>
          </cell>
          <cell r="CD171">
            <v>40</v>
          </cell>
          <cell r="CE171" t="str">
            <v>N/A</v>
          </cell>
          <cell r="CF171" t="str">
            <v>N/A</v>
          </cell>
          <cell r="CG171">
            <v>100</v>
          </cell>
          <cell r="CH171">
            <v>300</v>
          </cell>
          <cell r="CI171">
            <v>100</v>
          </cell>
          <cell r="CJ171" t="str">
            <v>$0 / $0</v>
          </cell>
          <cell r="CK171">
            <v>0.7</v>
          </cell>
          <cell r="CL171" t="str">
            <v>$4,000 / $8,000</v>
          </cell>
          <cell r="CM171" t="str">
            <v>N/A</v>
          </cell>
          <cell r="CN171" t="str">
            <v>N/A</v>
          </cell>
          <cell r="CO171" t="str">
            <v>N/A</v>
          </cell>
          <cell r="CP171" t="str">
            <v>Emb</v>
          </cell>
          <cell r="CS171" t="str">
            <v>HMO</v>
          </cell>
          <cell r="CT171" t="str">
            <v>Advantage</v>
          </cell>
          <cell r="CU171">
            <v>0.81689999999999996</v>
          </cell>
          <cell r="CW171" t="str">
            <v>Adv17</v>
          </cell>
          <cell r="CX171">
            <v>0.65920000000000001</v>
          </cell>
          <cell r="CY171" t="str">
            <v>BDX</v>
          </cell>
        </row>
        <row r="172">
          <cell r="BQ172" t="str">
            <v>N7</v>
          </cell>
          <cell r="BR172" t="str">
            <v>$7/$25/$50     2.5x MO</v>
          </cell>
          <cell r="BU172">
            <v>0.62214009134348547</v>
          </cell>
          <cell r="BV172">
            <v>0.20858773760328791</v>
          </cell>
          <cell r="CA172" t="str">
            <v>YK1</v>
          </cell>
          <cell r="CB172" t="str">
            <v>Advantage</v>
          </cell>
          <cell r="CC172">
            <v>45</v>
          </cell>
          <cell r="CD172">
            <v>50</v>
          </cell>
          <cell r="CE172" t="str">
            <v>N/A</v>
          </cell>
          <cell r="CF172" t="str">
            <v>N/A</v>
          </cell>
          <cell r="CG172">
            <v>100</v>
          </cell>
          <cell r="CH172">
            <v>300</v>
          </cell>
          <cell r="CI172">
            <v>100</v>
          </cell>
          <cell r="CJ172" t="str">
            <v>$0 / $0</v>
          </cell>
          <cell r="CK172">
            <v>0.5</v>
          </cell>
          <cell r="CL172" t="str">
            <v>$5,000 / $10,000</v>
          </cell>
          <cell r="CM172" t="str">
            <v>N/A</v>
          </cell>
          <cell r="CN172" t="str">
            <v>N/A</v>
          </cell>
          <cell r="CO172" t="str">
            <v>N/A</v>
          </cell>
          <cell r="CP172" t="str">
            <v>Emb</v>
          </cell>
          <cell r="CS172" t="str">
            <v>HMO</v>
          </cell>
          <cell r="CT172" t="str">
            <v>Advantage</v>
          </cell>
          <cell r="CU172">
            <v>0.74970000000000003</v>
          </cell>
          <cell r="CW172" t="str">
            <v>Adv17</v>
          </cell>
          <cell r="CX172">
            <v>0.59309999999999996</v>
          </cell>
          <cell r="CY172" t="str">
            <v>BDX</v>
          </cell>
        </row>
        <row r="173">
          <cell r="BQ173" t="str">
            <v>P8</v>
          </cell>
          <cell r="BR173" t="str">
            <v>$7/$35/$50     2.5x MO   $100/$300 Ded</v>
          </cell>
          <cell r="BU173">
            <v>0.54204567800910752</v>
          </cell>
          <cell r="BV173">
            <v>0.19489999999999999</v>
          </cell>
        </row>
        <row r="174">
          <cell r="BQ174" t="str">
            <v>P9</v>
          </cell>
          <cell r="BR174" t="str">
            <v>$10/$25/$50     2.5x MO   $100/$300 Ded</v>
          </cell>
          <cell r="BU174">
            <v>0.53453427533146969</v>
          </cell>
          <cell r="BV174">
            <v>0.19475775259302613</v>
          </cell>
        </row>
        <row r="175">
          <cell r="BQ175" t="str">
            <v>S5</v>
          </cell>
          <cell r="BR175" t="str">
            <v>$7/$25/$45     2.5x MO</v>
          </cell>
          <cell r="BU175">
            <v>0.65806419110610126</v>
          </cell>
          <cell r="BV175">
            <v>0.20949999999999999</v>
          </cell>
        </row>
        <row r="176">
          <cell r="BQ176" t="str">
            <v>TB</v>
          </cell>
          <cell r="BR176" t="str">
            <v>$10/$25/$45     2.5x MO   $150/$450 Ded</v>
          </cell>
          <cell r="BU176">
            <v>0.57241787144477374</v>
          </cell>
          <cell r="BV176">
            <v>0.19140000000000001</v>
          </cell>
        </row>
        <row r="177">
          <cell r="BQ177" t="str">
            <v>TC</v>
          </cell>
          <cell r="BR177" t="str">
            <v>$10/$25/$45     2.5x MO   $250/$750 Ded</v>
          </cell>
          <cell r="BU177">
            <v>0.5466994818419918</v>
          </cell>
          <cell r="BV177">
            <v>0.18340000000000001</v>
          </cell>
          <cell r="CA177" t="str">
            <v>MMX 17 HMO ( High M6K )</v>
          </cell>
          <cell r="CB177" t="str">
            <v>Advantage</v>
          </cell>
          <cell r="CC177">
            <v>15</v>
          </cell>
          <cell r="CD177">
            <v>25</v>
          </cell>
          <cell r="CE177">
            <v>0</v>
          </cell>
          <cell r="CF177">
            <v>125</v>
          </cell>
          <cell r="CG177">
            <v>25</v>
          </cell>
          <cell r="CH177">
            <v>50</v>
          </cell>
          <cell r="CI177" t="str">
            <v>N/A</v>
          </cell>
          <cell r="CJ177" t="str">
            <v>$0 / $0</v>
          </cell>
          <cell r="CK177">
            <v>1</v>
          </cell>
          <cell r="CL177" t="str">
            <v>$500 / $1,000</v>
          </cell>
          <cell r="CM177" t="str">
            <v>N/A</v>
          </cell>
          <cell r="CN177" t="str">
            <v>N/A</v>
          </cell>
          <cell r="CO177" t="str">
            <v>N/A</v>
          </cell>
          <cell r="CP177" t="str">
            <v>Emb</v>
          </cell>
          <cell r="CQ177" t="str">
            <v>PX8</v>
          </cell>
          <cell r="CS177" t="str">
            <v>HMO</v>
          </cell>
          <cell r="CT177" t="str">
            <v>Advantage</v>
          </cell>
          <cell r="CU177">
            <v>0.97829999999999995</v>
          </cell>
          <cell r="CV177" t="str">
            <v>MMX HMO RX ( High 31K )</v>
          </cell>
          <cell r="CX177">
            <v>0.83220000000000005</v>
          </cell>
          <cell r="CY177" t="str">
            <v>BDX</v>
          </cell>
        </row>
        <row r="178">
          <cell r="BQ178" t="str">
            <v>TD</v>
          </cell>
          <cell r="BR178" t="str">
            <v>$10/$30/$50     2.5x MO   $150/$450 Ded</v>
          </cell>
          <cell r="BU178">
            <v>0.52661464424743842</v>
          </cell>
          <cell r="BV178">
            <v>0.18840000000000001</v>
          </cell>
          <cell r="CA178" t="str">
            <v>MMX 17 HMO ( Med M5O)</v>
          </cell>
          <cell r="CB178" t="str">
            <v>Advantage</v>
          </cell>
          <cell r="CC178">
            <v>20</v>
          </cell>
          <cell r="CD178">
            <v>35</v>
          </cell>
          <cell r="CE178" t="str">
            <v>N/A</v>
          </cell>
          <cell r="CF178" t="str">
            <v>10% After Ded</v>
          </cell>
          <cell r="CG178">
            <v>75</v>
          </cell>
          <cell r="CH178">
            <v>150</v>
          </cell>
          <cell r="CI178" t="str">
            <v>N/A</v>
          </cell>
          <cell r="CJ178" t="str">
            <v>$500 / $1,000</v>
          </cell>
          <cell r="CK178">
            <v>0.9</v>
          </cell>
          <cell r="CL178" t="str">
            <v>$1,500 / $3,000</v>
          </cell>
          <cell r="CM178" t="str">
            <v>N/A</v>
          </cell>
          <cell r="CN178" t="str">
            <v>N/A</v>
          </cell>
          <cell r="CO178" t="str">
            <v>N/A</v>
          </cell>
          <cell r="CP178" t="str">
            <v>Emb</v>
          </cell>
          <cell r="CQ178" t="str">
            <v>PX7</v>
          </cell>
          <cell r="CS178" t="str">
            <v>HMO</v>
          </cell>
          <cell r="CT178" t="str">
            <v>Advantage</v>
          </cell>
          <cell r="CU178">
            <v>0.86109999999999998</v>
          </cell>
          <cell r="CV178" t="str">
            <v>MMX HMO RX ( Med 31N )</v>
          </cell>
          <cell r="CX178">
            <v>0.6149</v>
          </cell>
          <cell r="CY178" t="str">
            <v>BEY</v>
          </cell>
        </row>
        <row r="179">
          <cell r="BQ179" t="str">
            <v>TE</v>
          </cell>
          <cell r="BR179" t="str">
            <v>$10/$30/$50     2.5x MO   $250/$750 Ded</v>
          </cell>
          <cell r="BU179">
            <v>0.50367220780813138</v>
          </cell>
          <cell r="BV179">
            <v>0.1804</v>
          </cell>
          <cell r="CA179" t="str">
            <v>MMX 17 HMO ( Low MNU )</v>
          </cell>
          <cell r="CB179" t="str">
            <v>Advantage</v>
          </cell>
          <cell r="CC179">
            <v>30</v>
          </cell>
          <cell r="CD179">
            <v>50</v>
          </cell>
          <cell r="CE179" t="str">
            <v>N/A</v>
          </cell>
          <cell r="CF179" t="str">
            <v>20% After Ded</v>
          </cell>
          <cell r="CG179">
            <v>100</v>
          </cell>
          <cell r="CH179">
            <v>200</v>
          </cell>
          <cell r="CI179" t="str">
            <v>N/A</v>
          </cell>
          <cell r="CJ179" t="str">
            <v>$1,500 / $3,000</v>
          </cell>
          <cell r="CK179">
            <v>0.8</v>
          </cell>
          <cell r="CL179" t="str">
            <v>$3,000 / $6,000</v>
          </cell>
          <cell r="CM179" t="str">
            <v>N/A</v>
          </cell>
          <cell r="CN179" t="str">
            <v>N/A</v>
          </cell>
          <cell r="CO179" t="str">
            <v>N/A</v>
          </cell>
          <cell r="CP179" t="str">
            <v>Emb</v>
          </cell>
          <cell r="CQ179" t="str">
            <v>PX6</v>
          </cell>
          <cell r="CS179" t="str">
            <v>HMO</v>
          </cell>
          <cell r="CT179" t="str">
            <v>Advantage</v>
          </cell>
          <cell r="CU179">
            <v>0.75509999999999999</v>
          </cell>
          <cell r="CV179" t="str">
            <v>MMX HMO RX ( Low 31J )</v>
          </cell>
          <cell r="CX179">
            <v>0.53820000000000001</v>
          </cell>
          <cell r="CY179" t="str">
            <v>BEY</v>
          </cell>
        </row>
        <row r="180">
          <cell r="BQ180" t="str">
            <v>U8</v>
          </cell>
          <cell r="BR180" t="str">
            <v>$7/$30/$50     2.5x MO</v>
          </cell>
          <cell r="BU180">
            <v>0.60564766372519363</v>
          </cell>
          <cell r="BV180">
            <v>0.20647917732454996</v>
          </cell>
        </row>
        <row r="181">
          <cell r="BQ181" t="str">
            <v>V5</v>
          </cell>
          <cell r="BR181" t="str">
            <v>$7/$35/$50     2.5x MO</v>
          </cell>
          <cell r="BU181">
            <v>0.59005333860096698</v>
          </cell>
          <cell r="BV181">
            <v>0.20437059937715146</v>
          </cell>
          <cell r="CA181" t="str">
            <v/>
          </cell>
        </row>
        <row r="182">
          <cell r="BQ182" t="str">
            <v>W1</v>
          </cell>
          <cell r="BR182" t="str">
            <v>$7/$25/$50     2.5x MO   $100/$300 Ded</v>
          </cell>
          <cell r="BU182">
            <v>0.57111154054431501</v>
          </cell>
          <cell r="BV182">
            <v>0.19785710067952605</v>
          </cell>
          <cell r="CA182" t="str">
            <v>MMX 16 HMO ( High M6K )</v>
          </cell>
          <cell r="CB182" t="str">
            <v>Advantage</v>
          </cell>
          <cell r="CC182">
            <v>15</v>
          </cell>
          <cell r="CD182">
            <v>25</v>
          </cell>
          <cell r="CE182">
            <v>0</v>
          </cell>
          <cell r="CF182">
            <v>125</v>
          </cell>
          <cell r="CG182">
            <v>25</v>
          </cell>
          <cell r="CH182">
            <v>50</v>
          </cell>
          <cell r="CI182" t="str">
            <v>N/A</v>
          </cell>
          <cell r="CJ182" t="str">
            <v>$0 / $0</v>
          </cell>
          <cell r="CK182">
            <v>1</v>
          </cell>
          <cell r="CL182" t="str">
            <v>$500 / $1,000</v>
          </cell>
          <cell r="CM182" t="str">
            <v>N/A</v>
          </cell>
          <cell r="CN182" t="str">
            <v>N/A</v>
          </cell>
          <cell r="CO182" t="str">
            <v>N/A</v>
          </cell>
          <cell r="CP182" t="str">
            <v>Emb</v>
          </cell>
          <cell r="CQ182" t="str">
            <v>PX8, IFM</v>
          </cell>
          <cell r="CS182" t="str">
            <v>HMO</v>
          </cell>
          <cell r="CT182" t="str">
            <v>Advantage</v>
          </cell>
          <cell r="CU182">
            <v>0.97260000000000002</v>
          </cell>
          <cell r="CX182">
            <v>0.83220000000000005</v>
          </cell>
          <cell r="CY182" t="str">
            <v>BEY</v>
          </cell>
        </row>
        <row r="183">
          <cell r="BQ183" t="str">
            <v>W2</v>
          </cell>
          <cell r="BR183" t="str">
            <v>$7/$30/$50     2.5x MO   $100/$300 Ded</v>
          </cell>
          <cell r="BU183">
            <v>0.556170380870318</v>
          </cell>
          <cell r="BV183">
            <v>0.19577156266545598</v>
          </cell>
          <cell r="CA183" t="str">
            <v>MMX 16 HMO ( Med M5L )</v>
          </cell>
          <cell r="CB183" t="str">
            <v>Advantage</v>
          </cell>
          <cell r="CC183">
            <v>20</v>
          </cell>
          <cell r="CD183">
            <v>35</v>
          </cell>
          <cell r="CE183" t="str">
            <v>N/A</v>
          </cell>
          <cell r="CF183" t="str">
            <v>10% After Ded</v>
          </cell>
          <cell r="CG183">
            <v>75</v>
          </cell>
          <cell r="CH183">
            <v>150</v>
          </cell>
          <cell r="CI183" t="str">
            <v>N/A</v>
          </cell>
          <cell r="CJ183" t="str">
            <v>$500 / $1,000</v>
          </cell>
          <cell r="CK183">
            <v>0.9</v>
          </cell>
          <cell r="CL183" t="str">
            <v>$1,500 / $3,000</v>
          </cell>
          <cell r="CM183" t="str">
            <v>N/A</v>
          </cell>
          <cell r="CN183" t="str">
            <v>N/A</v>
          </cell>
          <cell r="CO183" t="str">
            <v>N/A</v>
          </cell>
          <cell r="CP183" t="str">
            <v>Emb</v>
          </cell>
          <cell r="CQ183" t="str">
            <v>PX7, IFM</v>
          </cell>
          <cell r="CS183" t="str">
            <v>HMO</v>
          </cell>
          <cell r="CT183" t="str">
            <v>Advantage</v>
          </cell>
          <cell r="CU183">
            <v>0.85840000000000005</v>
          </cell>
          <cell r="CX183">
            <v>0.6149</v>
          </cell>
          <cell r="CY183" t="str">
            <v>BEY</v>
          </cell>
        </row>
        <row r="184">
          <cell r="BQ184" t="str">
            <v>Y6</v>
          </cell>
          <cell r="BR184" t="str">
            <v>$10/$30/$60     2.5x MO</v>
          </cell>
          <cell r="BU184">
            <v>0.51910324156980059</v>
          </cell>
          <cell r="BV184">
            <v>0.20115103372441973</v>
          </cell>
          <cell r="CA184" t="str">
            <v>MMX 16 HMO ( Low M2L )</v>
          </cell>
          <cell r="CB184" t="str">
            <v>Advantage</v>
          </cell>
          <cell r="CC184">
            <v>30</v>
          </cell>
          <cell r="CD184">
            <v>50</v>
          </cell>
          <cell r="CE184" t="str">
            <v>N/A</v>
          </cell>
          <cell r="CF184" t="str">
            <v>20% After Ded</v>
          </cell>
          <cell r="CG184">
            <v>100</v>
          </cell>
          <cell r="CH184">
            <v>200</v>
          </cell>
          <cell r="CI184" t="str">
            <v>N/A</v>
          </cell>
          <cell r="CJ184" t="str">
            <v>$1,500 / $3,000</v>
          </cell>
          <cell r="CK184">
            <v>0.8</v>
          </cell>
          <cell r="CL184" t="str">
            <v>$3,000 / $6,000</v>
          </cell>
          <cell r="CM184" t="str">
            <v>N/A</v>
          </cell>
          <cell r="CN184" t="str">
            <v>N/A</v>
          </cell>
          <cell r="CO184" t="str">
            <v>N/A</v>
          </cell>
          <cell r="CP184" t="str">
            <v>Emb</v>
          </cell>
          <cell r="CQ184" t="str">
            <v>PX6, IFM</v>
          </cell>
          <cell r="CS184" t="str">
            <v>HMO</v>
          </cell>
          <cell r="CT184" t="str">
            <v>Advantage</v>
          </cell>
          <cell r="CU184">
            <v>0.75280000000000002</v>
          </cell>
          <cell r="CX184">
            <v>0.53820000000000001</v>
          </cell>
          <cell r="CY184" t="str">
            <v>BEY</v>
          </cell>
        </row>
        <row r="185">
          <cell r="BQ185" t="str">
            <v>Y7</v>
          </cell>
          <cell r="BR185" t="str">
            <v>$10/$30/$60     2.5x MO   $100/$300 Ded</v>
          </cell>
          <cell r="BU185">
            <v>0.47926014910580833</v>
          </cell>
          <cell r="BV185">
            <v>0.19076502402425438</v>
          </cell>
        </row>
        <row r="186">
          <cell r="BQ186" t="str">
            <v>No Rx</v>
          </cell>
          <cell r="BR186" t="str">
            <v>No Rx</v>
          </cell>
          <cell r="BU186">
            <v>1E-4</v>
          </cell>
          <cell r="BV186">
            <v>0</v>
          </cell>
        </row>
        <row r="188">
          <cell r="BQ188" t="str">
            <v>0B-HRA</v>
          </cell>
          <cell r="BR188" t="str">
            <v>$15/$40/$60   2x MO</v>
          </cell>
          <cell r="BU188">
            <v>-7.7625982340452995E-2</v>
          </cell>
          <cell r="BV188">
            <v>-4.6668100000000004E-3</v>
          </cell>
        </row>
        <row r="189">
          <cell r="BQ189" t="str">
            <v>239-HRA</v>
          </cell>
          <cell r="BR189" t="str">
            <v>$10/$35/$60   2x MO</v>
          </cell>
          <cell r="BU189">
            <v>-3.4943490651667998E-2</v>
          </cell>
          <cell r="BV189">
            <v>0</v>
          </cell>
          <cell r="CA189" t="str">
            <v>YDO</v>
          </cell>
          <cell r="CB189" t="str">
            <v>Alliance</v>
          </cell>
          <cell r="CC189">
            <v>10</v>
          </cell>
          <cell r="CD189">
            <v>10</v>
          </cell>
          <cell r="CE189">
            <v>0</v>
          </cell>
          <cell r="CF189">
            <v>0</v>
          </cell>
          <cell r="CG189">
            <v>75</v>
          </cell>
          <cell r="CH189">
            <v>150</v>
          </cell>
          <cell r="CI189">
            <v>100</v>
          </cell>
          <cell r="CJ189" t="str">
            <v>$0 / $0</v>
          </cell>
          <cell r="CK189">
            <v>1</v>
          </cell>
          <cell r="CL189" t="str">
            <v>$1,500 / $3,000</v>
          </cell>
          <cell r="CM189" t="str">
            <v>N/A</v>
          </cell>
          <cell r="CN189" t="str">
            <v>N/A</v>
          </cell>
          <cell r="CO189" t="str">
            <v>N/A</v>
          </cell>
          <cell r="CP189" t="str">
            <v>Emb</v>
          </cell>
          <cell r="CS189" t="str">
            <v>HMO</v>
          </cell>
          <cell r="CT189" t="str">
            <v>Alliance</v>
          </cell>
          <cell r="CU189">
            <v>0.97270000000000001</v>
          </cell>
          <cell r="CW189" t="str">
            <v>All17</v>
          </cell>
          <cell r="CX189">
            <v>0.73780000000000001</v>
          </cell>
          <cell r="CY189" t="str">
            <v>BDX</v>
          </cell>
        </row>
        <row r="190">
          <cell r="BQ190" t="str">
            <v>2V-HRA</v>
          </cell>
          <cell r="BR190" t="str">
            <v>$10/$35/$60   2.5x MO</v>
          </cell>
          <cell r="BU190">
            <v>-3.4943490651667998E-2</v>
          </cell>
          <cell r="BV190">
            <v>0</v>
          </cell>
          <cell r="CA190" t="str">
            <v>YG0</v>
          </cell>
          <cell r="CB190" t="str">
            <v>Alliance</v>
          </cell>
          <cell r="CC190">
            <v>10</v>
          </cell>
          <cell r="CD190">
            <v>10</v>
          </cell>
          <cell r="CE190">
            <v>200</v>
          </cell>
          <cell r="CF190" t="str">
            <v>$250PA</v>
          </cell>
          <cell r="CG190">
            <v>75</v>
          </cell>
          <cell r="CH190">
            <v>150</v>
          </cell>
          <cell r="CI190">
            <v>100</v>
          </cell>
          <cell r="CJ190" t="str">
            <v>$0 / $0</v>
          </cell>
          <cell r="CK190">
            <v>1</v>
          </cell>
          <cell r="CL190" t="str">
            <v>$1,500 / $3,000</v>
          </cell>
          <cell r="CM190" t="str">
            <v>N/A</v>
          </cell>
          <cell r="CN190" t="str">
            <v>N/A</v>
          </cell>
          <cell r="CO190" t="str">
            <v>N/A</v>
          </cell>
          <cell r="CP190" t="str">
            <v>Emb</v>
          </cell>
          <cell r="CS190" t="str">
            <v>HMO</v>
          </cell>
          <cell r="CT190" t="str">
            <v>Alliance</v>
          </cell>
          <cell r="CU190">
            <v>0.96150000000000002</v>
          </cell>
          <cell r="CW190" t="str">
            <v>All17</v>
          </cell>
          <cell r="CX190">
            <v>0.73560000000000003</v>
          </cell>
          <cell r="CY190" t="str">
            <v>BDX</v>
          </cell>
        </row>
        <row r="191">
          <cell r="BQ191" t="str">
            <v>C2-HRA</v>
          </cell>
          <cell r="BR191" t="str">
            <v>$10/$30/$50   2x MO</v>
          </cell>
          <cell r="BU191">
            <v>0</v>
          </cell>
          <cell r="BV191">
            <v>2.5226000000000003E-3</v>
          </cell>
          <cell r="CA191" t="str">
            <v>YGI</v>
          </cell>
          <cell r="CB191" t="str">
            <v>Alliance</v>
          </cell>
          <cell r="CC191">
            <v>15</v>
          </cell>
          <cell r="CD191">
            <v>15</v>
          </cell>
          <cell r="CE191">
            <v>200</v>
          </cell>
          <cell r="CF191" t="str">
            <v>$250PA</v>
          </cell>
          <cell r="CG191">
            <v>75</v>
          </cell>
          <cell r="CH191">
            <v>150</v>
          </cell>
          <cell r="CI191">
            <v>100</v>
          </cell>
          <cell r="CJ191" t="str">
            <v>$0 / $0</v>
          </cell>
          <cell r="CK191">
            <v>1</v>
          </cell>
          <cell r="CL191" t="str">
            <v>$1,500 / $3,000</v>
          </cell>
          <cell r="CM191" t="str">
            <v>N/A</v>
          </cell>
          <cell r="CN191" t="str">
            <v>N/A</v>
          </cell>
          <cell r="CO191" t="str">
            <v>N/A</v>
          </cell>
          <cell r="CP191" t="str">
            <v>Emb</v>
          </cell>
          <cell r="CS191" t="str">
            <v>HMO</v>
          </cell>
          <cell r="CT191" t="str">
            <v>Alliance</v>
          </cell>
          <cell r="CU191">
            <v>0.95230000000000004</v>
          </cell>
          <cell r="CW191" t="str">
            <v>All17</v>
          </cell>
          <cell r="CX191">
            <v>0.7288</v>
          </cell>
          <cell r="CY191" t="str">
            <v>BDX</v>
          </cell>
        </row>
        <row r="192">
          <cell r="BQ192" t="str">
            <v>H9-HRA</v>
          </cell>
          <cell r="BR192" t="str">
            <v>$10/$30/$50   2.5x MO</v>
          </cell>
          <cell r="BU192">
            <v>0</v>
          </cell>
          <cell r="BV192">
            <v>2.5226000000000003E-3</v>
          </cell>
          <cell r="CA192" t="str">
            <v>YH9</v>
          </cell>
          <cell r="CB192" t="str">
            <v>Alliance</v>
          </cell>
          <cell r="CC192">
            <v>15</v>
          </cell>
          <cell r="CD192">
            <v>15</v>
          </cell>
          <cell r="CE192">
            <v>400</v>
          </cell>
          <cell r="CF192" t="str">
            <v>$500PA</v>
          </cell>
          <cell r="CG192">
            <v>75</v>
          </cell>
          <cell r="CH192">
            <v>150</v>
          </cell>
          <cell r="CI192">
            <v>100</v>
          </cell>
          <cell r="CJ192" t="str">
            <v>$0 / $0</v>
          </cell>
          <cell r="CK192">
            <v>1</v>
          </cell>
          <cell r="CL192" t="str">
            <v>$1,500 / $3,000</v>
          </cell>
          <cell r="CM192" t="str">
            <v>N/A</v>
          </cell>
          <cell r="CN192" t="str">
            <v>N/A</v>
          </cell>
          <cell r="CO192" t="str">
            <v>N/A</v>
          </cell>
          <cell r="CP192" t="str">
            <v>Emb</v>
          </cell>
          <cell r="CS192" t="str">
            <v>HMO</v>
          </cell>
          <cell r="CT192" t="str">
            <v>Alliance</v>
          </cell>
          <cell r="CU192">
            <v>0.94369999999999998</v>
          </cell>
          <cell r="CW192" t="str">
            <v>All17</v>
          </cell>
          <cell r="CX192">
            <v>0.72719999999999996</v>
          </cell>
          <cell r="CY192" t="str">
            <v>BDX</v>
          </cell>
        </row>
        <row r="193">
          <cell r="BQ193" t="str">
            <v>J5-HRA</v>
          </cell>
          <cell r="BR193" t="str">
            <v>$7/$25/$45     2x MO</v>
          </cell>
          <cell r="BU193">
            <v>6.6324202014171912E-2</v>
          </cell>
          <cell r="BV193">
            <v>7.5678000000000004E-3</v>
          </cell>
          <cell r="CA193" t="str">
            <v>YHO</v>
          </cell>
          <cell r="CB193" t="str">
            <v>Alliance</v>
          </cell>
          <cell r="CC193">
            <v>20</v>
          </cell>
          <cell r="CD193">
            <v>20</v>
          </cell>
          <cell r="CE193">
            <v>0</v>
          </cell>
          <cell r="CF193">
            <v>0</v>
          </cell>
          <cell r="CG193">
            <v>75</v>
          </cell>
          <cell r="CH193">
            <v>150</v>
          </cell>
          <cell r="CI193">
            <v>100</v>
          </cell>
          <cell r="CJ193" t="str">
            <v>$0 / $0</v>
          </cell>
          <cell r="CK193">
            <v>1</v>
          </cell>
          <cell r="CL193" t="str">
            <v>$1,500 / $3,000</v>
          </cell>
          <cell r="CM193" t="str">
            <v>N/A</v>
          </cell>
          <cell r="CN193" t="str">
            <v>N/A</v>
          </cell>
          <cell r="CO193" t="str">
            <v>N/A</v>
          </cell>
          <cell r="CP193" t="str">
            <v>Emb</v>
          </cell>
          <cell r="CS193" t="str">
            <v>HMO</v>
          </cell>
          <cell r="CT193" t="str">
            <v>Alliance</v>
          </cell>
          <cell r="CU193">
            <v>0.95369999999999999</v>
          </cell>
          <cell r="CW193" t="str">
            <v>All17</v>
          </cell>
          <cell r="CX193">
            <v>0.72409999999999997</v>
          </cell>
          <cell r="CY193" t="str">
            <v>BDX</v>
          </cell>
        </row>
        <row r="194">
          <cell r="BQ194" t="str">
            <v>S5-HRA</v>
          </cell>
          <cell r="BR194" t="str">
            <v>$7/$25/$45   2.5x MO</v>
          </cell>
          <cell r="BU194">
            <v>6.6324202014171912E-2</v>
          </cell>
          <cell r="BV194">
            <v>7.5678000000000004E-3</v>
          </cell>
          <cell r="CA194" t="str">
            <v>YJI</v>
          </cell>
          <cell r="CB194" t="str">
            <v>Alliance</v>
          </cell>
          <cell r="CC194">
            <v>20</v>
          </cell>
          <cell r="CD194">
            <v>20</v>
          </cell>
          <cell r="CE194">
            <v>200</v>
          </cell>
          <cell r="CF194" t="str">
            <v>$250PA</v>
          </cell>
          <cell r="CG194">
            <v>75</v>
          </cell>
          <cell r="CH194">
            <v>150</v>
          </cell>
          <cell r="CI194">
            <v>100</v>
          </cell>
          <cell r="CJ194" t="str">
            <v>$0 / $0</v>
          </cell>
          <cell r="CK194">
            <v>1</v>
          </cell>
          <cell r="CL194" t="str">
            <v>$1,500 / $3,000</v>
          </cell>
          <cell r="CM194" t="str">
            <v>N/A</v>
          </cell>
          <cell r="CN194" t="str">
            <v>N/A</v>
          </cell>
          <cell r="CO194" t="str">
            <v>N/A</v>
          </cell>
          <cell r="CP194" t="str">
            <v>Emb</v>
          </cell>
          <cell r="CS194" t="str">
            <v>HMO</v>
          </cell>
          <cell r="CT194" t="str">
            <v>Alliance</v>
          </cell>
          <cell r="CU194">
            <v>0.94340000000000002</v>
          </cell>
          <cell r="CW194" t="str">
            <v>All17</v>
          </cell>
          <cell r="CX194">
            <v>0.72199999999999998</v>
          </cell>
          <cell r="CY194" t="str">
            <v>BDX</v>
          </cell>
        </row>
        <row r="195">
          <cell r="BQ195" t="str">
            <v>0B-HSA</v>
          </cell>
          <cell r="BR195" t="str">
            <v>$15/$40/$60   2x MO</v>
          </cell>
          <cell r="BU195">
            <v>-7.7625982340452995E-2</v>
          </cell>
          <cell r="BV195">
            <v>-4.6668100000000004E-3</v>
          </cell>
          <cell r="CA195" t="str">
            <v>YK0</v>
          </cell>
          <cell r="CB195" t="str">
            <v>Alliance</v>
          </cell>
          <cell r="CC195">
            <v>20</v>
          </cell>
          <cell r="CD195">
            <v>20</v>
          </cell>
          <cell r="CE195">
            <v>400</v>
          </cell>
          <cell r="CF195" t="str">
            <v>$500PA</v>
          </cell>
          <cell r="CG195">
            <v>75</v>
          </cell>
          <cell r="CH195">
            <v>150</v>
          </cell>
          <cell r="CI195">
            <v>100</v>
          </cell>
          <cell r="CJ195" t="str">
            <v>$0 / $0</v>
          </cell>
          <cell r="CK195">
            <v>1</v>
          </cell>
          <cell r="CL195" t="str">
            <v>$1,500 / $3,000</v>
          </cell>
          <cell r="CM195" t="str">
            <v>N/A</v>
          </cell>
          <cell r="CN195" t="str">
            <v>N/A</v>
          </cell>
          <cell r="CO195" t="str">
            <v>N/A</v>
          </cell>
          <cell r="CP195" t="str">
            <v>Emb</v>
          </cell>
          <cell r="CS195" t="str">
            <v>HMO</v>
          </cell>
          <cell r="CT195" t="str">
            <v>Alliance</v>
          </cell>
          <cell r="CU195">
            <v>0.93500000000000005</v>
          </cell>
          <cell r="CW195" t="str">
            <v>All17</v>
          </cell>
          <cell r="CX195">
            <v>0.72050000000000003</v>
          </cell>
          <cell r="CY195" t="str">
            <v>BDX</v>
          </cell>
        </row>
        <row r="196">
          <cell r="BQ196" t="str">
            <v>239-HSA</v>
          </cell>
          <cell r="BR196" t="str">
            <v>$10/$35/$60   2x MO</v>
          </cell>
          <cell r="BU196">
            <v>-3.4943490651667998E-2</v>
          </cell>
          <cell r="BV196">
            <v>0</v>
          </cell>
          <cell r="CA196" t="str">
            <v>YMO</v>
          </cell>
          <cell r="CB196" t="str">
            <v>Alliance</v>
          </cell>
          <cell r="CC196">
            <v>25</v>
          </cell>
          <cell r="CD196">
            <v>25</v>
          </cell>
          <cell r="CE196">
            <v>200</v>
          </cell>
          <cell r="CF196" t="str">
            <v>$250PA</v>
          </cell>
          <cell r="CG196">
            <v>75</v>
          </cell>
          <cell r="CH196">
            <v>150</v>
          </cell>
          <cell r="CI196">
            <v>100</v>
          </cell>
          <cell r="CJ196" t="str">
            <v>$0 / $0</v>
          </cell>
          <cell r="CK196">
            <v>1</v>
          </cell>
          <cell r="CL196" t="str">
            <v>$1,500 / $3,000</v>
          </cell>
          <cell r="CM196" t="str">
            <v>N/A</v>
          </cell>
          <cell r="CN196" t="str">
            <v>N/A</v>
          </cell>
          <cell r="CO196" t="str">
            <v>N/A</v>
          </cell>
          <cell r="CP196" t="str">
            <v>Emb</v>
          </cell>
          <cell r="CS196" t="str">
            <v>HMO</v>
          </cell>
          <cell r="CT196" t="str">
            <v>Alliance</v>
          </cell>
          <cell r="CU196">
            <v>0.93440000000000001</v>
          </cell>
          <cell r="CW196" t="str">
            <v>All17</v>
          </cell>
          <cell r="CX196">
            <v>0.71530000000000005</v>
          </cell>
          <cell r="CY196" t="str">
            <v>BDX</v>
          </cell>
        </row>
        <row r="197">
          <cell r="BQ197" t="str">
            <v>2V-HSA</v>
          </cell>
          <cell r="BR197" t="str">
            <v>$10/$35/$60   2.5x MO</v>
          </cell>
          <cell r="BU197">
            <v>-3.4943490651667998E-2</v>
          </cell>
          <cell r="BV197">
            <v>0</v>
          </cell>
          <cell r="CA197" t="str">
            <v>YN0</v>
          </cell>
          <cell r="CB197" t="str">
            <v>Alliance</v>
          </cell>
          <cell r="CC197">
            <v>25</v>
          </cell>
          <cell r="CD197">
            <v>25</v>
          </cell>
          <cell r="CE197">
            <v>400</v>
          </cell>
          <cell r="CF197" t="str">
            <v>$500PA</v>
          </cell>
          <cell r="CG197">
            <v>75</v>
          </cell>
          <cell r="CH197">
            <v>150</v>
          </cell>
          <cell r="CI197">
            <v>100</v>
          </cell>
          <cell r="CJ197" t="str">
            <v>$0 / $0</v>
          </cell>
          <cell r="CK197">
            <v>1</v>
          </cell>
          <cell r="CL197" t="str">
            <v>$1,500 / $3,000</v>
          </cell>
          <cell r="CM197" t="str">
            <v>N/A</v>
          </cell>
          <cell r="CN197" t="str">
            <v>N/A</v>
          </cell>
          <cell r="CO197" t="str">
            <v>N/A</v>
          </cell>
          <cell r="CP197" t="str">
            <v>Emb</v>
          </cell>
          <cell r="CS197" t="str">
            <v>HMO</v>
          </cell>
          <cell r="CT197" t="str">
            <v>Alliance</v>
          </cell>
          <cell r="CU197">
            <v>0.92649999999999999</v>
          </cell>
          <cell r="CW197" t="str">
            <v>All17</v>
          </cell>
          <cell r="CX197">
            <v>0.71379999999999999</v>
          </cell>
          <cell r="CY197" t="str">
            <v>BDX</v>
          </cell>
        </row>
        <row r="198">
          <cell r="BQ198" t="str">
            <v>C2-HSA</v>
          </cell>
          <cell r="BR198" t="str">
            <v>$10/$30/$50   2x MO</v>
          </cell>
          <cell r="BU198">
            <v>0</v>
          </cell>
          <cell r="BV198">
            <v>2.5226000000000003E-3</v>
          </cell>
          <cell r="CA198" t="str">
            <v>YN9</v>
          </cell>
          <cell r="CB198" t="str">
            <v>Alliance</v>
          </cell>
          <cell r="CC198">
            <v>10</v>
          </cell>
          <cell r="CD198">
            <v>20</v>
          </cell>
          <cell r="CE198">
            <v>100</v>
          </cell>
          <cell r="CF198" t="str">
            <v>$150PDx3</v>
          </cell>
          <cell r="CG198">
            <v>75</v>
          </cell>
          <cell r="CH198">
            <v>150</v>
          </cell>
          <cell r="CI198">
            <v>100</v>
          </cell>
          <cell r="CJ198" t="str">
            <v>$0 / $0</v>
          </cell>
          <cell r="CK198">
            <v>1</v>
          </cell>
          <cell r="CL198" t="str">
            <v>$1,500 / $3,000</v>
          </cell>
          <cell r="CM198" t="str">
            <v>N/A</v>
          </cell>
          <cell r="CN198" t="str">
            <v>N/A</v>
          </cell>
          <cell r="CO198" t="str">
            <v>N/A</v>
          </cell>
          <cell r="CP198" t="str">
            <v>Emb</v>
          </cell>
          <cell r="CS198" t="str">
            <v>HMO</v>
          </cell>
          <cell r="CT198" t="str">
            <v>Alliance</v>
          </cell>
          <cell r="CU198">
            <v>0.95620000000000005</v>
          </cell>
          <cell r="CW198" t="str">
            <v>All17</v>
          </cell>
          <cell r="CX198">
            <v>0.72729999999999995</v>
          </cell>
          <cell r="CY198" t="str">
            <v>BDX</v>
          </cell>
        </row>
        <row r="199">
          <cell r="BQ199" t="str">
            <v>H9-HSA</v>
          </cell>
          <cell r="BR199" t="str">
            <v>$10/$30/$50   2.5x MO</v>
          </cell>
          <cell r="BU199">
            <v>0</v>
          </cell>
          <cell r="BV199">
            <v>2.5226000000000003E-3</v>
          </cell>
          <cell r="CA199" t="str">
            <v>YNI</v>
          </cell>
          <cell r="CB199" t="str">
            <v>Alliance</v>
          </cell>
          <cell r="CC199">
            <v>10</v>
          </cell>
          <cell r="CD199">
            <v>20</v>
          </cell>
          <cell r="CE199">
            <v>200</v>
          </cell>
          <cell r="CF199" t="str">
            <v>$250PDx3</v>
          </cell>
          <cell r="CG199">
            <v>75</v>
          </cell>
          <cell r="CH199">
            <v>150</v>
          </cell>
          <cell r="CI199">
            <v>100</v>
          </cell>
          <cell r="CJ199" t="str">
            <v>$0 / $0</v>
          </cell>
          <cell r="CK199">
            <v>1</v>
          </cell>
          <cell r="CL199" t="str">
            <v>$1,500 / $3,000</v>
          </cell>
          <cell r="CM199" t="str">
            <v>N/A</v>
          </cell>
          <cell r="CN199" t="str">
            <v>N/A</v>
          </cell>
          <cell r="CO199" t="str">
            <v>N/A</v>
          </cell>
          <cell r="CP199" t="str">
            <v>Emb</v>
          </cell>
          <cell r="CS199" t="str">
            <v>HMO</v>
          </cell>
          <cell r="CT199" t="str">
            <v>Alliance</v>
          </cell>
          <cell r="CU199">
            <v>0.95079999999999998</v>
          </cell>
          <cell r="CW199" t="str">
            <v>All17</v>
          </cell>
          <cell r="CX199">
            <v>0.72629999999999995</v>
          </cell>
          <cell r="CY199" t="str">
            <v>BDX</v>
          </cell>
        </row>
        <row r="200">
          <cell r="BQ200" t="str">
            <v>J5-HSA</v>
          </cell>
          <cell r="BR200" t="str">
            <v>$7/$25/$45     2x MO</v>
          </cell>
          <cell r="BU200">
            <v>6.6324202014171912E-2</v>
          </cell>
          <cell r="BV200">
            <v>7.5678000000000004E-3</v>
          </cell>
          <cell r="CA200" t="str">
            <v>YQ0</v>
          </cell>
          <cell r="CB200" t="str">
            <v>Alliance</v>
          </cell>
          <cell r="CC200">
            <v>20</v>
          </cell>
          <cell r="CD200">
            <v>30</v>
          </cell>
          <cell r="CE200">
            <v>100</v>
          </cell>
          <cell r="CF200" t="str">
            <v>$150PDx3</v>
          </cell>
          <cell r="CG200">
            <v>75</v>
          </cell>
          <cell r="CH200">
            <v>150</v>
          </cell>
          <cell r="CI200">
            <v>100</v>
          </cell>
          <cell r="CJ200" t="str">
            <v>$0 / $0</v>
          </cell>
          <cell r="CK200">
            <v>1</v>
          </cell>
          <cell r="CL200" t="str">
            <v>$1,500 / $3,000</v>
          </cell>
          <cell r="CM200" t="str">
            <v>N/A</v>
          </cell>
          <cell r="CN200" t="str">
            <v>N/A</v>
          </cell>
          <cell r="CO200" t="str">
            <v>N/A</v>
          </cell>
          <cell r="CP200" t="str">
            <v>Emb</v>
          </cell>
          <cell r="CS200" t="str">
            <v>HMO</v>
          </cell>
          <cell r="CT200" t="str">
            <v>Alliance</v>
          </cell>
          <cell r="CU200">
            <v>0.93830000000000002</v>
          </cell>
          <cell r="CW200" t="str">
            <v>All17</v>
          </cell>
          <cell r="CX200">
            <v>0.71389999999999998</v>
          </cell>
          <cell r="CY200" t="str">
            <v>BDX</v>
          </cell>
        </row>
        <row r="201">
          <cell r="BQ201" t="str">
            <v>S5-HSA</v>
          </cell>
          <cell r="BR201" t="str">
            <v>$7/$25/$45   2.5x MO</v>
          </cell>
          <cell r="BU201">
            <v>6.6324202014171912E-2</v>
          </cell>
          <cell r="BV201">
            <v>7.5678000000000004E-3</v>
          </cell>
          <cell r="CA201" t="str">
            <v>YQI</v>
          </cell>
          <cell r="CB201" t="str">
            <v>Alliance</v>
          </cell>
          <cell r="CC201">
            <v>25</v>
          </cell>
          <cell r="CD201">
            <v>35</v>
          </cell>
          <cell r="CE201">
            <v>0</v>
          </cell>
          <cell r="CF201">
            <v>0</v>
          </cell>
          <cell r="CG201">
            <v>75</v>
          </cell>
          <cell r="CH201">
            <v>150</v>
          </cell>
          <cell r="CI201">
            <v>100</v>
          </cell>
          <cell r="CJ201" t="str">
            <v>$0 / $0</v>
          </cell>
          <cell r="CK201">
            <v>1</v>
          </cell>
          <cell r="CL201" t="str">
            <v>$1,500 / $3,000</v>
          </cell>
          <cell r="CM201" t="str">
            <v>N/A</v>
          </cell>
          <cell r="CN201" t="str">
            <v>N/A</v>
          </cell>
          <cell r="CO201" t="str">
            <v>N/A</v>
          </cell>
          <cell r="CP201" t="str">
            <v>Emb</v>
          </cell>
          <cell r="CS201" t="str">
            <v>HMO</v>
          </cell>
          <cell r="CT201" t="str">
            <v>Alliance</v>
          </cell>
          <cell r="CU201">
            <v>0.93640000000000001</v>
          </cell>
          <cell r="CW201" t="str">
            <v>All17</v>
          </cell>
          <cell r="CX201">
            <v>0.70940000000000003</v>
          </cell>
          <cell r="CY201" t="str">
            <v>BDX</v>
          </cell>
        </row>
        <row r="202">
          <cell r="CA202" t="str">
            <v>YT0</v>
          </cell>
          <cell r="CB202" t="str">
            <v>Alliance</v>
          </cell>
          <cell r="CC202">
            <v>25</v>
          </cell>
          <cell r="CD202">
            <v>35</v>
          </cell>
          <cell r="CE202">
            <v>100</v>
          </cell>
          <cell r="CF202" t="str">
            <v>$150PDx3</v>
          </cell>
          <cell r="CG202">
            <v>75</v>
          </cell>
          <cell r="CH202">
            <v>150</v>
          </cell>
          <cell r="CI202">
            <v>100</v>
          </cell>
          <cell r="CJ202" t="str">
            <v>$0 / $0</v>
          </cell>
          <cell r="CK202">
            <v>1</v>
          </cell>
          <cell r="CL202" t="str">
            <v>$1,500 / $3,000</v>
          </cell>
          <cell r="CM202" t="str">
            <v>N/A</v>
          </cell>
          <cell r="CN202" t="str">
            <v>N/A</v>
          </cell>
          <cell r="CO202" t="str">
            <v>N/A</v>
          </cell>
          <cell r="CP202" t="str">
            <v>Emb</v>
          </cell>
          <cell r="CS202" t="str">
            <v>HMO</v>
          </cell>
          <cell r="CT202" t="str">
            <v>Alliance</v>
          </cell>
          <cell r="CU202">
            <v>0.92589999999999995</v>
          </cell>
          <cell r="CW202" t="str">
            <v>All17</v>
          </cell>
          <cell r="CX202">
            <v>0.70720000000000005</v>
          </cell>
          <cell r="CY202" t="str">
            <v>BDX</v>
          </cell>
        </row>
        <row r="203">
          <cell r="CA203" t="str">
            <v>YT9</v>
          </cell>
          <cell r="CB203" t="str">
            <v>Alliance</v>
          </cell>
          <cell r="CC203">
            <v>15</v>
          </cell>
          <cell r="CD203">
            <v>30</v>
          </cell>
          <cell r="CE203">
            <v>200</v>
          </cell>
          <cell r="CF203" t="str">
            <v>$250PDx3</v>
          </cell>
          <cell r="CG203">
            <v>75</v>
          </cell>
          <cell r="CH203">
            <v>150</v>
          </cell>
          <cell r="CI203">
            <v>100</v>
          </cell>
          <cell r="CJ203" t="str">
            <v>$0 / $0</v>
          </cell>
          <cell r="CK203">
            <v>1</v>
          </cell>
          <cell r="CL203" t="str">
            <v>$2,500 / $5,000</v>
          </cell>
          <cell r="CM203" t="str">
            <v>N/A</v>
          </cell>
          <cell r="CN203" t="str">
            <v>N/A</v>
          </cell>
          <cell r="CO203" t="str">
            <v>N/A</v>
          </cell>
          <cell r="CP203" t="str">
            <v>Emb</v>
          </cell>
          <cell r="CS203" t="str">
            <v>HMO</v>
          </cell>
          <cell r="CT203" t="str">
            <v>Alliance</v>
          </cell>
          <cell r="CU203">
            <v>0.93300000000000005</v>
          </cell>
          <cell r="CW203" t="str">
            <v>All17</v>
          </cell>
          <cell r="CX203">
            <v>0.71389999999999998</v>
          </cell>
          <cell r="CY203" t="str">
            <v>BDX</v>
          </cell>
        </row>
        <row r="204">
          <cell r="CA204" t="str">
            <v>YUI</v>
          </cell>
          <cell r="CB204" t="str">
            <v>Alliance</v>
          </cell>
          <cell r="CC204">
            <v>25</v>
          </cell>
          <cell r="CD204">
            <v>40</v>
          </cell>
          <cell r="CE204">
            <v>200</v>
          </cell>
          <cell r="CF204" t="str">
            <v>$250PDx3</v>
          </cell>
          <cell r="CG204">
            <v>75</v>
          </cell>
          <cell r="CH204">
            <v>150</v>
          </cell>
          <cell r="CI204">
            <v>100</v>
          </cell>
          <cell r="CJ204" t="str">
            <v>$0 / $0</v>
          </cell>
          <cell r="CK204">
            <v>1</v>
          </cell>
          <cell r="CL204" t="str">
            <v>$2,500 / $5,000</v>
          </cell>
          <cell r="CM204" t="str">
            <v>N/A</v>
          </cell>
          <cell r="CN204" t="str">
            <v>N/A</v>
          </cell>
          <cell r="CO204" t="str">
            <v>N/A</v>
          </cell>
          <cell r="CP204" t="str">
            <v>Emb</v>
          </cell>
          <cell r="CS204" t="str">
            <v>HMO</v>
          </cell>
          <cell r="CT204" t="str">
            <v>Alliance</v>
          </cell>
          <cell r="CU204">
            <v>0.91449999999999998</v>
          </cell>
          <cell r="CW204" t="str">
            <v>All17</v>
          </cell>
          <cell r="CX204">
            <v>0.70050000000000001</v>
          </cell>
          <cell r="CY204" t="str">
            <v>BDX</v>
          </cell>
        </row>
        <row r="205">
          <cell r="CA205" t="str">
            <v>YW0</v>
          </cell>
          <cell r="CB205" t="str">
            <v>Alliance</v>
          </cell>
          <cell r="CC205">
            <v>35</v>
          </cell>
          <cell r="CD205">
            <v>50</v>
          </cell>
          <cell r="CE205">
            <v>200</v>
          </cell>
          <cell r="CF205" t="str">
            <v>$250PDx3</v>
          </cell>
          <cell r="CG205">
            <v>75</v>
          </cell>
          <cell r="CH205">
            <v>150</v>
          </cell>
          <cell r="CI205">
            <v>100</v>
          </cell>
          <cell r="CJ205" t="str">
            <v>$0 / $0</v>
          </cell>
          <cell r="CK205">
            <v>1</v>
          </cell>
          <cell r="CL205" t="str">
            <v>$2,500 / $5,000</v>
          </cell>
          <cell r="CM205" t="str">
            <v>N/A</v>
          </cell>
          <cell r="CN205" t="str">
            <v>N/A</v>
          </cell>
          <cell r="CO205" t="str">
            <v>N/A</v>
          </cell>
          <cell r="CP205" t="str">
            <v>Emb</v>
          </cell>
          <cell r="CS205" t="str">
            <v>HMO</v>
          </cell>
          <cell r="CT205" t="str">
            <v>Alliance</v>
          </cell>
          <cell r="CU205">
            <v>0.89649999999999996</v>
          </cell>
          <cell r="CW205" t="str">
            <v>All17</v>
          </cell>
          <cell r="CX205">
            <v>0.68710000000000004</v>
          </cell>
          <cell r="CY205" t="str">
            <v>BDX</v>
          </cell>
        </row>
        <row r="206">
          <cell r="BQ206">
            <v>522</v>
          </cell>
          <cell r="BR206" t="str">
            <v>$0/$35/$100/$250     2.5xMO   $250/$500 Ded</v>
          </cell>
          <cell r="BU206">
            <v>0.49599751376793622</v>
          </cell>
          <cell r="BV206">
            <v>0.19739000000000001</v>
          </cell>
          <cell r="CA206" t="str">
            <v>YXI</v>
          </cell>
          <cell r="CB206" t="str">
            <v>Alliance</v>
          </cell>
          <cell r="CC206">
            <v>20</v>
          </cell>
          <cell r="CD206">
            <v>40</v>
          </cell>
          <cell r="CE206">
            <v>400</v>
          </cell>
          <cell r="CF206" t="str">
            <v>$500PDx5</v>
          </cell>
          <cell r="CG206">
            <v>100</v>
          </cell>
          <cell r="CH206">
            <v>200</v>
          </cell>
          <cell r="CI206">
            <v>100</v>
          </cell>
          <cell r="CJ206" t="str">
            <v>$0 / $0</v>
          </cell>
          <cell r="CK206">
            <v>1</v>
          </cell>
          <cell r="CL206" t="str">
            <v>$4,500 / $9,000</v>
          </cell>
          <cell r="CM206" t="str">
            <v>N/A</v>
          </cell>
          <cell r="CN206" t="str">
            <v>N/A</v>
          </cell>
          <cell r="CO206" t="str">
            <v>N/A</v>
          </cell>
          <cell r="CP206" t="str">
            <v>Emb</v>
          </cell>
          <cell r="CS206" t="str">
            <v>HMO</v>
          </cell>
          <cell r="CT206" t="str">
            <v>Alliance</v>
          </cell>
          <cell r="CU206">
            <v>0.89170000000000005</v>
          </cell>
          <cell r="CW206" t="str">
            <v>All17</v>
          </cell>
          <cell r="CX206">
            <v>0.69399999999999995</v>
          </cell>
          <cell r="CY206" t="str">
            <v>BDX</v>
          </cell>
        </row>
        <row r="207">
          <cell r="CA207" t="str">
            <v>YVG</v>
          </cell>
          <cell r="CB207" t="str">
            <v>Alliance</v>
          </cell>
          <cell r="CC207">
            <v>25</v>
          </cell>
          <cell r="CD207">
            <v>45</v>
          </cell>
          <cell r="CE207">
            <v>200</v>
          </cell>
          <cell r="CF207" t="str">
            <v>$250PDx5</v>
          </cell>
          <cell r="CG207">
            <v>100</v>
          </cell>
          <cell r="CH207">
            <v>200</v>
          </cell>
          <cell r="CI207">
            <v>100</v>
          </cell>
          <cell r="CJ207" t="str">
            <v>$0 / $0</v>
          </cell>
          <cell r="CK207">
            <v>1</v>
          </cell>
          <cell r="CL207" t="str">
            <v>$4,500 / $9,000</v>
          </cell>
          <cell r="CM207" t="str">
            <v>N/A</v>
          </cell>
          <cell r="CN207" t="str">
            <v>N/A</v>
          </cell>
          <cell r="CO207" t="str">
            <v>N/A</v>
          </cell>
          <cell r="CP207" t="str">
            <v>Emb</v>
          </cell>
          <cell r="CS207" t="str">
            <v>HMO</v>
          </cell>
          <cell r="CT207" t="str">
            <v>Alliance</v>
          </cell>
          <cell r="CU207">
            <v>0.89859999999999995</v>
          </cell>
          <cell r="CW207" t="str">
            <v>All17</v>
          </cell>
          <cell r="CX207">
            <v>0.69259999999999999</v>
          </cell>
          <cell r="CY207" t="str">
            <v>BDX</v>
          </cell>
        </row>
        <row r="208">
          <cell r="CA208" t="str">
            <v>Y01</v>
          </cell>
          <cell r="CB208" t="str">
            <v>Alliance</v>
          </cell>
          <cell r="CC208">
            <v>30</v>
          </cell>
          <cell r="CD208">
            <v>50</v>
          </cell>
          <cell r="CE208">
            <v>200</v>
          </cell>
          <cell r="CF208" t="str">
            <v>$250PDx5</v>
          </cell>
          <cell r="CG208">
            <v>100</v>
          </cell>
          <cell r="CH208">
            <v>200</v>
          </cell>
          <cell r="CI208">
            <v>100</v>
          </cell>
          <cell r="CJ208" t="str">
            <v>$0 / $0</v>
          </cell>
          <cell r="CK208">
            <v>1</v>
          </cell>
          <cell r="CL208" t="str">
            <v>$4,500 / $9,000</v>
          </cell>
          <cell r="CM208" t="str">
            <v>N/A</v>
          </cell>
          <cell r="CN208" t="str">
            <v>N/A</v>
          </cell>
          <cell r="CO208" t="str">
            <v>N/A</v>
          </cell>
          <cell r="CP208" t="str">
            <v>Emb</v>
          </cell>
          <cell r="CS208" t="str">
            <v>HMO</v>
          </cell>
          <cell r="CT208" t="str">
            <v>Alliance</v>
          </cell>
          <cell r="CU208">
            <v>0.88919999999999999</v>
          </cell>
          <cell r="CW208" t="str">
            <v>All17</v>
          </cell>
          <cell r="CX208">
            <v>0.68579999999999997</v>
          </cell>
          <cell r="CY208" t="str">
            <v>BDX</v>
          </cell>
        </row>
        <row r="209">
          <cell r="CA209" t="str">
            <v>Y04</v>
          </cell>
          <cell r="CB209" t="str">
            <v>Alliance</v>
          </cell>
          <cell r="CC209">
            <v>30</v>
          </cell>
          <cell r="CD209">
            <v>50</v>
          </cell>
          <cell r="CE209">
            <v>400</v>
          </cell>
          <cell r="CF209" t="str">
            <v>$500PDx5</v>
          </cell>
          <cell r="CG209">
            <v>100</v>
          </cell>
          <cell r="CH209">
            <v>200</v>
          </cell>
          <cell r="CI209">
            <v>100</v>
          </cell>
          <cell r="CJ209" t="str">
            <v>$0 / $0</v>
          </cell>
          <cell r="CK209">
            <v>1</v>
          </cell>
          <cell r="CL209" t="str">
            <v>$4,500 / $9,000</v>
          </cell>
          <cell r="CM209" t="str">
            <v>N/A</v>
          </cell>
          <cell r="CN209" t="str">
            <v>N/A</v>
          </cell>
          <cell r="CO209" t="str">
            <v>N/A</v>
          </cell>
          <cell r="CP209" t="str">
            <v>Emb</v>
          </cell>
          <cell r="CS209" t="str">
            <v>HMO</v>
          </cell>
          <cell r="CT209" t="str">
            <v>Alliance</v>
          </cell>
          <cell r="CU209">
            <v>0.87319999999999998</v>
          </cell>
          <cell r="CW209" t="str">
            <v>All17</v>
          </cell>
          <cell r="CX209">
            <v>0.68069999999999997</v>
          </cell>
          <cell r="CY209" t="str">
            <v>BDX</v>
          </cell>
        </row>
        <row r="210">
          <cell r="CA210" t="str">
            <v>Y07</v>
          </cell>
          <cell r="CB210" t="str">
            <v>Alliance</v>
          </cell>
          <cell r="CC210">
            <v>25</v>
          </cell>
          <cell r="CD210">
            <v>45</v>
          </cell>
          <cell r="CE210" t="str">
            <v>N/A</v>
          </cell>
          <cell r="CF210" t="str">
            <v>N/A</v>
          </cell>
          <cell r="CG210">
            <v>100</v>
          </cell>
          <cell r="CH210">
            <v>200</v>
          </cell>
          <cell r="CI210">
            <v>100</v>
          </cell>
          <cell r="CJ210" t="str">
            <v>$0 / $0</v>
          </cell>
          <cell r="CK210">
            <v>0.9</v>
          </cell>
          <cell r="CL210" t="str">
            <v>$2,500 / $5,000</v>
          </cell>
          <cell r="CM210" t="str">
            <v>N/A</v>
          </cell>
          <cell r="CN210" t="str">
            <v>N/A</v>
          </cell>
          <cell r="CO210" t="str">
            <v>N/A</v>
          </cell>
          <cell r="CP210" t="str">
            <v>Emb</v>
          </cell>
          <cell r="CS210" t="str">
            <v>HMO</v>
          </cell>
          <cell r="CT210" t="str">
            <v>Alliance</v>
          </cell>
          <cell r="CU210">
            <v>0.88619999999999999</v>
          </cell>
          <cell r="CW210" t="str">
            <v>All17</v>
          </cell>
          <cell r="CX210">
            <v>0.69969999999999999</v>
          </cell>
          <cell r="CY210" t="str">
            <v>BDX</v>
          </cell>
        </row>
        <row r="211">
          <cell r="CA211" t="str">
            <v>Y0B</v>
          </cell>
          <cell r="CB211" t="str">
            <v>Alliance</v>
          </cell>
          <cell r="CC211">
            <v>25</v>
          </cell>
          <cell r="CD211">
            <v>45</v>
          </cell>
          <cell r="CE211" t="str">
            <v>N/A</v>
          </cell>
          <cell r="CF211" t="str">
            <v>N/A</v>
          </cell>
          <cell r="CG211">
            <v>100</v>
          </cell>
          <cell r="CH211">
            <v>200</v>
          </cell>
          <cell r="CI211">
            <v>100</v>
          </cell>
          <cell r="CJ211" t="str">
            <v>$0 / $0</v>
          </cell>
          <cell r="CK211">
            <v>0.8</v>
          </cell>
          <cell r="CL211" t="str">
            <v>$3,500 / $7,000</v>
          </cell>
          <cell r="CM211" t="str">
            <v>N/A</v>
          </cell>
          <cell r="CN211" t="str">
            <v>N/A</v>
          </cell>
          <cell r="CO211" t="str">
            <v>N/A</v>
          </cell>
          <cell r="CP211" t="str">
            <v>Emb</v>
          </cell>
          <cell r="CS211" t="str">
            <v>HMO</v>
          </cell>
          <cell r="CT211" t="str">
            <v>Alliance</v>
          </cell>
          <cell r="CU211">
            <v>0.85129999999999995</v>
          </cell>
          <cell r="CW211" t="str">
            <v>All17</v>
          </cell>
          <cell r="CX211">
            <v>0.69969999999999999</v>
          </cell>
          <cell r="CY211" t="str">
            <v>BDX</v>
          </cell>
        </row>
        <row r="212">
          <cell r="CA212" t="str">
            <v>Y0E</v>
          </cell>
          <cell r="CB212" t="str">
            <v>Alliance</v>
          </cell>
          <cell r="CC212">
            <v>25</v>
          </cell>
          <cell r="CD212">
            <v>45</v>
          </cell>
          <cell r="CE212" t="str">
            <v>N/A</v>
          </cell>
          <cell r="CF212" t="str">
            <v>N/A</v>
          </cell>
          <cell r="CG212">
            <v>100</v>
          </cell>
          <cell r="CH212">
            <v>200</v>
          </cell>
          <cell r="CI212">
            <v>100</v>
          </cell>
          <cell r="CJ212" t="str">
            <v>$0 / $0</v>
          </cell>
          <cell r="CK212">
            <v>0.7</v>
          </cell>
          <cell r="CL212" t="str">
            <v>$4,500 / $9,000</v>
          </cell>
          <cell r="CM212" t="str">
            <v>N/A</v>
          </cell>
          <cell r="CN212" t="str">
            <v>N/A</v>
          </cell>
          <cell r="CO212" t="str">
            <v>N/A</v>
          </cell>
          <cell r="CP212" t="str">
            <v>Emb</v>
          </cell>
          <cell r="CS212" t="str">
            <v>HMO</v>
          </cell>
          <cell r="CT212" t="str">
            <v>Alliance</v>
          </cell>
          <cell r="CU212">
            <v>0.81730000000000003</v>
          </cell>
          <cell r="CW212" t="str">
            <v>All17</v>
          </cell>
          <cell r="CX212">
            <v>0.69969999999999999</v>
          </cell>
          <cell r="CY212" t="str">
            <v>BDX</v>
          </cell>
        </row>
        <row r="213">
          <cell r="BQ213" t="str">
            <v>MMX17 RX 01 (1039A)</v>
          </cell>
          <cell r="BR213" t="str">
            <v>In &amp; Out Network:  $5/$20/$50     Mail=$12.50/$50/$125</v>
          </cell>
          <cell r="BU213">
            <v>0.64246986598187483</v>
          </cell>
          <cell r="BV213">
            <v>0</v>
          </cell>
          <cell r="CA213" t="str">
            <v>Y0J</v>
          </cell>
          <cell r="CB213" t="str">
            <v>Alliance</v>
          </cell>
          <cell r="CC213">
            <v>30</v>
          </cell>
          <cell r="CD213">
            <v>50</v>
          </cell>
          <cell r="CE213" t="str">
            <v>N/A</v>
          </cell>
          <cell r="CF213" t="str">
            <v>N/A</v>
          </cell>
          <cell r="CG213">
            <v>100</v>
          </cell>
          <cell r="CH213">
            <v>200</v>
          </cell>
          <cell r="CI213">
            <v>100</v>
          </cell>
          <cell r="CJ213" t="str">
            <v>$0 / $0</v>
          </cell>
          <cell r="CK213">
            <v>0.9</v>
          </cell>
          <cell r="CL213" t="str">
            <v>$2,500 / $5,000</v>
          </cell>
          <cell r="CM213" t="str">
            <v>N/A</v>
          </cell>
          <cell r="CN213" t="str">
            <v>N/A</v>
          </cell>
          <cell r="CO213" t="str">
            <v>N/A</v>
          </cell>
          <cell r="CP213" t="str">
            <v>Emb</v>
          </cell>
          <cell r="CS213" t="str">
            <v>HMO</v>
          </cell>
          <cell r="CT213" t="str">
            <v>Alliance</v>
          </cell>
          <cell r="CU213">
            <v>0.87780000000000002</v>
          </cell>
          <cell r="CW213" t="str">
            <v>All17</v>
          </cell>
          <cell r="CX213">
            <v>0.69289999999999996</v>
          </cell>
          <cell r="CY213" t="str">
            <v>BDX</v>
          </cell>
        </row>
        <row r="214">
          <cell r="BQ214" t="str">
            <v>MMX17 RX 02 (1040A)</v>
          </cell>
          <cell r="BR214" t="str">
            <v>In &amp; Out Network:  $10/$30/$60     Mail=$25/$75/$150</v>
          </cell>
          <cell r="BU214">
            <v>0.5444134027661891</v>
          </cell>
          <cell r="BV214">
            <v>0</v>
          </cell>
          <cell r="CA214" t="str">
            <v>Y0M</v>
          </cell>
          <cell r="CB214" t="str">
            <v>Alliance</v>
          </cell>
          <cell r="CC214">
            <v>35</v>
          </cell>
          <cell r="CD214">
            <v>55</v>
          </cell>
          <cell r="CE214" t="str">
            <v>N/A</v>
          </cell>
          <cell r="CF214" t="str">
            <v>N/A</v>
          </cell>
          <cell r="CG214">
            <v>100</v>
          </cell>
          <cell r="CH214">
            <v>200</v>
          </cell>
          <cell r="CI214">
            <v>100</v>
          </cell>
          <cell r="CJ214" t="str">
            <v>$0 / $0</v>
          </cell>
          <cell r="CK214">
            <v>0.9</v>
          </cell>
          <cell r="CL214" t="str">
            <v>$2,500 / $5,000</v>
          </cell>
          <cell r="CM214" t="str">
            <v>N/A</v>
          </cell>
          <cell r="CN214" t="str">
            <v>N/A</v>
          </cell>
          <cell r="CO214" t="str">
            <v>N/A</v>
          </cell>
          <cell r="CP214" t="str">
            <v>Emb</v>
          </cell>
          <cell r="CS214" t="str">
            <v>HMO</v>
          </cell>
          <cell r="CT214" t="str">
            <v>Alliance</v>
          </cell>
          <cell r="CU214">
            <v>0.86929999999999996</v>
          </cell>
          <cell r="CW214" t="str">
            <v>All17</v>
          </cell>
          <cell r="CX214">
            <v>0.68600000000000005</v>
          </cell>
          <cell r="CY214" t="str">
            <v>BDX</v>
          </cell>
        </row>
        <row r="215">
          <cell r="BQ215" t="str">
            <v>MMX17 RX 03 (1033A)</v>
          </cell>
          <cell r="BR215" t="str">
            <v>In &amp; Out Network:  30%(Min $10/Max $20)/30% (Min $25/Max $50)/45%(Min $40/Max $80)     Mail=30%(Min $25/Max $50)/30% (Min $62.50/Max $125)/45%(Min $100/Max $200)</v>
          </cell>
          <cell r="BU215">
            <v>0.44594871114410983</v>
          </cell>
          <cell r="BV215">
            <v>0</v>
          </cell>
          <cell r="CA215" t="str">
            <v>Y0P</v>
          </cell>
          <cell r="CB215" t="str">
            <v>Alliance</v>
          </cell>
          <cell r="CC215">
            <v>35</v>
          </cell>
          <cell r="CD215">
            <v>55</v>
          </cell>
          <cell r="CE215" t="str">
            <v>N/A</v>
          </cell>
          <cell r="CF215" t="str">
            <v>N/A</v>
          </cell>
          <cell r="CG215">
            <v>100</v>
          </cell>
          <cell r="CH215">
            <v>200</v>
          </cell>
          <cell r="CI215">
            <v>100</v>
          </cell>
          <cell r="CJ215" t="str">
            <v>$0 / $0</v>
          </cell>
          <cell r="CK215">
            <v>0.8</v>
          </cell>
          <cell r="CL215" t="str">
            <v>$3,500 / $7,000</v>
          </cell>
          <cell r="CM215" t="str">
            <v>N/A</v>
          </cell>
          <cell r="CN215" t="str">
            <v>N/A</v>
          </cell>
          <cell r="CO215" t="str">
            <v>N/A</v>
          </cell>
          <cell r="CP215" t="str">
            <v>Emb</v>
          </cell>
          <cell r="CS215" t="str">
            <v>HMO</v>
          </cell>
          <cell r="CT215" t="str">
            <v>Alliance</v>
          </cell>
          <cell r="CU215">
            <v>0.83460000000000001</v>
          </cell>
          <cell r="CW215" t="str">
            <v>All17</v>
          </cell>
          <cell r="CX215">
            <v>0.68600000000000005</v>
          </cell>
          <cell r="CY215" t="str">
            <v>BDX</v>
          </cell>
        </row>
        <row r="216">
          <cell r="BQ216" t="str">
            <v>MMX17 RX 04 (1033A)</v>
          </cell>
          <cell r="BR216" t="str">
            <v>In &amp; Out Network:  30%(Min $10/Max $20)/30% (Min $25/Max $50)/45%(Min $40/Max $80)     Mail=30%(Min $25/Max $50)/30% (Min $62.50/Max $125)/45%(Min $100/Max $200)</v>
          </cell>
          <cell r="BU216">
            <v>0.44594871114410983</v>
          </cell>
          <cell r="BV216">
            <v>0</v>
          </cell>
          <cell r="CA216" t="str">
            <v>Y0S</v>
          </cell>
          <cell r="CB216" t="str">
            <v>Alliance</v>
          </cell>
          <cell r="CC216">
            <v>35</v>
          </cell>
          <cell r="CD216">
            <v>55</v>
          </cell>
          <cell r="CE216" t="str">
            <v>N/A</v>
          </cell>
          <cell r="CF216" t="str">
            <v>N/A</v>
          </cell>
          <cell r="CG216">
            <v>100</v>
          </cell>
          <cell r="CH216">
            <v>200</v>
          </cell>
          <cell r="CI216">
            <v>100</v>
          </cell>
          <cell r="CJ216" t="str">
            <v>$0 / $0</v>
          </cell>
          <cell r="CK216">
            <v>0.7</v>
          </cell>
          <cell r="CL216" t="str">
            <v>$4,500 / $9,000</v>
          </cell>
          <cell r="CM216" t="str">
            <v>N/A</v>
          </cell>
          <cell r="CN216" t="str">
            <v>N/A</v>
          </cell>
          <cell r="CO216" t="str">
            <v>N/A</v>
          </cell>
          <cell r="CP216" t="str">
            <v>Emb</v>
          </cell>
          <cell r="CS216" t="str">
            <v>HMO</v>
          </cell>
          <cell r="CT216" t="str">
            <v>Alliance</v>
          </cell>
          <cell r="CU216">
            <v>0.80059999999999998</v>
          </cell>
          <cell r="CW216" t="str">
            <v>All17</v>
          </cell>
          <cell r="CX216">
            <v>0.68600000000000005</v>
          </cell>
          <cell r="CY216" t="str">
            <v>BDX</v>
          </cell>
        </row>
        <row r="217">
          <cell r="BQ217" t="str">
            <v>MMX17 RX 05 (1147A)</v>
          </cell>
          <cell r="BR217" t="str">
            <v>In &amp; Out Network:  $10/30% (Min $25/Max $50)/45%(Min $40/Max $80)     Mail=$25/30% (Min $62.50/Max $125)/45%(Min $100/Max $200)</v>
          </cell>
          <cell r="BU217">
            <v>0.4513373261085023</v>
          </cell>
          <cell r="BV217">
            <v>0</v>
          </cell>
          <cell r="CA217" t="str">
            <v>Y0V</v>
          </cell>
          <cell r="CB217" t="str">
            <v>Alliance</v>
          </cell>
          <cell r="CC217">
            <v>45</v>
          </cell>
          <cell r="CD217">
            <v>65</v>
          </cell>
          <cell r="CE217" t="str">
            <v>N/A</v>
          </cell>
          <cell r="CF217" t="str">
            <v>N/A</v>
          </cell>
          <cell r="CG217">
            <v>100</v>
          </cell>
          <cell r="CH217">
            <v>200</v>
          </cell>
          <cell r="CI217">
            <v>100</v>
          </cell>
          <cell r="CJ217" t="str">
            <v>$0 / $0</v>
          </cell>
          <cell r="CK217">
            <v>0.9</v>
          </cell>
          <cell r="CL217" t="str">
            <v>$2,500 / $5,000</v>
          </cell>
          <cell r="CM217" t="str">
            <v>N/A</v>
          </cell>
          <cell r="CN217" t="str">
            <v>N/A</v>
          </cell>
          <cell r="CO217" t="str">
            <v>N/A</v>
          </cell>
          <cell r="CP217" t="str">
            <v>Emb</v>
          </cell>
          <cell r="CS217" t="str">
            <v>HMO</v>
          </cell>
          <cell r="CT217" t="str">
            <v>Alliance</v>
          </cell>
          <cell r="CU217">
            <v>0.85229999999999995</v>
          </cell>
          <cell r="CW217" t="str">
            <v>All17</v>
          </cell>
          <cell r="CX217">
            <v>0.6724</v>
          </cell>
          <cell r="CY217" t="str">
            <v>BDX</v>
          </cell>
        </row>
        <row r="218">
          <cell r="BQ218" t="str">
            <v>MMX17 RX 06 (1549A)</v>
          </cell>
          <cell r="BR218" t="str">
            <v>In &amp; Out Network:  20%/20%/20%     Mail=20%/20%/20%</v>
          </cell>
          <cell r="BU218">
            <v>0.49885511261268972</v>
          </cell>
          <cell r="BV218">
            <v>0</v>
          </cell>
          <cell r="CA218" t="str">
            <v>Y10</v>
          </cell>
          <cell r="CB218" t="str">
            <v>Alliance</v>
          </cell>
          <cell r="CC218">
            <v>20</v>
          </cell>
          <cell r="CD218">
            <v>35</v>
          </cell>
          <cell r="CE218" t="str">
            <v>N/A</v>
          </cell>
          <cell r="CF218" t="str">
            <v>N/A</v>
          </cell>
          <cell r="CG218">
            <v>75</v>
          </cell>
          <cell r="CH218">
            <v>150</v>
          </cell>
          <cell r="CI218">
            <v>100</v>
          </cell>
          <cell r="CJ218" t="str">
            <v>$250 / $500</v>
          </cell>
          <cell r="CK218">
            <v>0.7</v>
          </cell>
          <cell r="CL218" t="str">
            <v>$3,000 / $6,000</v>
          </cell>
          <cell r="CM218" t="str">
            <v>N/A</v>
          </cell>
          <cell r="CN218" t="str">
            <v>N/A</v>
          </cell>
          <cell r="CO218" t="str">
            <v>N/A</v>
          </cell>
          <cell r="CP218" t="str">
            <v>Emb</v>
          </cell>
          <cell r="CS218" t="str">
            <v>HMO</v>
          </cell>
          <cell r="CT218" t="str">
            <v>Alliance</v>
          </cell>
          <cell r="CU218">
            <v>0.80059999999999998</v>
          </cell>
          <cell r="CW218" t="str">
            <v>All17</v>
          </cell>
          <cell r="CX218">
            <v>0.66210000000000002</v>
          </cell>
          <cell r="CY218" t="str">
            <v>BEY</v>
          </cell>
        </row>
        <row r="219">
          <cell r="BQ219" t="str">
            <v>MMX17 RX 07 (1549A)</v>
          </cell>
          <cell r="BR219" t="str">
            <v>In &amp; Out Network:  20%/20%/20%     Mail=20%/20%/20%</v>
          </cell>
          <cell r="BU219">
            <v>0.49885511261268972</v>
          </cell>
          <cell r="BV219">
            <v>0</v>
          </cell>
          <cell r="CA219" t="str">
            <v>Y13</v>
          </cell>
          <cell r="CB219" t="str">
            <v>Alliance</v>
          </cell>
          <cell r="CC219">
            <v>20</v>
          </cell>
          <cell r="CD219">
            <v>35</v>
          </cell>
          <cell r="CE219" t="str">
            <v>N/A</v>
          </cell>
          <cell r="CF219" t="str">
            <v>N/A</v>
          </cell>
          <cell r="CG219">
            <v>75</v>
          </cell>
          <cell r="CH219">
            <v>150</v>
          </cell>
          <cell r="CI219">
            <v>100</v>
          </cell>
          <cell r="CJ219" t="str">
            <v>$500 / $1,000</v>
          </cell>
          <cell r="CK219">
            <v>0.7</v>
          </cell>
          <cell r="CL219" t="str">
            <v>$3,000 / $6,000</v>
          </cell>
          <cell r="CM219" t="str">
            <v>N/A</v>
          </cell>
          <cell r="CN219" t="str">
            <v>N/A</v>
          </cell>
          <cell r="CO219" t="str">
            <v>N/A</v>
          </cell>
          <cell r="CP219" t="str">
            <v>Emb</v>
          </cell>
          <cell r="CS219" t="str">
            <v>HMO</v>
          </cell>
          <cell r="CT219" t="str">
            <v>Alliance</v>
          </cell>
          <cell r="CU219">
            <v>0.76949999999999996</v>
          </cell>
          <cell r="CW219" t="str">
            <v>All17</v>
          </cell>
          <cell r="CX219">
            <v>0.65390000000000004</v>
          </cell>
          <cell r="CY219" t="str">
            <v>BEY</v>
          </cell>
        </row>
        <row r="220">
          <cell r="BQ220" t="str">
            <v>MMX17 RX 08 (1549A)</v>
          </cell>
          <cell r="BR220" t="str">
            <v>In &amp; Out Network:  20%/20%/20%     Mail=20%/20%/20%</v>
          </cell>
          <cell r="BU220">
            <v>0.49885511261268972</v>
          </cell>
          <cell r="BV220">
            <v>0</v>
          </cell>
          <cell r="CA220" t="str">
            <v>Y16</v>
          </cell>
          <cell r="CB220" t="str">
            <v>Alliance</v>
          </cell>
          <cell r="CC220">
            <v>25</v>
          </cell>
          <cell r="CD220">
            <v>40</v>
          </cell>
          <cell r="CE220" t="str">
            <v>N/A</v>
          </cell>
          <cell r="CF220" t="str">
            <v>N/A</v>
          </cell>
          <cell r="CG220">
            <v>75</v>
          </cell>
          <cell r="CH220">
            <v>150</v>
          </cell>
          <cell r="CI220">
            <v>100</v>
          </cell>
          <cell r="CJ220" t="str">
            <v>$1,000 / $2,000</v>
          </cell>
          <cell r="CK220">
            <v>0.7</v>
          </cell>
          <cell r="CL220" t="str">
            <v>$4,500 / $9,000</v>
          </cell>
          <cell r="CM220" t="str">
            <v>N/A</v>
          </cell>
          <cell r="CN220" t="str">
            <v>N/A</v>
          </cell>
          <cell r="CO220" t="str">
            <v>N/A</v>
          </cell>
          <cell r="CP220" t="str">
            <v>Emb</v>
          </cell>
          <cell r="CS220" t="str">
            <v>HMO</v>
          </cell>
          <cell r="CT220" t="str">
            <v>Alliance</v>
          </cell>
          <cell r="CU220">
            <v>0.66180000000000005</v>
          </cell>
          <cell r="CW220" t="str">
            <v>All17</v>
          </cell>
          <cell r="CX220">
            <v>0.62070000000000003</v>
          </cell>
          <cell r="CY220" t="str">
            <v>BEY</v>
          </cell>
        </row>
        <row r="221">
          <cell r="BQ221" t="str">
            <v>MMX17 RX 09 (1549A)</v>
          </cell>
          <cell r="BR221" t="str">
            <v>In &amp; Out Network:  20%/20%/20%     Mail=20%/20%/20%</v>
          </cell>
          <cell r="BU221">
            <v>0.49885511261268972</v>
          </cell>
          <cell r="BV221">
            <v>0</v>
          </cell>
          <cell r="CA221" t="str">
            <v>Y1A</v>
          </cell>
          <cell r="CB221" t="str">
            <v>Alliance</v>
          </cell>
          <cell r="CC221">
            <v>25</v>
          </cell>
          <cell r="CD221">
            <v>40</v>
          </cell>
          <cell r="CE221" t="str">
            <v>N/A</v>
          </cell>
          <cell r="CF221" t="str">
            <v>N/A</v>
          </cell>
          <cell r="CG221">
            <v>75</v>
          </cell>
          <cell r="CH221">
            <v>150</v>
          </cell>
          <cell r="CI221">
            <v>100</v>
          </cell>
          <cell r="CJ221" t="str">
            <v>$1,500 / $3,000</v>
          </cell>
          <cell r="CK221">
            <v>0.7</v>
          </cell>
          <cell r="CL221" t="str">
            <v>$5,000 / $10,000</v>
          </cell>
          <cell r="CM221" t="str">
            <v>N/A</v>
          </cell>
          <cell r="CN221" t="str">
            <v>N/A</v>
          </cell>
          <cell r="CO221" t="str">
            <v>N/A</v>
          </cell>
          <cell r="CP221" t="str">
            <v>Emb</v>
          </cell>
          <cell r="CS221" t="str">
            <v>HMO</v>
          </cell>
          <cell r="CT221" t="str">
            <v>Alliance</v>
          </cell>
          <cell r="CU221">
            <v>0.60309999999999997</v>
          </cell>
          <cell r="CW221" t="str">
            <v>All17</v>
          </cell>
          <cell r="CX221">
            <v>0.60809999999999997</v>
          </cell>
          <cell r="CY221" t="str">
            <v>BEY</v>
          </cell>
        </row>
        <row r="222">
          <cell r="BQ222" t="str">
            <v>MMX17 RX 10 (1551A)</v>
          </cell>
          <cell r="BR222" t="str">
            <v>In &amp; Out Network:  30%/30%/30%     Mail=30%/30%/30%</v>
          </cell>
          <cell r="BU222">
            <v>0.39075623059972719</v>
          </cell>
          <cell r="BV222">
            <v>0</v>
          </cell>
          <cell r="CA222" t="str">
            <v>Y1E</v>
          </cell>
          <cell r="CB222" t="str">
            <v>Alliance</v>
          </cell>
          <cell r="CC222">
            <v>45</v>
          </cell>
          <cell r="CD222">
            <v>60</v>
          </cell>
          <cell r="CE222" t="str">
            <v>N/A</v>
          </cell>
          <cell r="CF222" t="str">
            <v>N/A</v>
          </cell>
          <cell r="CG222">
            <v>75</v>
          </cell>
          <cell r="CH222">
            <v>150</v>
          </cell>
          <cell r="CI222">
            <v>100</v>
          </cell>
          <cell r="CJ222" t="str">
            <v>$2,000 / $4,000</v>
          </cell>
          <cell r="CK222">
            <v>0.7</v>
          </cell>
          <cell r="CL222" t="str">
            <v>$5,000 / $10,000</v>
          </cell>
          <cell r="CM222" t="str">
            <v>N/A</v>
          </cell>
          <cell r="CN222" t="str">
            <v>N/A</v>
          </cell>
          <cell r="CO222" t="str">
            <v>N/A</v>
          </cell>
          <cell r="CP222" t="str">
            <v>Emb</v>
          </cell>
          <cell r="CS222" t="str">
            <v>HMO</v>
          </cell>
          <cell r="CT222" t="str">
            <v>Alliance</v>
          </cell>
          <cell r="CU222">
            <v>0.55100000000000005</v>
          </cell>
          <cell r="CW222" t="str">
            <v>All17</v>
          </cell>
          <cell r="CX222">
            <v>0.57830000000000004</v>
          </cell>
          <cell r="CY222" t="str">
            <v>BEY</v>
          </cell>
        </row>
        <row r="223">
          <cell r="BQ223" t="str">
            <v>MMX17 RX 11 (1551A)</v>
          </cell>
          <cell r="BR223" t="str">
            <v>In &amp; Out Network:  30%/30%/30%     Mail=30%/30%/30%</v>
          </cell>
          <cell r="BU223">
            <v>0.39075623059972719</v>
          </cell>
          <cell r="BV223">
            <v>0</v>
          </cell>
          <cell r="CA223" t="str">
            <v>Y1M</v>
          </cell>
          <cell r="CB223" t="str">
            <v>Alliance</v>
          </cell>
          <cell r="CC223">
            <v>45</v>
          </cell>
          <cell r="CD223">
            <v>60</v>
          </cell>
          <cell r="CE223" t="str">
            <v>N/A</v>
          </cell>
          <cell r="CF223" t="str">
            <v>N/A</v>
          </cell>
          <cell r="CG223">
            <v>75</v>
          </cell>
          <cell r="CH223">
            <v>150</v>
          </cell>
          <cell r="CI223">
            <v>100</v>
          </cell>
          <cell r="CJ223" t="str">
            <v>$3,000 / $6,000</v>
          </cell>
          <cell r="CK223">
            <v>0.7</v>
          </cell>
          <cell r="CL223" t="str">
            <v>$6,000 / $12,000</v>
          </cell>
          <cell r="CM223" t="str">
            <v>N/A</v>
          </cell>
          <cell r="CN223" t="str">
            <v>N/A</v>
          </cell>
          <cell r="CO223" t="str">
            <v>N/A</v>
          </cell>
          <cell r="CP223" t="str">
            <v>Emb</v>
          </cell>
          <cell r="CS223" t="str">
            <v>HMO</v>
          </cell>
          <cell r="CT223" t="str">
            <v>Alliance</v>
          </cell>
          <cell r="CU223">
            <v>0.51480000000000004</v>
          </cell>
          <cell r="CW223" t="str">
            <v>All17</v>
          </cell>
          <cell r="CX223">
            <v>0.56130000000000002</v>
          </cell>
          <cell r="CY223" t="str">
            <v>BEY</v>
          </cell>
        </row>
        <row r="224">
          <cell r="BQ224" t="str">
            <v>MMX17 RX 12 (1551A)</v>
          </cell>
          <cell r="BR224" t="str">
            <v>In &amp; Out Network:  30%/30%/30%     Mail=30%/30%/30%</v>
          </cell>
          <cell r="BU224">
            <v>0.39075623059972719</v>
          </cell>
          <cell r="BV224">
            <v>0</v>
          </cell>
          <cell r="CA224" t="str">
            <v>Y5H</v>
          </cell>
          <cell r="CB224" t="str">
            <v>Alliance</v>
          </cell>
          <cell r="CC224">
            <v>10</v>
          </cell>
          <cell r="CD224">
            <v>20</v>
          </cell>
          <cell r="CE224">
            <v>200</v>
          </cell>
          <cell r="CF224" t="str">
            <v>$500PA</v>
          </cell>
          <cell r="CG224">
            <v>75</v>
          </cell>
          <cell r="CH224">
            <v>150</v>
          </cell>
          <cell r="CI224">
            <v>100</v>
          </cell>
          <cell r="CJ224" t="str">
            <v>$0 / $0</v>
          </cell>
          <cell r="CK224">
            <v>1</v>
          </cell>
          <cell r="CL224" t="str">
            <v>$1,500 / $3,000</v>
          </cell>
          <cell r="CM224" t="str">
            <v>N/A</v>
          </cell>
          <cell r="CN224" t="str">
            <v>N/A</v>
          </cell>
          <cell r="CO224" t="str">
            <v>N/A</v>
          </cell>
          <cell r="CP224" t="str">
            <v>Emb</v>
          </cell>
          <cell r="CS224" t="str">
            <v>HMO</v>
          </cell>
          <cell r="CT224" t="str">
            <v>Alliance</v>
          </cell>
          <cell r="CU224">
            <v>0.95169999999999999</v>
          </cell>
          <cell r="CW224" t="str">
            <v>All17</v>
          </cell>
          <cell r="CX224">
            <v>0.79369999999999996</v>
          </cell>
          <cell r="CY224" t="str">
            <v>BDX</v>
          </cell>
        </row>
        <row r="225">
          <cell r="BQ225" t="str">
            <v>MMX17 RX 13 (1551A)</v>
          </cell>
          <cell r="BR225" t="str">
            <v>In &amp; Out Network:  30%/30%/30%     Mail=30%/30%/30%</v>
          </cell>
          <cell r="BU225">
            <v>0.39075623059972719</v>
          </cell>
          <cell r="BV225">
            <v>0</v>
          </cell>
          <cell r="CA225" t="str">
            <v>Y5N</v>
          </cell>
          <cell r="CB225" t="str">
            <v>Alliance</v>
          </cell>
          <cell r="CC225">
            <v>10</v>
          </cell>
          <cell r="CD225">
            <v>20</v>
          </cell>
          <cell r="CE225">
            <v>200</v>
          </cell>
          <cell r="CF225" t="str">
            <v>$750PA</v>
          </cell>
          <cell r="CG225">
            <v>75</v>
          </cell>
          <cell r="CH225">
            <v>150</v>
          </cell>
          <cell r="CI225">
            <v>100</v>
          </cell>
          <cell r="CJ225" t="str">
            <v>$0 / $0</v>
          </cell>
          <cell r="CK225">
            <v>1</v>
          </cell>
          <cell r="CL225" t="str">
            <v>$1,500 / $3,000</v>
          </cell>
          <cell r="CM225" t="str">
            <v>N/A</v>
          </cell>
          <cell r="CN225" t="str">
            <v>N/A</v>
          </cell>
          <cell r="CO225" t="str">
            <v>N/A</v>
          </cell>
          <cell r="CP225" t="str">
            <v>Emb</v>
          </cell>
          <cell r="CS225" t="str">
            <v>HMO</v>
          </cell>
          <cell r="CT225" t="str">
            <v>Alliance</v>
          </cell>
          <cell r="CU225">
            <v>0.94989999999999997</v>
          </cell>
          <cell r="CW225" t="str">
            <v>All17</v>
          </cell>
          <cell r="CX225">
            <v>0.79090000000000005</v>
          </cell>
          <cell r="CY225" t="str">
            <v>BDX</v>
          </cell>
        </row>
        <row r="226">
          <cell r="BQ226" t="str">
            <v>MMX17 RX 14 (1551A)</v>
          </cell>
          <cell r="BR226" t="str">
            <v>In &amp; Out Network:  30%/30%/30%     Mail=30%/30%/30%</v>
          </cell>
          <cell r="BU226">
            <v>0.39075623059972719</v>
          </cell>
          <cell r="BV226">
            <v>0</v>
          </cell>
          <cell r="CA226" t="str">
            <v>Y5Q</v>
          </cell>
          <cell r="CB226" t="str">
            <v>Alliance</v>
          </cell>
          <cell r="CC226">
            <v>15</v>
          </cell>
          <cell r="CD226">
            <v>30</v>
          </cell>
          <cell r="CE226">
            <v>200</v>
          </cell>
          <cell r="CF226" t="str">
            <v>$500PA</v>
          </cell>
          <cell r="CG226">
            <v>75</v>
          </cell>
          <cell r="CH226">
            <v>150</v>
          </cell>
          <cell r="CI226">
            <v>100</v>
          </cell>
          <cell r="CJ226" t="str">
            <v>$0 / $0</v>
          </cell>
          <cell r="CK226">
            <v>1</v>
          </cell>
          <cell r="CL226" t="str">
            <v>$2,500 / $5,000</v>
          </cell>
          <cell r="CM226" t="str">
            <v>N/A</v>
          </cell>
          <cell r="CN226" t="str">
            <v>N/A</v>
          </cell>
          <cell r="CO226" t="str">
            <v>N/A</v>
          </cell>
          <cell r="CP226" t="str">
            <v>Emb</v>
          </cell>
          <cell r="CS226" t="str">
            <v>HMO</v>
          </cell>
          <cell r="CT226" t="str">
            <v>Alliance</v>
          </cell>
          <cell r="CU226">
            <v>0.93440000000000001</v>
          </cell>
          <cell r="CW226" t="str">
            <v>All17</v>
          </cell>
          <cell r="CX226">
            <v>0.78200000000000003</v>
          </cell>
          <cell r="CY226" t="str">
            <v>BDX</v>
          </cell>
        </row>
        <row r="227">
          <cell r="BQ227" t="str">
            <v>MMX17 RX 15 (1551A)</v>
          </cell>
          <cell r="BR227" t="str">
            <v>In &amp; Out Network:  30%/30%/30%     Mail=30%/30%/30%</v>
          </cell>
          <cell r="BU227">
            <v>0.39075623059972719</v>
          </cell>
          <cell r="BV227">
            <v>0</v>
          </cell>
          <cell r="CA227" t="str">
            <v>Y60</v>
          </cell>
          <cell r="CB227" t="str">
            <v>Alliance</v>
          </cell>
          <cell r="CC227">
            <v>15</v>
          </cell>
          <cell r="CD227">
            <v>30</v>
          </cell>
          <cell r="CE227">
            <v>200</v>
          </cell>
          <cell r="CF227" t="str">
            <v>$750PA</v>
          </cell>
          <cell r="CG227">
            <v>75</v>
          </cell>
          <cell r="CH227">
            <v>150</v>
          </cell>
          <cell r="CI227">
            <v>100</v>
          </cell>
          <cell r="CJ227" t="str">
            <v>$0 / $0</v>
          </cell>
          <cell r="CK227">
            <v>1</v>
          </cell>
          <cell r="CL227" t="str">
            <v>$2,500 / $5,000</v>
          </cell>
          <cell r="CM227" t="str">
            <v>N/A</v>
          </cell>
          <cell r="CN227" t="str">
            <v>N/A</v>
          </cell>
          <cell r="CO227" t="str">
            <v>N/A</v>
          </cell>
          <cell r="CP227" t="str">
            <v>Emb</v>
          </cell>
          <cell r="CS227" t="str">
            <v>HMO</v>
          </cell>
          <cell r="CT227" t="str">
            <v>Alliance</v>
          </cell>
          <cell r="CU227">
            <v>0.93189999999999995</v>
          </cell>
          <cell r="CW227" t="str">
            <v>All17</v>
          </cell>
          <cell r="CX227">
            <v>0.7792</v>
          </cell>
          <cell r="CY227" t="str">
            <v>BDX</v>
          </cell>
        </row>
        <row r="228">
          <cell r="BQ228" t="str">
            <v>MMX17 RX HSA 16 (1550A)</v>
          </cell>
          <cell r="BR228" t="str">
            <v>In &amp; Out Network:  30%/30%/30%     Mail=30%/30%/30%</v>
          </cell>
          <cell r="BU228">
            <v>0</v>
          </cell>
          <cell r="BV228">
            <v>0</v>
          </cell>
          <cell r="CA228" t="str">
            <v>Y63</v>
          </cell>
          <cell r="CB228" t="str">
            <v>Alliance</v>
          </cell>
          <cell r="CC228">
            <v>20</v>
          </cell>
          <cell r="CD228">
            <v>40</v>
          </cell>
          <cell r="CE228">
            <v>400</v>
          </cell>
          <cell r="CF228" t="str">
            <v>$500PA</v>
          </cell>
          <cell r="CG228">
            <v>100</v>
          </cell>
          <cell r="CH228">
            <v>200</v>
          </cell>
          <cell r="CI228">
            <v>100</v>
          </cell>
          <cell r="CJ228" t="str">
            <v>$0 / $0</v>
          </cell>
          <cell r="CK228">
            <v>1</v>
          </cell>
          <cell r="CL228" t="str">
            <v>$4,500 / $9,000</v>
          </cell>
          <cell r="CM228" t="str">
            <v>N/A</v>
          </cell>
          <cell r="CN228" t="str">
            <v>N/A</v>
          </cell>
          <cell r="CO228" t="str">
            <v>N/A</v>
          </cell>
          <cell r="CP228" t="str">
            <v>Emb</v>
          </cell>
          <cell r="CS228" t="str">
            <v>HMO</v>
          </cell>
          <cell r="CT228" t="str">
            <v>Alliance</v>
          </cell>
          <cell r="CU228">
            <v>0.90290000000000004</v>
          </cell>
          <cell r="CW228" t="str">
            <v>All17</v>
          </cell>
          <cell r="CX228">
            <v>0.76619999999999999</v>
          </cell>
          <cell r="CY228" t="str">
            <v>BDX</v>
          </cell>
        </row>
        <row r="229">
          <cell r="BQ229" t="str">
            <v>MMX17 RX HSA 17 (1550A)</v>
          </cell>
          <cell r="BR229" t="str">
            <v>In &amp; Out Network:  30%/30%/30%     Mail=30%/30%/30%</v>
          </cell>
          <cell r="BU229">
            <v>0</v>
          </cell>
          <cell r="BV229">
            <v>0</v>
          </cell>
          <cell r="CA229" t="str">
            <v>Y66</v>
          </cell>
          <cell r="CB229" t="str">
            <v>Alliance</v>
          </cell>
          <cell r="CC229">
            <v>20</v>
          </cell>
          <cell r="CD229">
            <v>40</v>
          </cell>
          <cell r="CE229">
            <v>400</v>
          </cell>
          <cell r="CF229" t="str">
            <v>$750PA</v>
          </cell>
          <cell r="CG229">
            <v>100</v>
          </cell>
          <cell r="CH229">
            <v>200</v>
          </cell>
          <cell r="CI229">
            <v>100</v>
          </cell>
          <cell r="CJ229" t="str">
            <v>$0 / $0</v>
          </cell>
          <cell r="CK229">
            <v>1</v>
          </cell>
          <cell r="CL229" t="str">
            <v>$4,500 / $9,000</v>
          </cell>
          <cell r="CM229" t="str">
            <v>N/A</v>
          </cell>
          <cell r="CN229" t="str">
            <v>N/A</v>
          </cell>
          <cell r="CO229" t="str">
            <v>N/A</v>
          </cell>
          <cell r="CP229" t="str">
            <v>Emb</v>
          </cell>
          <cell r="CS229" t="str">
            <v>HMO</v>
          </cell>
          <cell r="CT229" t="str">
            <v>Alliance</v>
          </cell>
          <cell r="CU229">
            <v>0.89990000000000003</v>
          </cell>
          <cell r="CW229" t="str">
            <v>All17</v>
          </cell>
          <cell r="CX229">
            <v>0.76339999999999997</v>
          </cell>
          <cell r="CY229" t="str">
            <v>BDX</v>
          </cell>
        </row>
        <row r="230">
          <cell r="BQ230" t="str">
            <v>MMX17 RX HSA 18 (1550A)</v>
          </cell>
          <cell r="BR230" t="str">
            <v>In &amp; Out Network:  30%/30%/30%     Mail=30%/30%/30%</v>
          </cell>
          <cell r="BU230">
            <v>0</v>
          </cell>
          <cell r="BV230">
            <v>0</v>
          </cell>
          <cell r="CA230" t="str">
            <v>Y6A</v>
          </cell>
          <cell r="CB230" t="str">
            <v>Alliance</v>
          </cell>
          <cell r="CC230">
            <v>30</v>
          </cell>
          <cell r="CD230">
            <v>50</v>
          </cell>
          <cell r="CE230">
            <v>400</v>
          </cell>
          <cell r="CF230" t="str">
            <v>$500PA</v>
          </cell>
          <cell r="CG230">
            <v>100</v>
          </cell>
          <cell r="CH230">
            <v>200</v>
          </cell>
          <cell r="CI230">
            <v>100</v>
          </cell>
          <cell r="CJ230" t="str">
            <v>$0 / $0</v>
          </cell>
          <cell r="CK230">
            <v>1</v>
          </cell>
          <cell r="CL230" t="str">
            <v>$4,500 / $9,000</v>
          </cell>
          <cell r="CM230" t="str">
            <v>N/A</v>
          </cell>
          <cell r="CN230" t="str">
            <v>N/A</v>
          </cell>
          <cell r="CO230" t="str">
            <v>N/A</v>
          </cell>
          <cell r="CP230" t="str">
            <v>Emb</v>
          </cell>
          <cell r="CS230" t="str">
            <v>HMO</v>
          </cell>
          <cell r="CT230" t="str">
            <v>Alliance</v>
          </cell>
          <cell r="CU230">
            <v>0.88400000000000001</v>
          </cell>
          <cell r="CW230" t="str">
            <v>All17</v>
          </cell>
          <cell r="CX230">
            <v>0.75149999999999995</v>
          </cell>
          <cell r="CY230" t="str">
            <v>BDX</v>
          </cell>
        </row>
        <row r="231">
          <cell r="BQ231" t="str">
            <v>MMX17 RX HSA 19 (1148A)</v>
          </cell>
          <cell r="BR231" t="str">
            <v>In &amp; Out Network:  0%/0%/0%     Mail=0%/0%/0%</v>
          </cell>
          <cell r="BU231">
            <v>0</v>
          </cell>
          <cell r="BV231">
            <v>0</v>
          </cell>
          <cell r="CA231" t="str">
            <v>Y6I</v>
          </cell>
          <cell r="CB231" t="str">
            <v>Alliance</v>
          </cell>
          <cell r="CC231">
            <v>30</v>
          </cell>
          <cell r="CD231">
            <v>50</v>
          </cell>
          <cell r="CE231">
            <v>400</v>
          </cell>
          <cell r="CF231" t="str">
            <v>$750PA</v>
          </cell>
          <cell r="CG231">
            <v>100</v>
          </cell>
          <cell r="CH231">
            <v>200</v>
          </cell>
          <cell r="CI231">
            <v>100</v>
          </cell>
          <cell r="CJ231" t="str">
            <v>$0 / $0</v>
          </cell>
          <cell r="CK231">
            <v>1</v>
          </cell>
          <cell r="CL231" t="str">
            <v>$4,500 / $9,000</v>
          </cell>
          <cell r="CM231" t="str">
            <v>N/A</v>
          </cell>
          <cell r="CN231" t="str">
            <v>N/A</v>
          </cell>
          <cell r="CO231" t="str">
            <v>N/A</v>
          </cell>
          <cell r="CP231" t="str">
            <v>Emb</v>
          </cell>
          <cell r="CS231" t="str">
            <v>HMO</v>
          </cell>
          <cell r="CT231" t="str">
            <v>Alliance</v>
          </cell>
          <cell r="CU231">
            <v>0.88109999999999999</v>
          </cell>
          <cell r="CW231" t="str">
            <v>All17</v>
          </cell>
          <cell r="CX231">
            <v>0.74870000000000003</v>
          </cell>
          <cell r="CY231" t="str">
            <v>BDX</v>
          </cell>
        </row>
        <row r="232">
          <cell r="CA232" t="str">
            <v>YKM</v>
          </cell>
          <cell r="CB232" t="str">
            <v>Alliance</v>
          </cell>
          <cell r="CC232">
            <v>25</v>
          </cell>
          <cell r="CD232">
            <v>40</v>
          </cell>
          <cell r="CE232" t="str">
            <v>N/A</v>
          </cell>
          <cell r="CF232" t="str">
            <v>N/A</v>
          </cell>
          <cell r="CG232">
            <v>50</v>
          </cell>
          <cell r="CH232" t="str">
            <v>N/A</v>
          </cell>
          <cell r="CI232">
            <v>100</v>
          </cell>
          <cell r="CJ232" t="str">
            <v>$1,000 / $2,000</v>
          </cell>
          <cell r="CK232">
            <v>1</v>
          </cell>
          <cell r="CL232" t="str">
            <v>$3,500 / $7,000</v>
          </cell>
          <cell r="CM232" t="str">
            <v>N/A</v>
          </cell>
          <cell r="CN232" t="str">
            <v>N/A</v>
          </cell>
          <cell r="CO232" t="str">
            <v>N/A</v>
          </cell>
          <cell r="CP232" t="str">
            <v>Emb</v>
          </cell>
          <cell r="CS232" t="str">
            <v>HMO</v>
          </cell>
          <cell r="CT232" t="str">
            <v>Alliance</v>
          </cell>
          <cell r="CU232">
            <v>0.7833</v>
          </cell>
          <cell r="CW232" t="str">
            <v>All17</v>
          </cell>
          <cell r="CX232">
            <v>0.68020000000000003</v>
          </cell>
          <cell r="CY232" t="str">
            <v>BEY</v>
          </cell>
        </row>
        <row r="233">
          <cell r="CA233" t="str">
            <v>YL1</v>
          </cell>
          <cell r="CB233" t="str">
            <v>Alliance</v>
          </cell>
          <cell r="CC233">
            <v>30</v>
          </cell>
          <cell r="CD233">
            <v>40</v>
          </cell>
          <cell r="CE233">
            <v>500</v>
          </cell>
          <cell r="CF233" t="str">
            <v>N/A</v>
          </cell>
          <cell r="CG233">
            <v>50</v>
          </cell>
          <cell r="CH233" t="str">
            <v>N/A</v>
          </cell>
          <cell r="CI233">
            <v>100</v>
          </cell>
          <cell r="CJ233" t="str">
            <v>$1,000 / $2,000</v>
          </cell>
          <cell r="CK233">
            <v>1</v>
          </cell>
          <cell r="CL233" t="str">
            <v>$3,500 / $7,000</v>
          </cell>
          <cell r="CM233" t="str">
            <v>N/A</v>
          </cell>
          <cell r="CN233" t="str">
            <v>N/A</v>
          </cell>
          <cell r="CO233" t="str">
            <v>N/A</v>
          </cell>
          <cell r="CP233" t="str">
            <v>Emb</v>
          </cell>
          <cell r="CS233" t="str">
            <v>HMO</v>
          </cell>
          <cell r="CT233" t="str">
            <v>Alliance</v>
          </cell>
          <cell r="CU233">
            <v>0.75980000000000003</v>
          </cell>
          <cell r="CW233" t="str">
            <v>All17</v>
          </cell>
          <cell r="CX233">
            <v>0.67130000000000001</v>
          </cell>
          <cell r="CY233" t="str">
            <v>BEY</v>
          </cell>
        </row>
        <row r="234">
          <cell r="CA234" t="str">
            <v>YLK</v>
          </cell>
          <cell r="CB234" t="str">
            <v>Alliance</v>
          </cell>
          <cell r="CC234">
            <v>25</v>
          </cell>
          <cell r="CD234">
            <v>40</v>
          </cell>
          <cell r="CE234" t="str">
            <v>N/A</v>
          </cell>
          <cell r="CF234" t="str">
            <v>N/A</v>
          </cell>
          <cell r="CG234">
            <v>50</v>
          </cell>
          <cell r="CH234" t="str">
            <v>N/A</v>
          </cell>
          <cell r="CI234">
            <v>100</v>
          </cell>
          <cell r="CJ234" t="str">
            <v>$1,000 / $2,000</v>
          </cell>
          <cell r="CK234">
            <v>0.9</v>
          </cell>
          <cell r="CL234" t="str">
            <v>$3,500 / $7,000</v>
          </cell>
          <cell r="CM234" t="str">
            <v>N/A</v>
          </cell>
          <cell r="CN234" t="str">
            <v>N/A</v>
          </cell>
          <cell r="CO234" t="str">
            <v>N/A</v>
          </cell>
          <cell r="CP234" t="str">
            <v>Emb</v>
          </cell>
          <cell r="CS234" t="str">
            <v>HMO</v>
          </cell>
          <cell r="CT234" t="str">
            <v>Alliance</v>
          </cell>
          <cell r="CU234">
            <v>0.75260000000000005</v>
          </cell>
          <cell r="CW234" t="str">
            <v>All17</v>
          </cell>
          <cell r="CX234">
            <v>0.66410000000000002</v>
          </cell>
          <cell r="CY234" t="str">
            <v>BEY</v>
          </cell>
        </row>
        <row r="235">
          <cell r="CA235" t="str">
            <v>YLN</v>
          </cell>
          <cell r="CB235" t="str">
            <v>Alliance</v>
          </cell>
          <cell r="CC235">
            <v>50</v>
          </cell>
          <cell r="CD235">
            <v>70</v>
          </cell>
          <cell r="CE235" t="str">
            <v>N/A</v>
          </cell>
          <cell r="CF235" t="str">
            <v>N/A</v>
          </cell>
          <cell r="CG235">
            <v>50</v>
          </cell>
          <cell r="CH235" t="str">
            <v>N/A</v>
          </cell>
          <cell r="CI235">
            <v>100</v>
          </cell>
          <cell r="CJ235" t="str">
            <v>$1,500 / $3,000</v>
          </cell>
          <cell r="CK235">
            <v>0.7</v>
          </cell>
          <cell r="CL235" t="str">
            <v>$6,000 / $12,000</v>
          </cell>
          <cell r="CM235" t="str">
            <v>N/A</v>
          </cell>
          <cell r="CN235" t="str">
            <v>N/A</v>
          </cell>
          <cell r="CO235" t="str">
            <v>N/A</v>
          </cell>
          <cell r="CP235" t="str">
            <v>Emb</v>
          </cell>
          <cell r="CS235" t="str">
            <v>HMO</v>
          </cell>
          <cell r="CT235" t="str">
            <v>Alliance</v>
          </cell>
          <cell r="CU235">
            <v>0.6038</v>
          </cell>
          <cell r="CW235" t="str">
            <v>All17</v>
          </cell>
          <cell r="CX235">
            <v>0.57410000000000005</v>
          </cell>
          <cell r="CY235" t="str">
            <v>BEY</v>
          </cell>
        </row>
        <row r="236">
          <cell r="BQ236" t="str">
            <v>MMX16 RX 01 (1039A)</v>
          </cell>
          <cell r="BR236" t="str">
            <v>In &amp; Out Network:  $5/$20/$50     Mail=$12.50/$50/$125</v>
          </cell>
          <cell r="BU236">
            <v>0.5726</v>
          </cell>
          <cell r="BV236">
            <v>0.21299999999999999</v>
          </cell>
          <cell r="CA236" t="str">
            <v>YM1</v>
          </cell>
          <cell r="CB236" t="str">
            <v>Alliance</v>
          </cell>
          <cell r="CC236">
            <v>50</v>
          </cell>
          <cell r="CD236">
            <v>70</v>
          </cell>
          <cell r="CE236" t="str">
            <v>N/A</v>
          </cell>
          <cell r="CF236" t="str">
            <v>N/A</v>
          </cell>
          <cell r="CG236">
            <v>50</v>
          </cell>
          <cell r="CH236" t="str">
            <v>N/A</v>
          </cell>
          <cell r="CI236">
            <v>100</v>
          </cell>
          <cell r="CJ236" t="str">
            <v>$1,500 / $3,000</v>
          </cell>
          <cell r="CK236">
            <v>0.8</v>
          </cell>
          <cell r="CL236" t="str">
            <v>$6,000 / $12,000</v>
          </cell>
          <cell r="CM236" t="str">
            <v>N/A</v>
          </cell>
          <cell r="CN236" t="str">
            <v>N/A</v>
          </cell>
          <cell r="CO236" t="str">
            <v>N/A</v>
          </cell>
          <cell r="CP236" t="str">
            <v>Emb</v>
          </cell>
          <cell r="CS236" t="str">
            <v>HMO</v>
          </cell>
          <cell r="CT236" t="str">
            <v>Alliance</v>
          </cell>
          <cell r="CU236">
            <v>0.61519999999999997</v>
          </cell>
          <cell r="CW236" t="str">
            <v>All17</v>
          </cell>
          <cell r="CX236">
            <v>0.59819999999999995</v>
          </cell>
          <cell r="CY236" t="str">
            <v>BEY</v>
          </cell>
        </row>
        <row r="237">
          <cell r="BQ237" t="str">
            <v>MMX16 RX 02 (1040A)</v>
          </cell>
          <cell r="BR237" t="str">
            <v>In &amp; Out Network:  $10/$30/$60     Mail=$25/$75/$150</v>
          </cell>
          <cell r="BU237">
            <v>0.46829999999999999</v>
          </cell>
          <cell r="BV237">
            <v>0.113</v>
          </cell>
          <cell r="CA237" t="str">
            <v>YM4</v>
          </cell>
          <cell r="CB237" t="str">
            <v>Alliance</v>
          </cell>
          <cell r="CC237">
            <v>30</v>
          </cell>
          <cell r="CD237">
            <v>45</v>
          </cell>
          <cell r="CE237" t="str">
            <v>N/A</v>
          </cell>
          <cell r="CF237" t="str">
            <v>N/A</v>
          </cell>
          <cell r="CG237">
            <v>50</v>
          </cell>
          <cell r="CH237" t="str">
            <v>N/A</v>
          </cell>
          <cell r="CI237">
            <v>100</v>
          </cell>
          <cell r="CJ237" t="str">
            <v>$2,000 / $4,000</v>
          </cell>
          <cell r="CK237">
            <v>0.7</v>
          </cell>
          <cell r="CL237" t="str">
            <v>$3,500 / $7,000</v>
          </cell>
          <cell r="CM237" t="str">
            <v>N/A</v>
          </cell>
          <cell r="CN237" t="str">
            <v>N/A</v>
          </cell>
          <cell r="CO237" t="str">
            <v>N/A</v>
          </cell>
          <cell r="CP237" t="str">
            <v>Emb</v>
          </cell>
          <cell r="CS237" t="str">
            <v>HMO</v>
          </cell>
          <cell r="CT237" t="str">
            <v>Alliance</v>
          </cell>
          <cell r="CU237">
            <v>0.61909999999999998</v>
          </cell>
          <cell r="CW237" t="str">
            <v>All17</v>
          </cell>
          <cell r="CX237">
            <v>0.61140000000000005</v>
          </cell>
          <cell r="CY237" t="str">
            <v>BEY</v>
          </cell>
        </row>
        <row r="238">
          <cell r="BQ238" t="str">
            <v>MMX16 RX 03 (1033A)</v>
          </cell>
          <cell r="BR238" t="str">
            <v>In &amp; Out Network:  30%(Min $10/Max $35)/30% (Min $25/Max $125)/45%(Min $40/Max $225)     Mail=30%(Min $25/Max $87.50)/30% (Min $62.50/Max $312.5)/45%(Min $100/Max $562.50)</v>
          </cell>
          <cell r="BU238">
            <v>0.41799999999999998</v>
          </cell>
          <cell r="BV238">
            <v>0.113</v>
          </cell>
          <cell r="CA238" t="str">
            <v>YM8</v>
          </cell>
          <cell r="CB238" t="str">
            <v>Alliance</v>
          </cell>
          <cell r="CC238">
            <v>30</v>
          </cell>
          <cell r="CD238">
            <v>50</v>
          </cell>
          <cell r="CE238">
            <v>300</v>
          </cell>
          <cell r="CF238" t="str">
            <v>$250PDx3</v>
          </cell>
          <cell r="CG238">
            <v>100</v>
          </cell>
          <cell r="CH238">
            <v>200</v>
          </cell>
          <cell r="CI238">
            <v>100</v>
          </cell>
          <cell r="CJ238" t="str">
            <v>$2,000 / $4,000</v>
          </cell>
          <cell r="CK238">
            <v>1</v>
          </cell>
          <cell r="CL238" t="str">
            <v>$5,000 / $10,000</v>
          </cell>
          <cell r="CM238" t="str">
            <v>N/A</v>
          </cell>
          <cell r="CN238" t="str">
            <v>N/A</v>
          </cell>
          <cell r="CO238" t="str">
            <v>N/A</v>
          </cell>
          <cell r="CP238" t="str">
            <v>Emb</v>
          </cell>
          <cell r="CS238" t="str">
            <v>HMO</v>
          </cell>
          <cell r="CT238" t="str">
            <v>Alliance</v>
          </cell>
          <cell r="CU238">
            <v>0.61850000000000005</v>
          </cell>
          <cell r="CW238" t="str">
            <v>All17</v>
          </cell>
          <cell r="CX238">
            <v>0.66539999999999999</v>
          </cell>
          <cell r="CY238" t="str">
            <v>BEY</v>
          </cell>
        </row>
        <row r="239">
          <cell r="BQ239" t="str">
            <v>MMX16 RX 04 (1033A)</v>
          </cell>
          <cell r="BR239" t="str">
            <v>In &amp; Out Network:  30%(Min $10/Max $35)/30% (Min $25/Max $125)/45%(Min $40/Max $225)     Mail=30%(Min $25/Max $87.50)/30% (Min $62.50/Max $312.5)/45%(Min $100/Max $562.50)</v>
          </cell>
          <cell r="BU239">
            <v>0.41799999999999998</v>
          </cell>
          <cell r="BV239">
            <v>0.113</v>
          </cell>
          <cell r="CA239" t="str">
            <v>Y19</v>
          </cell>
          <cell r="CB239" t="str">
            <v>Alliance</v>
          </cell>
          <cell r="CC239">
            <v>55</v>
          </cell>
          <cell r="CD239">
            <v>55</v>
          </cell>
          <cell r="CE239" t="str">
            <v>N/A</v>
          </cell>
          <cell r="CF239" t="str">
            <v>N/A</v>
          </cell>
          <cell r="CG239">
            <v>100</v>
          </cell>
          <cell r="CH239">
            <v>200</v>
          </cell>
          <cell r="CI239">
            <v>100</v>
          </cell>
          <cell r="CJ239" t="str">
            <v>$3,000 / $6,000</v>
          </cell>
          <cell r="CK239">
            <v>0.6</v>
          </cell>
          <cell r="CL239" t="str">
            <v>$6,000 / $12,000</v>
          </cell>
          <cell r="CM239" t="str">
            <v>N/A</v>
          </cell>
          <cell r="CN239" t="str">
            <v>N/A</v>
          </cell>
          <cell r="CO239" t="str">
            <v>N/A</v>
          </cell>
          <cell r="CP239" t="str">
            <v>Emb</v>
          </cell>
          <cell r="CS239" t="str">
            <v>HMO</v>
          </cell>
          <cell r="CT239" t="str">
            <v>Alliance</v>
          </cell>
          <cell r="CU239">
            <v>0.54069999999999996</v>
          </cell>
          <cell r="CW239" t="str">
            <v>All17</v>
          </cell>
          <cell r="CX239">
            <v>0.55810000000000004</v>
          </cell>
          <cell r="CY239" t="str">
            <v>BEY</v>
          </cell>
        </row>
        <row r="240">
          <cell r="BQ240" t="str">
            <v>MMX16 RX HSA 05 (1035A)</v>
          </cell>
          <cell r="BR240" t="str">
            <v>In &amp; Out Network:  20%/20%/20%     Mail=20%/20%/20%</v>
          </cell>
          <cell r="BU240">
            <v>0</v>
          </cell>
          <cell r="BV240">
            <v>0</v>
          </cell>
          <cell r="CA240" t="str">
            <v>Y3Z</v>
          </cell>
          <cell r="CB240" t="str">
            <v>Alliance</v>
          </cell>
          <cell r="CC240">
            <v>35</v>
          </cell>
          <cell r="CD240">
            <v>70</v>
          </cell>
          <cell r="CE240" t="str">
            <v>N/A</v>
          </cell>
          <cell r="CF240" t="str">
            <v>N/A</v>
          </cell>
          <cell r="CG240">
            <v>50</v>
          </cell>
          <cell r="CH240" t="str">
            <v>N/A</v>
          </cell>
          <cell r="CI240">
            <v>100</v>
          </cell>
          <cell r="CJ240" t="str">
            <v>$3,000 / $6,000</v>
          </cell>
          <cell r="CK240">
            <v>1</v>
          </cell>
          <cell r="CL240" t="str">
            <v>$6,000 / $12,000</v>
          </cell>
          <cell r="CM240" t="str">
            <v>N/A</v>
          </cell>
          <cell r="CN240" t="str">
            <v>N/A</v>
          </cell>
          <cell r="CO240" t="str">
            <v>N/A</v>
          </cell>
          <cell r="CP240" t="str">
            <v>Emb</v>
          </cell>
          <cell r="CS240" t="str">
            <v>HMO</v>
          </cell>
          <cell r="CT240" t="str">
            <v>Alliance</v>
          </cell>
          <cell r="CU240">
            <v>0.57769999999999999</v>
          </cell>
          <cell r="CW240" t="str">
            <v>All17</v>
          </cell>
          <cell r="CX240">
            <v>0.59289999999999998</v>
          </cell>
          <cell r="CY240" t="str">
            <v>BEY</v>
          </cell>
        </row>
        <row r="241">
          <cell r="BQ241" t="str">
            <v>MMX16 RX HSA 06 (1035A)</v>
          </cell>
          <cell r="BR241" t="str">
            <v>In &amp; Out Network:  20%/20%/20%     Mail=20%/20%/20%</v>
          </cell>
          <cell r="BU241">
            <v>0</v>
          </cell>
          <cell r="BV241">
            <v>0</v>
          </cell>
          <cell r="CA241" t="str">
            <v>Y69</v>
          </cell>
          <cell r="CB241" t="str">
            <v>Alliance</v>
          </cell>
          <cell r="CC241">
            <v>35</v>
          </cell>
          <cell r="CD241">
            <v>70</v>
          </cell>
          <cell r="CE241" t="str">
            <v>N/A</v>
          </cell>
          <cell r="CF241" t="str">
            <v>N/A</v>
          </cell>
          <cell r="CG241">
            <v>50</v>
          </cell>
          <cell r="CH241" t="str">
            <v>N/A</v>
          </cell>
          <cell r="CI241">
            <v>100</v>
          </cell>
          <cell r="CJ241" t="str">
            <v>$3,000 / $6,000</v>
          </cell>
          <cell r="CK241">
            <v>0.7</v>
          </cell>
          <cell r="CL241" t="str">
            <v>$6,000 / $12,000</v>
          </cell>
          <cell r="CM241" t="str">
            <v>N/A</v>
          </cell>
          <cell r="CN241" t="str">
            <v>N/A</v>
          </cell>
          <cell r="CO241" t="str">
            <v>N/A</v>
          </cell>
          <cell r="CP241" t="str">
            <v>Emb</v>
          </cell>
          <cell r="CS241" t="str">
            <v>HMO</v>
          </cell>
          <cell r="CT241" t="str">
            <v>Alliance</v>
          </cell>
          <cell r="CU241">
            <v>0.5474</v>
          </cell>
          <cell r="CW241" t="str">
            <v>All17</v>
          </cell>
          <cell r="CX241">
            <v>0.58509999999999995</v>
          </cell>
          <cell r="CY241" t="str">
            <v>BEY</v>
          </cell>
        </row>
        <row r="242">
          <cell r="BQ242" t="str">
            <v>MMX16 RX HSA 07 (1037A)</v>
          </cell>
          <cell r="BR242" t="str">
            <v>In &amp; Out Network:  30%/30%/30%     Mail=30%/30%/30%</v>
          </cell>
          <cell r="BU242">
            <v>0</v>
          </cell>
          <cell r="BV242">
            <v>0</v>
          </cell>
          <cell r="CA242" t="str">
            <v>Y8Y</v>
          </cell>
          <cell r="CB242" t="str">
            <v>Alliance</v>
          </cell>
          <cell r="CC242">
            <v>15</v>
          </cell>
          <cell r="CD242">
            <v>15</v>
          </cell>
          <cell r="CE242">
            <v>0</v>
          </cell>
          <cell r="CF242">
            <v>0</v>
          </cell>
          <cell r="CG242">
            <v>50</v>
          </cell>
          <cell r="CH242">
            <v>100</v>
          </cell>
          <cell r="CI242">
            <v>100</v>
          </cell>
          <cell r="CJ242" t="str">
            <v>$0 / $0</v>
          </cell>
          <cell r="CK242">
            <v>1</v>
          </cell>
          <cell r="CL242" t="str">
            <v>$1,500 / $3,000</v>
          </cell>
          <cell r="CM242" t="str">
            <v>N/A</v>
          </cell>
          <cell r="CN242" t="str">
            <v>N/A</v>
          </cell>
          <cell r="CO242" t="str">
            <v>N/A</v>
          </cell>
          <cell r="CP242" t="str">
            <v>Emb</v>
          </cell>
          <cell r="CS242" t="str">
            <v>HMO</v>
          </cell>
          <cell r="CT242" t="str">
            <v>Alliance</v>
          </cell>
          <cell r="CU242">
            <v>0.9677</v>
          </cell>
          <cell r="CW242" t="str">
            <v>All17</v>
          </cell>
          <cell r="CX242">
            <v>0.77380000000000004</v>
          </cell>
          <cell r="CY242" t="str">
            <v>BDX</v>
          </cell>
        </row>
        <row r="243">
          <cell r="BQ243" t="str">
            <v>MMX16 RX HSA 08 (1037A)</v>
          </cell>
          <cell r="BR243" t="str">
            <v>In &amp; Out Network:  30%/30%/30%     Mail=30%/30%/30%</v>
          </cell>
          <cell r="BU243">
            <v>0</v>
          </cell>
          <cell r="BV243">
            <v>0</v>
          </cell>
          <cell r="CA243" t="str">
            <v>YA6</v>
          </cell>
          <cell r="CB243" t="str">
            <v>Alliance</v>
          </cell>
          <cell r="CC243">
            <v>30</v>
          </cell>
          <cell r="CD243">
            <v>30</v>
          </cell>
          <cell r="CE243">
            <v>0</v>
          </cell>
          <cell r="CF243">
            <v>0</v>
          </cell>
          <cell r="CG243">
            <v>50</v>
          </cell>
          <cell r="CH243">
            <v>100</v>
          </cell>
          <cell r="CI243">
            <v>100</v>
          </cell>
          <cell r="CJ243" t="str">
            <v>$0 / $0</v>
          </cell>
          <cell r="CK243">
            <v>1</v>
          </cell>
          <cell r="CL243" t="str">
            <v>$1,500 / $3,000</v>
          </cell>
          <cell r="CM243" t="str">
            <v>N/A</v>
          </cell>
          <cell r="CN243" t="str">
            <v>N/A</v>
          </cell>
          <cell r="CO243" t="str">
            <v>N/A</v>
          </cell>
          <cell r="CP243" t="str">
            <v>Emb</v>
          </cell>
          <cell r="CS243" t="str">
            <v>HMO</v>
          </cell>
          <cell r="CT243" t="str">
            <v>Alliance</v>
          </cell>
          <cell r="CU243">
            <v>0.93959999999999999</v>
          </cell>
          <cell r="CW243" t="str">
            <v>All17</v>
          </cell>
          <cell r="CX243">
            <v>0.74780000000000002</v>
          </cell>
          <cell r="CY243" t="str">
            <v>BDX</v>
          </cell>
        </row>
        <row r="244">
          <cell r="BQ244" t="str">
            <v>MMX16 RX 09 (1036A)</v>
          </cell>
          <cell r="BR244" t="str">
            <v>In &amp; Out Network:  20%/20%/20%     Mail=20%/20%/20%</v>
          </cell>
          <cell r="BU244">
            <v>0.66220000000000001</v>
          </cell>
          <cell r="BV244">
            <v>8.5999999999999993E-2</v>
          </cell>
          <cell r="CA244" t="str">
            <v>YI7</v>
          </cell>
          <cell r="CB244" t="str">
            <v>Alliance</v>
          </cell>
          <cell r="CC244">
            <v>15</v>
          </cell>
          <cell r="CD244">
            <v>15</v>
          </cell>
          <cell r="CE244">
            <v>50</v>
          </cell>
          <cell r="CF244" t="str">
            <v>$100PA</v>
          </cell>
          <cell r="CG244">
            <v>50</v>
          </cell>
          <cell r="CH244">
            <v>100</v>
          </cell>
          <cell r="CI244">
            <v>100</v>
          </cell>
          <cell r="CJ244" t="str">
            <v>$0 / $0</v>
          </cell>
          <cell r="CK244">
            <v>1</v>
          </cell>
          <cell r="CL244" t="str">
            <v>$1,500 / $3,000</v>
          </cell>
          <cell r="CM244" t="str">
            <v>N/A</v>
          </cell>
          <cell r="CN244" t="str">
            <v>N/A</v>
          </cell>
          <cell r="CO244" t="str">
            <v>N/A</v>
          </cell>
          <cell r="CP244" t="str">
            <v>Emb</v>
          </cell>
          <cell r="CS244" t="str">
            <v>HMO</v>
          </cell>
          <cell r="CT244" t="str">
            <v>Alliance</v>
          </cell>
          <cell r="CU244">
            <v>0.96440000000000003</v>
          </cell>
          <cell r="CW244" t="str">
            <v>All17</v>
          </cell>
          <cell r="CX244">
            <v>0.76839999999999997</v>
          </cell>
          <cell r="CY244" t="str">
            <v>BDX</v>
          </cell>
        </row>
        <row r="245">
          <cell r="BQ245" t="str">
            <v>MMX16 RX 10 (1036A)</v>
          </cell>
          <cell r="BR245" t="str">
            <v>In &amp; Out Network:  20%/20%/20%     Mail=20%/20%/20%</v>
          </cell>
          <cell r="BU245">
            <v>0.66220000000000001</v>
          </cell>
          <cell r="BV245">
            <v>8.5999999999999993E-2</v>
          </cell>
          <cell r="CA245" t="str">
            <v>Y0Y</v>
          </cell>
          <cell r="CB245" t="str">
            <v>Alliance</v>
          </cell>
          <cell r="CC245">
            <v>20</v>
          </cell>
          <cell r="CD245">
            <v>20</v>
          </cell>
          <cell r="CE245">
            <v>100</v>
          </cell>
          <cell r="CF245" t="str">
            <v>$200PA</v>
          </cell>
          <cell r="CG245">
            <v>50</v>
          </cell>
          <cell r="CH245">
            <v>100</v>
          </cell>
          <cell r="CI245">
            <v>100</v>
          </cell>
          <cell r="CJ245" t="str">
            <v>$0 / $0</v>
          </cell>
          <cell r="CK245">
            <v>1</v>
          </cell>
          <cell r="CL245" t="str">
            <v>$1,500 / $3,000</v>
          </cell>
          <cell r="CM245" t="str">
            <v>N/A</v>
          </cell>
          <cell r="CN245" t="str">
            <v>N/A</v>
          </cell>
          <cell r="CO245" t="str">
            <v>N/A</v>
          </cell>
          <cell r="CP245" t="str">
            <v>Emb</v>
          </cell>
          <cell r="CS245" t="str">
            <v>HMO</v>
          </cell>
          <cell r="CT245" t="str">
            <v>Alliance</v>
          </cell>
          <cell r="CU245">
            <v>0.95199999999999996</v>
          </cell>
          <cell r="CW245" t="str">
            <v>All17</v>
          </cell>
          <cell r="CX245">
            <v>0.75939999999999996</v>
          </cell>
          <cell r="CY245" t="str">
            <v>BDX</v>
          </cell>
        </row>
        <row r="246">
          <cell r="BQ246" t="str">
            <v>MMX16 RX 11 (1038A)</v>
          </cell>
          <cell r="BR246" t="str">
            <v>In &amp; Out Network:  30%/30%/30%     Mail=30%/30%/30%</v>
          </cell>
          <cell r="BU246">
            <v>0.50700000000000001</v>
          </cell>
          <cell r="BV246">
            <v>0.105</v>
          </cell>
          <cell r="CA246" t="str">
            <v>YHY</v>
          </cell>
          <cell r="CB246" t="str">
            <v>Alliance</v>
          </cell>
          <cell r="CC246">
            <v>25</v>
          </cell>
          <cell r="CD246">
            <v>25</v>
          </cell>
          <cell r="CE246">
            <v>125</v>
          </cell>
          <cell r="CF246" t="str">
            <v>$250PA</v>
          </cell>
          <cell r="CG246">
            <v>50</v>
          </cell>
          <cell r="CH246">
            <v>100</v>
          </cell>
          <cell r="CI246">
            <v>100</v>
          </cell>
          <cell r="CJ246" t="str">
            <v>$0 / $0</v>
          </cell>
          <cell r="CK246">
            <v>1</v>
          </cell>
          <cell r="CL246" t="str">
            <v>$1,500 / $3,000</v>
          </cell>
          <cell r="CM246" t="str">
            <v>N/A</v>
          </cell>
          <cell r="CN246" t="str">
            <v>N/A</v>
          </cell>
          <cell r="CO246" t="str">
            <v>N/A</v>
          </cell>
          <cell r="CP246" t="str">
            <v>Emb</v>
          </cell>
          <cell r="CS246" t="str">
            <v>HMO</v>
          </cell>
          <cell r="CT246" t="str">
            <v>Alliance</v>
          </cell>
          <cell r="CU246">
            <v>0.9415</v>
          </cell>
          <cell r="CW246" t="str">
            <v>All17</v>
          </cell>
          <cell r="CX246">
            <v>0.75119999999999998</v>
          </cell>
          <cell r="CY246" t="str">
            <v>BDX</v>
          </cell>
        </row>
        <row r="247">
          <cell r="BQ247" t="str">
            <v>MMX16 RX 12 (1038A)</v>
          </cell>
          <cell r="BR247" t="str">
            <v>In &amp; Out Network:  30%/30%/30%     Mail=30%/30%/30%</v>
          </cell>
          <cell r="BU247">
            <v>0.50700000000000001</v>
          </cell>
          <cell r="BV247">
            <v>0.105</v>
          </cell>
          <cell r="CA247" t="str">
            <v>YCX</v>
          </cell>
          <cell r="CB247" t="str">
            <v>Alliance</v>
          </cell>
          <cell r="CC247">
            <v>30</v>
          </cell>
          <cell r="CD247">
            <v>30</v>
          </cell>
          <cell r="CE247">
            <v>100</v>
          </cell>
          <cell r="CF247" t="str">
            <v>$200PA</v>
          </cell>
          <cell r="CG247">
            <v>50</v>
          </cell>
          <cell r="CH247">
            <v>100</v>
          </cell>
          <cell r="CI247">
            <v>100</v>
          </cell>
          <cell r="CJ247" t="str">
            <v>$0 / $0</v>
          </cell>
          <cell r="CK247">
            <v>1</v>
          </cell>
          <cell r="CL247" t="str">
            <v>$2,000 / $4,000</v>
          </cell>
          <cell r="CM247" t="str">
            <v>N/A</v>
          </cell>
          <cell r="CN247" t="str">
            <v>N/A</v>
          </cell>
          <cell r="CO247" t="str">
            <v>N/A</v>
          </cell>
          <cell r="CP247" t="str">
            <v>Emb</v>
          </cell>
          <cell r="CS247" t="str">
            <v>HMO</v>
          </cell>
          <cell r="CT247" t="str">
            <v>Alliance</v>
          </cell>
          <cell r="CU247">
            <v>0.93189999999999995</v>
          </cell>
          <cell r="CW247" t="str">
            <v>All17</v>
          </cell>
          <cell r="CX247">
            <v>0.74460000000000004</v>
          </cell>
          <cell r="CY247" t="str">
            <v>BDX</v>
          </cell>
        </row>
        <row r="248">
          <cell r="BQ248" t="str">
            <v>MMX16 RX 13 (1147A)</v>
          </cell>
          <cell r="BR248" t="str">
            <v>In &amp; Out Network:  $10/30% (Min $25/Max $125)/45%(Min $40/Max $225)     Mail=$25/30% (Min $62.50/Max $312.50)/45%(Min $100/Max $562.50)</v>
          </cell>
          <cell r="BU248">
            <v>0.42780000000000001</v>
          </cell>
          <cell r="BV248">
            <v>0.13400000000000001</v>
          </cell>
          <cell r="CA248" t="str">
            <v>YJ7</v>
          </cell>
          <cell r="CB248" t="str">
            <v>Alliance</v>
          </cell>
          <cell r="CC248">
            <v>20</v>
          </cell>
          <cell r="CD248">
            <v>20</v>
          </cell>
          <cell r="CE248">
            <v>125</v>
          </cell>
          <cell r="CF248" t="str">
            <v>$250PA</v>
          </cell>
          <cell r="CG248">
            <v>50</v>
          </cell>
          <cell r="CH248">
            <v>100</v>
          </cell>
          <cell r="CI248">
            <v>100</v>
          </cell>
          <cell r="CJ248" t="str">
            <v>$0 / $0</v>
          </cell>
          <cell r="CK248">
            <v>1</v>
          </cell>
          <cell r="CL248" t="str">
            <v>$2,000 / $4,000</v>
          </cell>
          <cell r="CM248" t="str">
            <v>N/A</v>
          </cell>
          <cell r="CN248" t="str">
            <v>N/A</v>
          </cell>
          <cell r="CO248" t="str">
            <v>N/A</v>
          </cell>
          <cell r="CP248" t="str">
            <v>Emb</v>
          </cell>
          <cell r="CS248" t="str">
            <v>HMO</v>
          </cell>
          <cell r="CT248" t="str">
            <v>Alliance</v>
          </cell>
          <cell r="CU248">
            <v>0.94889999999999997</v>
          </cell>
          <cell r="CW248" t="str">
            <v>All17</v>
          </cell>
          <cell r="CX248">
            <v>0.75860000000000005</v>
          </cell>
          <cell r="CY248" t="str">
            <v>BDX</v>
          </cell>
        </row>
        <row r="249">
          <cell r="BQ249" t="str">
            <v>MMX16 RX HSA 14 (1037A)</v>
          </cell>
          <cell r="BR249" t="str">
            <v>In &amp; Out Network:  30%/30%/30%     Mail=30%/30%/30%</v>
          </cell>
          <cell r="BU249">
            <v>0</v>
          </cell>
          <cell r="BV249">
            <v>0</v>
          </cell>
          <cell r="CA249" t="str">
            <v>YL7</v>
          </cell>
          <cell r="CB249" t="str">
            <v>Alliance</v>
          </cell>
          <cell r="CC249">
            <v>20</v>
          </cell>
          <cell r="CD249">
            <v>40</v>
          </cell>
          <cell r="CE249">
            <v>125</v>
          </cell>
          <cell r="CF249" t="str">
            <v>$250PA</v>
          </cell>
          <cell r="CG249">
            <v>50</v>
          </cell>
          <cell r="CH249">
            <v>100</v>
          </cell>
          <cell r="CI249">
            <v>100</v>
          </cell>
          <cell r="CJ249" t="str">
            <v>$0 / $0</v>
          </cell>
          <cell r="CK249">
            <v>1</v>
          </cell>
          <cell r="CL249" t="str">
            <v>$2,000 / $4,000</v>
          </cell>
          <cell r="CM249" t="str">
            <v>N/A</v>
          </cell>
          <cell r="CN249" t="str">
            <v>N/A</v>
          </cell>
          <cell r="CO249" t="str">
            <v>N/A</v>
          </cell>
          <cell r="CP249" t="str">
            <v>Emb</v>
          </cell>
          <cell r="CS249" t="str">
            <v>HMO</v>
          </cell>
          <cell r="CT249" t="str">
            <v>Alliance</v>
          </cell>
          <cell r="CU249">
            <v>0.93300000000000005</v>
          </cell>
          <cell r="CW249" t="str">
            <v>All17</v>
          </cell>
          <cell r="CX249">
            <v>0.74150000000000005</v>
          </cell>
          <cell r="CY249" t="str">
            <v>BDX</v>
          </cell>
        </row>
        <row r="250">
          <cell r="BQ250" t="str">
            <v>MMX16 RX HSA 15 (1148A)</v>
          </cell>
          <cell r="BR250" t="str">
            <v>In &amp; Out Network:  0%/0%/0%     Mail=0%/0%/0%</v>
          </cell>
          <cell r="BU250">
            <v>0</v>
          </cell>
          <cell r="BV250">
            <v>0</v>
          </cell>
          <cell r="CA250" t="str">
            <v>UIS</v>
          </cell>
          <cell r="CB250" t="str">
            <v>Alliance</v>
          </cell>
          <cell r="CC250">
            <v>30</v>
          </cell>
          <cell r="CD250">
            <v>30</v>
          </cell>
          <cell r="CE250">
            <v>250</v>
          </cell>
          <cell r="CF250" t="str">
            <v>$500PA</v>
          </cell>
          <cell r="CG250">
            <v>50</v>
          </cell>
          <cell r="CH250">
            <v>100</v>
          </cell>
          <cell r="CI250">
            <v>100</v>
          </cell>
          <cell r="CJ250" t="str">
            <v>$0 / $0</v>
          </cell>
          <cell r="CK250">
            <v>1</v>
          </cell>
          <cell r="CL250" t="str">
            <v>$2,000 / $4,000</v>
          </cell>
          <cell r="CM250" t="str">
            <v>N/A</v>
          </cell>
          <cell r="CN250" t="str">
            <v>N/A</v>
          </cell>
          <cell r="CO250" t="str">
            <v>N/A</v>
          </cell>
          <cell r="CP250" t="str">
            <v>Emb</v>
          </cell>
          <cell r="CS250" t="str">
            <v>HMO</v>
          </cell>
          <cell r="CT250" t="str">
            <v>Alliance</v>
          </cell>
          <cell r="CU250">
            <v>0.9234</v>
          </cell>
          <cell r="CW250" t="str">
            <v>All17</v>
          </cell>
          <cell r="CX250">
            <v>0.73960000000000004</v>
          </cell>
          <cell r="CY250" t="str">
            <v>BDX</v>
          </cell>
        </row>
        <row r="251">
          <cell r="BQ251" t="str">
            <v>MMX16 RX 16 (1038A)</v>
          </cell>
          <cell r="BR251" t="str">
            <v>In &amp; Out Network:  30%/30%/30%     Mail=30%/30%/30%</v>
          </cell>
          <cell r="BU251">
            <v>0.50700000000000001</v>
          </cell>
          <cell r="BV251">
            <v>0.105</v>
          </cell>
          <cell r="CA251" t="str">
            <v>UN0</v>
          </cell>
          <cell r="CB251" t="str">
            <v>Alliance</v>
          </cell>
          <cell r="CC251">
            <v>15</v>
          </cell>
          <cell r="CD251">
            <v>30</v>
          </cell>
          <cell r="CE251">
            <v>125</v>
          </cell>
          <cell r="CF251" t="str">
            <v>$250PA</v>
          </cell>
          <cell r="CG251">
            <v>50</v>
          </cell>
          <cell r="CH251">
            <v>100</v>
          </cell>
          <cell r="CI251">
            <v>100</v>
          </cell>
          <cell r="CJ251" t="str">
            <v>$0 / $0</v>
          </cell>
          <cell r="CK251">
            <v>1</v>
          </cell>
          <cell r="CL251" t="str">
            <v>$2,000 / $4,000</v>
          </cell>
          <cell r="CM251" t="str">
            <v>N/A</v>
          </cell>
          <cell r="CN251" t="str">
            <v>N/A</v>
          </cell>
          <cell r="CO251" t="str">
            <v>N/A</v>
          </cell>
          <cell r="CP251" t="str">
            <v>Emb</v>
          </cell>
          <cell r="CS251" t="str">
            <v>HMO</v>
          </cell>
          <cell r="CT251" t="str">
            <v>Alliance</v>
          </cell>
          <cell r="CU251">
            <v>0.94620000000000004</v>
          </cell>
          <cell r="CW251" t="str">
            <v>All17</v>
          </cell>
          <cell r="CX251">
            <v>0.75319999999999998</v>
          </cell>
          <cell r="CY251" t="str">
            <v>BDX</v>
          </cell>
        </row>
        <row r="252">
          <cell r="BQ252" t="str">
            <v>MMX16 RX 17 (1038A)</v>
          </cell>
          <cell r="BR252" t="str">
            <v>In &amp; Out Network:  30%/30%/30%     Mail=30%/30%/30%</v>
          </cell>
          <cell r="BU252">
            <v>0.50700000000000001</v>
          </cell>
          <cell r="BV252">
            <v>0.105</v>
          </cell>
          <cell r="CA252" t="str">
            <v>UX1</v>
          </cell>
          <cell r="CB252" t="str">
            <v>Alliance</v>
          </cell>
          <cell r="CC252">
            <v>30</v>
          </cell>
          <cell r="CD252">
            <v>40</v>
          </cell>
          <cell r="CE252">
            <v>250</v>
          </cell>
          <cell r="CF252" t="str">
            <v>$500PA</v>
          </cell>
          <cell r="CG252">
            <v>50</v>
          </cell>
          <cell r="CH252">
            <v>100</v>
          </cell>
          <cell r="CI252">
            <v>100</v>
          </cell>
          <cell r="CJ252" t="str">
            <v>$0 / $0</v>
          </cell>
          <cell r="CK252">
            <v>1</v>
          </cell>
          <cell r="CL252" t="str">
            <v>$2,500 / $5,000</v>
          </cell>
          <cell r="CM252" t="str">
            <v>N/A</v>
          </cell>
          <cell r="CN252" t="str">
            <v>N/A</v>
          </cell>
          <cell r="CO252" t="str">
            <v>N/A</v>
          </cell>
          <cell r="CP252" t="str">
            <v>Emb</v>
          </cell>
          <cell r="CS252" t="str">
            <v>HMO</v>
          </cell>
          <cell r="CT252" t="str">
            <v>Alliance</v>
          </cell>
          <cell r="CU252">
            <v>0.91320000000000001</v>
          </cell>
          <cell r="CW252" t="str">
            <v>All17</v>
          </cell>
          <cell r="CX252">
            <v>0.73109999999999997</v>
          </cell>
          <cell r="CY252" t="str">
            <v>BDX</v>
          </cell>
        </row>
        <row r="253">
          <cell r="BQ253" t="str">
            <v>MMX16 RX HSA 18 (1035A)</v>
          </cell>
          <cell r="BR253" t="str">
            <v>In &amp; Out Network:  20%/20%/20%     Mail=20%/20%/20%</v>
          </cell>
          <cell r="BU253">
            <v>0</v>
          </cell>
          <cell r="BV253">
            <v>0</v>
          </cell>
          <cell r="CA253" t="str">
            <v>U1Y</v>
          </cell>
          <cell r="CB253" t="str">
            <v>Alliance</v>
          </cell>
          <cell r="CC253">
            <v>35</v>
          </cell>
          <cell r="CD253">
            <v>45</v>
          </cell>
          <cell r="CE253">
            <v>375</v>
          </cell>
          <cell r="CF253" t="str">
            <v>$750PA</v>
          </cell>
          <cell r="CG253">
            <v>50</v>
          </cell>
          <cell r="CH253">
            <v>100</v>
          </cell>
          <cell r="CI253">
            <v>100</v>
          </cell>
          <cell r="CJ253" t="str">
            <v>$0 / $0</v>
          </cell>
          <cell r="CK253">
            <v>1</v>
          </cell>
          <cell r="CL253" t="str">
            <v>$2,500 / $5,000</v>
          </cell>
          <cell r="CM253" t="str">
            <v>N/A</v>
          </cell>
          <cell r="CN253" t="str">
            <v>N/A</v>
          </cell>
          <cell r="CO253" t="str">
            <v>N/A</v>
          </cell>
          <cell r="CP253" t="str">
            <v>Emb</v>
          </cell>
          <cell r="CS253" t="str">
            <v>HMO</v>
          </cell>
          <cell r="CT253" t="str">
            <v>Alliance</v>
          </cell>
          <cell r="CU253">
            <v>0.89770000000000005</v>
          </cell>
          <cell r="CW253" t="str">
            <v>All17</v>
          </cell>
          <cell r="CX253">
            <v>0.71960000000000002</v>
          </cell>
          <cell r="CY253" t="str">
            <v>BDX</v>
          </cell>
        </row>
        <row r="254">
          <cell r="BQ254" t="str">
            <v>MMX16 RX HSA 19 (1035A)</v>
          </cell>
          <cell r="BR254" t="str">
            <v>In &amp; Out Network:  20%/20%/20%     Mail=20%/20%/20%</v>
          </cell>
          <cell r="BU254">
            <v>0</v>
          </cell>
          <cell r="BV254">
            <v>0</v>
          </cell>
          <cell r="CA254" t="str">
            <v>U2Z</v>
          </cell>
          <cell r="CB254" t="str">
            <v>Alliance</v>
          </cell>
          <cell r="CC254">
            <v>20</v>
          </cell>
          <cell r="CD254">
            <v>40</v>
          </cell>
          <cell r="CE254">
            <v>250</v>
          </cell>
          <cell r="CF254" t="str">
            <v>$500PA</v>
          </cell>
          <cell r="CG254">
            <v>50</v>
          </cell>
          <cell r="CH254">
            <v>100</v>
          </cell>
          <cell r="CI254">
            <v>100</v>
          </cell>
          <cell r="CJ254" t="str">
            <v>$0 / $0</v>
          </cell>
          <cell r="CK254">
            <v>1</v>
          </cell>
          <cell r="CL254" t="str">
            <v>$2,500 / $5,000</v>
          </cell>
          <cell r="CM254" t="str">
            <v>N/A</v>
          </cell>
          <cell r="CN254" t="str">
            <v>N/A</v>
          </cell>
          <cell r="CO254" t="str">
            <v>N/A</v>
          </cell>
          <cell r="CP254" t="str">
            <v>Emb</v>
          </cell>
          <cell r="CS254" t="str">
            <v>HMO</v>
          </cell>
          <cell r="CT254" t="str">
            <v>Alliance</v>
          </cell>
          <cell r="CU254">
            <v>0.92379999999999995</v>
          </cell>
          <cell r="CW254" t="str">
            <v>All17</v>
          </cell>
          <cell r="CX254">
            <v>0.73729999999999996</v>
          </cell>
          <cell r="CY254" t="str">
            <v>BDX</v>
          </cell>
        </row>
        <row r="255">
          <cell r="BQ255" t="str">
            <v>MMX16 RX HSA 20 (1037A)</v>
          </cell>
          <cell r="BR255" t="str">
            <v>In &amp; Out Network:  30%/30%/30%     Mail=30%/30%/30%</v>
          </cell>
          <cell r="BU255">
            <v>0</v>
          </cell>
          <cell r="BV255">
            <v>0</v>
          </cell>
          <cell r="CA255" t="str">
            <v>U79</v>
          </cell>
          <cell r="CB255" t="str">
            <v>Alliance</v>
          </cell>
          <cell r="CC255">
            <v>20</v>
          </cell>
          <cell r="CD255">
            <v>40</v>
          </cell>
          <cell r="CE255">
            <v>125</v>
          </cell>
          <cell r="CF255" t="str">
            <v>$250PDx3</v>
          </cell>
          <cell r="CG255">
            <v>100</v>
          </cell>
          <cell r="CH255">
            <v>200</v>
          </cell>
          <cell r="CI255">
            <v>100</v>
          </cell>
          <cell r="CJ255" t="str">
            <v>$0 / $0</v>
          </cell>
          <cell r="CK255">
            <v>1</v>
          </cell>
          <cell r="CL255" t="str">
            <v>$3,000 / $6,000</v>
          </cell>
          <cell r="CM255" t="str">
            <v>N/A</v>
          </cell>
          <cell r="CN255" t="str">
            <v>N/A</v>
          </cell>
          <cell r="CO255" t="str">
            <v>N/A</v>
          </cell>
          <cell r="CP255" t="str">
            <v>Emb</v>
          </cell>
          <cell r="CS255" t="str">
            <v>HMO</v>
          </cell>
          <cell r="CT255" t="str">
            <v>Alliance</v>
          </cell>
          <cell r="CU255">
            <v>0.91649999999999998</v>
          </cell>
          <cell r="CW255" t="str">
            <v>All17</v>
          </cell>
          <cell r="CX255">
            <v>0.73580000000000001</v>
          </cell>
          <cell r="CY255" t="str">
            <v>BDX</v>
          </cell>
        </row>
        <row r="256">
          <cell r="BQ256" t="str">
            <v>MMX16 RX HSA 21 (1037A)</v>
          </cell>
          <cell r="BR256" t="str">
            <v>In &amp; Out Network:  30%/30%/30%     Mail=30%/30%/30%</v>
          </cell>
          <cell r="BU256">
            <v>0</v>
          </cell>
          <cell r="BV256">
            <v>0</v>
          </cell>
          <cell r="CA256" t="str">
            <v>U7Z</v>
          </cell>
          <cell r="CB256" t="str">
            <v>Alliance</v>
          </cell>
          <cell r="CC256">
            <v>20</v>
          </cell>
          <cell r="CD256">
            <v>40</v>
          </cell>
          <cell r="CE256" t="str">
            <v>Ded + Co-Ins</v>
          </cell>
          <cell r="CF256" t="str">
            <v>$250PDx3</v>
          </cell>
          <cell r="CG256">
            <v>100</v>
          </cell>
          <cell r="CH256">
            <v>200</v>
          </cell>
          <cell r="CI256">
            <v>100</v>
          </cell>
          <cell r="CJ256" t="str">
            <v>$0 / $0</v>
          </cell>
          <cell r="CK256">
            <v>1</v>
          </cell>
          <cell r="CL256" t="str">
            <v>$3,000 / $6,000</v>
          </cell>
          <cell r="CM256" t="str">
            <v>N/A</v>
          </cell>
          <cell r="CN256" t="str">
            <v>N/A</v>
          </cell>
          <cell r="CO256" t="str">
            <v>N/A</v>
          </cell>
          <cell r="CP256" t="str">
            <v>Emb</v>
          </cell>
          <cell r="CS256" t="str">
            <v>HMO</v>
          </cell>
          <cell r="CT256" t="str">
            <v>Alliance</v>
          </cell>
          <cell r="CU256">
            <v>0.88759999999999994</v>
          </cell>
          <cell r="CW256" t="str">
            <v>All17</v>
          </cell>
          <cell r="CX256">
            <v>0.72960000000000003</v>
          </cell>
          <cell r="CY256" t="str">
            <v>BDX</v>
          </cell>
        </row>
        <row r="257">
          <cell r="CA257" t="str">
            <v>UA9</v>
          </cell>
          <cell r="CB257" t="str">
            <v>Alliance</v>
          </cell>
          <cell r="CC257">
            <v>30</v>
          </cell>
          <cell r="CD257">
            <v>40</v>
          </cell>
          <cell r="CE257">
            <v>250</v>
          </cell>
          <cell r="CF257" t="str">
            <v>$500PDx3</v>
          </cell>
          <cell r="CG257">
            <v>100</v>
          </cell>
          <cell r="CH257">
            <v>200</v>
          </cell>
          <cell r="CI257">
            <v>100</v>
          </cell>
          <cell r="CJ257" t="str">
            <v>$0 / $0</v>
          </cell>
          <cell r="CK257">
            <v>1</v>
          </cell>
          <cell r="CL257" t="str">
            <v>$3,000 / $6,000</v>
          </cell>
          <cell r="CM257" t="str">
            <v>N/A</v>
          </cell>
          <cell r="CN257" t="str">
            <v>N/A</v>
          </cell>
          <cell r="CO257" t="str">
            <v>N/A</v>
          </cell>
          <cell r="CP257" t="str">
            <v>Emb</v>
          </cell>
          <cell r="CS257" t="str">
            <v>HMO</v>
          </cell>
          <cell r="CT257" t="str">
            <v>Alliance</v>
          </cell>
          <cell r="CU257">
            <v>0.89559999999999995</v>
          </cell>
          <cell r="CW257" t="str">
            <v>All17</v>
          </cell>
          <cell r="CX257">
            <v>0.72350000000000003</v>
          </cell>
          <cell r="CY257" t="str">
            <v>BDX</v>
          </cell>
        </row>
        <row r="258">
          <cell r="CA258" t="str">
            <v>UGN</v>
          </cell>
          <cell r="CB258" t="str">
            <v>Alliance</v>
          </cell>
          <cell r="CC258">
            <v>30</v>
          </cell>
          <cell r="CD258">
            <v>40</v>
          </cell>
          <cell r="CE258" t="str">
            <v>Ded + Co-Ins</v>
          </cell>
          <cell r="CF258" t="str">
            <v>$500PDx3</v>
          </cell>
          <cell r="CG258">
            <v>100</v>
          </cell>
          <cell r="CH258">
            <v>200</v>
          </cell>
          <cell r="CI258">
            <v>100</v>
          </cell>
          <cell r="CJ258" t="str">
            <v>$0 / $0</v>
          </cell>
          <cell r="CK258">
            <v>1</v>
          </cell>
          <cell r="CL258" t="str">
            <v>$3,000 / $6,000</v>
          </cell>
          <cell r="CM258" t="str">
            <v>N/A</v>
          </cell>
          <cell r="CN258" t="str">
            <v>N/A</v>
          </cell>
          <cell r="CO258" t="str">
            <v>N/A</v>
          </cell>
          <cell r="CP258" t="str">
            <v>Emb</v>
          </cell>
          <cell r="CS258" t="str">
            <v>HMO</v>
          </cell>
          <cell r="CT258" t="str">
            <v>Alliance</v>
          </cell>
          <cell r="CU258">
            <v>0.87360000000000004</v>
          </cell>
          <cell r="CW258" t="str">
            <v>All17</v>
          </cell>
          <cell r="CX258">
            <v>0.71870000000000001</v>
          </cell>
          <cell r="CY258" t="str">
            <v>BDX</v>
          </cell>
        </row>
        <row r="259">
          <cell r="CA259" t="str">
            <v>UMV</v>
          </cell>
          <cell r="CB259" t="str">
            <v>Alliance</v>
          </cell>
          <cell r="CC259">
            <v>30</v>
          </cell>
          <cell r="CD259">
            <v>40</v>
          </cell>
          <cell r="CE259">
            <v>350</v>
          </cell>
          <cell r="CF259" t="str">
            <v>$750PDx3</v>
          </cell>
          <cell r="CG259">
            <v>100</v>
          </cell>
          <cell r="CH259">
            <v>200</v>
          </cell>
          <cell r="CI259">
            <v>100</v>
          </cell>
          <cell r="CJ259" t="str">
            <v>$0 / $0</v>
          </cell>
          <cell r="CK259">
            <v>1</v>
          </cell>
          <cell r="CL259" t="str">
            <v>$3,500 / $7,000</v>
          </cell>
          <cell r="CM259" t="str">
            <v>N/A</v>
          </cell>
          <cell r="CN259" t="str">
            <v>N/A</v>
          </cell>
          <cell r="CO259" t="str">
            <v>N/A</v>
          </cell>
          <cell r="CP259" t="str">
            <v>Emb</v>
          </cell>
          <cell r="CS259" t="str">
            <v>HMO</v>
          </cell>
          <cell r="CT259" t="str">
            <v>Alliance</v>
          </cell>
          <cell r="CU259">
            <v>0.88470000000000004</v>
          </cell>
          <cell r="CW259" t="str">
            <v>All17</v>
          </cell>
          <cell r="CX259">
            <v>0.7177</v>
          </cell>
          <cell r="CY259" t="str">
            <v>BDX</v>
          </cell>
        </row>
        <row r="260">
          <cell r="CA260" t="str">
            <v>N13</v>
          </cell>
          <cell r="CB260" t="str">
            <v>Alliance</v>
          </cell>
          <cell r="CC260">
            <v>30</v>
          </cell>
          <cell r="CD260">
            <v>45</v>
          </cell>
          <cell r="CE260">
            <v>500</v>
          </cell>
          <cell r="CF260" t="str">
            <v>$1000PDx3</v>
          </cell>
          <cell r="CG260">
            <v>100</v>
          </cell>
          <cell r="CH260">
            <v>200</v>
          </cell>
          <cell r="CI260">
            <v>100</v>
          </cell>
          <cell r="CJ260" t="str">
            <v>$0 / $0</v>
          </cell>
          <cell r="CK260">
            <v>1</v>
          </cell>
          <cell r="CL260" t="str">
            <v>$3,500 / $7,000</v>
          </cell>
          <cell r="CM260" t="str">
            <v>N/A</v>
          </cell>
          <cell r="CN260" t="str">
            <v>N/A</v>
          </cell>
          <cell r="CO260" t="str">
            <v>N/A</v>
          </cell>
          <cell r="CP260" t="str">
            <v>Emb</v>
          </cell>
          <cell r="CS260" t="str">
            <v>HMO</v>
          </cell>
          <cell r="CT260" t="str">
            <v>Alliance</v>
          </cell>
          <cell r="CU260">
            <v>0.87150000000000005</v>
          </cell>
          <cell r="CW260" t="str">
            <v>All17</v>
          </cell>
          <cell r="CX260">
            <v>0.70709999999999995</v>
          </cell>
          <cell r="CY260" t="str">
            <v>BDX</v>
          </cell>
        </row>
        <row r="261">
          <cell r="CA261" t="str">
            <v>N83</v>
          </cell>
          <cell r="CB261" t="str">
            <v>Alliance</v>
          </cell>
          <cell r="CC261">
            <v>20</v>
          </cell>
          <cell r="CD261">
            <v>30</v>
          </cell>
          <cell r="CE261" t="str">
            <v>N/A</v>
          </cell>
          <cell r="CF261" t="str">
            <v>N/A</v>
          </cell>
          <cell r="CG261">
            <v>100</v>
          </cell>
          <cell r="CH261">
            <v>200</v>
          </cell>
          <cell r="CI261">
            <v>100</v>
          </cell>
          <cell r="CJ261" t="str">
            <v>$0 / $0</v>
          </cell>
          <cell r="CK261">
            <v>0.8</v>
          </cell>
          <cell r="CL261" t="str">
            <v>$3,500 / $7,000</v>
          </cell>
          <cell r="CM261" t="str">
            <v>N/A</v>
          </cell>
          <cell r="CN261" t="str">
            <v>N/A</v>
          </cell>
          <cell r="CO261" t="str">
            <v>N/A</v>
          </cell>
          <cell r="CP261" t="str">
            <v>Emb</v>
          </cell>
          <cell r="CS261" t="str">
            <v>HMO</v>
          </cell>
          <cell r="CT261" t="str">
            <v>Alliance</v>
          </cell>
          <cell r="CU261">
            <v>0.86709999999999998</v>
          </cell>
          <cell r="CW261" t="str">
            <v>All17</v>
          </cell>
          <cell r="CX261">
            <v>0.70199999999999996</v>
          </cell>
          <cell r="CY261" t="str">
            <v>BDX</v>
          </cell>
        </row>
        <row r="262">
          <cell r="CA262" t="str">
            <v>N0D</v>
          </cell>
          <cell r="CB262" t="str">
            <v>Alliance</v>
          </cell>
          <cell r="CC262">
            <v>25</v>
          </cell>
          <cell r="CD262">
            <v>40</v>
          </cell>
          <cell r="CE262" t="str">
            <v>N/A</v>
          </cell>
          <cell r="CF262" t="str">
            <v>N/A</v>
          </cell>
          <cell r="CG262">
            <v>100</v>
          </cell>
          <cell r="CH262">
            <v>300</v>
          </cell>
          <cell r="CI262">
            <v>100</v>
          </cell>
          <cell r="CJ262" t="str">
            <v>$0 / $0</v>
          </cell>
          <cell r="CK262">
            <v>0.8</v>
          </cell>
          <cell r="CL262" t="str">
            <v>$4,000 / $8,000</v>
          </cell>
          <cell r="CM262" t="str">
            <v>N/A</v>
          </cell>
          <cell r="CN262" t="str">
            <v>N/A</v>
          </cell>
          <cell r="CO262" t="str">
            <v>N/A</v>
          </cell>
          <cell r="CP262" t="str">
            <v>Emb</v>
          </cell>
          <cell r="CS262" t="str">
            <v>HMO</v>
          </cell>
          <cell r="CT262" t="str">
            <v>Alliance</v>
          </cell>
          <cell r="CU262">
            <v>0.84360000000000002</v>
          </cell>
          <cell r="CW262" t="str">
            <v>All17</v>
          </cell>
          <cell r="CX262">
            <v>0.6865</v>
          </cell>
          <cell r="CY262" t="str">
            <v>BDX</v>
          </cell>
        </row>
        <row r="263">
          <cell r="CA263" t="str">
            <v>N0I</v>
          </cell>
          <cell r="CB263" t="str">
            <v>Alliance</v>
          </cell>
          <cell r="CC263">
            <v>30</v>
          </cell>
          <cell r="CD263">
            <v>40</v>
          </cell>
          <cell r="CE263" t="str">
            <v>N/A</v>
          </cell>
          <cell r="CF263" t="str">
            <v>N/A</v>
          </cell>
          <cell r="CG263">
            <v>100</v>
          </cell>
          <cell r="CH263">
            <v>300</v>
          </cell>
          <cell r="CI263">
            <v>100</v>
          </cell>
          <cell r="CJ263" t="str">
            <v>$0 / $0</v>
          </cell>
          <cell r="CK263">
            <v>0.7</v>
          </cell>
          <cell r="CL263" t="str">
            <v>$4,000 / $8,000</v>
          </cell>
          <cell r="CM263" t="str">
            <v>N/A</v>
          </cell>
          <cell r="CN263" t="str">
            <v>N/A</v>
          </cell>
          <cell r="CO263" t="str">
            <v>N/A</v>
          </cell>
          <cell r="CP263" t="str">
            <v>Emb</v>
          </cell>
          <cell r="CS263" t="str">
            <v>HMO</v>
          </cell>
          <cell r="CT263" t="str">
            <v>Alliance</v>
          </cell>
          <cell r="CU263">
            <v>0.81689999999999996</v>
          </cell>
          <cell r="CW263" t="str">
            <v>All17</v>
          </cell>
          <cell r="CX263">
            <v>0.65920000000000001</v>
          </cell>
          <cell r="CY263" t="str">
            <v>BDX</v>
          </cell>
        </row>
        <row r="264">
          <cell r="BQ264" t="str">
            <v>MMX RX 01</v>
          </cell>
          <cell r="BR264" t="str">
            <v>In &amp; Out Network:  $5/$20/$50     Mail=$12.50/$50/$125</v>
          </cell>
          <cell r="BU264">
            <v>0.51761349000000001</v>
          </cell>
          <cell r="BV264">
            <v>0.22593466000000001</v>
          </cell>
          <cell r="CA264" t="str">
            <v>N0Q</v>
          </cell>
          <cell r="CB264" t="str">
            <v>Alliance</v>
          </cell>
          <cell r="CC264">
            <v>45</v>
          </cell>
          <cell r="CD264">
            <v>50</v>
          </cell>
          <cell r="CE264" t="str">
            <v>N/A</v>
          </cell>
          <cell r="CF264" t="str">
            <v>N/A</v>
          </cell>
          <cell r="CG264">
            <v>100</v>
          </cell>
          <cell r="CH264">
            <v>300</v>
          </cell>
          <cell r="CI264">
            <v>100</v>
          </cell>
          <cell r="CJ264" t="str">
            <v>$0 / $0</v>
          </cell>
          <cell r="CK264">
            <v>0.5</v>
          </cell>
          <cell r="CL264" t="str">
            <v>$5,000 / $10,000</v>
          </cell>
          <cell r="CM264" t="str">
            <v>N/A</v>
          </cell>
          <cell r="CN264" t="str">
            <v>N/A</v>
          </cell>
          <cell r="CO264" t="str">
            <v>N/A</v>
          </cell>
          <cell r="CP264" t="str">
            <v>Emb</v>
          </cell>
          <cell r="CS264" t="str">
            <v>HMO</v>
          </cell>
          <cell r="CT264" t="str">
            <v>Alliance</v>
          </cell>
          <cell r="CU264">
            <v>0.74970000000000003</v>
          </cell>
          <cell r="CW264" t="str">
            <v>All17</v>
          </cell>
          <cell r="CX264">
            <v>0.59309999999999996</v>
          </cell>
          <cell r="CY264" t="str">
            <v>BDX</v>
          </cell>
        </row>
        <row r="265">
          <cell r="BQ265" t="str">
            <v>MMX RX 02</v>
          </cell>
          <cell r="BR265" t="str">
            <v>In &amp; Out Network:  $10/$30/$60     Mail=$25/$75/$150</v>
          </cell>
          <cell r="BU265">
            <v>0.42063955999999997</v>
          </cell>
          <cell r="BV265">
            <v>0.2040148</v>
          </cell>
          <cell r="CA265" t="str">
            <v>Y1T</v>
          </cell>
          <cell r="CB265" t="str">
            <v>Alliance HRA</v>
          </cell>
          <cell r="CC265">
            <v>30</v>
          </cell>
          <cell r="CD265">
            <v>45</v>
          </cell>
          <cell r="CE265" t="str">
            <v>N/A</v>
          </cell>
          <cell r="CF265" t="str">
            <v>N/A</v>
          </cell>
          <cell r="CG265" t="str">
            <v>N/A</v>
          </cell>
          <cell r="CH265" t="str">
            <v>N/A</v>
          </cell>
          <cell r="CI265" t="str">
            <v>N/A</v>
          </cell>
          <cell r="CJ265" t="str">
            <v>$1,500 / $3,000</v>
          </cell>
          <cell r="CK265">
            <v>0.9</v>
          </cell>
          <cell r="CL265" t="str">
            <v>$4,000 / $8,000</v>
          </cell>
          <cell r="CM265" t="str">
            <v>N/A</v>
          </cell>
          <cell r="CN265" t="str">
            <v>N/A</v>
          </cell>
          <cell r="CO265" t="str">
            <v>N/A</v>
          </cell>
          <cell r="CP265" t="str">
            <v>Emb</v>
          </cell>
          <cell r="CS265" t="str">
            <v>HMO</v>
          </cell>
          <cell r="CT265" t="str">
            <v>Alliance</v>
          </cell>
          <cell r="CU265">
            <v>0.54090000000000005</v>
          </cell>
          <cell r="CW265" t="str">
            <v>AllHRA17</v>
          </cell>
          <cell r="CX265">
            <v>0.60189999999999999</v>
          </cell>
          <cell r="CY265" t="str">
            <v>BEY</v>
          </cell>
        </row>
        <row r="266">
          <cell r="BQ266" t="str">
            <v>MMX RX 03</v>
          </cell>
          <cell r="BR266" t="str">
            <v>In &amp; Out Network:  30%(Min $10/Max $20)/30% (Min $25/Max $50)/45%(Min $40/Max $80)     Mail=30%(Min $25/Max $50)/30% (Min $62.50/Max $125)/45%(Min $100/Max $200)</v>
          </cell>
          <cell r="BU266">
            <v>0.41059754999999998</v>
          </cell>
          <cell r="BV266">
            <v>0.17537244999999999</v>
          </cell>
          <cell r="CA266" t="str">
            <v>Y20</v>
          </cell>
          <cell r="CB266" t="str">
            <v>Alliance HRA</v>
          </cell>
          <cell r="CC266">
            <v>35</v>
          </cell>
          <cell r="CD266">
            <v>50</v>
          </cell>
          <cell r="CE266" t="str">
            <v>N/A</v>
          </cell>
          <cell r="CF266" t="str">
            <v>N/A</v>
          </cell>
          <cell r="CG266" t="str">
            <v>N/A</v>
          </cell>
          <cell r="CH266" t="str">
            <v>N/A</v>
          </cell>
          <cell r="CI266" t="str">
            <v>N/A</v>
          </cell>
          <cell r="CJ266" t="str">
            <v>$2,000 / $4,000</v>
          </cell>
          <cell r="CK266">
            <v>0.8</v>
          </cell>
          <cell r="CL266" t="str">
            <v>$5,000 / $10,000</v>
          </cell>
          <cell r="CM266" t="str">
            <v>N/A</v>
          </cell>
          <cell r="CN266" t="str">
            <v>N/A</v>
          </cell>
          <cell r="CO266" t="str">
            <v>N/A</v>
          </cell>
          <cell r="CP266" t="str">
            <v>Emb</v>
          </cell>
          <cell r="CS266" t="str">
            <v>HMO</v>
          </cell>
          <cell r="CT266" t="str">
            <v>Alliance</v>
          </cell>
          <cell r="CU266">
            <v>0.4546</v>
          </cell>
          <cell r="CW266" t="str">
            <v>AllHRA17</v>
          </cell>
          <cell r="CX266">
            <v>0.55620000000000003</v>
          </cell>
          <cell r="CY266" t="str">
            <v>BEY</v>
          </cell>
        </row>
        <row r="267">
          <cell r="BQ267" t="str">
            <v>MMX RX 04</v>
          </cell>
          <cell r="BR267" t="str">
            <v>In &amp; Out Network:  30%(Min $10/Max $20)/30% (Min $25/Max $50)/45%(Min $40/Max $80)     Mail=30%(Min $25/Max $50)/30% (Min $62.50/Max $125)/45%(Min $100/Max $200)</v>
          </cell>
          <cell r="BU267">
            <v>0.41059754999999998</v>
          </cell>
          <cell r="BV267">
            <v>0.17537244999999999</v>
          </cell>
          <cell r="CA267" t="str">
            <v>Y23</v>
          </cell>
          <cell r="CB267" t="str">
            <v>Alliance HRA</v>
          </cell>
          <cell r="CC267">
            <v>40</v>
          </cell>
          <cell r="CD267">
            <v>55</v>
          </cell>
          <cell r="CE267" t="str">
            <v>N/A</v>
          </cell>
          <cell r="CF267" t="str">
            <v>N/A</v>
          </cell>
          <cell r="CG267" t="str">
            <v>N/A</v>
          </cell>
          <cell r="CH267" t="str">
            <v>N/A</v>
          </cell>
          <cell r="CI267" t="str">
            <v>N/A</v>
          </cell>
          <cell r="CJ267" t="str">
            <v>$3,000 / $6,000</v>
          </cell>
          <cell r="CK267">
            <v>0.7</v>
          </cell>
          <cell r="CL267" t="str">
            <v>$6,000 / $12,000</v>
          </cell>
          <cell r="CM267" t="str">
            <v>N/A</v>
          </cell>
          <cell r="CN267" t="str">
            <v>N/A</v>
          </cell>
          <cell r="CO267" t="str">
            <v>N/A</v>
          </cell>
          <cell r="CP267" t="str">
            <v>Emb</v>
          </cell>
          <cell r="CS267" t="str">
            <v>HMO</v>
          </cell>
          <cell r="CT267" t="str">
            <v>Alliance</v>
          </cell>
          <cell r="CU267">
            <v>0.3947</v>
          </cell>
          <cell r="CW267" t="str">
            <v>AllHRA17</v>
          </cell>
          <cell r="CX267">
            <v>0.50970000000000004</v>
          </cell>
          <cell r="CY267" t="str">
            <v>BEY</v>
          </cell>
        </row>
        <row r="268">
          <cell r="BQ268" t="str">
            <v>MMX RX HSA 05</v>
          </cell>
          <cell r="BR268" t="str">
            <v>In &amp; Out Network:  20%, after Ded/20%, after Ded/20%, after Ded     Mail=20%, after Ded/20%, after Ded/20%, after Ded</v>
          </cell>
          <cell r="BU268">
            <v>-6.3250000000000001E-2</v>
          </cell>
          <cell r="BV268">
            <v>-1.7340000000000001E-4</v>
          </cell>
          <cell r="CA268" t="str">
            <v>KMV HSA Rx 3QQ</v>
          </cell>
          <cell r="CB268" t="str">
            <v>Alliance HSA</v>
          </cell>
          <cell r="CC268" t="str">
            <v>N/A</v>
          </cell>
          <cell r="CD268" t="str">
            <v>N/A</v>
          </cell>
          <cell r="CE268" t="str">
            <v>N/A</v>
          </cell>
          <cell r="CF268" t="str">
            <v>N/A</v>
          </cell>
          <cell r="CG268" t="str">
            <v>N/A</v>
          </cell>
          <cell r="CH268" t="str">
            <v>N/A</v>
          </cell>
          <cell r="CI268" t="str">
            <v>N/A</v>
          </cell>
          <cell r="CJ268" t="str">
            <v>$2,600 / $5,200</v>
          </cell>
          <cell r="CK268">
            <v>0.9</v>
          </cell>
          <cell r="CL268" t="str">
            <v>$5,000 / $10,000</v>
          </cell>
          <cell r="CM268" t="str">
            <v>N/A</v>
          </cell>
          <cell r="CN268" t="str">
            <v>N/A</v>
          </cell>
          <cell r="CO268" t="str">
            <v>N/A</v>
          </cell>
          <cell r="CP268" t="str">
            <v>Emb</v>
          </cell>
          <cell r="CS268" t="str">
            <v>HMO</v>
          </cell>
          <cell r="CT268" t="str">
            <v>Alliance</v>
          </cell>
          <cell r="CU268">
            <v>0.55549999999999999</v>
          </cell>
          <cell r="CV268" t="str">
            <v>KMV HSA Rx 3QQ-W</v>
          </cell>
          <cell r="CW268" t="str">
            <v>AllHSA17</v>
          </cell>
          <cell r="CX268">
            <v>0.70799999999999996</v>
          </cell>
          <cell r="CY268" t="str">
            <v>BEY</v>
          </cell>
        </row>
        <row r="269">
          <cell r="BQ269" t="str">
            <v>MMX RX HSA 06</v>
          </cell>
          <cell r="BR269" t="str">
            <v>In &amp; Out Network:  20%, after Ded/20%, after Ded/20%, after Ded     Mail=20%, after Ded/20%, after Ded/20%, after Ded</v>
          </cell>
          <cell r="BU269">
            <v>-6.3250000000000001E-2</v>
          </cell>
          <cell r="BV269">
            <v>-1.7340000000000001E-4</v>
          </cell>
          <cell r="CA269" t="str">
            <v>Y1Q HSA Rx 3Z4</v>
          </cell>
          <cell r="CB269" t="str">
            <v>Alliance HSA</v>
          </cell>
          <cell r="CC269" t="str">
            <v>N/A</v>
          </cell>
          <cell r="CD269" t="str">
            <v>N/A</v>
          </cell>
          <cell r="CE269" t="str">
            <v>N/A</v>
          </cell>
          <cell r="CF269" t="str">
            <v>N/A</v>
          </cell>
          <cell r="CG269" t="str">
            <v>N/A</v>
          </cell>
          <cell r="CH269" t="str">
            <v>N/A</v>
          </cell>
          <cell r="CI269" t="str">
            <v>N/A</v>
          </cell>
          <cell r="CJ269" t="str">
            <v>$3,000 / $6,000</v>
          </cell>
          <cell r="CK269">
            <v>0.8</v>
          </cell>
          <cell r="CL269" t="str">
            <v>$6,000 / $12,000</v>
          </cell>
          <cell r="CM269" t="str">
            <v>N/A</v>
          </cell>
          <cell r="CN269" t="str">
            <v>N/A</v>
          </cell>
          <cell r="CO269" t="str">
            <v>N/A</v>
          </cell>
          <cell r="CP269" t="str">
            <v>Emb</v>
          </cell>
          <cell r="CS269" t="str">
            <v>HMO</v>
          </cell>
          <cell r="CT269" t="str">
            <v>Alliance</v>
          </cell>
          <cell r="CU269">
            <v>0.41589999999999999</v>
          </cell>
          <cell r="CV269" t="str">
            <v>Y1Q HSA Rx 3Z4</v>
          </cell>
          <cell r="CW269" t="str">
            <v>AllHSA17</v>
          </cell>
          <cell r="CX269">
            <v>0.67530000000000001</v>
          </cell>
          <cell r="CY269" t="str">
            <v>BEY</v>
          </cell>
        </row>
        <row r="270">
          <cell r="BQ270" t="str">
            <v>MMX RX HSA 06A</v>
          </cell>
          <cell r="BR270" t="str">
            <v>In &amp; Out Network:  20%, after Ded/20%, after Ded/20%, after Ded     Mail=20%, after Ded/20%, after Ded/20%, after Ded</v>
          </cell>
          <cell r="BU270">
            <v>-6.3250000000000001E-2</v>
          </cell>
          <cell r="BV270">
            <v>-1.7340000000000001E-4</v>
          </cell>
        </row>
        <row r="271">
          <cell r="BQ271" t="str">
            <v>MMX RX HSA 06B</v>
          </cell>
          <cell r="BR271" t="str">
            <v>In &amp; Out Network:  20%, after Ded/20%, after Ded/20%, after Ded     Mail=20%, after Ded/20%, after Ded/20%, after Ded</v>
          </cell>
          <cell r="BU271">
            <v>-6.3250000000000001E-2</v>
          </cell>
          <cell r="BV271">
            <v>-1.7340000000000001E-4</v>
          </cell>
        </row>
        <row r="272">
          <cell r="BQ272" t="str">
            <v>MMX RX HSA 07</v>
          </cell>
          <cell r="BR272" t="str">
            <v>In &amp; Out Network:  30%, after Ded/30%, after Ded/30%, after Ded     Mail=30%, after Ded/30%, after Ded/30%, after Ded</v>
          </cell>
          <cell r="BU272">
            <v>-8.6699999999999999E-2</v>
          </cell>
          <cell r="BV272">
            <v>-1.7340000000000001E-4</v>
          </cell>
        </row>
        <row r="273">
          <cell r="BQ273" t="str">
            <v>MMX RX HSA 08</v>
          </cell>
          <cell r="BR273" t="str">
            <v>In &amp; Out Network:  30%, after Ded/30%, after Ded/30%, after Ded     Mail=30%, after Ded/30%, after Ded/30%, after Ded</v>
          </cell>
          <cell r="BU273">
            <v>-8.6699999999999999E-2</v>
          </cell>
          <cell r="BV273">
            <v>-1.7340000000000001E-4</v>
          </cell>
        </row>
        <row r="274">
          <cell r="BQ274" t="str">
            <v>MMX RX 09</v>
          </cell>
          <cell r="BR274" t="str">
            <v>In &amp; Out Network:  20%/20%/20%     Mail=20%/20%/20%</v>
          </cell>
          <cell r="BU274">
            <v>0.41903459999999998</v>
          </cell>
          <cell r="BV274">
            <v>0.19024377000000001</v>
          </cell>
          <cell r="CA274" t="str">
            <v>UDN</v>
          </cell>
          <cell r="CB274" t="str">
            <v>Focus</v>
          </cell>
          <cell r="CC274">
            <v>10</v>
          </cell>
          <cell r="CD274">
            <v>10</v>
          </cell>
          <cell r="CE274">
            <v>0</v>
          </cell>
          <cell r="CF274">
            <v>0</v>
          </cell>
          <cell r="CG274">
            <v>75</v>
          </cell>
          <cell r="CH274">
            <v>150</v>
          </cell>
          <cell r="CI274">
            <v>100</v>
          </cell>
          <cell r="CJ274" t="str">
            <v>$0 / $0</v>
          </cell>
          <cell r="CK274">
            <v>1</v>
          </cell>
          <cell r="CL274" t="str">
            <v>$1,500 / $3,000</v>
          </cell>
          <cell r="CM274" t="str">
            <v>N/A</v>
          </cell>
          <cell r="CN274" t="str">
            <v>N/A</v>
          </cell>
          <cell r="CO274" t="str">
            <v>N/A</v>
          </cell>
          <cell r="CP274" t="str">
            <v>Emb</v>
          </cell>
          <cell r="CS274" t="str">
            <v>HMO</v>
          </cell>
          <cell r="CT274" t="str">
            <v>Focus</v>
          </cell>
          <cell r="CU274">
            <v>0.97270000000000001</v>
          </cell>
          <cell r="CW274" t="str">
            <v>Foc17</v>
          </cell>
          <cell r="CX274">
            <v>0.73780000000000001</v>
          </cell>
          <cell r="CY274" t="str">
            <v>BDX</v>
          </cell>
        </row>
        <row r="275">
          <cell r="BQ275" t="str">
            <v xml:space="preserve">MMX RX 10 </v>
          </cell>
          <cell r="BR275" t="str">
            <v>In &amp; Out Network:  20%/20%/20%     Mail=20%/20%/20%</v>
          </cell>
          <cell r="BU275">
            <v>0.41903459999999998</v>
          </cell>
          <cell r="BV275">
            <v>0.19024377000000001</v>
          </cell>
          <cell r="CA275" t="str">
            <v>UDQ</v>
          </cell>
          <cell r="CB275" t="str">
            <v>Focus</v>
          </cell>
          <cell r="CC275">
            <v>10</v>
          </cell>
          <cell r="CD275">
            <v>10</v>
          </cell>
          <cell r="CE275">
            <v>200</v>
          </cell>
          <cell r="CF275" t="str">
            <v>$250PA</v>
          </cell>
          <cell r="CG275">
            <v>75</v>
          </cell>
          <cell r="CH275">
            <v>150</v>
          </cell>
          <cell r="CI275">
            <v>100</v>
          </cell>
          <cell r="CJ275" t="str">
            <v>$0 / $0</v>
          </cell>
          <cell r="CK275">
            <v>1</v>
          </cell>
          <cell r="CL275" t="str">
            <v>$1,500 / $3,000</v>
          </cell>
          <cell r="CM275" t="str">
            <v>N/A</v>
          </cell>
          <cell r="CN275" t="str">
            <v>N/A</v>
          </cell>
          <cell r="CO275" t="str">
            <v>N/A</v>
          </cell>
          <cell r="CP275" t="str">
            <v>Emb</v>
          </cell>
          <cell r="CS275" t="str">
            <v>HMO</v>
          </cell>
          <cell r="CT275" t="str">
            <v>Focus</v>
          </cell>
          <cell r="CU275">
            <v>0.96150000000000002</v>
          </cell>
          <cell r="CW275" t="str">
            <v>Foc17</v>
          </cell>
          <cell r="CX275">
            <v>0.73560000000000003</v>
          </cell>
          <cell r="CY275" t="str">
            <v>BDX</v>
          </cell>
        </row>
        <row r="276">
          <cell r="BQ276" t="str">
            <v>MMX RX 11</v>
          </cell>
          <cell r="BR276" t="str">
            <v>In &amp; Out Network:  30%/30%/30%     Mail=30%/30%/30%</v>
          </cell>
          <cell r="BU276">
            <v>0.40002539999999998</v>
          </cell>
          <cell r="BV276">
            <v>0.18549123000000001</v>
          </cell>
          <cell r="CA276" t="str">
            <v>UDU</v>
          </cell>
          <cell r="CB276" t="str">
            <v>Focus</v>
          </cell>
          <cell r="CC276">
            <v>15</v>
          </cell>
          <cell r="CD276">
            <v>15</v>
          </cell>
          <cell r="CE276">
            <v>200</v>
          </cell>
          <cell r="CF276" t="str">
            <v>$250PA</v>
          </cell>
          <cell r="CG276">
            <v>75</v>
          </cell>
          <cell r="CH276">
            <v>150</v>
          </cell>
          <cell r="CI276">
            <v>100</v>
          </cell>
          <cell r="CJ276" t="str">
            <v>$0 / $0</v>
          </cell>
          <cell r="CK276">
            <v>1</v>
          </cell>
          <cell r="CL276" t="str">
            <v>$1,500 / $3,000</v>
          </cell>
          <cell r="CM276" t="str">
            <v>N/A</v>
          </cell>
          <cell r="CN276" t="str">
            <v>N/A</v>
          </cell>
          <cell r="CO276" t="str">
            <v>N/A</v>
          </cell>
          <cell r="CP276" t="str">
            <v>Emb</v>
          </cell>
          <cell r="CS276" t="str">
            <v>HMO</v>
          </cell>
          <cell r="CT276" t="str">
            <v>Focus</v>
          </cell>
          <cell r="CU276">
            <v>0.95230000000000004</v>
          </cell>
          <cell r="CW276" t="str">
            <v>Foc17</v>
          </cell>
          <cell r="CX276">
            <v>0.7288</v>
          </cell>
          <cell r="CY276" t="str">
            <v>BDX</v>
          </cell>
        </row>
        <row r="277">
          <cell r="BQ277" t="str">
            <v>MMX RX 12</v>
          </cell>
          <cell r="BR277" t="str">
            <v>In &amp; Out Network:  30%/30%/30%     Mail=30%/30%/30%</v>
          </cell>
          <cell r="BU277">
            <v>0.40002539999999998</v>
          </cell>
          <cell r="BV277">
            <v>0.18549123000000001</v>
          </cell>
          <cell r="CA277" t="str">
            <v>UI0</v>
          </cell>
          <cell r="CB277" t="str">
            <v>Focus</v>
          </cell>
          <cell r="CC277">
            <v>15</v>
          </cell>
          <cell r="CD277">
            <v>15</v>
          </cell>
          <cell r="CE277">
            <v>400</v>
          </cell>
          <cell r="CF277" t="str">
            <v>$500PA</v>
          </cell>
          <cell r="CG277">
            <v>75</v>
          </cell>
          <cell r="CH277">
            <v>150</v>
          </cell>
          <cell r="CI277">
            <v>100</v>
          </cell>
          <cell r="CJ277" t="str">
            <v>$0 / $0</v>
          </cell>
          <cell r="CK277">
            <v>1</v>
          </cell>
          <cell r="CL277" t="str">
            <v>$1,500 / $3,000</v>
          </cell>
          <cell r="CM277" t="str">
            <v>N/A</v>
          </cell>
          <cell r="CN277" t="str">
            <v>N/A</v>
          </cell>
          <cell r="CO277" t="str">
            <v>N/A</v>
          </cell>
          <cell r="CP277" t="str">
            <v>Emb</v>
          </cell>
          <cell r="CS277" t="str">
            <v>HMO</v>
          </cell>
          <cell r="CT277" t="str">
            <v>Focus</v>
          </cell>
          <cell r="CU277">
            <v>0.94369999999999998</v>
          </cell>
          <cell r="CW277" t="str">
            <v>Foc17</v>
          </cell>
          <cell r="CX277">
            <v>0.72719999999999996</v>
          </cell>
          <cell r="CY277" t="str">
            <v>BDX</v>
          </cell>
        </row>
        <row r="278">
          <cell r="BQ278" t="str">
            <v>MMX RX 13</v>
          </cell>
          <cell r="BR278" t="str">
            <v>In &amp; Out Network:  $10/30% (Min $25/Max $50)/45%(Min $40/Max $80)     Mail=$25/30% (Min $62.50/Max $125)/45%(Min $100/Max $200)</v>
          </cell>
          <cell r="BU278">
            <v>0.43159999999999998</v>
          </cell>
          <cell r="BV278">
            <v>0.18436</v>
          </cell>
          <cell r="CA278" t="str">
            <v>UOK</v>
          </cell>
          <cell r="CB278" t="str">
            <v>Focus</v>
          </cell>
          <cell r="CC278">
            <v>20</v>
          </cell>
          <cell r="CD278">
            <v>20</v>
          </cell>
          <cell r="CE278">
            <v>0</v>
          </cell>
          <cell r="CF278">
            <v>0</v>
          </cell>
          <cell r="CG278">
            <v>75</v>
          </cell>
          <cell r="CH278">
            <v>150</v>
          </cell>
          <cell r="CI278">
            <v>100</v>
          </cell>
          <cell r="CJ278" t="str">
            <v>$0 / $0</v>
          </cell>
          <cell r="CK278">
            <v>1</v>
          </cell>
          <cell r="CL278" t="str">
            <v>$1,500 / $3,000</v>
          </cell>
          <cell r="CM278" t="str">
            <v>N/A</v>
          </cell>
          <cell r="CN278" t="str">
            <v>N/A</v>
          </cell>
          <cell r="CO278" t="str">
            <v>N/A</v>
          </cell>
          <cell r="CP278" t="str">
            <v>Emb</v>
          </cell>
          <cell r="CS278" t="str">
            <v>HMO</v>
          </cell>
          <cell r="CT278" t="str">
            <v>Focus</v>
          </cell>
          <cell r="CU278">
            <v>0.95369999999999999</v>
          </cell>
          <cell r="CW278" t="str">
            <v>Foc17</v>
          </cell>
          <cell r="CX278">
            <v>0.72409999999999997</v>
          </cell>
          <cell r="CY278" t="str">
            <v>BDX</v>
          </cell>
        </row>
        <row r="279">
          <cell r="BQ279" t="str">
            <v>MMX RX HSA 16</v>
          </cell>
          <cell r="BR279" t="str">
            <v>In &amp; Out Network:  30%, after Ded/30%, after Ded/30%, after Ded     Mail=30%, after Ded/30%, after Ded/30%, after Ded</v>
          </cell>
          <cell r="BU279">
            <v>-8.6699999999999999E-2</v>
          </cell>
          <cell r="BV279">
            <v>-1.7340000000000001E-4</v>
          </cell>
          <cell r="CA279" t="str">
            <v>UON</v>
          </cell>
          <cell r="CB279" t="str">
            <v>Focus</v>
          </cell>
          <cell r="CC279">
            <v>20</v>
          </cell>
          <cell r="CD279">
            <v>20</v>
          </cell>
          <cell r="CE279">
            <v>200</v>
          </cell>
          <cell r="CF279" t="str">
            <v>$250PA</v>
          </cell>
          <cell r="CG279">
            <v>75</v>
          </cell>
          <cell r="CH279">
            <v>150</v>
          </cell>
          <cell r="CI279">
            <v>100</v>
          </cell>
          <cell r="CJ279" t="str">
            <v>$0 / $0</v>
          </cell>
          <cell r="CK279">
            <v>1</v>
          </cell>
          <cell r="CL279" t="str">
            <v>$1,500 / $3,000</v>
          </cell>
          <cell r="CM279" t="str">
            <v>N/A</v>
          </cell>
          <cell r="CN279" t="str">
            <v>N/A</v>
          </cell>
          <cell r="CO279" t="str">
            <v>N/A</v>
          </cell>
          <cell r="CP279" t="str">
            <v>Emb</v>
          </cell>
          <cell r="CS279" t="str">
            <v>HMO</v>
          </cell>
          <cell r="CT279" t="str">
            <v>Focus</v>
          </cell>
          <cell r="CU279">
            <v>0.94340000000000002</v>
          </cell>
          <cell r="CW279" t="str">
            <v>Foc17</v>
          </cell>
          <cell r="CX279">
            <v>0.72199999999999998</v>
          </cell>
          <cell r="CY279" t="str">
            <v>BDX</v>
          </cell>
        </row>
        <row r="280">
          <cell r="BQ280" t="str">
            <v>MMX RX HSA 17</v>
          </cell>
          <cell r="BR280" t="str">
            <v>In &amp; Out Network:  30%/30%/30%     Mail=30%/30%/30%</v>
          </cell>
          <cell r="BU280">
            <v>-9.6699999999999994E-2</v>
          </cell>
          <cell r="BV280">
            <v>-1.9339999999999998E-4</v>
          </cell>
          <cell r="CA280" t="str">
            <v>UOQ</v>
          </cell>
          <cell r="CB280" t="str">
            <v>Focus</v>
          </cell>
          <cell r="CC280">
            <v>20</v>
          </cell>
          <cell r="CD280">
            <v>20</v>
          </cell>
          <cell r="CE280">
            <v>400</v>
          </cell>
          <cell r="CF280" t="str">
            <v>$500PA</v>
          </cell>
          <cell r="CG280">
            <v>75</v>
          </cell>
          <cell r="CH280">
            <v>150</v>
          </cell>
          <cell r="CI280">
            <v>100</v>
          </cell>
          <cell r="CJ280" t="str">
            <v>$0 / $0</v>
          </cell>
          <cell r="CK280">
            <v>1</v>
          </cell>
          <cell r="CL280" t="str">
            <v>$1,500 / $3,000</v>
          </cell>
          <cell r="CM280" t="str">
            <v>N/A</v>
          </cell>
          <cell r="CN280" t="str">
            <v>N/A</v>
          </cell>
          <cell r="CO280" t="str">
            <v>N/A</v>
          </cell>
          <cell r="CP280" t="str">
            <v>Emb</v>
          </cell>
          <cell r="CS280" t="str">
            <v>HMO</v>
          </cell>
          <cell r="CT280" t="str">
            <v>Focus</v>
          </cell>
          <cell r="CU280">
            <v>0.93500000000000005</v>
          </cell>
          <cell r="CW280" t="str">
            <v>Foc17</v>
          </cell>
          <cell r="CX280">
            <v>0.72050000000000003</v>
          </cell>
          <cell r="CY280" t="str">
            <v>BDX</v>
          </cell>
        </row>
        <row r="281">
          <cell r="BQ281" t="str">
            <v>MMX RX HSA 18</v>
          </cell>
          <cell r="BR281" t="str">
            <v>In &amp; Out Network:  30%/30%/30%     Mail=30%/30%/30%</v>
          </cell>
          <cell r="BU281">
            <v>-9.6699999999999994E-2</v>
          </cell>
          <cell r="BV281">
            <v>-1.9339999999999998E-4</v>
          </cell>
          <cell r="CA281" t="str">
            <v>UOT</v>
          </cell>
          <cell r="CB281" t="str">
            <v>Focus</v>
          </cell>
          <cell r="CC281">
            <v>25</v>
          </cell>
          <cell r="CD281">
            <v>25</v>
          </cell>
          <cell r="CE281">
            <v>200</v>
          </cell>
          <cell r="CF281" t="str">
            <v>$250PA</v>
          </cell>
          <cell r="CG281">
            <v>75</v>
          </cell>
          <cell r="CH281">
            <v>150</v>
          </cell>
          <cell r="CI281">
            <v>100</v>
          </cell>
          <cell r="CJ281" t="str">
            <v>$0 / $0</v>
          </cell>
          <cell r="CK281">
            <v>1</v>
          </cell>
          <cell r="CL281" t="str">
            <v>$1,500 / $3,000</v>
          </cell>
          <cell r="CM281" t="str">
            <v>N/A</v>
          </cell>
          <cell r="CN281" t="str">
            <v>N/A</v>
          </cell>
          <cell r="CO281" t="str">
            <v>N/A</v>
          </cell>
          <cell r="CP281" t="str">
            <v>Emb</v>
          </cell>
          <cell r="CS281" t="str">
            <v>HMO</v>
          </cell>
          <cell r="CT281" t="str">
            <v>Focus</v>
          </cell>
          <cell r="CU281">
            <v>0.93440000000000001</v>
          </cell>
          <cell r="CW281" t="str">
            <v>Foc17</v>
          </cell>
          <cell r="CX281">
            <v>0.71530000000000005</v>
          </cell>
          <cell r="CY281" t="str">
            <v>BDX</v>
          </cell>
        </row>
        <row r="282">
          <cell r="BQ282" t="str">
            <v>MMX RX 18A</v>
          </cell>
          <cell r="BR282" t="str">
            <v>In &amp; Out Network:  30%/30%/30%     Mail=30%/30%/30%</v>
          </cell>
          <cell r="BU282">
            <v>0.40002539999999998</v>
          </cell>
          <cell r="BV282">
            <v>0.18549123000000001</v>
          </cell>
          <cell r="CA282" t="str">
            <v>UPO</v>
          </cell>
          <cell r="CB282" t="str">
            <v>Focus</v>
          </cell>
          <cell r="CC282">
            <v>25</v>
          </cell>
          <cell r="CD282">
            <v>25</v>
          </cell>
          <cell r="CE282">
            <v>400</v>
          </cell>
          <cell r="CF282" t="str">
            <v>$500PA</v>
          </cell>
          <cell r="CG282">
            <v>75</v>
          </cell>
          <cell r="CH282">
            <v>150</v>
          </cell>
          <cell r="CI282">
            <v>100</v>
          </cell>
          <cell r="CJ282" t="str">
            <v>$0 / $0</v>
          </cell>
          <cell r="CK282">
            <v>1</v>
          </cell>
          <cell r="CL282" t="str">
            <v>$1,500 / $3,000</v>
          </cell>
          <cell r="CM282" t="str">
            <v>N/A</v>
          </cell>
          <cell r="CN282" t="str">
            <v>N/A</v>
          </cell>
          <cell r="CO282" t="str">
            <v>N/A</v>
          </cell>
          <cell r="CP282" t="str">
            <v>Emb</v>
          </cell>
          <cell r="CS282" t="str">
            <v>HMO</v>
          </cell>
          <cell r="CT282" t="str">
            <v>Focus</v>
          </cell>
          <cell r="CU282">
            <v>0.92649999999999999</v>
          </cell>
          <cell r="CW282" t="str">
            <v>Foc17</v>
          </cell>
          <cell r="CX282">
            <v>0.71379999999999999</v>
          </cell>
          <cell r="CY282" t="str">
            <v>BDX</v>
          </cell>
        </row>
        <row r="283">
          <cell r="BQ283" t="str">
            <v>MMX RX HSA 19</v>
          </cell>
          <cell r="BR283" t="str">
            <v>In &amp; Out Network:  30%/30%/30%     Mail=30%/30%/30%</v>
          </cell>
          <cell r="BU283">
            <v>-9.6699999999999994E-2</v>
          </cell>
          <cell r="BV283">
            <v>-1.9339999999999998E-4</v>
          </cell>
          <cell r="CA283" t="str">
            <v>USO</v>
          </cell>
          <cell r="CB283" t="str">
            <v>Focus</v>
          </cell>
          <cell r="CC283">
            <v>10</v>
          </cell>
          <cell r="CD283">
            <v>20</v>
          </cell>
          <cell r="CE283">
            <v>100</v>
          </cell>
          <cell r="CF283" t="str">
            <v>$150PDx3</v>
          </cell>
          <cell r="CG283">
            <v>75</v>
          </cell>
          <cell r="CH283">
            <v>150</v>
          </cell>
          <cell r="CI283">
            <v>100</v>
          </cell>
          <cell r="CJ283" t="str">
            <v>$0 / $0</v>
          </cell>
          <cell r="CK283">
            <v>1</v>
          </cell>
          <cell r="CL283" t="str">
            <v>$1,500 / $3,000</v>
          </cell>
          <cell r="CM283" t="str">
            <v>N/A</v>
          </cell>
          <cell r="CN283" t="str">
            <v>N/A</v>
          </cell>
          <cell r="CO283" t="str">
            <v>N/A</v>
          </cell>
          <cell r="CP283" t="str">
            <v>Emb</v>
          </cell>
          <cell r="CS283" t="str">
            <v>HMO</v>
          </cell>
          <cell r="CT283" t="str">
            <v>Focus</v>
          </cell>
          <cell r="CU283">
            <v>0.95620000000000005</v>
          </cell>
          <cell r="CW283" t="str">
            <v>Foc17</v>
          </cell>
          <cell r="CX283">
            <v>0.72729999999999995</v>
          </cell>
          <cell r="CY283" t="str">
            <v>BDX</v>
          </cell>
        </row>
        <row r="284">
          <cell r="BQ284" t="str">
            <v>MMX RX 19A</v>
          </cell>
          <cell r="BR284" t="str">
            <v>In &amp; Out Network:  30%/30%/30%     Mail=30%/30%/30%</v>
          </cell>
          <cell r="BU284">
            <v>0.40002539999999998</v>
          </cell>
          <cell r="BV284">
            <v>0.18549123000000001</v>
          </cell>
          <cell r="CA284" t="str">
            <v>UVO</v>
          </cell>
          <cell r="CB284" t="str">
            <v>Focus</v>
          </cell>
          <cell r="CC284">
            <v>10</v>
          </cell>
          <cell r="CD284">
            <v>20</v>
          </cell>
          <cell r="CE284">
            <v>200</v>
          </cell>
          <cell r="CF284" t="str">
            <v>$250PDx3</v>
          </cell>
          <cell r="CG284">
            <v>75</v>
          </cell>
          <cell r="CH284">
            <v>150</v>
          </cell>
          <cell r="CI284">
            <v>100</v>
          </cell>
          <cell r="CJ284" t="str">
            <v>$0 / $0</v>
          </cell>
          <cell r="CK284">
            <v>1</v>
          </cell>
          <cell r="CL284" t="str">
            <v>$1,500 / $3,000</v>
          </cell>
          <cell r="CM284" t="str">
            <v>N/A</v>
          </cell>
          <cell r="CN284" t="str">
            <v>N/A</v>
          </cell>
          <cell r="CO284" t="str">
            <v>N/A</v>
          </cell>
          <cell r="CP284" t="str">
            <v>Emb</v>
          </cell>
          <cell r="CS284" t="str">
            <v>HMO</v>
          </cell>
          <cell r="CT284" t="str">
            <v>Focus</v>
          </cell>
          <cell r="CU284">
            <v>0.95079999999999998</v>
          </cell>
          <cell r="CW284" t="str">
            <v>Foc17</v>
          </cell>
          <cell r="CX284">
            <v>0.72629999999999995</v>
          </cell>
          <cell r="CY284" t="str">
            <v>BDX</v>
          </cell>
        </row>
        <row r="285">
          <cell r="CA285" t="str">
            <v>U0C</v>
          </cell>
          <cell r="CB285" t="str">
            <v>Focus</v>
          </cell>
          <cell r="CC285">
            <v>20</v>
          </cell>
          <cell r="CD285">
            <v>30</v>
          </cell>
          <cell r="CE285">
            <v>100</v>
          </cell>
          <cell r="CF285" t="str">
            <v>$150PDx3</v>
          </cell>
          <cell r="CG285">
            <v>75</v>
          </cell>
          <cell r="CH285">
            <v>150</v>
          </cell>
          <cell r="CI285">
            <v>100</v>
          </cell>
          <cell r="CJ285" t="str">
            <v>$0 / $0</v>
          </cell>
          <cell r="CK285">
            <v>1</v>
          </cell>
          <cell r="CL285" t="str">
            <v>$1,500 / $3,000</v>
          </cell>
          <cell r="CM285" t="str">
            <v>N/A</v>
          </cell>
          <cell r="CN285" t="str">
            <v>N/A</v>
          </cell>
          <cell r="CO285" t="str">
            <v>N/A</v>
          </cell>
          <cell r="CP285" t="str">
            <v>Emb</v>
          </cell>
          <cell r="CS285" t="str">
            <v>HMO</v>
          </cell>
          <cell r="CT285" t="str">
            <v>Focus</v>
          </cell>
          <cell r="CU285">
            <v>0.93830000000000002</v>
          </cell>
          <cell r="CW285" t="str">
            <v>Foc17</v>
          </cell>
          <cell r="CX285">
            <v>0.71389999999999998</v>
          </cell>
          <cell r="CY285" t="str">
            <v>BDX</v>
          </cell>
        </row>
        <row r="286">
          <cell r="CA286" t="str">
            <v>U0F</v>
          </cell>
          <cell r="CB286" t="str">
            <v>Focus</v>
          </cell>
          <cell r="CC286">
            <v>25</v>
          </cell>
          <cell r="CD286">
            <v>35</v>
          </cell>
          <cell r="CE286">
            <v>0</v>
          </cell>
          <cell r="CF286">
            <v>0</v>
          </cell>
          <cell r="CG286">
            <v>75</v>
          </cell>
          <cell r="CH286">
            <v>150</v>
          </cell>
          <cell r="CI286">
            <v>100</v>
          </cell>
          <cell r="CJ286" t="str">
            <v>$0 / $0</v>
          </cell>
          <cell r="CK286">
            <v>1</v>
          </cell>
          <cell r="CL286" t="str">
            <v>$1,500 / $3,000</v>
          </cell>
          <cell r="CM286" t="str">
            <v>N/A</v>
          </cell>
          <cell r="CN286" t="str">
            <v>N/A</v>
          </cell>
          <cell r="CO286" t="str">
            <v>N/A</v>
          </cell>
          <cell r="CP286" t="str">
            <v>Emb</v>
          </cell>
          <cell r="CS286" t="str">
            <v>HMO</v>
          </cell>
          <cell r="CT286" t="str">
            <v>Focus</v>
          </cell>
          <cell r="CU286">
            <v>0.93640000000000001</v>
          </cell>
          <cell r="CW286" t="str">
            <v>Foc17</v>
          </cell>
          <cell r="CX286">
            <v>0.70940000000000003</v>
          </cell>
          <cell r="CY286" t="str">
            <v>BDX</v>
          </cell>
        </row>
        <row r="287">
          <cell r="BQ287" t="str">
            <v>4H</v>
          </cell>
          <cell r="BR287" t="str">
            <v>$7/$25/$40     2.5x MO   $250/$750 Ded</v>
          </cell>
          <cell r="BU287">
            <v>0.39275806730674989</v>
          </cell>
          <cell r="BV287">
            <v>0.18977099755101764</v>
          </cell>
          <cell r="CA287" t="str">
            <v>U0J</v>
          </cell>
          <cell r="CB287" t="str">
            <v>Focus</v>
          </cell>
          <cell r="CC287">
            <v>25</v>
          </cell>
          <cell r="CD287">
            <v>35</v>
          </cell>
          <cell r="CE287">
            <v>100</v>
          </cell>
          <cell r="CF287" t="str">
            <v>$150PDx3</v>
          </cell>
          <cell r="CG287">
            <v>75</v>
          </cell>
          <cell r="CH287">
            <v>150</v>
          </cell>
          <cell r="CI287">
            <v>100</v>
          </cell>
          <cell r="CJ287" t="str">
            <v>$0 / $0</v>
          </cell>
          <cell r="CK287">
            <v>1</v>
          </cell>
          <cell r="CL287" t="str">
            <v>$1,500 / $3,000</v>
          </cell>
          <cell r="CM287" t="str">
            <v>N/A</v>
          </cell>
          <cell r="CN287" t="str">
            <v>N/A</v>
          </cell>
          <cell r="CO287" t="str">
            <v>N/A</v>
          </cell>
          <cell r="CP287" t="str">
            <v>Emb</v>
          </cell>
          <cell r="CS287" t="str">
            <v>HMO</v>
          </cell>
          <cell r="CT287" t="str">
            <v>Focus</v>
          </cell>
          <cell r="CU287">
            <v>0.9294</v>
          </cell>
          <cell r="CW287" t="str">
            <v>Foc17</v>
          </cell>
          <cell r="CX287">
            <v>0.70720000000000005</v>
          </cell>
          <cell r="CY287" t="str">
            <v>BDX</v>
          </cell>
        </row>
        <row r="288">
          <cell r="BQ288" t="str">
            <v>4J</v>
          </cell>
          <cell r="BR288" t="str">
            <v>$10/$25/$50     2.5x MO   $250/$750 Ded</v>
          </cell>
          <cell r="BU288">
            <v>0.34772286245785194</v>
          </cell>
          <cell r="BV288">
            <v>0.18600256909391541</v>
          </cell>
          <cell r="CA288" t="str">
            <v>U0M</v>
          </cell>
          <cell r="CB288" t="str">
            <v>Focus</v>
          </cell>
          <cell r="CC288">
            <v>15</v>
          </cell>
          <cell r="CD288">
            <v>30</v>
          </cell>
          <cell r="CE288">
            <v>200</v>
          </cell>
          <cell r="CF288" t="str">
            <v>$250PDx3</v>
          </cell>
          <cell r="CG288">
            <v>75</v>
          </cell>
          <cell r="CH288">
            <v>150</v>
          </cell>
          <cell r="CI288">
            <v>100</v>
          </cell>
          <cell r="CJ288" t="str">
            <v>$0 / $0</v>
          </cell>
          <cell r="CK288">
            <v>1</v>
          </cell>
          <cell r="CL288" t="str">
            <v>$2,500 / $5,000</v>
          </cell>
          <cell r="CM288" t="str">
            <v>N/A</v>
          </cell>
          <cell r="CN288" t="str">
            <v>N/A</v>
          </cell>
          <cell r="CO288" t="str">
            <v>N/A</v>
          </cell>
          <cell r="CP288" t="str">
            <v>Emb</v>
          </cell>
          <cell r="CS288" t="str">
            <v>HMO</v>
          </cell>
          <cell r="CT288" t="str">
            <v>Focus</v>
          </cell>
          <cell r="CU288">
            <v>0.93300000000000005</v>
          </cell>
          <cell r="CW288" t="str">
            <v>Foc17</v>
          </cell>
          <cell r="CX288">
            <v>0.71389999999999998</v>
          </cell>
          <cell r="CY288" t="str">
            <v>BDX</v>
          </cell>
        </row>
        <row r="289">
          <cell r="BQ289" t="str">
            <v>G4</v>
          </cell>
          <cell r="BR289" t="str">
            <v>$10/$30/$50     2.5x MO   $100/$300 Ded</v>
          </cell>
          <cell r="BU289">
            <v>0.39020226414543974</v>
          </cell>
          <cell r="BV289">
            <v>0.19267461751678777</v>
          </cell>
          <cell r="CA289" t="str">
            <v>U0Q</v>
          </cell>
          <cell r="CB289" t="str">
            <v>Focus</v>
          </cell>
          <cell r="CC289">
            <v>25</v>
          </cell>
          <cell r="CD289">
            <v>40</v>
          </cell>
          <cell r="CE289">
            <v>200</v>
          </cell>
          <cell r="CF289" t="str">
            <v>$250PDx3</v>
          </cell>
          <cell r="CG289">
            <v>75</v>
          </cell>
          <cell r="CH289">
            <v>150</v>
          </cell>
          <cell r="CI289">
            <v>100</v>
          </cell>
          <cell r="CJ289" t="str">
            <v>$0 / $0</v>
          </cell>
          <cell r="CK289">
            <v>1</v>
          </cell>
          <cell r="CL289" t="str">
            <v>$2,500 / $5,000</v>
          </cell>
          <cell r="CM289" t="str">
            <v>N/A</v>
          </cell>
          <cell r="CN289" t="str">
            <v>N/A</v>
          </cell>
          <cell r="CO289" t="str">
            <v>N/A</v>
          </cell>
          <cell r="CP289" t="str">
            <v>Emb</v>
          </cell>
          <cell r="CS289" t="str">
            <v>HMO</v>
          </cell>
          <cell r="CT289" t="str">
            <v>Focus</v>
          </cell>
          <cell r="CU289">
            <v>0.91449999999999998</v>
          </cell>
          <cell r="CW289" t="str">
            <v>Foc17</v>
          </cell>
          <cell r="CX289">
            <v>0.70050000000000001</v>
          </cell>
          <cell r="CY289" t="str">
            <v>BDX</v>
          </cell>
        </row>
        <row r="290">
          <cell r="BQ290" t="str">
            <v>H9</v>
          </cell>
          <cell r="BR290" t="str">
            <v>$10/$30/$50     2.5x MO</v>
          </cell>
          <cell r="BU290">
            <v>0.43800484111301208</v>
          </cell>
          <cell r="BV290">
            <v>0.20307500950662283</v>
          </cell>
          <cell r="CA290" t="str">
            <v>U0T</v>
          </cell>
          <cell r="CB290" t="str">
            <v>Focus</v>
          </cell>
          <cell r="CC290">
            <v>35</v>
          </cell>
          <cell r="CD290">
            <v>50</v>
          </cell>
          <cell r="CE290">
            <v>200</v>
          </cell>
          <cell r="CF290" t="str">
            <v>$250PDx3</v>
          </cell>
          <cell r="CG290">
            <v>75</v>
          </cell>
          <cell r="CH290">
            <v>150</v>
          </cell>
          <cell r="CI290">
            <v>100</v>
          </cell>
          <cell r="CJ290" t="str">
            <v>$0 / $0</v>
          </cell>
          <cell r="CK290">
            <v>1</v>
          </cell>
          <cell r="CL290" t="str">
            <v>$2,500 / $5,000</v>
          </cell>
          <cell r="CM290" t="str">
            <v>N/A</v>
          </cell>
          <cell r="CN290" t="str">
            <v>N/A</v>
          </cell>
          <cell r="CO290" t="str">
            <v>N/A</v>
          </cell>
          <cell r="CP290" t="str">
            <v>Emb</v>
          </cell>
          <cell r="CS290" t="str">
            <v>HMO</v>
          </cell>
          <cell r="CT290" t="str">
            <v>Focus</v>
          </cell>
          <cell r="CU290">
            <v>0.89649999999999996</v>
          </cell>
          <cell r="CW290" t="str">
            <v>Foc17</v>
          </cell>
          <cell r="CX290">
            <v>0.68710000000000004</v>
          </cell>
          <cell r="CY290" t="str">
            <v>BDX</v>
          </cell>
        </row>
        <row r="291">
          <cell r="BQ291" t="str">
            <v>K7</v>
          </cell>
          <cell r="BR291" t="str">
            <v>$7/$25/$40     2.5x MO</v>
          </cell>
          <cell r="BU291">
            <v>0.51076660009648833</v>
          </cell>
          <cell r="BV291">
            <v>0.20843485598433822</v>
          </cell>
          <cell r="CA291" t="str">
            <v>U0W</v>
          </cell>
          <cell r="CB291" t="str">
            <v>Focus</v>
          </cell>
          <cell r="CC291">
            <v>20</v>
          </cell>
          <cell r="CD291">
            <v>40</v>
          </cell>
          <cell r="CE291">
            <v>400</v>
          </cell>
          <cell r="CF291" t="str">
            <v>$500PDx5</v>
          </cell>
          <cell r="CG291">
            <v>100</v>
          </cell>
          <cell r="CH291">
            <v>200</v>
          </cell>
          <cell r="CI291">
            <v>100</v>
          </cell>
          <cell r="CJ291" t="str">
            <v>$0 / $0</v>
          </cell>
          <cell r="CK291">
            <v>1</v>
          </cell>
          <cell r="CL291" t="str">
            <v>$4,500 / $9,000</v>
          </cell>
          <cell r="CM291" t="str">
            <v>N/A</v>
          </cell>
          <cell r="CN291" t="str">
            <v>N/A</v>
          </cell>
          <cell r="CO291" t="str">
            <v>N/A</v>
          </cell>
          <cell r="CP291" t="str">
            <v>Emb</v>
          </cell>
          <cell r="CS291" t="str">
            <v>HMO</v>
          </cell>
          <cell r="CT291" t="str">
            <v>Focus</v>
          </cell>
          <cell r="CU291">
            <v>0.89170000000000005</v>
          </cell>
          <cell r="CW291" t="str">
            <v>Foc17</v>
          </cell>
          <cell r="CX291">
            <v>0.69399999999999995</v>
          </cell>
          <cell r="CY291" t="str">
            <v>BDX</v>
          </cell>
        </row>
        <row r="292">
          <cell r="BQ292" t="str">
            <v>K8</v>
          </cell>
          <cell r="BR292" t="str">
            <v>$10/$15/$30     2.5x MO</v>
          </cell>
          <cell r="BU292">
            <v>0.58284516848845469</v>
          </cell>
          <cell r="BV292">
            <v>0.21061805221887808</v>
          </cell>
          <cell r="CA292" t="str">
            <v>U1C</v>
          </cell>
          <cell r="CB292" t="str">
            <v>Focus</v>
          </cell>
          <cell r="CC292">
            <v>25</v>
          </cell>
          <cell r="CD292">
            <v>45</v>
          </cell>
          <cell r="CE292">
            <v>200</v>
          </cell>
          <cell r="CF292" t="str">
            <v>$250PDx5</v>
          </cell>
          <cell r="CG292">
            <v>100</v>
          </cell>
          <cell r="CH292">
            <v>200</v>
          </cell>
          <cell r="CI292">
            <v>100</v>
          </cell>
          <cell r="CJ292" t="str">
            <v>$0 / $0</v>
          </cell>
          <cell r="CK292">
            <v>1</v>
          </cell>
          <cell r="CL292" t="str">
            <v>$4,500 / $9,000</v>
          </cell>
          <cell r="CM292" t="str">
            <v>N/A</v>
          </cell>
          <cell r="CN292" t="str">
            <v>N/A</v>
          </cell>
          <cell r="CO292" t="str">
            <v>N/A</v>
          </cell>
          <cell r="CP292" t="str">
            <v>Emb</v>
          </cell>
          <cell r="CS292" t="str">
            <v>HMO</v>
          </cell>
          <cell r="CT292" t="str">
            <v>Focus</v>
          </cell>
          <cell r="CU292">
            <v>0.89859999999999995</v>
          </cell>
          <cell r="CW292" t="str">
            <v>Foc17</v>
          </cell>
          <cell r="CX292">
            <v>0.69259999999999999</v>
          </cell>
          <cell r="CY292" t="str">
            <v>BDX</v>
          </cell>
        </row>
        <row r="293">
          <cell r="BQ293" t="str">
            <v>Q0</v>
          </cell>
          <cell r="BR293" t="str">
            <v>$7/$25/$40     2.5x MO   $100/$300 Ded</v>
          </cell>
          <cell r="BU293">
            <v>0.45279943190101024</v>
          </cell>
          <cell r="BV293">
            <v>0.19984023997150682</v>
          </cell>
          <cell r="CA293" t="str">
            <v>U1F</v>
          </cell>
          <cell r="CB293" t="str">
            <v>Focus</v>
          </cell>
          <cell r="CC293">
            <v>30</v>
          </cell>
          <cell r="CD293">
            <v>50</v>
          </cell>
          <cell r="CE293">
            <v>200</v>
          </cell>
          <cell r="CF293" t="str">
            <v>$250PDx5</v>
          </cell>
          <cell r="CG293">
            <v>100</v>
          </cell>
          <cell r="CH293">
            <v>200</v>
          </cell>
          <cell r="CI293">
            <v>100</v>
          </cell>
          <cell r="CJ293" t="str">
            <v>$0 / $0</v>
          </cell>
          <cell r="CK293">
            <v>1</v>
          </cell>
          <cell r="CL293" t="str">
            <v>$4,500 / $9,000</v>
          </cell>
          <cell r="CM293" t="str">
            <v>N/A</v>
          </cell>
          <cell r="CN293" t="str">
            <v>N/A</v>
          </cell>
          <cell r="CO293" t="str">
            <v>N/A</v>
          </cell>
          <cell r="CP293" t="str">
            <v>Emb</v>
          </cell>
          <cell r="CS293" t="str">
            <v>HMO</v>
          </cell>
          <cell r="CT293" t="str">
            <v>Focus</v>
          </cell>
          <cell r="CU293">
            <v>0.88919999999999999</v>
          </cell>
          <cell r="CW293" t="str">
            <v>Foc17</v>
          </cell>
          <cell r="CX293">
            <v>0.68579999999999997</v>
          </cell>
          <cell r="CY293" t="str">
            <v>BDX</v>
          </cell>
        </row>
        <row r="294">
          <cell r="CA294" t="str">
            <v>U1K</v>
          </cell>
          <cell r="CB294" t="str">
            <v>Focus</v>
          </cell>
          <cell r="CC294">
            <v>30</v>
          </cell>
          <cell r="CD294">
            <v>50</v>
          </cell>
          <cell r="CE294">
            <v>400</v>
          </cell>
          <cell r="CF294" t="str">
            <v>$500PDx5</v>
          </cell>
          <cell r="CG294">
            <v>100</v>
          </cell>
          <cell r="CH294">
            <v>200</v>
          </cell>
          <cell r="CI294">
            <v>100</v>
          </cell>
          <cell r="CJ294" t="str">
            <v>$0 / $0</v>
          </cell>
          <cell r="CK294">
            <v>1</v>
          </cell>
          <cell r="CL294" t="str">
            <v>$4,500 / $9,000</v>
          </cell>
          <cell r="CM294" t="str">
            <v>N/A</v>
          </cell>
          <cell r="CN294" t="str">
            <v>N/A</v>
          </cell>
          <cell r="CO294" t="str">
            <v>N/A</v>
          </cell>
          <cell r="CP294" t="str">
            <v>Emb</v>
          </cell>
          <cell r="CS294" t="str">
            <v>HMO</v>
          </cell>
          <cell r="CT294" t="str">
            <v>Focus</v>
          </cell>
          <cell r="CU294">
            <v>0.87319999999999998</v>
          </cell>
          <cell r="CW294" t="str">
            <v>Foc17</v>
          </cell>
          <cell r="CX294">
            <v>0.68069999999999997</v>
          </cell>
          <cell r="CY294" t="str">
            <v>BDX</v>
          </cell>
        </row>
        <row r="295">
          <cell r="CA295" t="str">
            <v>U1P</v>
          </cell>
          <cell r="CB295" t="str">
            <v>Focus</v>
          </cell>
          <cell r="CC295">
            <v>25</v>
          </cell>
          <cell r="CD295">
            <v>45</v>
          </cell>
          <cell r="CE295" t="str">
            <v>N/A</v>
          </cell>
          <cell r="CF295" t="str">
            <v>N/A</v>
          </cell>
          <cell r="CG295">
            <v>100</v>
          </cell>
          <cell r="CH295">
            <v>200</v>
          </cell>
          <cell r="CI295">
            <v>100</v>
          </cell>
          <cell r="CJ295" t="str">
            <v>$0 / $0</v>
          </cell>
          <cell r="CK295">
            <v>0.9</v>
          </cell>
          <cell r="CL295" t="str">
            <v>$2,500 / $5,000</v>
          </cell>
          <cell r="CM295" t="str">
            <v>N/A</v>
          </cell>
          <cell r="CN295" t="str">
            <v>N/A</v>
          </cell>
          <cell r="CO295" t="str">
            <v>N/A</v>
          </cell>
          <cell r="CP295" t="str">
            <v>Emb</v>
          </cell>
          <cell r="CS295" t="str">
            <v>HMO</v>
          </cell>
          <cell r="CT295" t="str">
            <v>Focus</v>
          </cell>
          <cell r="CU295">
            <v>0.88619999999999999</v>
          </cell>
          <cell r="CW295" t="str">
            <v>Foc17</v>
          </cell>
          <cell r="CX295">
            <v>0.69969999999999999</v>
          </cell>
          <cell r="CY295" t="str">
            <v>BDX</v>
          </cell>
        </row>
        <row r="296">
          <cell r="CA296" t="str">
            <v>U1U</v>
          </cell>
          <cell r="CB296" t="str">
            <v>Focus</v>
          </cell>
          <cell r="CC296">
            <v>25</v>
          </cell>
          <cell r="CD296">
            <v>45</v>
          </cell>
          <cell r="CE296" t="str">
            <v>N/A</v>
          </cell>
          <cell r="CF296" t="str">
            <v>N/A</v>
          </cell>
          <cell r="CG296">
            <v>100</v>
          </cell>
          <cell r="CH296">
            <v>200</v>
          </cell>
          <cell r="CI296">
            <v>100</v>
          </cell>
          <cell r="CJ296" t="str">
            <v>$0 / $0</v>
          </cell>
          <cell r="CK296">
            <v>0.8</v>
          </cell>
          <cell r="CL296" t="str">
            <v>$3,500 / $7,000</v>
          </cell>
          <cell r="CM296" t="str">
            <v>N/A</v>
          </cell>
          <cell r="CN296" t="str">
            <v>N/A</v>
          </cell>
          <cell r="CO296" t="str">
            <v>N/A</v>
          </cell>
          <cell r="CP296" t="str">
            <v>Emb</v>
          </cell>
          <cell r="CS296" t="str">
            <v>HMO</v>
          </cell>
          <cell r="CT296" t="str">
            <v>Focus</v>
          </cell>
          <cell r="CU296">
            <v>0.85129999999999995</v>
          </cell>
          <cell r="CW296" t="str">
            <v>Foc17</v>
          </cell>
          <cell r="CX296">
            <v>0.69969999999999999</v>
          </cell>
          <cell r="CY296" t="str">
            <v>BDX</v>
          </cell>
        </row>
        <row r="297">
          <cell r="CA297" t="str">
            <v>U2C</v>
          </cell>
          <cell r="CB297" t="str">
            <v>Focus</v>
          </cell>
          <cell r="CC297">
            <v>25</v>
          </cell>
          <cell r="CD297">
            <v>45</v>
          </cell>
          <cell r="CE297" t="str">
            <v>N/A</v>
          </cell>
          <cell r="CF297" t="str">
            <v>N/A</v>
          </cell>
          <cell r="CG297">
            <v>100</v>
          </cell>
          <cell r="CH297">
            <v>200</v>
          </cell>
          <cell r="CI297">
            <v>100</v>
          </cell>
          <cell r="CJ297" t="str">
            <v>$0 / $0</v>
          </cell>
          <cell r="CK297">
            <v>0.7</v>
          </cell>
          <cell r="CL297" t="str">
            <v>$4,500 / $9,000</v>
          </cell>
          <cell r="CM297" t="str">
            <v>N/A</v>
          </cell>
          <cell r="CN297" t="str">
            <v>N/A</v>
          </cell>
          <cell r="CO297" t="str">
            <v>N/A</v>
          </cell>
          <cell r="CP297" t="str">
            <v>Emb</v>
          </cell>
          <cell r="CS297" t="str">
            <v>HMO</v>
          </cell>
          <cell r="CT297" t="str">
            <v>Focus</v>
          </cell>
          <cell r="CU297">
            <v>0.81730000000000003</v>
          </cell>
          <cell r="CW297" t="str">
            <v>Foc17</v>
          </cell>
          <cell r="CX297">
            <v>0.69969999999999999</v>
          </cell>
          <cell r="CY297" t="str">
            <v>BDX</v>
          </cell>
        </row>
        <row r="298">
          <cell r="CA298" t="str">
            <v>U2F</v>
          </cell>
          <cell r="CB298" t="str">
            <v>Focus</v>
          </cell>
          <cell r="CC298">
            <v>30</v>
          </cell>
          <cell r="CD298">
            <v>50</v>
          </cell>
          <cell r="CE298" t="str">
            <v>N/A</v>
          </cell>
          <cell r="CF298" t="str">
            <v>N/A</v>
          </cell>
          <cell r="CG298">
            <v>100</v>
          </cell>
          <cell r="CH298">
            <v>200</v>
          </cell>
          <cell r="CI298">
            <v>100</v>
          </cell>
          <cell r="CJ298" t="str">
            <v>$0 / $0</v>
          </cell>
          <cell r="CK298">
            <v>0.9</v>
          </cell>
          <cell r="CL298" t="str">
            <v>$2,500 / $5,000</v>
          </cell>
          <cell r="CM298" t="str">
            <v>N/A</v>
          </cell>
          <cell r="CN298" t="str">
            <v>N/A</v>
          </cell>
          <cell r="CO298" t="str">
            <v>N/A</v>
          </cell>
          <cell r="CP298" t="str">
            <v>Emb</v>
          </cell>
          <cell r="CS298" t="str">
            <v>HMO</v>
          </cell>
          <cell r="CT298" t="str">
            <v>Focus</v>
          </cell>
          <cell r="CU298">
            <v>0.87780000000000002</v>
          </cell>
          <cell r="CW298" t="str">
            <v>Foc17</v>
          </cell>
          <cell r="CX298">
            <v>0.69289999999999996</v>
          </cell>
          <cell r="CY298" t="str">
            <v>BDX</v>
          </cell>
        </row>
        <row r="299">
          <cell r="BQ299">
            <v>268</v>
          </cell>
          <cell r="BR299" t="str">
            <v>$15/$35    $150I   2x MO</v>
          </cell>
          <cell r="BS299" t="str">
            <v>$1,500/$3,000 OOPM</v>
          </cell>
          <cell r="BU299">
            <v>0.54971220748117489</v>
          </cell>
          <cell r="BV299">
            <v>0.22</v>
          </cell>
          <cell r="CA299" t="str">
            <v>U2J</v>
          </cell>
          <cell r="CB299" t="str">
            <v>Focus</v>
          </cell>
          <cell r="CC299">
            <v>35</v>
          </cell>
          <cell r="CD299">
            <v>55</v>
          </cell>
          <cell r="CE299" t="str">
            <v>N/A</v>
          </cell>
          <cell r="CF299" t="str">
            <v>N/A</v>
          </cell>
          <cell r="CG299">
            <v>100</v>
          </cell>
          <cell r="CH299">
            <v>200</v>
          </cell>
          <cell r="CI299">
            <v>100</v>
          </cell>
          <cell r="CJ299" t="str">
            <v>$0 / $0</v>
          </cell>
          <cell r="CK299">
            <v>0.9</v>
          </cell>
          <cell r="CL299" t="str">
            <v>$2,500 / $5,000</v>
          </cell>
          <cell r="CM299" t="str">
            <v>N/A</v>
          </cell>
          <cell r="CN299" t="str">
            <v>N/A</v>
          </cell>
          <cell r="CO299" t="str">
            <v>N/A</v>
          </cell>
          <cell r="CP299" t="str">
            <v>Emb</v>
          </cell>
          <cell r="CS299" t="str">
            <v>HMO</v>
          </cell>
          <cell r="CT299" t="str">
            <v>Focus</v>
          </cell>
          <cell r="CU299">
            <v>0.86929999999999996</v>
          </cell>
          <cell r="CW299" t="str">
            <v>Foc17</v>
          </cell>
          <cell r="CX299">
            <v>0.68600000000000005</v>
          </cell>
          <cell r="CY299" t="str">
            <v>BDX</v>
          </cell>
        </row>
        <row r="300">
          <cell r="BQ300" t="str">
            <v>3O0</v>
          </cell>
          <cell r="BR300" t="str">
            <v>$10/$20/$25   $150I   2x MO</v>
          </cell>
          <cell r="BS300" t="str">
            <v>$1,500/$3,000 OOPM</v>
          </cell>
          <cell r="BU300">
            <v>0.8017605901565652</v>
          </cell>
          <cell r="BV300">
            <v>0.21299999999999999</v>
          </cell>
          <cell r="CA300" t="str">
            <v>U2M</v>
          </cell>
          <cell r="CB300" t="str">
            <v>Focus</v>
          </cell>
          <cell r="CC300">
            <v>35</v>
          </cell>
          <cell r="CD300">
            <v>55</v>
          </cell>
          <cell r="CE300" t="str">
            <v>N/A</v>
          </cell>
          <cell r="CF300" t="str">
            <v>N/A</v>
          </cell>
          <cell r="CG300">
            <v>100</v>
          </cell>
          <cell r="CH300">
            <v>200</v>
          </cell>
          <cell r="CI300">
            <v>100</v>
          </cell>
          <cell r="CJ300" t="str">
            <v>$0 / $0</v>
          </cell>
          <cell r="CK300">
            <v>0.8</v>
          </cell>
          <cell r="CL300" t="str">
            <v>$3,500 / $7,000</v>
          </cell>
          <cell r="CM300" t="str">
            <v>N/A</v>
          </cell>
          <cell r="CN300" t="str">
            <v>N/A</v>
          </cell>
          <cell r="CO300" t="str">
            <v>N/A</v>
          </cell>
          <cell r="CP300" t="str">
            <v>Emb</v>
          </cell>
          <cell r="CS300" t="str">
            <v>HMO</v>
          </cell>
          <cell r="CT300" t="str">
            <v>Focus</v>
          </cell>
          <cell r="CU300">
            <v>0.83460000000000001</v>
          </cell>
          <cell r="CW300" t="str">
            <v>Foc17</v>
          </cell>
          <cell r="CX300">
            <v>0.68600000000000005</v>
          </cell>
          <cell r="CY300" t="str">
            <v>BDX</v>
          </cell>
        </row>
        <row r="301">
          <cell r="CA301" t="str">
            <v>U2Q</v>
          </cell>
          <cell r="CB301" t="str">
            <v>Focus</v>
          </cell>
          <cell r="CC301">
            <v>35</v>
          </cell>
          <cell r="CD301">
            <v>55</v>
          </cell>
          <cell r="CE301" t="str">
            <v>N/A</v>
          </cell>
          <cell r="CF301" t="str">
            <v>N/A</v>
          </cell>
          <cell r="CG301">
            <v>100</v>
          </cell>
          <cell r="CH301">
            <v>200</v>
          </cell>
          <cell r="CI301">
            <v>100</v>
          </cell>
          <cell r="CJ301" t="str">
            <v>$0 / $0</v>
          </cell>
          <cell r="CK301">
            <v>0.7</v>
          </cell>
          <cell r="CL301" t="str">
            <v>$4,500 / $9,000</v>
          </cell>
          <cell r="CM301" t="str">
            <v>N/A</v>
          </cell>
          <cell r="CN301" t="str">
            <v>N/A</v>
          </cell>
          <cell r="CO301" t="str">
            <v>N/A</v>
          </cell>
          <cell r="CP301" t="str">
            <v>Emb</v>
          </cell>
          <cell r="CS301" t="str">
            <v>HMO</v>
          </cell>
          <cell r="CT301" t="str">
            <v>Focus</v>
          </cell>
          <cell r="CU301">
            <v>0.80059999999999998</v>
          </cell>
          <cell r="CW301" t="str">
            <v>Foc17</v>
          </cell>
          <cell r="CX301">
            <v>0.68600000000000005</v>
          </cell>
          <cell r="CY301" t="str">
            <v>BDX</v>
          </cell>
        </row>
        <row r="302">
          <cell r="CA302" t="str">
            <v>U2T</v>
          </cell>
          <cell r="CB302" t="str">
            <v>Focus</v>
          </cell>
          <cell r="CC302">
            <v>45</v>
          </cell>
          <cell r="CD302">
            <v>65</v>
          </cell>
          <cell r="CE302" t="str">
            <v>N/A</v>
          </cell>
          <cell r="CF302" t="str">
            <v>N/A</v>
          </cell>
          <cell r="CG302">
            <v>100</v>
          </cell>
          <cell r="CH302">
            <v>200</v>
          </cell>
          <cell r="CI302">
            <v>100</v>
          </cell>
          <cell r="CJ302" t="str">
            <v>$0 / $0</v>
          </cell>
          <cell r="CK302">
            <v>0.9</v>
          </cell>
          <cell r="CL302" t="str">
            <v>$2,500 / $5,000</v>
          </cell>
          <cell r="CM302" t="str">
            <v>N/A</v>
          </cell>
          <cell r="CN302" t="str">
            <v>N/A</v>
          </cell>
          <cell r="CO302" t="str">
            <v>N/A</v>
          </cell>
          <cell r="CP302" t="str">
            <v>Emb</v>
          </cell>
          <cell r="CS302" t="str">
            <v>HMO</v>
          </cell>
          <cell r="CT302" t="str">
            <v>Focus</v>
          </cell>
          <cell r="CU302">
            <v>0.85229999999999995</v>
          </cell>
          <cell r="CW302" t="str">
            <v>Foc17</v>
          </cell>
          <cell r="CX302">
            <v>0.6724</v>
          </cell>
          <cell r="CY302" t="str">
            <v>BDX</v>
          </cell>
        </row>
        <row r="303">
          <cell r="CA303" t="str">
            <v>U2W</v>
          </cell>
          <cell r="CB303" t="str">
            <v>Focus</v>
          </cell>
          <cell r="CC303">
            <v>20</v>
          </cell>
          <cell r="CD303">
            <v>35</v>
          </cell>
          <cell r="CE303" t="str">
            <v>N/A</v>
          </cell>
          <cell r="CF303" t="str">
            <v>N/A</v>
          </cell>
          <cell r="CG303">
            <v>75</v>
          </cell>
          <cell r="CH303">
            <v>150</v>
          </cell>
          <cell r="CI303">
            <v>100</v>
          </cell>
          <cell r="CJ303" t="str">
            <v>$250 / $500</v>
          </cell>
          <cell r="CK303">
            <v>0.7</v>
          </cell>
          <cell r="CL303" t="str">
            <v>$3,000 / $6,000</v>
          </cell>
          <cell r="CM303" t="str">
            <v>N/A</v>
          </cell>
          <cell r="CN303" t="str">
            <v>N/A</v>
          </cell>
          <cell r="CO303" t="str">
            <v>N/A</v>
          </cell>
          <cell r="CP303" t="str">
            <v>Emb</v>
          </cell>
          <cell r="CS303" t="str">
            <v>HMO</v>
          </cell>
          <cell r="CT303" t="str">
            <v>Focus</v>
          </cell>
          <cell r="CU303">
            <v>0.80059999999999998</v>
          </cell>
          <cell r="CW303" t="str">
            <v>Foc17</v>
          </cell>
          <cell r="CX303">
            <v>0.66210000000000002</v>
          </cell>
          <cell r="CY303" t="str">
            <v>BEY</v>
          </cell>
        </row>
        <row r="304">
          <cell r="CA304" t="str">
            <v>U3C</v>
          </cell>
          <cell r="CB304" t="str">
            <v>Focus</v>
          </cell>
          <cell r="CC304">
            <v>20</v>
          </cell>
          <cell r="CD304">
            <v>35</v>
          </cell>
          <cell r="CE304" t="str">
            <v>N/A</v>
          </cell>
          <cell r="CF304" t="str">
            <v>N/A</v>
          </cell>
          <cell r="CG304">
            <v>75</v>
          </cell>
          <cell r="CH304">
            <v>150</v>
          </cell>
          <cell r="CI304">
            <v>100</v>
          </cell>
          <cell r="CJ304" t="str">
            <v>$500 / $1,000</v>
          </cell>
          <cell r="CK304">
            <v>0.7</v>
          </cell>
          <cell r="CL304" t="str">
            <v>$3,000 / $6,000</v>
          </cell>
          <cell r="CM304" t="str">
            <v>N/A</v>
          </cell>
          <cell r="CN304" t="str">
            <v>N/A</v>
          </cell>
          <cell r="CO304" t="str">
            <v>N/A</v>
          </cell>
          <cell r="CP304" t="str">
            <v>Emb</v>
          </cell>
          <cell r="CS304" t="str">
            <v>HMO</v>
          </cell>
          <cell r="CT304" t="str">
            <v>Focus</v>
          </cell>
          <cell r="CU304">
            <v>0.79330000000000001</v>
          </cell>
          <cell r="CW304" t="str">
            <v>Foc17</v>
          </cell>
          <cell r="CX304">
            <v>0.65390000000000004</v>
          </cell>
          <cell r="CY304" t="str">
            <v>BEY</v>
          </cell>
        </row>
        <row r="305">
          <cell r="CA305" t="str">
            <v>U3F</v>
          </cell>
          <cell r="CB305" t="str">
            <v>Focus</v>
          </cell>
          <cell r="CC305">
            <v>25</v>
          </cell>
          <cell r="CD305">
            <v>40</v>
          </cell>
          <cell r="CE305" t="str">
            <v>N/A</v>
          </cell>
          <cell r="CF305" t="str">
            <v>N/A</v>
          </cell>
          <cell r="CG305">
            <v>75</v>
          </cell>
          <cell r="CH305">
            <v>150</v>
          </cell>
          <cell r="CI305">
            <v>100</v>
          </cell>
          <cell r="CJ305" t="str">
            <v>$1,000 / $2,000</v>
          </cell>
          <cell r="CK305">
            <v>0.7</v>
          </cell>
          <cell r="CL305" t="str">
            <v>$4,500 / $9,000</v>
          </cell>
          <cell r="CM305" t="str">
            <v>N/A</v>
          </cell>
          <cell r="CN305" t="str">
            <v>N/A</v>
          </cell>
          <cell r="CO305" t="str">
            <v>N/A</v>
          </cell>
          <cell r="CP305" t="str">
            <v>Emb</v>
          </cell>
          <cell r="CS305" t="str">
            <v>HMO</v>
          </cell>
          <cell r="CT305" t="str">
            <v>Focus</v>
          </cell>
          <cell r="CU305">
            <v>0.73529999999999995</v>
          </cell>
          <cell r="CW305" t="str">
            <v>Foc17</v>
          </cell>
          <cell r="CX305">
            <v>0.62070000000000003</v>
          </cell>
          <cell r="CY305" t="str">
            <v>BEY</v>
          </cell>
        </row>
        <row r="306">
          <cell r="CA306" t="str">
            <v>U3K</v>
          </cell>
          <cell r="CB306" t="str">
            <v>Focus</v>
          </cell>
          <cell r="CC306">
            <v>25</v>
          </cell>
          <cell r="CD306">
            <v>40</v>
          </cell>
          <cell r="CE306" t="str">
            <v>N/A</v>
          </cell>
          <cell r="CF306" t="str">
            <v>N/A</v>
          </cell>
          <cell r="CG306">
            <v>75</v>
          </cell>
          <cell r="CH306">
            <v>150</v>
          </cell>
          <cell r="CI306">
            <v>100</v>
          </cell>
          <cell r="CJ306" t="str">
            <v>$1,500 / $3,000</v>
          </cell>
          <cell r="CK306">
            <v>0.7</v>
          </cell>
          <cell r="CL306" t="str">
            <v>$5,000 / $10,000</v>
          </cell>
          <cell r="CM306" t="str">
            <v>N/A</v>
          </cell>
          <cell r="CN306" t="str">
            <v>N/A</v>
          </cell>
          <cell r="CO306" t="str">
            <v>N/A</v>
          </cell>
          <cell r="CP306" t="str">
            <v>Emb</v>
          </cell>
          <cell r="CS306" t="str">
            <v>HMO</v>
          </cell>
          <cell r="CT306" t="str">
            <v>Focus</v>
          </cell>
          <cell r="CU306">
            <v>0.71799999999999997</v>
          </cell>
          <cell r="CW306" t="str">
            <v>Foc17</v>
          </cell>
          <cell r="CX306">
            <v>0.60809999999999997</v>
          </cell>
          <cell r="CY306" t="str">
            <v>BEY</v>
          </cell>
        </row>
        <row r="307">
          <cell r="CA307" t="str">
            <v>U3N</v>
          </cell>
          <cell r="CB307" t="str">
            <v>Focus</v>
          </cell>
          <cell r="CC307">
            <v>45</v>
          </cell>
          <cell r="CD307">
            <v>60</v>
          </cell>
          <cell r="CE307" t="str">
            <v>N/A</v>
          </cell>
          <cell r="CF307" t="str">
            <v>N/A</v>
          </cell>
          <cell r="CG307">
            <v>75</v>
          </cell>
          <cell r="CH307">
            <v>150</v>
          </cell>
          <cell r="CI307">
            <v>100</v>
          </cell>
          <cell r="CJ307" t="str">
            <v>$2,000 / $4,000</v>
          </cell>
          <cell r="CK307">
            <v>0.7</v>
          </cell>
          <cell r="CL307" t="str">
            <v>$5,000 / $10,000</v>
          </cell>
          <cell r="CM307" t="str">
            <v>N/A</v>
          </cell>
          <cell r="CN307" t="str">
            <v>N/A</v>
          </cell>
          <cell r="CO307" t="str">
            <v>N/A</v>
          </cell>
          <cell r="CP307" t="str">
            <v>Emb</v>
          </cell>
          <cell r="CS307" t="str">
            <v>HMO</v>
          </cell>
          <cell r="CT307" t="str">
            <v>Focus</v>
          </cell>
          <cell r="CU307">
            <v>0.68879999999999997</v>
          </cell>
          <cell r="CW307" t="str">
            <v>Foc17</v>
          </cell>
          <cell r="CX307">
            <v>0.57830000000000004</v>
          </cell>
          <cell r="CY307" t="str">
            <v>BEY</v>
          </cell>
        </row>
        <row r="308">
          <cell r="CA308" t="str">
            <v>U3R</v>
          </cell>
          <cell r="CB308" t="str">
            <v>Focus</v>
          </cell>
          <cell r="CC308">
            <v>45</v>
          </cell>
          <cell r="CD308">
            <v>60</v>
          </cell>
          <cell r="CE308" t="str">
            <v>N/A</v>
          </cell>
          <cell r="CF308" t="str">
            <v>N/A</v>
          </cell>
          <cell r="CG308">
            <v>75</v>
          </cell>
          <cell r="CH308">
            <v>150</v>
          </cell>
          <cell r="CI308">
            <v>100</v>
          </cell>
          <cell r="CJ308" t="str">
            <v>$3,000 / $6,000</v>
          </cell>
          <cell r="CK308">
            <v>0.7</v>
          </cell>
          <cell r="CL308" t="str">
            <v>$6,000 / $12,000</v>
          </cell>
          <cell r="CM308" t="str">
            <v>N/A</v>
          </cell>
          <cell r="CN308" t="str">
            <v>N/A</v>
          </cell>
          <cell r="CO308" t="str">
            <v>N/A</v>
          </cell>
          <cell r="CP308" t="str">
            <v>Emb</v>
          </cell>
          <cell r="CS308" t="str">
            <v>HMO</v>
          </cell>
          <cell r="CT308" t="str">
            <v>Focus</v>
          </cell>
          <cell r="CU308">
            <v>0.65990000000000004</v>
          </cell>
          <cell r="CW308" t="str">
            <v>Foc17</v>
          </cell>
          <cell r="CX308">
            <v>0.56130000000000002</v>
          </cell>
          <cell r="CY308" t="str">
            <v>BEY</v>
          </cell>
        </row>
        <row r="309">
          <cell r="CA309" t="str">
            <v>U3U</v>
          </cell>
          <cell r="CB309" t="str">
            <v>Focus</v>
          </cell>
          <cell r="CC309">
            <v>10</v>
          </cell>
          <cell r="CD309">
            <v>20</v>
          </cell>
          <cell r="CE309">
            <v>200</v>
          </cell>
          <cell r="CF309" t="str">
            <v>$500PA</v>
          </cell>
          <cell r="CG309">
            <v>75</v>
          </cell>
          <cell r="CH309">
            <v>150</v>
          </cell>
          <cell r="CI309">
            <v>100</v>
          </cell>
          <cell r="CJ309" t="str">
            <v>$0 / $0</v>
          </cell>
          <cell r="CK309">
            <v>1</v>
          </cell>
          <cell r="CL309" t="str">
            <v>$1,500 / $3,000</v>
          </cell>
          <cell r="CM309" t="str">
            <v>N/A</v>
          </cell>
          <cell r="CN309" t="str">
            <v>N/A</v>
          </cell>
          <cell r="CO309" t="str">
            <v>N/A</v>
          </cell>
          <cell r="CP309" t="str">
            <v>Emb</v>
          </cell>
          <cell r="CS309" t="str">
            <v>HMO</v>
          </cell>
          <cell r="CT309" t="str">
            <v>Focus</v>
          </cell>
          <cell r="CU309">
            <v>0.95169999999999999</v>
          </cell>
          <cell r="CW309" t="str">
            <v>Foc17</v>
          </cell>
          <cell r="CX309">
            <v>0.79369999999999996</v>
          </cell>
          <cell r="CY309" t="str">
            <v>BDX</v>
          </cell>
        </row>
        <row r="310">
          <cell r="CA310" t="str">
            <v>U3X</v>
          </cell>
          <cell r="CB310" t="str">
            <v>Focus</v>
          </cell>
          <cell r="CC310">
            <v>10</v>
          </cell>
          <cell r="CD310">
            <v>20</v>
          </cell>
          <cell r="CE310">
            <v>200</v>
          </cell>
          <cell r="CF310" t="str">
            <v>$750PA</v>
          </cell>
          <cell r="CG310">
            <v>75</v>
          </cell>
          <cell r="CH310">
            <v>150</v>
          </cell>
          <cell r="CI310">
            <v>100</v>
          </cell>
          <cell r="CJ310" t="str">
            <v>$0 / $0</v>
          </cell>
          <cell r="CK310">
            <v>1</v>
          </cell>
          <cell r="CL310" t="str">
            <v>$1,500 / $3,000</v>
          </cell>
          <cell r="CM310" t="str">
            <v>N/A</v>
          </cell>
          <cell r="CN310" t="str">
            <v>N/A</v>
          </cell>
          <cell r="CO310" t="str">
            <v>N/A</v>
          </cell>
          <cell r="CP310" t="str">
            <v>Emb</v>
          </cell>
          <cell r="CS310" t="str">
            <v>HMO</v>
          </cell>
          <cell r="CT310" t="str">
            <v>Focus</v>
          </cell>
          <cell r="CU310">
            <v>0.94989999999999997</v>
          </cell>
          <cell r="CW310" t="str">
            <v>Foc17</v>
          </cell>
          <cell r="CX310">
            <v>0.79090000000000005</v>
          </cell>
          <cell r="CY310" t="str">
            <v>BDX</v>
          </cell>
        </row>
        <row r="311">
          <cell r="CA311" t="str">
            <v>U4C</v>
          </cell>
          <cell r="CB311" t="str">
            <v>Focus</v>
          </cell>
          <cell r="CC311">
            <v>15</v>
          </cell>
          <cell r="CD311">
            <v>30</v>
          </cell>
          <cell r="CE311">
            <v>200</v>
          </cell>
          <cell r="CF311" t="str">
            <v>$500PA</v>
          </cell>
          <cell r="CG311">
            <v>75</v>
          </cell>
          <cell r="CH311">
            <v>150</v>
          </cell>
          <cell r="CI311">
            <v>100</v>
          </cell>
          <cell r="CJ311" t="str">
            <v>$0 / $0</v>
          </cell>
          <cell r="CK311">
            <v>1</v>
          </cell>
          <cell r="CL311" t="str">
            <v>$2,500 / $5,000</v>
          </cell>
          <cell r="CM311" t="str">
            <v>N/A</v>
          </cell>
          <cell r="CN311" t="str">
            <v>N/A</v>
          </cell>
          <cell r="CO311" t="str">
            <v>N/A</v>
          </cell>
          <cell r="CP311" t="str">
            <v>Emb</v>
          </cell>
          <cell r="CS311" t="str">
            <v>HMO</v>
          </cell>
          <cell r="CT311" t="str">
            <v>Focus</v>
          </cell>
          <cell r="CU311">
            <v>0.93440000000000001</v>
          </cell>
          <cell r="CW311" t="str">
            <v>Foc17</v>
          </cell>
          <cell r="CX311">
            <v>0.78200000000000003</v>
          </cell>
          <cell r="CY311" t="str">
            <v>BDX</v>
          </cell>
        </row>
        <row r="312">
          <cell r="CA312" t="str">
            <v>U4F</v>
          </cell>
          <cell r="CB312" t="str">
            <v>Focus</v>
          </cell>
          <cell r="CC312">
            <v>15</v>
          </cell>
          <cell r="CD312">
            <v>30</v>
          </cell>
          <cell r="CE312">
            <v>200</v>
          </cell>
          <cell r="CF312" t="str">
            <v>$750PA</v>
          </cell>
          <cell r="CG312">
            <v>75</v>
          </cell>
          <cell r="CH312">
            <v>150</v>
          </cell>
          <cell r="CI312">
            <v>100</v>
          </cell>
          <cell r="CJ312" t="str">
            <v>$0 / $0</v>
          </cell>
          <cell r="CK312">
            <v>1</v>
          </cell>
          <cell r="CL312" t="str">
            <v>$2,500 / $5,000</v>
          </cell>
          <cell r="CM312" t="str">
            <v>N/A</v>
          </cell>
          <cell r="CN312" t="str">
            <v>N/A</v>
          </cell>
          <cell r="CO312" t="str">
            <v>N/A</v>
          </cell>
          <cell r="CP312" t="str">
            <v>Emb</v>
          </cell>
          <cell r="CS312" t="str">
            <v>HMO</v>
          </cell>
          <cell r="CT312" t="str">
            <v>Focus</v>
          </cell>
          <cell r="CU312">
            <v>0.93189999999999995</v>
          </cell>
          <cell r="CW312" t="str">
            <v>Foc17</v>
          </cell>
          <cell r="CX312">
            <v>0.7792</v>
          </cell>
          <cell r="CY312" t="str">
            <v>BDX</v>
          </cell>
        </row>
        <row r="313">
          <cell r="CA313" t="str">
            <v>U4J</v>
          </cell>
          <cell r="CB313" t="str">
            <v>Focus</v>
          </cell>
          <cell r="CC313">
            <v>20</v>
          </cell>
          <cell r="CD313">
            <v>40</v>
          </cell>
          <cell r="CE313">
            <v>400</v>
          </cell>
          <cell r="CF313" t="str">
            <v>$500PA</v>
          </cell>
          <cell r="CG313">
            <v>100</v>
          </cell>
          <cell r="CH313">
            <v>200</v>
          </cell>
          <cell r="CI313">
            <v>100</v>
          </cell>
          <cell r="CJ313" t="str">
            <v>$0 / $0</v>
          </cell>
          <cell r="CK313">
            <v>1</v>
          </cell>
          <cell r="CL313" t="str">
            <v>$4,500 / $9,000</v>
          </cell>
          <cell r="CM313" t="str">
            <v>N/A</v>
          </cell>
          <cell r="CN313" t="str">
            <v>N/A</v>
          </cell>
          <cell r="CO313" t="str">
            <v>N/A</v>
          </cell>
          <cell r="CP313" t="str">
            <v>Emb</v>
          </cell>
          <cell r="CS313" t="str">
            <v>HMO</v>
          </cell>
          <cell r="CT313" t="str">
            <v>Focus</v>
          </cell>
          <cell r="CU313">
            <v>0.90290000000000004</v>
          </cell>
          <cell r="CW313" t="str">
            <v>Foc17</v>
          </cell>
          <cell r="CX313">
            <v>0.76619999999999999</v>
          </cell>
          <cell r="CY313" t="str">
            <v>BDX</v>
          </cell>
        </row>
        <row r="314">
          <cell r="CA314" t="str">
            <v>U4M</v>
          </cell>
          <cell r="CB314" t="str">
            <v>Focus</v>
          </cell>
          <cell r="CC314">
            <v>20</v>
          </cell>
          <cell r="CD314">
            <v>40</v>
          </cell>
          <cell r="CE314">
            <v>400</v>
          </cell>
          <cell r="CF314" t="str">
            <v>$750PA</v>
          </cell>
          <cell r="CG314">
            <v>100</v>
          </cell>
          <cell r="CH314">
            <v>200</v>
          </cell>
          <cell r="CI314">
            <v>100</v>
          </cell>
          <cell r="CJ314" t="str">
            <v>$0 / $0</v>
          </cell>
          <cell r="CK314">
            <v>1</v>
          </cell>
          <cell r="CL314" t="str">
            <v>$4,500 / $9,000</v>
          </cell>
          <cell r="CM314" t="str">
            <v>N/A</v>
          </cell>
          <cell r="CN314" t="str">
            <v>N/A</v>
          </cell>
          <cell r="CO314" t="str">
            <v>N/A</v>
          </cell>
          <cell r="CP314" t="str">
            <v>Emb</v>
          </cell>
          <cell r="CS314" t="str">
            <v>HMO</v>
          </cell>
          <cell r="CT314" t="str">
            <v>Focus</v>
          </cell>
          <cell r="CU314">
            <v>0.89990000000000003</v>
          </cell>
          <cell r="CW314" t="str">
            <v>Foc17</v>
          </cell>
          <cell r="CX314">
            <v>0.76339999999999997</v>
          </cell>
          <cell r="CY314" t="str">
            <v>BDX</v>
          </cell>
        </row>
        <row r="315">
          <cell r="CA315" t="str">
            <v>U4Q</v>
          </cell>
          <cell r="CB315" t="str">
            <v>Focus</v>
          </cell>
          <cell r="CC315">
            <v>30</v>
          </cell>
          <cell r="CD315">
            <v>50</v>
          </cell>
          <cell r="CE315">
            <v>400</v>
          </cell>
          <cell r="CF315" t="str">
            <v>$500PA</v>
          </cell>
          <cell r="CG315">
            <v>100</v>
          </cell>
          <cell r="CH315">
            <v>200</v>
          </cell>
          <cell r="CI315">
            <v>100</v>
          </cell>
          <cell r="CJ315" t="str">
            <v>$0 / $0</v>
          </cell>
          <cell r="CK315">
            <v>1</v>
          </cell>
          <cell r="CL315" t="str">
            <v>$4,500 / $9,000</v>
          </cell>
          <cell r="CM315" t="str">
            <v>N/A</v>
          </cell>
          <cell r="CN315" t="str">
            <v>N/A</v>
          </cell>
          <cell r="CO315" t="str">
            <v>N/A</v>
          </cell>
          <cell r="CP315" t="str">
            <v>Emb</v>
          </cell>
          <cell r="CS315" t="str">
            <v>HMO</v>
          </cell>
          <cell r="CT315" t="str">
            <v>Focus</v>
          </cell>
          <cell r="CU315">
            <v>0.88400000000000001</v>
          </cell>
          <cell r="CW315" t="str">
            <v>Foc17</v>
          </cell>
          <cell r="CX315">
            <v>0.75149999999999995</v>
          </cell>
          <cell r="CY315" t="str">
            <v>BDX</v>
          </cell>
        </row>
        <row r="316">
          <cell r="CA316" t="str">
            <v>U4T</v>
          </cell>
          <cell r="CB316" t="str">
            <v>Focus</v>
          </cell>
          <cell r="CC316">
            <v>30</v>
          </cell>
          <cell r="CD316">
            <v>50</v>
          </cell>
          <cell r="CE316">
            <v>400</v>
          </cell>
          <cell r="CF316" t="str">
            <v>$750PA</v>
          </cell>
          <cell r="CG316">
            <v>100</v>
          </cell>
          <cell r="CH316">
            <v>200</v>
          </cell>
          <cell r="CI316">
            <v>100</v>
          </cell>
          <cell r="CJ316" t="str">
            <v>$0 / $0</v>
          </cell>
          <cell r="CK316">
            <v>1</v>
          </cell>
          <cell r="CL316" t="str">
            <v>$4,500 / $9,000</v>
          </cell>
          <cell r="CM316" t="str">
            <v>N/A</v>
          </cell>
          <cell r="CN316" t="str">
            <v>N/A</v>
          </cell>
          <cell r="CO316" t="str">
            <v>N/A</v>
          </cell>
          <cell r="CP316" t="str">
            <v>Emb</v>
          </cell>
          <cell r="CS316" t="str">
            <v>HMO</v>
          </cell>
          <cell r="CT316" t="str">
            <v>Focus</v>
          </cell>
          <cell r="CU316">
            <v>0.88109999999999999</v>
          </cell>
          <cell r="CW316" t="str">
            <v>Foc17</v>
          </cell>
          <cell r="CX316">
            <v>0.74870000000000003</v>
          </cell>
          <cell r="CY316" t="str">
            <v>BDX</v>
          </cell>
        </row>
        <row r="317">
          <cell r="CA317" t="str">
            <v>U4W</v>
          </cell>
          <cell r="CB317" t="str">
            <v>Focus</v>
          </cell>
          <cell r="CC317">
            <v>25</v>
          </cell>
          <cell r="CD317">
            <v>40</v>
          </cell>
          <cell r="CE317" t="str">
            <v>N/A</v>
          </cell>
          <cell r="CF317" t="str">
            <v>N/A</v>
          </cell>
          <cell r="CG317">
            <v>50</v>
          </cell>
          <cell r="CH317">
            <v>0</v>
          </cell>
          <cell r="CI317">
            <v>100</v>
          </cell>
          <cell r="CJ317" t="str">
            <v>$1,000 / $2,000</v>
          </cell>
          <cell r="CK317">
            <v>1</v>
          </cell>
          <cell r="CL317" t="str">
            <v>$3,500 / $7,000</v>
          </cell>
          <cell r="CM317" t="str">
            <v>N/A</v>
          </cell>
          <cell r="CN317" t="str">
            <v>N/A</v>
          </cell>
          <cell r="CO317" t="str">
            <v>N/A</v>
          </cell>
          <cell r="CP317" t="str">
            <v>Emb</v>
          </cell>
          <cell r="CS317" t="str">
            <v>HMO</v>
          </cell>
          <cell r="CT317" t="str">
            <v>Focus</v>
          </cell>
          <cell r="CU317">
            <v>0.87080000000000002</v>
          </cell>
          <cell r="CW317" t="str">
            <v>Foc17</v>
          </cell>
          <cell r="CX317">
            <v>0.68020000000000003</v>
          </cell>
          <cell r="CY317" t="str">
            <v>BEY</v>
          </cell>
        </row>
        <row r="318">
          <cell r="CA318" t="str">
            <v>U5C</v>
          </cell>
          <cell r="CB318" t="str">
            <v>Focus</v>
          </cell>
          <cell r="CC318">
            <v>30</v>
          </cell>
          <cell r="CD318">
            <v>40</v>
          </cell>
          <cell r="CE318">
            <v>500</v>
          </cell>
          <cell r="CF318" t="str">
            <v>N/A</v>
          </cell>
          <cell r="CG318">
            <v>50</v>
          </cell>
          <cell r="CH318">
            <v>0</v>
          </cell>
          <cell r="CI318">
            <v>100</v>
          </cell>
          <cell r="CJ318" t="str">
            <v>$1,000 / $2,000</v>
          </cell>
          <cell r="CK318">
            <v>1</v>
          </cell>
          <cell r="CL318" t="str">
            <v>$3,500 / $7,000</v>
          </cell>
          <cell r="CM318" t="str">
            <v>N/A</v>
          </cell>
          <cell r="CN318" t="str">
            <v>N/A</v>
          </cell>
          <cell r="CO318" t="str">
            <v>N/A</v>
          </cell>
          <cell r="CP318" t="str">
            <v>Emb</v>
          </cell>
          <cell r="CS318" t="str">
            <v>HMO</v>
          </cell>
          <cell r="CT318" t="str">
            <v>Focus</v>
          </cell>
          <cell r="CU318">
            <v>0.8448</v>
          </cell>
          <cell r="CW318" t="str">
            <v>Foc17</v>
          </cell>
          <cell r="CX318">
            <v>0.67130000000000001</v>
          </cell>
          <cell r="CY318" t="str">
            <v>BEY</v>
          </cell>
        </row>
        <row r="319">
          <cell r="CA319" t="str">
            <v>U5F</v>
          </cell>
          <cell r="CB319" t="str">
            <v>Focus</v>
          </cell>
          <cell r="CC319">
            <v>25</v>
          </cell>
          <cell r="CD319">
            <v>40</v>
          </cell>
          <cell r="CE319" t="str">
            <v>N/A</v>
          </cell>
          <cell r="CF319" t="str">
            <v>N/A</v>
          </cell>
          <cell r="CG319">
            <v>50</v>
          </cell>
          <cell r="CH319">
            <v>0</v>
          </cell>
          <cell r="CI319">
            <v>100</v>
          </cell>
          <cell r="CJ319" t="str">
            <v>$1,000 / $2,000</v>
          </cell>
          <cell r="CK319">
            <v>0.9</v>
          </cell>
          <cell r="CL319" t="str">
            <v>$3,500 / $7,000</v>
          </cell>
          <cell r="CM319" t="str">
            <v>N/A</v>
          </cell>
          <cell r="CN319" t="str">
            <v>N/A</v>
          </cell>
          <cell r="CO319" t="str">
            <v>N/A</v>
          </cell>
          <cell r="CP319" t="str">
            <v>Emb</v>
          </cell>
          <cell r="CS319" t="str">
            <v>HMO</v>
          </cell>
          <cell r="CT319" t="str">
            <v>Focus</v>
          </cell>
          <cell r="CU319">
            <v>0.83709999999999996</v>
          </cell>
          <cell r="CW319" t="str">
            <v>Foc17</v>
          </cell>
          <cell r="CX319">
            <v>0.66410000000000002</v>
          </cell>
          <cell r="CY319" t="str">
            <v>BEY</v>
          </cell>
        </row>
        <row r="320">
          <cell r="CA320" t="str">
            <v>U5K</v>
          </cell>
          <cell r="CB320" t="str">
            <v>Focus</v>
          </cell>
          <cell r="CC320">
            <v>50</v>
          </cell>
          <cell r="CD320">
            <v>70</v>
          </cell>
          <cell r="CE320" t="str">
            <v>N/A</v>
          </cell>
          <cell r="CF320" t="str">
            <v>N/A</v>
          </cell>
          <cell r="CG320">
            <v>50</v>
          </cell>
          <cell r="CH320">
            <v>0</v>
          </cell>
          <cell r="CI320">
            <v>100</v>
          </cell>
          <cell r="CJ320" t="str">
            <v>$1,500 / $3,000</v>
          </cell>
          <cell r="CK320">
            <v>0.7</v>
          </cell>
          <cell r="CL320" t="str">
            <v>$6,000 / $12,000</v>
          </cell>
          <cell r="CM320" t="str">
            <v>N/A</v>
          </cell>
          <cell r="CN320" t="str">
            <v>N/A</v>
          </cell>
          <cell r="CO320" t="str">
            <v>N/A</v>
          </cell>
          <cell r="CP320" t="str">
            <v>Emb</v>
          </cell>
          <cell r="CS320" t="str">
            <v>HMO</v>
          </cell>
          <cell r="CT320" t="str">
            <v>Focus</v>
          </cell>
          <cell r="CU320">
            <v>0.71989999999999998</v>
          </cell>
          <cell r="CW320" t="str">
            <v>Foc17</v>
          </cell>
          <cell r="CX320">
            <v>0.57410000000000005</v>
          </cell>
          <cell r="CY320" t="str">
            <v>BEY</v>
          </cell>
        </row>
        <row r="321">
          <cell r="CA321" t="str">
            <v>U5N</v>
          </cell>
          <cell r="CB321" t="str">
            <v>Focus</v>
          </cell>
          <cell r="CC321">
            <v>50</v>
          </cell>
          <cell r="CD321">
            <v>70</v>
          </cell>
          <cell r="CE321" t="str">
            <v>N/A</v>
          </cell>
          <cell r="CF321" t="str">
            <v>N/A</v>
          </cell>
          <cell r="CG321">
            <v>50</v>
          </cell>
          <cell r="CH321">
            <v>0</v>
          </cell>
          <cell r="CI321">
            <v>100</v>
          </cell>
          <cell r="CJ321" t="str">
            <v>$1,500 / $3,000</v>
          </cell>
          <cell r="CK321">
            <v>0.8</v>
          </cell>
          <cell r="CL321" t="str">
            <v>$6,000 / $12,000</v>
          </cell>
          <cell r="CM321" t="str">
            <v>N/A</v>
          </cell>
          <cell r="CN321" t="str">
            <v>N/A</v>
          </cell>
          <cell r="CO321" t="str">
            <v>N/A</v>
          </cell>
          <cell r="CP321" t="str">
            <v>Emb</v>
          </cell>
          <cell r="CS321" t="str">
            <v>HMO</v>
          </cell>
          <cell r="CT321" t="str">
            <v>Focus</v>
          </cell>
          <cell r="CU321">
            <v>0.73360000000000003</v>
          </cell>
          <cell r="CW321" t="str">
            <v>Foc17</v>
          </cell>
          <cell r="CX321">
            <v>0.59819999999999995</v>
          </cell>
          <cell r="CY321" t="str">
            <v>BEY</v>
          </cell>
        </row>
        <row r="322">
          <cell r="CA322" t="str">
            <v>U5R</v>
          </cell>
          <cell r="CB322" t="str">
            <v>Focus</v>
          </cell>
          <cell r="CC322">
            <v>30</v>
          </cell>
          <cell r="CD322">
            <v>45</v>
          </cell>
          <cell r="CE322" t="str">
            <v>N/A</v>
          </cell>
          <cell r="CF322" t="str">
            <v>N/A</v>
          </cell>
          <cell r="CG322">
            <v>50</v>
          </cell>
          <cell r="CH322">
            <v>0</v>
          </cell>
          <cell r="CI322">
            <v>100</v>
          </cell>
          <cell r="CJ322" t="str">
            <v>$2,000 / $4,000</v>
          </cell>
          <cell r="CK322">
            <v>0.7</v>
          </cell>
          <cell r="CL322" t="str">
            <v>$3,500 / $7,000</v>
          </cell>
          <cell r="CM322" t="str">
            <v>N/A</v>
          </cell>
          <cell r="CN322" t="str">
            <v>N/A</v>
          </cell>
          <cell r="CO322" t="str">
            <v>N/A</v>
          </cell>
          <cell r="CP322" t="str">
            <v>Emb</v>
          </cell>
          <cell r="CS322" t="str">
            <v>HMO</v>
          </cell>
          <cell r="CT322" t="str">
            <v>Focus</v>
          </cell>
          <cell r="CU322">
            <v>0.77539999999999998</v>
          </cell>
          <cell r="CW322" t="str">
            <v>Foc17</v>
          </cell>
          <cell r="CX322">
            <v>0.61140000000000005</v>
          </cell>
          <cell r="CY322" t="str">
            <v>BEY</v>
          </cell>
        </row>
        <row r="323">
          <cell r="CA323" t="str">
            <v>U5U</v>
          </cell>
          <cell r="CB323" t="str">
            <v>Focus</v>
          </cell>
          <cell r="CC323">
            <v>30</v>
          </cell>
          <cell r="CD323">
            <v>50</v>
          </cell>
          <cell r="CE323">
            <v>300</v>
          </cell>
          <cell r="CF323" t="str">
            <v>$250PDx3</v>
          </cell>
          <cell r="CG323">
            <v>100</v>
          </cell>
          <cell r="CH323">
            <v>200</v>
          </cell>
          <cell r="CI323">
            <v>100</v>
          </cell>
          <cell r="CJ323" t="str">
            <v>$2,000 / $4,000</v>
          </cell>
          <cell r="CK323">
            <v>1</v>
          </cell>
          <cell r="CL323" t="str">
            <v>$5,000 / $10,000</v>
          </cell>
          <cell r="CM323" t="str">
            <v>N/A</v>
          </cell>
          <cell r="CN323" t="str">
            <v>N/A</v>
          </cell>
          <cell r="CO323" t="str">
            <v>N/A</v>
          </cell>
          <cell r="CP323" t="str">
            <v>Emb</v>
          </cell>
          <cell r="CS323" t="str">
            <v>HMO</v>
          </cell>
          <cell r="CT323" t="str">
            <v>Focus</v>
          </cell>
          <cell r="CU323">
            <v>0.77480000000000004</v>
          </cell>
          <cell r="CW323" t="str">
            <v>Foc17</v>
          </cell>
          <cell r="CX323">
            <v>0.66539999999999999</v>
          </cell>
          <cell r="CY323" t="str">
            <v>BEY</v>
          </cell>
        </row>
        <row r="324">
          <cell r="CA324" t="str">
            <v>U5X</v>
          </cell>
          <cell r="CB324" t="str">
            <v>Focus</v>
          </cell>
          <cell r="CC324">
            <v>55</v>
          </cell>
          <cell r="CD324">
            <v>55</v>
          </cell>
          <cell r="CE324" t="str">
            <v>N/A</v>
          </cell>
          <cell r="CF324" t="str">
            <v>N/A</v>
          </cell>
          <cell r="CG324">
            <v>100</v>
          </cell>
          <cell r="CH324">
            <v>200</v>
          </cell>
          <cell r="CI324">
            <v>100</v>
          </cell>
          <cell r="CJ324" t="str">
            <v>$3,000 / $6,000</v>
          </cell>
          <cell r="CK324">
            <v>0.6</v>
          </cell>
          <cell r="CL324" t="str">
            <v>$6,000 / $12,000</v>
          </cell>
          <cell r="CM324" t="str">
            <v>N/A</v>
          </cell>
          <cell r="CN324" t="str">
            <v>N/A</v>
          </cell>
          <cell r="CO324" t="str">
            <v>N/A</v>
          </cell>
          <cell r="CP324" t="str">
            <v>Emb</v>
          </cell>
          <cell r="CS324" t="str">
            <v>HMO</v>
          </cell>
          <cell r="CT324" t="str">
            <v>Focus</v>
          </cell>
          <cell r="CU324">
            <v>0.69579999999999997</v>
          </cell>
          <cell r="CW324" t="str">
            <v>Foc17</v>
          </cell>
          <cell r="CX324">
            <v>0.55810000000000004</v>
          </cell>
          <cell r="CY324" t="str">
            <v>BEY</v>
          </cell>
        </row>
        <row r="325">
          <cell r="CA325" t="str">
            <v>U61</v>
          </cell>
          <cell r="CB325" t="str">
            <v>Focus</v>
          </cell>
          <cell r="CC325">
            <v>35</v>
          </cell>
          <cell r="CD325">
            <v>70</v>
          </cell>
          <cell r="CE325" t="str">
            <v>N/A</v>
          </cell>
          <cell r="CF325" t="str">
            <v>N/A</v>
          </cell>
          <cell r="CG325">
            <v>50</v>
          </cell>
          <cell r="CH325">
            <v>0</v>
          </cell>
          <cell r="CI325">
            <v>100</v>
          </cell>
          <cell r="CJ325" t="str">
            <v>$3,000 / $6,000</v>
          </cell>
          <cell r="CK325">
            <v>1</v>
          </cell>
          <cell r="CL325" t="str">
            <v>$6,000 / $12,000</v>
          </cell>
          <cell r="CM325" t="str">
            <v>N/A</v>
          </cell>
          <cell r="CN325" t="str">
            <v>N/A</v>
          </cell>
          <cell r="CO325" t="str">
            <v>N/A</v>
          </cell>
          <cell r="CP325" t="str">
            <v>Emb</v>
          </cell>
          <cell r="CS325" t="str">
            <v>HMO</v>
          </cell>
          <cell r="CT325" t="str">
            <v>Focus</v>
          </cell>
          <cell r="CU325">
            <v>0.74199999999999999</v>
          </cell>
          <cell r="CW325" t="str">
            <v>Foc17</v>
          </cell>
          <cell r="CX325">
            <v>0.59289999999999998</v>
          </cell>
          <cell r="CY325" t="str">
            <v>BEY</v>
          </cell>
        </row>
        <row r="326">
          <cell r="CA326" t="str">
            <v>U67</v>
          </cell>
          <cell r="CB326" t="str">
            <v>Focus</v>
          </cell>
          <cell r="CC326">
            <v>35</v>
          </cell>
          <cell r="CD326">
            <v>70</v>
          </cell>
          <cell r="CE326" t="str">
            <v>N/A</v>
          </cell>
          <cell r="CF326" t="str">
            <v>N/A</v>
          </cell>
          <cell r="CG326">
            <v>50</v>
          </cell>
          <cell r="CH326">
            <v>0</v>
          </cell>
          <cell r="CI326">
            <v>100</v>
          </cell>
          <cell r="CJ326" t="str">
            <v>$3,000 / $6,000</v>
          </cell>
          <cell r="CK326">
            <v>0.7</v>
          </cell>
          <cell r="CL326" t="str">
            <v>$6,000 / $12,000</v>
          </cell>
          <cell r="CM326" t="str">
            <v>N/A</v>
          </cell>
          <cell r="CN326" t="str">
            <v>N/A</v>
          </cell>
          <cell r="CO326" t="str">
            <v>N/A</v>
          </cell>
          <cell r="CP326" t="str">
            <v>Emb</v>
          </cell>
          <cell r="CS326" t="str">
            <v>HMO</v>
          </cell>
          <cell r="CT326" t="str">
            <v>Focus</v>
          </cell>
          <cell r="CU326">
            <v>0.70379999999999998</v>
          </cell>
          <cell r="CW326" t="str">
            <v>Foc17</v>
          </cell>
          <cell r="CX326">
            <v>0.58509999999999995</v>
          </cell>
          <cell r="CY326" t="str">
            <v>BEY</v>
          </cell>
        </row>
        <row r="327">
          <cell r="CA327" t="str">
            <v>U6C</v>
          </cell>
          <cell r="CB327" t="str">
            <v>Focus</v>
          </cell>
          <cell r="CC327">
            <v>15</v>
          </cell>
          <cell r="CD327">
            <v>15</v>
          </cell>
          <cell r="CE327">
            <v>0</v>
          </cell>
          <cell r="CF327">
            <v>0</v>
          </cell>
          <cell r="CG327">
            <v>50</v>
          </cell>
          <cell r="CH327">
            <v>100</v>
          </cell>
          <cell r="CI327">
            <v>100</v>
          </cell>
          <cell r="CJ327" t="str">
            <v>$0 / $0</v>
          </cell>
          <cell r="CK327">
            <v>1</v>
          </cell>
          <cell r="CL327" t="str">
            <v>$1,500 / $3,000</v>
          </cell>
          <cell r="CM327" t="str">
            <v>N/A</v>
          </cell>
          <cell r="CN327" t="str">
            <v>N/A</v>
          </cell>
          <cell r="CO327" t="str">
            <v>N/A</v>
          </cell>
          <cell r="CP327" t="str">
            <v>Emb</v>
          </cell>
          <cell r="CS327" t="str">
            <v>HMO</v>
          </cell>
          <cell r="CT327" t="str">
            <v>Focus</v>
          </cell>
          <cell r="CU327">
            <v>0.9677</v>
          </cell>
          <cell r="CW327" t="str">
            <v>Foc17</v>
          </cell>
          <cell r="CX327">
            <v>0.77380000000000004</v>
          </cell>
          <cell r="CY327" t="str">
            <v>BDX</v>
          </cell>
        </row>
        <row r="328">
          <cell r="CA328" t="str">
            <v>U6F</v>
          </cell>
          <cell r="CB328" t="str">
            <v>Focus</v>
          </cell>
          <cell r="CC328">
            <v>30</v>
          </cell>
          <cell r="CD328">
            <v>30</v>
          </cell>
          <cell r="CE328">
            <v>0</v>
          </cell>
          <cell r="CF328">
            <v>0</v>
          </cell>
          <cell r="CG328">
            <v>50</v>
          </cell>
          <cell r="CH328">
            <v>100</v>
          </cell>
          <cell r="CI328">
            <v>100</v>
          </cell>
          <cell r="CJ328" t="str">
            <v>$0 / $0</v>
          </cell>
          <cell r="CK328">
            <v>1</v>
          </cell>
          <cell r="CL328" t="str">
            <v>$1,500 / $3,000</v>
          </cell>
          <cell r="CM328" t="str">
            <v>N/A</v>
          </cell>
          <cell r="CN328" t="str">
            <v>N/A</v>
          </cell>
          <cell r="CO328" t="str">
            <v>N/A</v>
          </cell>
          <cell r="CP328" t="str">
            <v>Emb</v>
          </cell>
          <cell r="CS328" t="str">
            <v>HMO</v>
          </cell>
          <cell r="CT328" t="str">
            <v>Focus</v>
          </cell>
          <cell r="CU328">
            <v>0.93959999999999999</v>
          </cell>
          <cell r="CW328" t="str">
            <v>Foc17</v>
          </cell>
          <cell r="CX328">
            <v>0.74780000000000002</v>
          </cell>
          <cell r="CY328" t="str">
            <v>BDX</v>
          </cell>
        </row>
        <row r="329">
          <cell r="CA329" t="str">
            <v>U6J</v>
          </cell>
          <cell r="CB329" t="str">
            <v>Focus</v>
          </cell>
          <cell r="CC329">
            <v>15</v>
          </cell>
          <cell r="CD329">
            <v>15</v>
          </cell>
          <cell r="CE329">
            <v>50</v>
          </cell>
          <cell r="CF329" t="str">
            <v>$100PA</v>
          </cell>
          <cell r="CG329">
            <v>50</v>
          </cell>
          <cell r="CH329">
            <v>100</v>
          </cell>
          <cell r="CI329">
            <v>100</v>
          </cell>
          <cell r="CJ329" t="str">
            <v>$0 / $0</v>
          </cell>
          <cell r="CK329">
            <v>1</v>
          </cell>
          <cell r="CL329" t="str">
            <v>$1,500 / $3,000</v>
          </cell>
          <cell r="CM329" t="str">
            <v>N/A</v>
          </cell>
          <cell r="CN329" t="str">
            <v>N/A</v>
          </cell>
          <cell r="CO329" t="str">
            <v>N/A</v>
          </cell>
          <cell r="CP329" t="str">
            <v>Emb</v>
          </cell>
          <cell r="CS329" t="str">
            <v>HMO</v>
          </cell>
          <cell r="CT329" t="str">
            <v>Focus</v>
          </cell>
          <cell r="CU329">
            <v>0.96440000000000003</v>
          </cell>
          <cell r="CW329" t="str">
            <v>Foc17</v>
          </cell>
          <cell r="CX329">
            <v>0.76839999999999997</v>
          </cell>
          <cell r="CY329" t="str">
            <v>BDX</v>
          </cell>
        </row>
        <row r="330">
          <cell r="CA330" t="str">
            <v>U6M</v>
          </cell>
          <cell r="CB330" t="str">
            <v>Focus</v>
          </cell>
          <cell r="CC330">
            <v>20</v>
          </cell>
          <cell r="CD330">
            <v>20</v>
          </cell>
          <cell r="CE330">
            <v>100</v>
          </cell>
          <cell r="CF330" t="str">
            <v>$200PA</v>
          </cell>
          <cell r="CG330">
            <v>50</v>
          </cell>
          <cell r="CH330">
            <v>100</v>
          </cell>
          <cell r="CI330">
            <v>100</v>
          </cell>
          <cell r="CJ330" t="str">
            <v>$0 / $0</v>
          </cell>
          <cell r="CK330">
            <v>1</v>
          </cell>
          <cell r="CL330" t="str">
            <v>$1,500 / $3,000</v>
          </cell>
          <cell r="CM330" t="str">
            <v>N/A</v>
          </cell>
          <cell r="CN330" t="str">
            <v>N/A</v>
          </cell>
          <cell r="CO330" t="str">
            <v>N/A</v>
          </cell>
          <cell r="CP330" t="str">
            <v>Emb</v>
          </cell>
          <cell r="CS330" t="str">
            <v>HMO</v>
          </cell>
          <cell r="CT330" t="str">
            <v>Focus</v>
          </cell>
          <cell r="CU330">
            <v>0.95199999999999996</v>
          </cell>
          <cell r="CW330" t="str">
            <v>Foc17</v>
          </cell>
          <cell r="CX330">
            <v>0.75939999999999996</v>
          </cell>
          <cell r="CY330" t="str">
            <v>BDX</v>
          </cell>
        </row>
        <row r="331">
          <cell r="CA331" t="str">
            <v>U6Q</v>
          </cell>
          <cell r="CB331" t="str">
            <v>Focus</v>
          </cell>
          <cell r="CC331">
            <v>25</v>
          </cell>
          <cell r="CD331">
            <v>25</v>
          </cell>
          <cell r="CE331">
            <v>125</v>
          </cell>
          <cell r="CF331" t="str">
            <v>$250PA</v>
          </cell>
          <cell r="CG331">
            <v>50</v>
          </cell>
          <cell r="CH331">
            <v>100</v>
          </cell>
          <cell r="CI331">
            <v>100</v>
          </cell>
          <cell r="CJ331" t="str">
            <v>$0 / $0</v>
          </cell>
          <cell r="CK331">
            <v>1</v>
          </cell>
          <cell r="CL331" t="str">
            <v>$1,500 / $3,000</v>
          </cell>
          <cell r="CM331" t="str">
            <v>N/A</v>
          </cell>
          <cell r="CN331" t="str">
            <v>N/A</v>
          </cell>
          <cell r="CO331" t="str">
            <v>N/A</v>
          </cell>
          <cell r="CP331" t="str">
            <v>Emb</v>
          </cell>
          <cell r="CS331" t="str">
            <v>HMO</v>
          </cell>
          <cell r="CT331" t="str">
            <v>Focus</v>
          </cell>
          <cell r="CU331">
            <v>0.9415</v>
          </cell>
          <cell r="CW331" t="str">
            <v>Foc17</v>
          </cell>
          <cell r="CX331">
            <v>0.75119999999999998</v>
          </cell>
          <cell r="CY331" t="str">
            <v>BDX</v>
          </cell>
        </row>
        <row r="332">
          <cell r="CA332" t="str">
            <v>U6T</v>
          </cell>
          <cell r="CB332" t="str">
            <v>Focus</v>
          </cell>
          <cell r="CC332">
            <v>30</v>
          </cell>
          <cell r="CD332">
            <v>30</v>
          </cell>
          <cell r="CE332">
            <v>100</v>
          </cell>
          <cell r="CF332" t="str">
            <v>$200PA</v>
          </cell>
          <cell r="CG332">
            <v>50</v>
          </cell>
          <cell r="CH332">
            <v>100</v>
          </cell>
          <cell r="CI332">
            <v>100</v>
          </cell>
          <cell r="CJ332" t="str">
            <v>$0 / $0</v>
          </cell>
          <cell r="CK332">
            <v>1</v>
          </cell>
          <cell r="CL332" t="str">
            <v>$2,000 / $4,000</v>
          </cell>
          <cell r="CM332" t="str">
            <v>N/A</v>
          </cell>
          <cell r="CN332" t="str">
            <v>N/A</v>
          </cell>
          <cell r="CO332" t="str">
            <v>N/A</v>
          </cell>
          <cell r="CP332" t="str">
            <v>Emb</v>
          </cell>
          <cell r="CS332" t="str">
            <v>HMO</v>
          </cell>
          <cell r="CT332" t="str">
            <v>Focus</v>
          </cell>
          <cell r="CU332">
            <v>0.93189999999999995</v>
          </cell>
          <cell r="CW332" t="str">
            <v>Foc17</v>
          </cell>
          <cell r="CX332">
            <v>0.74460000000000004</v>
          </cell>
          <cell r="CY332" t="str">
            <v>BDX</v>
          </cell>
        </row>
        <row r="333">
          <cell r="CA333" t="str">
            <v>U6W</v>
          </cell>
          <cell r="CB333" t="str">
            <v>Focus</v>
          </cell>
          <cell r="CC333">
            <v>20</v>
          </cell>
          <cell r="CD333">
            <v>20</v>
          </cell>
          <cell r="CE333">
            <v>125</v>
          </cell>
          <cell r="CF333" t="str">
            <v>$250PA</v>
          </cell>
          <cell r="CG333">
            <v>50</v>
          </cell>
          <cell r="CH333">
            <v>100</v>
          </cell>
          <cell r="CI333">
            <v>100</v>
          </cell>
          <cell r="CJ333" t="str">
            <v>$0 / $0</v>
          </cell>
          <cell r="CK333">
            <v>1</v>
          </cell>
          <cell r="CL333" t="str">
            <v>$2,000 / $4,000</v>
          </cell>
          <cell r="CM333" t="str">
            <v>N/A</v>
          </cell>
          <cell r="CN333" t="str">
            <v>N/A</v>
          </cell>
          <cell r="CO333" t="str">
            <v>N/A</v>
          </cell>
          <cell r="CP333" t="str">
            <v>Emb</v>
          </cell>
          <cell r="CS333" t="str">
            <v>HMO</v>
          </cell>
          <cell r="CT333" t="str">
            <v>Focus</v>
          </cell>
          <cell r="CU333">
            <v>0.94889999999999997</v>
          </cell>
          <cell r="CW333" t="str">
            <v>Foc17</v>
          </cell>
          <cell r="CX333">
            <v>0.75860000000000005</v>
          </cell>
          <cell r="CY333" t="str">
            <v>BDX</v>
          </cell>
        </row>
        <row r="334">
          <cell r="CA334" t="str">
            <v>U70</v>
          </cell>
          <cell r="CB334" t="str">
            <v>Focus</v>
          </cell>
          <cell r="CC334">
            <v>20</v>
          </cell>
          <cell r="CD334">
            <v>40</v>
          </cell>
          <cell r="CE334">
            <v>125</v>
          </cell>
          <cell r="CF334" t="str">
            <v>$250PA</v>
          </cell>
          <cell r="CG334">
            <v>50</v>
          </cell>
          <cell r="CH334">
            <v>100</v>
          </cell>
          <cell r="CI334">
            <v>100</v>
          </cell>
          <cell r="CJ334" t="str">
            <v>$0 / $0</v>
          </cell>
          <cell r="CK334">
            <v>1</v>
          </cell>
          <cell r="CL334" t="str">
            <v>$2,000 / $4,000</v>
          </cell>
          <cell r="CM334" t="str">
            <v>N/A</v>
          </cell>
          <cell r="CN334" t="str">
            <v>N/A</v>
          </cell>
          <cell r="CO334" t="str">
            <v>N/A</v>
          </cell>
          <cell r="CP334" t="str">
            <v>Emb</v>
          </cell>
          <cell r="CS334" t="str">
            <v>HMO</v>
          </cell>
          <cell r="CT334" t="str">
            <v>Focus</v>
          </cell>
          <cell r="CU334">
            <v>0.93300000000000005</v>
          </cell>
          <cell r="CW334" t="str">
            <v>Foc17</v>
          </cell>
          <cell r="CX334">
            <v>0.74150000000000005</v>
          </cell>
          <cell r="CY334" t="str">
            <v>BDX</v>
          </cell>
        </row>
        <row r="335">
          <cell r="CA335" t="str">
            <v>U73</v>
          </cell>
          <cell r="CB335" t="str">
            <v>Focus</v>
          </cell>
          <cell r="CC335">
            <v>30</v>
          </cell>
          <cell r="CD335">
            <v>30</v>
          </cell>
          <cell r="CE335">
            <v>250</v>
          </cell>
          <cell r="CF335" t="str">
            <v>$500PA</v>
          </cell>
          <cell r="CG335">
            <v>50</v>
          </cell>
          <cell r="CH335">
            <v>100</v>
          </cell>
          <cell r="CI335">
            <v>100</v>
          </cell>
          <cell r="CJ335" t="str">
            <v>$0 / $0</v>
          </cell>
          <cell r="CK335">
            <v>1</v>
          </cell>
          <cell r="CL335" t="str">
            <v>$2,000 / $4,000</v>
          </cell>
          <cell r="CM335" t="str">
            <v>N/A</v>
          </cell>
          <cell r="CN335" t="str">
            <v>N/A</v>
          </cell>
          <cell r="CO335" t="str">
            <v>N/A</v>
          </cell>
          <cell r="CP335" t="str">
            <v>Emb</v>
          </cell>
          <cell r="CS335" t="str">
            <v>HMO</v>
          </cell>
          <cell r="CT335" t="str">
            <v>Focus</v>
          </cell>
          <cell r="CU335">
            <v>0.9234</v>
          </cell>
          <cell r="CW335" t="str">
            <v>Foc17</v>
          </cell>
          <cell r="CX335">
            <v>0.73960000000000004</v>
          </cell>
          <cell r="CY335" t="str">
            <v>BDX</v>
          </cell>
        </row>
        <row r="336">
          <cell r="CA336" t="str">
            <v>U76</v>
          </cell>
          <cell r="CB336" t="str">
            <v>Focus</v>
          </cell>
          <cell r="CC336">
            <v>15</v>
          </cell>
          <cell r="CD336">
            <v>30</v>
          </cell>
          <cell r="CE336">
            <v>125</v>
          </cell>
          <cell r="CF336" t="str">
            <v>$250PA</v>
          </cell>
          <cell r="CG336">
            <v>50</v>
          </cell>
          <cell r="CH336">
            <v>100</v>
          </cell>
          <cell r="CI336">
            <v>100</v>
          </cell>
          <cell r="CJ336" t="str">
            <v>$0 / $0</v>
          </cell>
          <cell r="CK336">
            <v>1</v>
          </cell>
          <cell r="CL336" t="str">
            <v>$2,000 / $4,000</v>
          </cell>
          <cell r="CM336" t="str">
            <v>N/A</v>
          </cell>
          <cell r="CN336" t="str">
            <v>N/A</v>
          </cell>
          <cell r="CO336" t="str">
            <v>N/A</v>
          </cell>
          <cell r="CP336" t="str">
            <v>Emb</v>
          </cell>
          <cell r="CS336" t="str">
            <v>HMO</v>
          </cell>
          <cell r="CT336" t="str">
            <v>Focus</v>
          </cell>
          <cell r="CU336">
            <v>0.94620000000000004</v>
          </cell>
          <cell r="CW336" t="str">
            <v>Foc17</v>
          </cell>
          <cell r="CX336">
            <v>0.75319999999999998</v>
          </cell>
          <cell r="CY336" t="str">
            <v>BDX</v>
          </cell>
        </row>
        <row r="337">
          <cell r="CA337" t="str">
            <v>U7C</v>
          </cell>
          <cell r="CB337" t="str">
            <v>Focus</v>
          </cell>
          <cell r="CC337">
            <v>30</v>
          </cell>
          <cell r="CD337">
            <v>40</v>
          </cell>
          <cell r="CE337">
            <v>250</v>
          </cell>
          <cell r="CF337" t="str">
            <v>$500PA</v>
          </cell>
          <cell r="CG337">
            <v>50</v>
          </cell>
          <cell r="CH337">
            <v>100</v>
          </cell>
          <cell r="CI337">
            <v>100</v>
          </cell>
          <cell r="CJ337" t="str">
            <v>$0 / $0</v>
          </cell>
          <cell r="CK337">
            <v>1</v>
          </cell>
          <cell r="CL337" t="str">
            <v>$2,500 / $5,000</v>
          </cell>
          <cell r="CM337" t="str">
            <v>N/A</v>
          </cell>
          <cell r="CN337" t="str">
            <v>N/A</v>
          </cell>
          <cell r="CO337" t="str">
            <v>N/A</v>
          </cell>
          <cell r="CP337" t="str">
            <v>Emb</v>
          </cell>
          <cell r="CS337" t="str">
            <v>HMO</v>
          </cell>
          <cell r="CT337" t="str">
            <v>Focus</v>
          </cell>
          <cell r="CU337">
            <v>0.91320000000000001</v>
          </cell>
          <cell r="CW337" t="str">
            <v>Foc17</v>
          </cell>
          <cell r="CX337">
            <v>0.73109999999999997</v>
          </cell>
          <cell r="CY337" t="str">
            <v>BDX</v>
          </cell>
        </row>
        <row r="338">
          <cell r="CA338" t="str">
            <v>U7F</v>
          </cell>
          <cell r="CB338" t="str">
            <v>Focus</v>
          </cell>
          <cell r="CC338">
            <v>35</v>
          </cell>
          <cell r="CD338">
            <v>45</v>
          </cell>
          <cell r="CE338">
            <v>375</v>
          </cell>
          <cell r="CF338" t="str">
            <v>$750PA</v>
          </cell>
          <cell r="CG338">
            <v>50</v>
          </cell>
          <cell r="CH338">
            <v>100</v>
          </cell>
          <cell r="CI338">
            <v>100</v>
          </cell>
          <cell r="CJ338" t="str">
            <v>$0 / $0</v>
          </cell>
          <cell r="CK338">
            <v>1</v>
          </cell>
          <cell r="CL338" t="str">
            <v>$2,500 / $5,000</v>
          </cell>
          <cell r="CM338" t="str">
            <v>N/A</v>
          </cell>
          <cell r="CN338" t="str">
            <v>N/A</v>
          </cell>
          <cell r="CO338" t="str">
            <v>N/A</v>
          </cell>
          <cell r="CP338" t="str">
            <v>Emb</v>
          </cell>
          <cell r="CS338" t="str">
            <v>HMO</v>
          </cell>
          <cell r="CT338" t="str">
            <v>Focus</v>
          </cell>
          <cell r="CU338">
            <v>0.89770000000000005</v>
          </cell>
          <cell r="CW338" t="str">
            <v>Foc17</v>
          </cell>
          <cell r="CX338">
            <v>0.71960000000000002</v>
          </cell>
          <cell r="CY338" t="str">
            <v>BDX</v>
          </cell>
        </row>
        <row r="339">
          <cell r="CA339" t="str">
            <v>U7J</v>
          </cell>
          <cell r="CB339" t="str">
            <v>Focus</v>
          </cell>
          <cell r="CC339">
            <v>20</v>
          </cell>
          <cell r="CD339">
            <v>40</v>
          </cell>
          <cell r="CE339">
            <v>250</v>
          </cell>
          <cell r="CF339" t="str">
            <v>$500PA</v>
          </cell>
          <cell r="CG339">
            <v>50</v>
          </cell>
          <cell r="CH339">
            <v>100</v>
          </cell>
          <cell r="CI339">
            <v>100</v>
          </cell>
          <cell r="CJ339" t="str">
            <v>$0 / $0</v>
          </cell>
          <cell r="CK339">
            <v>1</v>
          </cell>
          <cell r="CL339" t="str">
            <v>$2,500 / $5,000</v>
          </cell>
          <cell r="CM339" t="str">
            <v>N/A</v>
          </cell>
          <cell r="CN339" t="str">
            <v>N/A</v>
          </cell>
          <cell r="CO339" t="str">
            <v>N/A</v>
          </cell>
          <cell r="CP339" t="str">
            <v>Emb</v>
          </cell>
          <cell r="CS339" t="str">
            <v>HMO</v>
          </cell>
          <cell r="CT339" t="str">
            <v>Focus</v>
          </cell>
          <cell r="CU339">
            <v>0.92379999999999995</v>
          </cell>
          <cell r="CW339" t="str">
            <v>Foc17</v>
          </cell>
          <cell r="CX339">
            <v>0.73729999999999996</v>
          </cell>
          <cell r="CY339" t="str">
            <v>BDX</v>
          </cell>
        </row>
        <row r="340">
          <cell r="CA340" t="str">
            <v>U7M</v>
          </cell>
          <cell r="CB340" t="str">
            <v>Focus</v>
          </cell>
          <cell r="CC340">
            <v>20</v>
          </cell>
          <cell r="CD340">
            <v>40</v>
          </cell>
          <cell r="CE340">
            <v>125</v>
          </cell>
          <cell r="CF340" t="str">
            <v>$250PDx3</v>
          </cell>
          <cell r="CG340">
            <v>100</v>
          </cell>
          <cell r="CH340">
            <v>200</v>
          </cell>
          <cell r="CI340">
            <v>100</v>
          </cell>
          <cell r="CJ340" t="str">
            <v>$0 / $0</v>
          </cell>
          <cell r="CK340">
            <v>1</v>
          </cell>
          <cell r="CL340" t="str">
            <v>$3,000 / $6,000</v>
          </cell>
          <cell r="CM340" t="str">
            <v>N/A</v>
          </cell>
          <cell r="CN340" t="str">
            <v>N/A</v>
          </cell>
          <cell r="CO340" t="str">
            <v>N/A</v>
          </cell>
          <cell r="CP340" t="str">
            <v>Emb</v>
          </cell>
          <cell r="CS340" t="str">
            <v>HMO</v>
          </cell>
          <cell r="CT340" t="str">
            <v>Focus</v>
          </cell>
          <cell r="CU340">
            <v>0.91649999999999998</v>
          </cell>
          <cell r="CW340" t="str">
            <v>Foc17</v>
          </cell>
          <cell r="CX340">
            <v>0.73580000000000001</v>
          </cell>
          <cell r="CY340" t="str">
            <v>BDX</v>
          </cell>
        </row>
        <row r="341">
          <cell r="CA341" t="str">
            <v>U7Q</v>
          </cell>
          <cell r="CB341" t="str">
            <v>Focus</v>
          </cell>
          <cell r="CC341">
            <v>20</v>
          </cell>
          <cell r="CD341">
            <v>40</v>
          </cell>
          <cell r="CE341" t="str">
            <v>Ded + Co-Ins</v>
          </cell>
          <cell r="CF341" t="str">
            <v>$250PDx3</v>
          </cell>
          <cell r="CG341">
            <v>100</v>
          </cell>
          <cell r="CH341">
            <v>200</v>
          </cell>
          <cell r="CI341">
            <v>100</v>
          </cell>
          <cell r="CJ341" t="str">
            <v>$0 / $0</v>
          </cell>
          <cell r="CK341">
            <v>1</v>
          </cell>
          <cell r="CL341" t="str">
            <v>$3,000 / $6,000</v>
          </cell>
          <cell r="CM341" t="str">
            <v>N/A</v>
          </cell>
          <cell r="CN341" t="str">
            <v>N/A</v>
          </cell>
          <cell r="CO341" t="str">
            <v>N/A</v>
          </cell>
          <cell r="CP341" t="str">
            <v>Emb</v>
          </cell>
          <cell r="CS341" t="str">
            <v>HMO</v>
          </cell>
          <cell r="CT341" t="str">
            <v>Focus</v>
          </cell>
          <cell r="CU341">
            <v>0.88759999999999994</v>
          </cell>
          <cell r="CW341" t="str">
            <v>Foc17</v>
          </cell>
          <cell r="CX341">
            <v>0.72960000000000003</v>
          </cell>
          <cell r="CY341" t="str">
            <v>BDX</v>
          </cell>
        </row>
        <row r="342">
          <cell r="CA342" t="str">
            <v>U7T</v>
          </cell>
          <cell r="CB342" t="str">
            <v>Focus</v>
          </cell>
          <cell r="CC342">
            <v>30</v>
          </cell>
          <cell r="CD342">
            <v>40</v>
          </cell>
          <cell r="CE342">
            <v>250</v>
          </cell>
          <cell r="CF342" t="str">
            <v>$500PDx3</v>
          </cell>
          <cell r="CG342">
            <v>100</v>
          </cell>
          <cell r="CH342">
            <v>200</v>
          </cell>
          <cell r="CI342">
            <v>100</v>
          </cell>
          <cell r="CJ342" t="str">
            <v>$0 / $0</v>
          </cell>
          <cell r="CK342">
            <v>1</v>
          </cell>
          <cell r="CL342" t="str">
            <v>$3,000 / $6,000</v>
          </cell>
          <cell r="CM342" t="str">
            <v>N/A</v>
          </cell>
          <cell r="CN342" t="str">
            <v>N/A</v>
          </cell>
          <cell r="CO342" t="str">
            <v>N/A</v>
          </cell>
          <cell r="CP342" t="str">
            <v>Emb</v>
          </cell>
          <cell r="CS342" t="str">
            <v>HMO</v>
          </cell>
          <cell r="CT342" t="str">
            <v>Focus</v>
          </cell>
          <cell r="CU342">
            <v>0.89559999999999995</v>
          </cell>
          <cell r="CW342" t="str">
            <v>Foc17</v>
          </cell>
          <cell r="CX342">
            <v>0.72350000000000003</v>
          </cell>
          <cell r="CY342" t="str">
            <v>BDX</v>
          </cell>
        </row>
        <row r="343">
          <cell r="CA343" t="str">
            <v>U7W</v>
          </cell>
          <cell r="CB343" t="str">
            <v>Focus</v>
          </cell>
          <cell r="CC343">
            <v>30</v>
          </cell>
          <cell r="CD343">
            <v>40</v>
          </cell>
          <cell r="CE343" t="str">
            <v>Ded + Co-Ins</v>
          </cell>
          <cell r="CF343" t="str">
            <v>$500PDx3</v>
          </cell>
          <cell r="CG343">
            <v>100</v>
          </cell>
          <cell r="CH343">
            <v>200</v>
          </cell>
          <cell r="CI343">
            <v>100</v>
          </cell>
          <cell r="CJ343" t="str">
            <v>$0 / $0</v>
          </cell>
          <cell r="CK343">
            <v>1</v>
          </cell>
          <cell r="CL343" t="str">
            <v>$3,000 / $6,000</v>
          </cell>
          <cell r="CM343" t="str">
            <v>N/A</v>
          </cell>
          <cell r="CN343" t="str">
            <v>N/A</v>
          </cell>
          <cell r="CO343" t="str">
            <v>N/A</v>
          </cell>
          <cell r="CP343" t="str">
            <v>Emb</v>
          </cell>
          <cell r="CS343" t="str">
            <v>HMO</v>
          </cell>
          <cell r="CT343" t="str">
            <v>Focus</v>
          </cell>
          <cell r="CU343">
            <v>0.87360000000000004</v>
          </cell>
          <cell r="CW343" t="str">
            <v>Foc17</v>
          </cell>
          <cell r="CX343">
            <v>0.71870000000000001</v>
          </cell>
          <cell r="CY343" t="str">
            <v>BDX</v>
          </cell>
        </row>
        <row r="344">
          <cell r="CA344" t="str">
            <v>U80</v>
          </cell>
          <cell r="CB344" t="str">
            <v>Focus</v>
          </cell>
          <cell r="CC344">
            <v>30</v>
          </cell>
          <cell r="CD344">
            <v>40</v>
          </cell>
          <cell r="CE344">
            <v>350</v>
          </cell>
          <cell r="CF344" t="str">
            <v>$750PDx3</v>
          </cell>
          <cell r="CG344">
            <v>100</v>
          </cell>
          <cell r="CH344">
            <v>200</v>
          </cell>
          <cell r="CI344">
            <v>100</v>
          </cell>
          <cell r="CJ344" t="str">
            <v>$0 / $0</v>
          </cell>
          <cell r="CK344">
            <v>1</v>
          </cell>
          <cell r="CL344" t="str">
            <v>$3,500 / $7,000</v>
          </cell>
          <cell r="CM344" t="str">
            <v>N/A</v>
          </cell>
          <cell r="CN344" t="str">
            <v>N/A</v>
          </cell>
          <cell r="CO344" t="str">
            <v>N/A</v>
          </cell>
          <cell r="CP344" t="str">
            <v>Emb</v>
          </cell>
          <cell r="CS344" t="str">
            <v>HMO</v>
          </cell>
          <cell r="CT344" t="str">
            <v>Focus</v>
          </cell>
          <cell r="CU344">
            <v>0.88470000000000004</v>
          </cell>
          <cell r="CW344" t="str">
            <v>Foc17</v>
          </cell>
          <cell r="CX344">
            <v>0.7177</v>
          </cell>
          <cell r="CY344" t="str">
            <v>BDX</v>
          </cell>
        </row>
        <row r="345">
          <cell r="CA345" t="str">
            <v>U83</v>
          </cell>
          <cell r="CB345" t="str">
            <v>Focus</v>
          </cell>
          <cell r="CC345">
            <v>30</v>
          </cell>
          <cell r="CD345">
            <v>45</v>
          </cell>
          <cell r="CE345">
            <v>500</v>
          </cell>
          <cell r="CF345" t="str">
            <v>$1000PDx3</v>
          </cell>
          <cell r="CG345">
            <v>100</v>
          </cell>
          <cell r="CH345">
            <v>200</v>
          </cell>
          <cell r="CI345">
            <v>100</v>
          </cell>
          <cell r="CJ345" t="str">
            <v>$0 / $0</v>
          </cell>
          <cell r="CK345">
            <v>1</v>
          </cell>
          <cell r="CL345" t="str">
            <v>$3,500 / $7,000</v>
          </cell>
          <cell r="CM345" t="str">
            <v>N/A</v>
          </cell>
          <cell r="CN345" t="str">
            <v>N/A</v>
          </cell>
          <cell r="CO345" t="str">
            <v>N/A</v>
          </cell>
          <cell r="CP345" t="str">
            <v>Emb</v>
          </cell>
          <cell r="CS345" t="str">
            <v>HMO</v>
          </cell>
          <cell r="CT345" t="str">
            <v>Focus</v>
          </cell>
          <cell r="CU345">
            <v>0.87150000000000005</v>
          </cell>
          <cell r="CW345" t="str">
            <v>Foc17</v>
          </cell>
          <cell r="CX345">
            <v>0.70709999999999995</v>
          </cell>
          <cell r="CY345" t="str">
            <v>BDX</v>
          </cell>
        </row>
        <row r="346">
          <cell r="CA346" t="str">
            <v>U86</v>
          </cell>
          <cell r="CB346" t="str">
            <v>Focus</v>
          </cell>
          <cell r="CC346">
            <v>20</v>
          </cell>
          <cell r="CD346">
            <v>30</v>
          </cell>
          <cell r="CE346" t="str">
            <v>N/A</v>
          </cell>
          <cell r="CF346" t="str">
            <v>N/A</v>
          </cell>
          <cell r="CG346">
            <v>100</v>
          </cell>
          <cell r="CH346">
            <v>200</v>
          </cell>
          <cell r="CI346">
            <v>100</v>
          </cell>
          <cell r="CJ346" t="str">
            <v>$0 / $0</v>
          </cell>
          <cell r="CK346">
            <v>0.8</v>
          </cell>
          <cell r="CL346" t="str">
            <v>$3,500 / $7,000</v>
          </cell>
          <cell r="CM346" t="str">
            <v>N/A</v>
          </cell>
          <cell r="CN346" t="str">
            <v>N/A</v>
          </cell>
          <cell r="CO346" t="str">
            <v>N/A</v>
          </cell>
          <cell r="CP346" t="str">
            <v>Emb</v>
          </cell>
          <cell r="CS346" t="str">
            <v>HMO</v>
          </cell>
          <cell r="CT346" t="str">
            <v>Focus</v>
          </cell>
          <cell r="CU346">
            <v>0.86709999999999998</v>
          </cell>
          <cell r="CW346" t="str">
            <v>Foc17</v>
          </cell>
          <cell r="CX346">
            <v>0.70199999999999996</v>
          </cell>
          <cell r="CY346" t="str">
            <v>BDX</v>
          </cell>
        </row>
        <row r="347">
          <cell r="CA347" t="str">
            <v>U8C</v>
          </cell>
          <cell r="CB347" t="str">
            <v>Focus</v>
          </cell>
          <cell r="CC347">
            <v>25</v>
          </cell>
          <cell r="CD347">
            <v>40</v>
          </cell>
          <cell r="CE347" t="str">
            <v>N/A</v>
          </cell>
          <cell r="CF347" t="str">
            <v>N/A</v>
          </cell>
          <cell r="CG347">
            <v>100</v>
          </cell>
          <cell r="CH347">
            <v>300</v>
          </cell>
          <cell r="CI347">
            <v>100</v>
          </cell>
          <cell r="CJ347" t="str">
            <v>$0 / $0</v>
          </cell>
          <cell r="CK347">
            <v>0.8</v>
          </cell>
          <cell r="CL347" t="str">
            <v>$4,000 / $8,000</v>
          </cell>
          <cell r="CM347" t="str">
            <v>N/A</v>
          </cell>
          <cell r="CN347" t="str">
            <v>N/A</v>
          </cell>
          <cell r="CO347" t="str">
            <v>N/A</v>
          </cell>
          <cell r="CP347" t="str">
            <v>Emb</v>
          </cell>
          <cell r="CS347" t="str">
            <v>HMO</v>
          </cell>
          <cell r="CT347" t="str">
            <v>Focus</v>
          </cell>
          <cell r="CU347">
            <v>0.84360000000000002</v>
          </cell>
          <cell r="CW347" t="str">
            <v>Foc17</v>
          </cell>
          <cell r="CX347">
            <v>0.6865</v>
          </cell>
          <cell r="CY347" t="str">
            <v>BDX</v>
          </cell>
        </row>
        <row r="348">
          <cell r="CA348" t="str">
            <v>U8F</v>
          </cell>
          <cell r="CB348" t="str">
            <v>Focus</v>
          </cell>
          <cell r="CC348">
            <v>30</v>
          </cell>
          <cell r="CD348">
            <v>40</v>
          </cell>
          <cell r="CE348" t="str">
            <v>N/A</v>
          </cell>
          <cell r="CF348" t="str">
            <v>N/A</v>
          </cell>
          <cell r="CG348">
            <v>100</v>
          </cell>
          <cell r="CH348">
            <v>300</v>
          </cell>
          <cell r="CI348">
            <v>100</v>
          </cell>
          <cell r="CJ348" t="str">
            <v>$0 / $0</v>
          </cell>
          <cell r="CK348">
            <v>0.7</v>
          </cell>
          <cell r="CL348" t="str">
            <v>$4,000 / $8,000</v>
          </cell>
          <cell r="CM348" t="str">
            <v>N/A</v>
          </cell>
          <cell r="CN348" t="str">
            <v>N/A</v>
          </cell>
          <cell r="CO348" t="str">
            <v>N/A</v>
          </cell>
          <cell r="CP348" t="str">
            <v>Emb</v>
          </cell>
          <cell r="CS348" t="str">
            <v>HMO</v>
          </cell>
          <cell r="CT348" t="str">
            <v>Focus</v>
          </cell>
          <cell r="CU348">
            <v>0.81689999999999996</v>
          </cell>
          <cell r="CW348" t="str">
            <v>Foc17</v>
          </cell>
          <cell r="CX348">
            <v>0.65920000000000001</v>
          </cell>
          <cell r="CY348" t="str">
            <v>BDX</v>
          </cell>
        </row>
        <row r="349">
          <cell r="CA349" t="str">
            <v>U8J</v>
          </cell>
          <cell r="CB349" t="str">
            <v>Focus</v>
          </cell>
          <cell r="CC349">
            <v>45</v>
          </cell>
          <cell r="CD349">
            <v>50</v>
          </cell>
          <cell r="CE349" t="str">
            <v>N/A</v>
          </cell>
          <cell r="CF349" t="str">
            <v>N/A</v>
          </cell>
          <cell r="CG349">
            <v>100</v>
          </cell>
          <cell r="CH349">
            <v>300</v>
          </cell>
          <cell r="CI349">
            <v>100</v>
          </cell>
          <cell r="CJ349" t="str">
            <v>$0 / $0</v>
          </cell>
          <cell r="CK349">
            <v>0.5</v>
          </cell>
          <cell r="CL349" t="str">
            <v>$5,000 / $10,000</v>
          </cell>
          <cell r="CM349" t="str">
            <v>N/A</v>
          </cell>
          <cell r="CN349" t="str">
            <v>N/A</v>
          </cell>
          <cell r="CO349" t="str">
            <v>N/A</v>
          </cell>
          <cell r="CP349" t="str">
            <v>Emb</v>
          </cell>
          <cell r="CS349" t="str">
            <v>HMO</v>
          </cell>
          <cell r="CT349" t="str">
            <v>Focus</v>
          </cell>
          <cell r="CU349">
            <v>0.74970000000000003</v>
          </cell>
          <cell r="CW349" t="str">
            <v>Foc17</v>
          </cell>
          <cell r="CX349">
            <v>0.59309999999999996</v>
          </cell>
          <cell r="CY349" t="str">
            <v>BDX</v>
          </cell>
        </row>
        <row r="350">
          <cell r="CA350" t="str">
            <v/>
          </cell>
        </row>
        <row r="351">
          <cell r="CA351" t="str">
            <v/>
          </cell>
        </row>
        <row r="352">
          <cell r="CA352" t="str">
            <v/>
          </cell>
        </row>
        <row r="353">
          <cell r="CA353" t="str">
            <v/>
          </cell>
        </row>
        <row r="355">
          <cell r="CA355" t="str">
            <v/>
          </cell>
        </row>
        <row r="356">
          <cell r="CA356" t="str">
            <v/>
          </cell>
        </row>
        <row r="357">
          <cell r="CA357" t="str">
            <v>AB62</v>
          </cell>
          <cell r="CB357" t="str">
            <v>Select</v>
          </cell>
          <cell r="CC357">
            <v>35</v>
          </cell>
          <cell r="CD357">
            <v>35</v>
          </cell>
          <cell r="CE357" t="str">
            <v>N/A</v>
          </cell>
          <cell r="CF357" t="str">
            <v>N/A</v>
          </cell>
          <cell r="CG357" t="str">
            <v>N/A</v>
          </cell>
          <cell r="CH357" t="str">
            <v>N/A</v>
          </cell>
          <cell r="CI357" t="str">
            <v>N/A</v>
          </cell>
          <cell r="CJ357" t="str">
            <v>$5,900 / $11,800</v>
          </cell>
          <cell r="CK357">
            <v>1</v>
          </cell>
          <cell r="CL357" t="str">
            <v>$6,350 / $12,700</v>
          </cell>
          <cell r="CM357" t="str">
            <v>N/A</v>
          </cell>
          <cell r="CN357">
            <v>0</v>
          </cell>
          <cell r="CO357" t="str">
            <v>N/A</v>
          </cell>
          <cell r="CP357" t="str">
            <v>Emb</v>
          </cell>
          <cell r="CS357" t="str">
            <v>INS</v>
          </cell>
          <cell r="CT357" t="str">
            <v>Select</v>
          </cell>
          <cell r="CU357">
            <v>0.54049999999999998</v>
          </cell>
          <cell r="CW357" t="str">
            <v>S14&amp;15</v>
          </cell>
          <cell r="CX357">
            <v>0.54110000000000003</v>
          </cell>
        </row>
        <row r="358">
          <cell r="CA358" t="str">
            <v>AB63</v>
          </cell>
          <cell r="CB358" t="str">
            <v>Select</v>
          </cell>
          <cell r="CC358">
            <v>35</v>
          </cell>
          <cell r="CD358">
            <v>60</v>
          </cell>
          <cell r="CE358" t="str">
            <v>N/A</v>
          </cell>
          <cell r="CF358" t="str">
            <v>N/A</v>
          </cell>
          <cell r="CG358">
            <v>60</v>
          </cell>
          <cell r="CH358" t="str">
            <v>N/A</v>
          </cell>
          <cell r="CI358" t="str">
            <v>N/A</v>
          </cell>
          <cell r="CJ358" t="str">
            <v>$6,000 / $12,000</v>
          </cell>
          <cell r="CK358">
            <v>1</v>
          </cell>
          <cell r="CL358" t="str">
            <v>$6,350 / $12,700</v>
          </cell>
          <cell r="CM358" t="str">
            <v>N/A</v>
          </cell>
          <cell r="CN358">
            <v>0</v>
          </cell>
          <cell r="CO358" t="str">
            <v>N/A</v>
          </cell>
          <cell r="CP358" t="str">
            <v>Emb</v>
          </cell>
          <cell r="CS358" t="str">
            <v>INS</v>
          </cell>
          <cell r="CT358" t="str">
            <v>Select</v>
          </cell>
          <cell r="CU358">
            <v>0.5595</v>
          </cell>
          <cell r="CW358" t="str">
            <v>S14&amp;15</v>
          </cell>
          <cell r="CX358">
            <v>0.54930000000000001</v>
          </cell>
        </row>
        <row r="359">
          <cell r="CA359" t="str">
            <v>AB64</v>
          </cell>
          <cell r="CB359" t="str">
            <v>Select HRA</v>
          </cell>
          <cell r="CC359" t="str">
            <v>N/A</v>
          </cell>
          <cell r="CD359" t="str">
            <v>N/A</v>
          </cell>
          <cell r="CE359" t="str">
            <v>N/A</v>
          </cell>
          <cell r="CF359" t="str">
            <v>N/A</v>
          </cell>
          <cell r="CG359" t="str">
            <v>N/A</v>
          </cell>
          <cell r="CH359" t="str">
            <v>N/A</v>
          </cell>
          <cell r="CI359" t="str">
            <v>N/A</v>
          </cell>
          <cell r="CJ359" t="str">
            <v>$1,500 / $3,000</v>
          </cell>
          <cell r="CK359">
            <v>0.9</v>
          </cell>
          <cell r="CL359" t="str">
            <v>$3,000 / $6,000</v>
          </cell>
          <cell r="CM359" t="str">
            <v>N/A</v>
          </cell>
          <cell r="CN359">
            <v>0</v>
          </cell>
          <cell r="CO359" t="str">
            <v>N/A</v>
          </cell>
          <cell r="CP359" t="str">
            <v>Emb</v>
          </cell>
          <cell r="CS359" t="str">
            <v>INS</v>
          </cell>
          <cell r="CT359" t="str">
            <v>Select</v>
          </cell>
          <cell r="CU359">
            <v>0.64500000000000002</v>
          </cell>
          <cell r="CW359" t="str">
            <v>SNHRA14&amp;15</v>
          </cell>
          <cell r="CX359">
            <v>0.61439999999999995</v>
          </cell>
        </row>
        <row r="360">
          <cell r="CA360" t="str">
            <v>AB65</v>
          </cell>
          <cell r="CB360" t="str">
            <v>Select HRA</v>
          </cell>
          <cell r="CC360">
            <v>20</v>
          </cell>
          <cell r="CD360">
            <v>20</v>
          </cell>
          <cell r="CE360" t="str">
            <v>N/A</v>
          </cell>
          <cell r="CF360" t="str">
            <v>N/A</v>
          </cell>
          <cell r="CG360">
            <v>30</v>
          </cell>
          <cell r="CH360" t="str">
            <v>N/A</v>
          </cell>
          <cell r="CI360" t="str">
            <v>N/A</v>
          </cell>
          <cell r="CJ360" t="str">
            <v>$1,500 / $3,000</v>
          </cell>
          <cell r="CK360">
            <v>0.9</v>
          </cell>
          <cell r="CL360" t="str">
            <v>$3,500 / $7,000</v>
          </cell>
          <cell r="CM360" t="str">
            <v>N/A</v>
          </cell>
          <cell r="CN360">
            <v>0</v>
          </cell>
          <cell r="CO360" t="str">
            <v>N/A</v>
          </cell>
          <cell r="CP360" t="str">
            <v>Emb</v>
          </cell>
          <cell r="CS360" t="str">
            <v>INS</v>
          </cell>
          <cell r="CT360" t="str">
            <v>Select</v>
          </cell>
          <cell r="CU360">
            <v>0.72019999999999995</v>
          </cell>
          <cell r="CW360" t="str">
            <v>SNHRA14&amp;15</v>
          </cell>
          <cell r="CX360">
            <v>0.65200000000000002</v>
          </cell>
        </row>
        <row r="361">
          <cell r="CA361" t="str">
            <v>AB66</v>
          </cell>
          <cell r="CB361" t="str">
            <v>Select HRA</v>
          </cell>
          <cell r="CC361" t="str">
            <v>N/A</v>
          </cell>
          <cell r="CD361" t="str">
            <v>N/A</v>
          </cell>
          <cell r="CE361" t="str">
            <v>N/A</v>
          </cell>
          <cell r="CF361" t="str">
            <v>N/A</v>
          </cell>
          <cell r="CG361" t="str">
            <v>N/A</v>
          </cell>
          <cell r="CH361" t="str">
            <v>N/A</v>
          </cell>
          <cell r="CI361" t="str">
            <v>N/A</v>
          </cell>
          <cell r="CJ361" t="str">
            <v>$2,000 / $4,000</v>
          </cell>
          <cell r="CK361">
            <v>0.8</v>
          </cell>
          <cell r="CL361" t="str">
            <v>$5,000 / $10,000</v>
          </cell>
          <cell r="CM361" t="str">
            <v>N/A</v>
          </cell>
          <cell r="CN361">
            <v>0</v>
          </cell>
          <cell r="CO361" t="str">
            <v>N/A</v>
          </cell>
          <cell r="CP361" t="str">
            <v>Emb</v>
          </cell>
          <cell r="CS361" t="str">
            <v>INS</v>
          </cell>
          <cell r="CT361" t="str">
            <v>Select</v>
          </cell>
          <cell r="CU361">
            <v>0.55479999999999996</v>
          </cell>
          <cell r="CW361" t="str">
            <v>SNHRA14&amp;15</v>
          </cell>
          <cell r="CX361">
            <v>0.55730000000000002</v>
          </cell>
        </row>
        <row r="362">
          <cell r="CA362" t="str">
            <v>AB67</v>
          </cell>
          <cell r="CB362" t="str">
            <v>Select HRA</v>
          </cell>
          <cell r="CC362">
            <v>30</v>
          </cell>
          <cell r="CD362">
            <v>30</v>
          </cell>
          <cell r="CE362" t="str">
            <v>N/A</v>
          </cell>
          <cell r="CF362" t="str">
            <v>N/A</v>
          </cell>
          <cell r="CG362">
            <v>30</v>
          </cell>
          <cell r="CH362" t="str">
            <v>N/A</v>
          </cell>
          <cell r="CI362" t="str">
            <v>N/A</v>
          </cell>
          <cell r="CJ362" t="str">
            <v>$2,000 / $4,000</v>
          </cell>
          <cell r="CK362">
            <v>0.8</v>
          </cell>
          <cell r="CL362" t="str">
            <v>$5,000 / $10,000</v>
          </cell>
          <cell r="CM362" t="str">
            <v>N/A</v>
          </cell>
          <cell r="CN362">
            <v>0</v>
          </cell>
          <cell r="CO362" t="str">
            <v>N/A</v>
          </cell>
          <cell r="CP362" t="str">
            <v>Emb</v>
          </cell>
          <cell r="CS362" t="str">
            <v>INS</v>
          </cell>
          <cell r="CT362" t="str">
            <v>Select</v>
          </cell>
          <cell r="CU362">
            <v>0.65080000000000005</v>
          </cell>
          <cell r="CW362" t="str">
            <v>SNHRA14&amp;15</v>
          </cell>
          <cell r="CX362">
            <v>0.61150000000000004</v>
          </cell>
        </row>
        <row r="363">
          <cell r="CA363" t="str">
            <v>AB68</v>
          </cell>
          <cell r="CB363" t="str">
            <v>Select HRA</v>
          </cell>
          <cell r="CC363" t="str">
            <v>N/A</v>
          </cell>
          <cell r="CD363" t="str">
            <v>N/A</v>
          </cell>
          <cell r="CE363" t="str">
            <v>N/A</v>
          </cell>
          <cell r="CF363" t="str">
            <v>N/A</v>
          </cell>
          <cell r="CG363" t="str">
            <v>N/A</v>
          </cell>
          <cell r="CH363" t="str">
            <v>N/A</v>
          </cell>
          <cell r="CI363" t="str">
            <v>N/A</v>
          </cell>
          <cell r="CJ363" t="str">
            <v>$3,000 / $6,000</v>
          </cell>
          <cell r="CK363">
            <v>1</v>
          </cell>
          <cell r="CL363" t="str">
            <v>$4,000 / $8,000</v>
          </cell>
          <cell r="CM363" t="str">
            <v>N/A</v>
          </cell>
          <cell r="CN363">
            <v>0</v>
          </cell>
          <cell r="CO363" t="str">
            <v>N/A</v>
          </cell>
          <cell r="CP363" t="str">
            <v>Emb</v>
          </cell>
          <cell r="CS363" t="str">
            <v>INS</v>
          </cell>
          <cell r="CT363" t="str">
            <v>Select</v>
          </cell>
          <cell r="CU363">
            <v>0.57410000000000005</v>
          </cell>
          <cell r="CW363" t="str">
            <v>SNHRA14&amp;15</v>
          </cell>
          <cell r="CX363">
            <v>0.57820000000000005</v>
          </cell>
        </row>
        <row r="364">
          <cell r="CA364" t="str">
            <v>AB69</v>
          </cell>
          <cell r="CB364" t="str">
            <v>Select HRA</v>
          </cell>
          <cell r="CC364">
            <v>20</v>
          </cell>
          <cell r="CD364">
            <v>20</v>
          </cell>
          <cell r="CE364" t="str">
            <v>N/A</v>
          </cell>
          <cell r="CF364" t="str">
            <v>N/A</v>
          </cell>
          <cell r="CG364">
            <v>20</v>
          </cell>
          <cell r="CH364" t="str">
            <v>N/A</v>
          </cell>
          <cell r="CI364" t="str">
            <v>N/A</v>
          </cell>
          <cell r="CJ364" t="str">
            <v>$3,000 / $6,000</v>
          </cell>
          <cell r="CK364">
            <v>1</v>
          </cell>
          <cell r="CL364" t="str">
            <v>$6,000 / $12,000</v>
          </cell>
          <cell r="CM364" t="str">
            <v>N/A</v>
          </cell>
          <cell r="CN364">
            <v>0</v>
          </cell>
          <cell r="CO364" t="str">
            <v>N/A</v>
          </cell>
          <cell r="CP364" t="str">
            <v>Emb</v>
          </cell>
          <cell r="CS364" t="str">
            <v>INS</v>
          </cell>
          <cell r="CT364" t="str">
            <v>Select</v>
          </cell>
          <cell r="CU364">
            <v>0.67310000000000003</v>
          </cell>
          <cell r="CW364" t="str">
            <v>SNHRA14&amp;15</v>
          </cell>
          <cell r="CX364">
            <v>0.63470000000000004</v>
          </cell>
        </row>
        <row r="365">
          <cell r="CA365" t="str">
            <v>AB6T</v>
          </cell>
          <cell r="CB365" t="str">
            <v>Select</v>
          </cell>
          <cell r="CC365">
            <v>35</v>
          </cell>
          <cell r="CD365">
            <v>50</v>
          </cell>
          <cell r="CE365" t="str">
            <v>N/A</v>
          </cell>
          <cell r="CF365" t="str">
            <v>N/A</v>
          </cell>
          <cell r="CG365">
            <v>50</v>
          </cell>
          <cell r="CH365" t="str">
            <v>$150 POD</v>
          </cell>
          <cell r="CI365" t="str">
            <v>N/A</v>
          </cell>
          <cell r="CJ365" t="str">
            <v>$1,250 / $2,500</v>
          </cell>
          <cell r="CK365">
            <v>0.7</v>
          </cell>
          <cell r="CL365" t="str">
            <v>$6,350 / $12,700</v>
          </cell>
          <cell r="CM365" t="str">
            <v>N/A</v>
          </cell>
          <cell r="CN365">
            <v>0</v>
          </cell>
          <cell r="CO365" t="str">
            <v>N/A</v>
          </cell>
          <cell r="CP365" t="str">
            <v>Emb</v>
          </cell>
          <cell r="CS365" t="str">
            <v>INS</v>
          </cell>
          <cell r="CT365" t="str">
            <v>Select</v>
          </cell>
          <cell r="CU365">
            <v>0.62580000000000002</v>
          </cell>
          <cell r="CW365" t="str">
            <v>S14&amp;15</v>
          </cell>
          <cell r="CX365">
            <v>0.58689999999999998</v>
          </cell>
        </row>
        <row r="366">
          <cell r="CA366" t="str">
            <v>AB72</v>
          </cell>
          <cell r="CB366" t="str">
            <v>Select</v>
          </cell>
          <cell r="CC366">
            <v>20</v>
          </cell>
          <cell r="CD366">
            <v>35</v>
          </cell>
          <cell r="CE366" t="str">
            <v>N/A</v>
          </cell>
          <cell r="CF366" t="str">
            <v>N/A</v>
          </cell>
          <cell r="CG366">
            <v>35</v>
          </cell>
          <cell r="CH366" t="str">
            <v>$100 POD</v>
          </cell>
          <cell r="CI366" t="str">
            <v>N/A</v>
          </cell>
          <cell r="CJ366" t="str">
            <v>$750 / $1,500</v>
          </cell>
          <cell r="CK366">
            <v>0.8</v>
          </cell>
          <cell r="CL366" t="str">
            <v>$6,350 / $12,700</v>
          </cell>
          <cell r="CM366" t="str">
            <v>N/A</v>
          </cell>
          <cell r="CN366">
            <v>0</v>
          </cell>
          <cell r="CO366" t="str">
            <v>N/A</v>
          </cell>
          <cell r="CP366" t="str">
            <v>Emb</v>
          </cell>
          <cell r="CS366" t="str">
            <v>INS</v>
          </cell>
          <cell r="CT366" t="str">
            <v>Select</v>
          </cell>
          <cell r="CU366">
            <v>0.69320000000000004</v>
          </cell>
          <cell r="CW366" t="str">
            <v>S14&amp;15</v>
          </cell>
          <cell r="CX366">
            <v>0.63429999999999997</v>
          </cell>
        </row>
        <row r="367">
          <cell r="CA367" t="str">
            <v>AB73</v>
          </cell>
          <cell r="CB367" t="str">
            <v>Select</v>
          </cell>
          <cell r="CC367">
            <v>20</v>
          </cell>
          <cell r="CD367">
            <v>45</v>
          </cell>
          <cell r="CE367" t="str">
            <v>N/A</v>
          </cell>
          <cell r="CF367" t="str">
            <v>N/A</v>
          </cell>
          <cell r="CG367">
            <v>45</v>
          </cell>
          <cell r="CH367" t="str">
            <v>$100 POD</v>
          </cell>
          <cell r="CI367" t="str">
            <v>N/A</v>
          </cell>
          <cell r="CJ367" t="str">
            <v>N/A</v>
          </cell>
          <cell r="CK367">
            <v>0.75</v>
          </cell>
          <cell r="CL367" t="str">
            <v>$5,000 / $10,000</v>
          </cell>
          <cell r="CM367" t="str">
            <v>N/A</v>
          </cell>
          <cell r="CN367">
            <v>0</v>
          </cell>
          <cell r="CO367" t="str">
            <v>N/A</v>
          </cell>
          <cell r="CP367" t="str">
            <v>Emb</v>
          </cell>
          <cell r="CS367" t="str">
            <v>INS</v>
          </cell>
          <cell r="CT367" t="str">
            <v>Select</v>
          </cell>
          <cell r="CU367">
            <v>0.73629999999999995</v>
          </cell>
          <cell r="CW367" t="str">
            <v>S14&amp;15</v>
          </cell>
          <cell r="CX367">
            <v>0.65839999999999999</v>
          </cell>
        </row>
        <row r="368">
          <cell r="CA368" t="str">
            <v>AB74</v>
          </cell>
          <cell r="CB368" t="str">
            <v>Select</v>
          </cell>
          <cell r="CC368">
            <v>10</v>
          </cell>
          <cell r="CD368">
            <v>10</v>
          </cell>
          <cell r="CE368" t="str">
            <v>N/A</v>
          </cell>
          <cell r="CF368">
            <v>100</v>
          </cell>
          <cell r="CG368">
            <v>10</v>
          </cell>
          <cell r="CH368">
            <v>100</v>
          </cell>
          <cell r="CI368" t="str">
            <v>N/A</v>
          </cell>
          <cell r="CJ368" t="str">
            <v>N/A</v>
          </cell>
          <cell r="CK368">
            <v>1</v>
          </cell>
          <cell r="CL368" t="str">
            <v>$500 / $1,000</v>
          </cell>
          <cell r="CM368" t="str">
            <v>N/A</v>
          </cell>
          <cell r="CN368">
            <v>0</v>
          </cell>
          <cell r="CO368" t="str">
            <v>N/A</v>
          </cell>
          <cell r="CP368" t="str">
            <v>Emb</v>
          </cell>
          <cell r="CS368" t="str">
            <v>INS</v>
          </cell>
          <cell r="CT368" t="str">
            <v>Select</v>
          </cell>
          <cell r="CU368">
            <v>0.98509999999999998</v>
          </cell>
          <cell r="CW368" t="str">
            <v>S14&amp;15</v>
          </cell>
          <cell r="CX368">
            <v>0.74439999999999995</v>
          </cell>
        </row>
        <row r="369">
          <cell r="CA369" t="str">
            <v>AB7J</v>
          </cell>
          <cell r="CB369" t="str">
            <v>Select HSA</v>
          </cell>
          <cell r="CC369" t="str">
            <v>N/A</v>
          </cell>
          <cell r="CD369" t="str">
            <v>N/A</v>
          </cell>
          <cell r="CE369" t="str">
            <v>N/A</v>
          </cell>
          <cell r="CF369" t="str">
            <v>N/A</v>
          </cell>
          <cell r="CG369" t="str">
            <v>N/A</v>
          </cell>
          <cell r="CH369" t="str">
            <v>N/A</v>
          </cell>
          <cell r="CI369" t="str">
            <v>N/A</v>
          </cell>
          <cell r="CJ369" t="str">
            <v>$3,000 / $6,000</v>
          </cell>
          <cell r="CK369">
            <v>0.8</v>
          </cell>
          <cell r="CL369" t="str">
            <v>$5,000 / $10,000</v>
          </cell>
          <cell r="CM369" t="str">
            <v>N/A</v>
          </cell>
          <cell r="CN369">
            <v>0</v>
          </cell>
          <cell r="CO369" t="str">
            <v>N/A</v>
          </cell>
          <cell r="CP369" t="str">
            <v>Emb</v>
          </cell>
          <cell r="CS369" t="str">
            <v>INS</v>
          </cell>
          <cell r="CT369" t="str">
            <v>Select</v>
          </cell>
          <cell r="CU369">
            <v>0.60629999999999995</v>
          </cell>
          <cell r="CV369" t="str">
            <v>H9-HSA</v>
          </cell>
          <cell r="CW369" t="str">
            <v>SHSA14&amp;15</v>
          </cell>
          <cell r="CX369">
            <v>0.68559999999999999</v>
          </cell>
        </row>
        <row r="370">
          <cell r="CA370" t="str">
            <v>AB7L</v>
          </cell>
          <cell r="CB370" t="str">
            <v>Select HSA</v>
          </cell>
          <cell r="CC370" t="str">
            <v>N/A</v>
          </cell>
          <cell r="CD370" t="str">
            <v>N/A</v>
          </cell>
          <cell r="CE370" t="str">
            <v>N/A</v>
          </cell>
          <cell r="CF370" t="str">
            <v>N/A</v>
          </cell>
          <cell r="CG370" t="str">
            <v>N/A</v>
          </cell>
          <cell r="CH370" t="str">
            <v>N/A</v>
          </cell>
          <cell r="CI370" t="str">
            <v>N/A</v>
          </cell>
          <cell r="CJ370" t="str">
            <v>$3,000 / $6,000</v>
          </cell>
          <cell r="CK370">
            <v>1</v>
          </cell>
          <cell r="CL370" t="str">
            <v>$5,000 / $10,000</v>
          </cell>
          <cell r="CM370" t="str">
            <v>N/A</v>
          </cell>
          <cell r="CN370">
            <v>0</v>
          </cell>
          <cell r="CO370" t="str">
            <v>N/A</v>
          </cell>
          <cell r="CP370" t="str">
            <v>Emb</v>
          </cell>
          <cell r="CS370" t="str">
            <v>INS</v>
          </cell>
          <cell r="CT370" t="str">
            <v>Select</v>
          </cell>
          <cell r="CU370">
            <v>0.70760000000000001</v>
          </cell>
          <cell r="CV370" t="str">
            <v>H9-HSA</v>
          </cell>
          <cell r="CW370" t="str">
            <v>SHSA14&amp;15</v>
          </cell>
          <cell r="CX370">
            <v>0.74170000000000003</v>
          </cell>
        </row>
        <row r="371">
          <cell r="CA371" t="str">
            <v>AB7R</v>
          </cell>
          <cell r="CB371" t="str">
            <v>Select</v>
          </cell>
          <cell r="CC371">
            <v>15</v>
          </cell>
          <cell r="CD371">
            <v>15</v>
          </cell>
          <cell r="CE371" t="str">
            <v>N/A</v>
          </cell>
          <cell r="CF371" t="str">
            <v>N/A</v>
          </cell>
          <cell r="CG371">
            <v>15</v>
          </cell>
          <cell r="CH371" t="str">
            <v>$100 POD</v>
          </cell>
          <cell r="CI371" t="str">
            <v>N/A</v>
          </cell>
          <cell r="CJ371" t="str">
            <v>$150 / $300</v>
          </cell>
          <cell r="CK371">
            <v>0.9</v>
          </cell>
          <cell r="CL371" t="str">
            <v>$1,150 / $2,300</v>
          </cell>
          <cell r="CM371" t="str">
            <v>N/A</v>
          </cell>
          <cell r="CN371">
            <v>0</v>
          </cell>
          <cell r="CO371" t="str">
            <v>N/A</v>
          </cell>
          <cell r="CP371" t="str">
            <v>Emb</v>
          </cell>
          <cell r="CS371" t="str">
            <v>INS</v>
          </cell>
          <cell r="CT371" t="str">
            <v>Select</v>
          </cell>
          <cell r="CU371">
            <v>0.89059999999999995</v>
          </cell>
          <cell r="CW371" t="str">
            <v>S14&amp;15</v>
          </cell>
          <cell r="CX371">
            <v>0.71819999999999995</v>
          </cell>
        </row>
        <row r="372">
          <cell r="CA372" t="str">
            <v>AB7S</v>
          </cell>
          <cell r="CB372" t="str">
            <v>Select</v>
          </cell>
          <cell r="CC372">
            <v>15</v>
          </cell>
          <cell r="CD372">
            <v>30</v>
          </cell>
          <cell r="CE372" t="str">
            <v>N/A</v>
          </cell>
          <cell r="CF372" t="str">
            <v>N/A</v>
          </cell>
          <cell r="CG372">
            <v>30</v>
          </cell>
          <cell r="CH372" t="str">
            <v>$100 POD</v>
          </cell>
          <cell r="CI372" t="str">
            <v>N/A</v>
          </cell>
          <cell r="CJ372" t="str">
            <v>$150 / $300</v>
          </cell>
          <cell r="CK372">
            <v>0.9</v>
          </cell>
          <cell r="CL372" t="str">
            <v>$3,000 / $6,000</v>
          </cell>
          <cell r="CM372" t="str">
            <v>N/A</v>
          </cell>
          <cell r="CN372">
            <v>0</v>
          </cell>
          <cell r="CO372" t="str">
            <v>N/A</v>
          </cell>
          <cell r="CP372" t="str">
            <v>Emb</v>
          </cell>
          <cell r="CS372" t="str">
            <v>INS</v>
          </cell>
          <cell r="CT372" t="str">
            <v>Select</v>
          </cell>
          <cell r="CU372">
            <v>0.83089999999999997</v>
          </cell>
          <cell r="CW372" t="str">
            <v>S14&amp;15</v>
          </cell>
          <cell r="CX372">
            <v>0.69620000000000004</v>
          </cell>
        </row>
        <row r="373">
          <cell r="CA373" t="str">
            <v>AB7T</v>
          </cell>
          <cell r="CB373" t="str">
            <v>Select</v>
          </cell>
          <cell r="CC373">
            <v>20</v>
          </cell>
          <cell r="CD373">
            <v>20</v>
          </cell>
          <cell r="CE373" t="str">
            <v>N/A</v>
          </cell>
          <cell r="CF373" t="str">
            <v>N/A</v>
          </cell>
          <cell r="CG373">
            <v>20</v>
          </cell>
          <cell r="CH373" t="str">
            <v>$100 POD</v>
          </cell>
          <cell r="CI373" t="str">
            <v>N/A</v>
          </cell>
          <cell r="CJ373" t="str">
            <v>$200 / $400</v>
          </cell>
          <cell r="CK373">
            <v>0.9</v>
          </cell>
          <cell r="CL373" t="str">
            <v>$2,200 / $4,400</v>
          </cell>
          <cell r="CM373" t="str">
            <v>N/A</v>
          </cell>
          <cell r="CN373">
            <v>0</v>
          </cell>
          <cell r="CO373" t="str">
            <v>N/A</v>
          </cell>
          <cell r="CP373" t="str">
            <v>Emb</v>
          </cell>
          <cell r="CS373" t="str">
            <v>INS</v>
          </cell>
          <cell r="CT373" t="str">
            <v>Select</v>
          </cell>
          <cell r="CU373">
            <v>0.84119999999999995</v>
          </cell>
          <cell r="CW373" t="str">
            <v>S14&amp;15</v>
          </cell>
          <cell r="CX373">
            <v>0.70020000000000004</v>
          </cell>
        </row>
        <row r="374">
          <cell r="CA374" t="str">
            <v>AB7U</v>
          </cell>
          <cell r="CB374" t="str">
            <v>Select</v>
          </cell>
          <cell r="CC374">
            <v>10</v>
          </cell>
          <cell r="CD374">
            <v>10</v>
          </cell>
          <cell r="CE374" t="str">
            <v>N/A</v>
          </cell>
          <cell r="CF374" t="str">
            <v>N/A</v>
          </cell>
          <cell r="CG374">
            <v>10</v>
          </cell>
          <cell r="CH374" t="str">
            <v>$100 POD</v>
          </cell>
          <cell r="CI374" t="str">
            <v>N/A</v>
          </cell>
          <cell r="CJ374" t="str">
            <v>$250 / $500</v>
          </cell>
          <cell r="CK374">
            <v>0.9</v>
          </cell>
          <cell r="CL374" t="str">
            <v>$1,750 / $3,500</v>
          </cell>
          <cell r="CM374" t="str">
            <v>N/A</v>
          </cell>
          <cell r="CN374">
            <v>0</v>
          </cell>
          <cell r="CO374" t="str">
            <v>N/A</v>
          </cell>
          <cell r="CP374" t="str">
            <v>Emb</v>
          </cell>
          <cell r="CS374" t="str">
            <v>INS</v>
          </cell>
          <cell r="CT374" t="str">
            <v>Select</v>
          </cell>
          <cell r="CU374">
            <v>0.86299999999999999</v>
          </cell>
          <cell r="CW374" t="str">
            <v>S14&amp;15</v>
          </cell>
          <cell r="CX374">
            <v>0.71260000000000001</v>
          </cell>
        </row>
        <row r="375">
          <cell r="CA375" t="str">
            <v>AB7V</v>
          </cell>
          <cell r="CB375" t="str">
            <v>Select</v>
          </cell>
          <cell r="CC375">
            <v>25</v>
          </cell>
          <cell r="CD375">
            <v>25</v>
          </cell>
          <cell r="CE375" t="str">
            <v>N/A</v>
          </cell>
          <cell r="CF375" t="str">
            <v>N/A</v>
          </cell>
          <cell r="CG375">
            <v>25</v>
          </cell>
          <cell r="CH375" t="str">
            <v>$100 POD</v>
          </cell>
          <cell r="CI375" t="str">
            <v>N/A</v>
          </cell>
          <cell r="CJ375" t="str">
            <v>$250 / $500</v>
          </cell>
          <cell r="CK375">
            <v>0.9</v>
          </cell>
          <cell r="CL375" t="str">
            <v>$3,250 / $6,500</v>
          </cell>
          <cell r="CM375" t="str">
            <v>N/A</v>
          </cell>
          <cell r="CN375">
            <v>0</v>
          </cell>
          <cell r="CO375" t="str">
            <v>N/A</v>
          </cell>
          <cell r="CP375" t="str">
            <v>Emb</v>
          </cell>
          <cell r="CS375" t="str">
            <v>INS</v>
          </cell>
          <cell r="CT375" t="str">
            <v>Select</v>
          </cell>
          <cell r="CU375">
            <v>0.81020000000000003</v>
          </cell>
          <cell r="CW375" t="str">
            <v>S14&amp;15</v>
          </cell>
          <cell r="CX375">
            <v>0.68689999999999996</v>
          </cell>
        </row>
        <row r="376">
          <cell r="CA376" t="str">
            <v>AB7Y</v>
          </cell>
          <cell r="CB376" t="str">
            <v>Select</v>
          </cell>
          <cell r="CC376">
            <v>30</v>
          </cell>
          <cell r="CD376">
            <v>30</v>
          </cell>
          <cell r="CE376" t="str">
            <v>N/A</v>
          </cell>
          <cell r="CF376" t="str">
            <v>N/A</v>
          </cell>
          <cell r="CG376">
            <v>30</v>
          </cell>
          <cell r="CH376" t="str">
            <v>$100 POD</v>
          </cell>
          <cell r="CI376" t="str">
            <v>N/A</v>
          </cell>
          <cell r="CJ376" t="str">
            <v>$500 / $1,000</v>
          </cell>
          <cell r="CK376">
            <v>0.9</v>
          </cell>
          <cell r="CL376" t="str">
            <v>$3,500 / $7,000</v>
          </cell>
          <cell r="CM376" t="str">
            <v>N/A</v>
          </cell>
          <cell r="CN376">
            <v>0</v>
          </cell>
          <cell r="CO376" t="str">
            <v>N/A</v>
          </cell>
          <cell r="CP376" t="str">
            <v>Emb</v>
          </cell>
          <cell r="CS376" t="str">
            <v>INS</v>
          </cell>
          <cell r="CT376" t="str">
            <v>Select</v>
          </cell>
          <cell r="CU376">
            <v>0.77400000000000002</v>
          </cell>
          <cell r="CW376" t="str">
            <v>S14&amp;15</v>
          </cell>
          <cell r="CX376">
            <v>0.6673</v>
          </cell>
        </row>
        <row r="377">
          <cell r="CA377" t="str">
            <v>AB7Z</v>
          </cell>
          <cell r="CB377" t="str">
            <v>Select</v>
          </cell>
          <cell r="CC377">
            <v>35</v>
          </cell>
          <cell r="CD377">
            <v>35</v>
          </cell>
          <cell r="CE377" t="str">
            <v>N/A</v>
          </cell>
          <cell r="CF377" t="str">
            <v>N/A</v>
          </cell>
          <cell r="CG377">
            <v>35</v>
          </cell>
          <cell r="CH377" t="str">
            <v>$100 POD</v>
          </cell>
          <cell r="CI377" t="str">
            <v>N/A</v>
          </cell>
          <cell r="CJ377" t="str">
            <v>$500 / $1,000</v>
          </cell>
          <cell r="CK377">
            <v>0.8</v>
          </cell>
          <cell r="CL377" t="str">
            <v>$3,500 / $7,000</v>
          </cell>
          <cell r="CM377" t="str">
            <v>N/A</v>
          </cell>
          <cell r="CN377">
            <v>0</v>
          </cell>
          <cell r="CO377" t="str">
            <v>N/A</v>
          </cell>
          <cell r="CP377" t="str">
            <v>Emb</v>
          </cell>
          <cell r="CS377" t="str">
            <v>INS</v>
          </cell>
          <cell r="CT377" t="str">
            <v>Select</v>
          </cell>
          <cell r="CU377">
            <v>0.73089999999999999</v>
          </cell>
          <cell r="CW377" t="str">
            <v>S14&amp;15</v>
          </cell>
          <cell r="CX377">
            <v>0.64580000000000004</v>
          </cell>
        </row>
        <row r="378">
          <cell r="CA378" t="str">
            <v>AHUE</v>
          </cell>
          <cell r="CB378" t="str">
            <v>Select HSA</v>
          </cell>
          <cell r="CC378" t="str">
            <v>N/A</v>
          </cell>
          <cell r="CD378" t="str">
            <v>N/A</v>
          </cell>
          <cell r="CE378" t="str">
            <v>N/A</v>
          </cell>
          <cell r="CF378" t="str">
            <v>$100 POD</v>
          </cell>
          <cell r="CG378" t="str">
            <v>N/A</v>
          </cell>
          <cell r="CH378" t="str">
            <v>$100 POD</v>
          </cell>
          <cell r="CI378" t="str">
            <v>N/A</v>
          </cell>
          <cell r="CJ378" t="str">
            <v>$3,000 / $6,000</v>
          </cell>
          <cell r="CK378">
            <v>0.8</v>
          </cell>
          <cell r="CL378" t="str">
            <v>$5,000 / $10,000</v>
          </cell>
          <cell r="CM378" t="str">
            <v>N/A</v>
          </cell>
          <cell r="CN378">
            <v>0</v>
          </cell>
          <cell r="CO378" t="str">
            <v>N/A</v>
          </cell>
          <cell r="CP378" t="str">
            <v>Emb</v>
          </cell>
          <cell r="CS378" t="str">
            <v>INS</v>
          </cell>
          <cell r="CT378" t="str">
            <v>Select</v>
          </cell>
          <cell r="CU378">
            <v>0.60509999999999997</v>
          </cell>
          <cell r="CV378" t="str">
            <v>H9-HSA</v>
          </cell>
          <cell r="CW378" t="str">
            <v>SHSA14&amp;15</v>
          </cell>
          <cell r="CX378">
            <v>0.68489999999999995</v>
          </cell>
        </row>
        <row r="379">
          <cell r="CA379" t="str">
            <v>AHUF</v>
          </cell>
          <cell r="CB379" t="str">
            <v>Select HSA</v>
          </cell>
          <cell r="CC379" t="str">
            <v>N/A</v>
          </cell>
          <cell r="CD379" t="str">
            <v>N/A</v>
          </cell>
          <cell r="CE379" t="str">
            <v>N/A</v>
          </cell>
          <cell r="CF379" t="str">
            <v>$100 POD</v>
          </cell>
          <cell r="CG379" t="str">
            <v>N/A</v>
          </cell>
          <cell r="CH379" t="str">
            <v>$100 POD</v>
          </cell>
          <cell r="CI379" t="str">
            <v>N/A</v>
          </cell>
          <cell r="CJ379" t="str">
            <v>$3,500 / $7,000</v>
          </cell>
          <cell r="CK379">
            <v>0.8</v>
          </cell>
          <cell r="CL379" t="str">
            <v>$5,500 / $11,000</v>
          </cell>
          <cell r="CM379" t="str">
            <v>N/A</v>
          </cell>
          <cell r="CN379">
            <v>0</v>
          </cell>
          <cell r="CO379" t="str">
            <v>N/A</v>
          </cell>
          <cell r="CP379" t="str">
            <v>Emb</v>
          </cell>
          <cell r="CS379" t="str">
            <v>INS</v>
          </cell>
          <cell r="CT379" t="str">
            <v>Select</v>
          </cell>
          <cell r="CU379">
            <v>0.58440000000000003</v>
          </cell>
          <cell r="CV379" t="str">
            <v>H9-HSA</v>
          </cell>
          <cell r="CW379" t="str">
            <v>SHSA14&amp;15</v>
          </cell>
          <cell r="CX379">
            <v>0.66159999999999997</v>
          </cell>
        </row>
        <row r="380">
          <cell r="CA380" t="str">
            <v>AHUG</v>
          </cell>
          <cell r="CB380" t="str">
            <v>Select HSA</v>
          </cell>
          <cell r="CC380" t="str">
            <v>N/A</v>
          </cell>
          <cell r="CD380" t="str">
            <v>N/A</v>
          </cell>
          <cell r="CE380" t="str">
            <v>N/A</v>
          </cell>
          <cell r="CF380" t="str">
            <v>$100 POD</v>
          </cell>
          <cell r="CG380" t="str">
            <v>N/A</v>
          </cell>
          <cell r="CH380" t="str">
            <v>$100 POD</v>
          </cell>
          <cell r="CI380" t="str">
            <v>N/A</v>
          </cell>
          <cell r="CJ380" t="str">
            <v>$4,000 / $8,000</v>
          </cell>
          <cell r="CK380">
            <v>0.8</v>
          </cell>
          <cell r="CL380" t="str">
            <v>$5,500 / $11,000</v>
          </cell>
          <cell r="CM380" t="str">
            <v>N/A</v>
          </cell>
          <cell r="CN380">
            <v>0</v>
          </cell>
          <cell r="CO380" t="str">
            <v>N/A</v>
          </cell>
          <cell r="CP380" t="str">
            <v>Emb</v>
          </cell>
          <cell r="CS380" t="str">
            <v>INS</v>
          </cell>
          <cell r="CT380" t="str">
            <v>Select</v>
          </cell>
          <cell r="CU380">
            <v>0.57509999999999994</v>
          </cell>
          <cell r="CV380" t="str">
            <v>H9-HSA</v>
          </cell>
          <cell r="CW380" t="str">
            <v>SHSA14&amp;15</v>
          </cell>
          <cell r="CX380">
            <v>0.64880000000000004</v>
          </cell>
        </row>
        <row r="381">
          <cell r="CA381" t="str">
            <v>AHUH</v>
          </cell>
          <cell r="CB381" t="str">
            <v>Select HSA</v>
          </cell>
          <cell r="CC381" t="str">
            <v>N/A</v>
          </cell>
          <cell r="CD381" t="str">
            <v>N/A</v>
          </cell>
          <cell r="CE381" t="str">
            <v>N/A</v>
          </cell>
          <cell r="CF381" t="str">
            <v>N/A</v>
          </cell>
          <cell r="CG381" t="str">
            <v>N/A</v>
          </cell>
          <cell r="CH381" t="str">
            <v>N/A</v>
          </cell>
          <cell r="CI381" t="str">
            <v>N/A</v>
          </cell>
          <cell r="CJ381" t="str">
            <v>$4,500 / $9,000</v>
          </cell>
          <cell r="CK381">
            <v>0.8</v>
          </cell>
          <cell r="CL381" t="str">
            <v>$6,350 / $12,700</v>
          </cell>
          <cell r="CM381" t="str">
            <v>N/A</v>
          </cell>
          <cell r="CN381">
            <v>0</v>
          </cell>
          <cell r="CO381" t="str">
            <v>N/A</v>
          </cell>
          <cell r="CP381" t="str">
            <v>Emb</v>
          </cell>
          <cell r="CS381" t="str">
            <v>INS</v>
          </cell>
          <cell r="CT381" t="str">
            <v>Select</v>
          </cell>
          <cell r="CU381">
            <v>0.55579999999999996</v>
          </cell>
          <cell r="CV381" t="str">
            <v>H9-HSA</v>
          </cell>
          <cell r="CW381" t="str">
            <v>SHSA14&amp;15</v>
          </cell>
          <cell r="CX381">
            <v>0.624</v>
          </cell>
        </row>
        <row r="382">
          <cell r="CA382" t="str">
            <v>AHUI</v>
          </cell>
          <cell r="CB382" t="str">
            <v>Select HSA</v>
          </cell>
          <cell r="CC382" t="str">
            <v>N/A</v>
          </cell>
          <cell r="CD382" t="str">
            <v>N/A</v>
          </cell>
          <cell r="CE382" t="str">
            <v>N/A</v>
          </cell>
          <cell r="CF382" t="str">
            <v>N/A</v>
          </cell>
          <cell r="CG382" t="str">
            <v>N/A</v>
          </cell>
          <cell r="CH382" t="str">
            <v>$200 POD</v>
          </cell>
          <cell r="CI382" t="str">
            <v>N/A</v>
          </cell>
          <cell r="CJ382" t="str">
            <v>$5,500 / $11,000</v>
          </cell>
          <cell r="CK382">
            <v>0.6</v>
          </cell>
          <cell r="CL382" t="str">
            <v>$6,350 / $12,700</v>
          </cell>
          <cell r="CM382" t="str">
            <v>N/A</v>
          </cell>
          <cell r="CN382">
            <v>0</v>
          </cell>
          <cell r="CO382" t="str">
            <v>N/A</v>
          </cell>
          <cell r="CP382" t="str">
            <v>Emb</v>
          </cell>
          <cell r="CS382" t="str">
            <v>INS</v>
          </cell>
          <cell r="CT382" t="str">
            <v>Select</v>
          </cell>
          <cell r="CU382">
            <v>0.54169999999999996</v>
          </cell>
          <cell r="CV382" t="str">
            <v>H9-HSA</v>
          </cell>
          <cell r="CW382" t="str">
            <v>SHSA14&amp;15</v>
          </cell>
          <cell r="CX382">
            <v>0.6028</v>
          </cell>
        </row>
        <row r="383">
          <cell r="CA383" t="str">
            <v>AHUJ</v>
          </cell>
          <cell r="CB383" t="str">
            <v>Select HSA</v>
          </cell>
          <cell r="CC383" t="str">
            <v>N/A</v>
          </cell>
          <cell r="CD383" t="str">
            <v>N/A</v>
          </cell>
          <cell r="CE383" t="str">
            <v>N/A</v>
          </cell>
          <cell r="CF383" t="str">
            <v>N/A</v>
          </cell>
          <cell r="CG383" t="str">
            <v>N/A</v>
          </cell>
          <cell r="CH383" t="str">
            <v>N/A</v>
          </cell>
          <cell r="CI383" t="str">
            <v>N/A</v>
          </cell>
          <cell r="CJ383" t="str">
            <v>$6,350 / $12,700</v>
          </cell>
          <cell r="CK383">
            <v>1</v>
          </cell>
          <cell r="CL383" t="str">
            <v>$6,350 / $12,700</v>
          </cell>
          <cell r="CM383" t="str">
            <v>N/A</v>
          </cell>
          <cell r="CN383">
            <v>0</v>
          </cell>
          <cell r="CO383" t="str">
            <v>N/A</v>
          </cell>
          <cell r="CP383" t="str">
            <v>Emb</v>
          </cell>
          <cell r="CS383" t="str">
            <v>INS</v>
          </cell>
          <cell r="CT383" t="str">
            <v>Select</v>
          </cell>
          <cell r="CU383">
            <v>0.54459999999999997</v>
          </cell>
          <cell r="CV383" t="str">
            <v>H9-HSA</v>
          </cell>
          <cell r="CW383" t="str">
            <v>SHSA14&amp;15</v>
          </cell>
          <cell r="CX383">
            <v>0.60040000000000004</v>
          </cell>
        </row>
        <row r="384">
          <cell r="CA384" t="str">
            <v>AKI8</v>
          </cell>
          <cell r="CB384" t="str">
            <v>Select</v>
          </cell>
          <cell r="CC384">
            <v>15</v>
          </cell>
          <cell r="CD384">
            <v>25</v>
          </cell>
          <cell r="CE384" t="str">
            <v>N/A</v>
          </cell>
          <cell r="CF384" t="str">
            <v>N/A</v>
          </cell>
          <cell r="CG384">
            <v>50</v>
          </cell>
          <cell r="CH384">
            <v>150</v>
          </cell>
          <cell r="CI384" t="str">
            <v>N/A</v>
          </cell>
          <cell r="CJ384" t="str">
            <v>N/A</v>
          </cell>
          <cell r="CK384">
            <v>1</v>
          </cell>
          <cell r="CL384" t="str">
            <v>$2,500 / $5,000</v>
          </cell>
          <cell r="CM384" t="str">
            <v>N/A</v>
          </cell>
          <cell r="CN384">
            <v>0</v>
          </cell>
          <cell r="CO384" t="str">
            <v>N/A</v>
          </cell>
          <cell r="CP384" t="str">
            <v>Emb</v>
          </cell>
          <cell r="CS384" t="str">
            <v>INS</v>
          </cell>
          <cell r="CT384" t="str">
            <v>Select</v>
          </cell>
          <cell r="CU384">
            <v>0.92220000000000002</v>
          </cell>
          <cell r="CW384" t="str">
            <v>S14&amp;15</v>
          </cell>
          <cell r="CX384">
            <v>0.72950000000000004</v>
          </cell>
        </row>
        <row r="385">
          <cell r="CA385" t="str">
            <v>AKJA</v>
          </cell>
          <cell r="CB385" t="str">
            <v>Select</v>
          </cell>
          <cell r="CC385">
            <v>20</v>
          </cell>
          <cell r="CD385">
            <v>30</v>
          </cell>
          <cell r="CE385" t="str">
            <v>N/A</v>
          </cell>
          <cell r="CF385" t="str">
            <v>N/A</v>
          </cell>
          <cell r="CG385">
            <v>50</v>
          </cell>
          <cell r="CH385">
            <v>150</v>
          </cell>
          <cell r="CI385" t="str">
            <v>N/A</v>
          </cell>
          <cell r="CJ385" t="str">
            <v>N/A</v>
          </cell>
          <cell r="CK385">
            <v>1</v>
          </cell>
          <cell r="CL385" t="str">
            <v>$2,500 / $5,000</v>
          </cell>
          <cell r="CM385" t="str">
            <v>N/A</v>
          </cell>
          <cell r="CN385">
            <v>0</v>
          </cell>
          <cell r="CO385" t="str">
            <v>N/A</v>
          </cell>
          <cell r="CP385" t="str">
            <v>Emb</v>
          </cell>
          <cell r="CS385" t="str">
            <v>INS</v>
          </cell>
          <cell r="CT385" t="str">
            <v>Select</v>
          </cell>
          <cell r="CU385">
            <v>0.91320000000000001</v>
          </cell>
          <cell r="CW385" t="str">
            <v>S14&amp;15</v>
          </cell>
          <cell r="CX385">
            <v>0.72270000000000001</v>
          </cell>
        </row>
        <row r="386">
          <cell r="CA386" t="str">
            <v>AKJK</v>
          </cell>
          <cell r="CB386" t="str">
            <v>Select</v>
          </cell>
          <cell r="CC386">
            <v>20</v>
          </cell>
          <cell r="CD386">
            <v>40</v>
          </cell>
          <cell r="CE386" t="str">
            <v>N/A</v>
          </cell>
          <cell r="CF386" t="str">
            <v>N/A</v>
          </cell>
          <cell r="CG386">
            <v>125</v>
          </cell>
          <cell r="CH386">
            <v>250</v>
          </cell>
          <cell r="CI386" t="str">
            <v>N/A</v>
          </cell>
          <cell r="CJ386" t="str">
            <v>$1,000 / $2,000</v>
          </cell>
          <cell r="CK386">
            <v>0.9</v>
          </cell>
          <cell r="CL386" t="str">
            <v>$3,000 / $6,000</v>
          </cell>
          <cell r="CM386" t="str">
            <v>N/A</v>
          </cell>
          <cell r="CN386">
            <v>0</v>
          </cell>
          <cell r="CO386" t="str">
            <v>N/A</v>
          </cell>
          <cell r="CP386" t="str">
            <v>Emb</v>
          </cell>
          <cell r="CS386" t="str">
            <v>INS</v>
          </cell>
          <cell r="CT386" t="str">
            <v>Select</v>
          </cell>
          <cell r="CU386">
            <v>0.76400000000000001</v>
          </cell>
          <cell r="CW386" t="str">
            <v>S14&amp;15</v>
          </cell>
          <cell r="CX386">
            <v>0.64190000000000003</v>
          </cell>
        </row>
        <row r="387">
          <cell r="CA387" t="str">
            <v>AKJN</v>
          </cell>
          <cell r="CB387" t="str">
            <v>Select</v>
          </cell>
          <cell r="CC387">
            <v>25</v>
          </cell>
          <cell r="CD387">
            <v>35</v>
          </cell>
          <cell r="CE387" t="str">
            <v>N/A</v>
          </cell>
          <cell r="CF387" t="str">
            <v>N/A</v>
          </cell>
          <cell r="CG387">
            <v>125</v>
          </cell>
          <cell r="CH387">
            <v>250</v>
          </cell>
          <cell r="CI387" t="str">
            <v>N/A</v>
          </cell>
          <cell r="CJ387" t="str">
            <v>$1,000 / $2,000</v>
          </cell>
          <cell r="CK387">
            <v>0.8</v>
          </cell>
          <cell r="CL387" t="str">
            <v>$3,000 / $6,000</v>
          </cell>
          <cell r="CM387" t="str">
            <v>N/A</v>
          </cell>
          <cell r="CN387">
            <v>0</v>
          </cell>
          <cell r="CO387" t="str">
            <v>N/A</v>
          </cell>
          <cell r="CP387" t="str">
            <v>Emb</v>
          </cell>
          <cell r="CS387" t="str">
            <v>INS</v>
          </cell>
          <cell r="CT387" t="str">
            <v>Select</v>
          </cell>
          <cell r="CU387">
            <v>0.74729999999999996</v>
          </cell>
          <cell r="CW387" t="str">
            <v>S14&amp;15</v>
          </cell>
          <cell r="CX387">
            <v>0.64290000000000003</v>
          </cell>
        </row>
        <row r="388">
          <cell r="CA388" t="str">
            <v>AKJP</v>
          </cell>
          <cell r="CB388" t="str">
            <v>Select</v>
          </cell>
          <cell r="CC388">
            <v>30</v>
          </cell>
          <cell r="CD388">
            <v>50</v>
          </cell>
          <cell r="CE388" t="str">
            <v>N/A</v>
          </cell>
          <cell r="CF388" t="str">
            <v>N/A</v>
          </cell>
          <cell r="CG388">
            <v>125</v>
          </cell>
          <cell r="CH388">
            <v>250</v>
          </cell>
          <cell r="CI388" t="str">
            <v>N/A</v>
          </cell>
          <cell r="CJ388" t="str">
            <v>$1,000 / $2,000</v>
          </cell>
          <cell r="CK388">
            <v>0.8</v>
          </cell>
          <cell r="CL388" t="str">
            <v>$3,000 / $6,000</v>
          </cell>
          <cell r="CM388" t="str">
            <v>N/A</v>
          </cell>
          <cell r="CN388">
            <v>0</v>
          </cell>
          <cell r="CO388" t="str">
            <v>N/A</v>
          </cell>
          <cell r="CP388" t="str">
            <v>Emb</v>
          </cell>
          <cell r="CS388" t="str">
            <v>INS</v>
          </cell>
          <cell r="CT388" t="str">
            <v>Select</v>
          </cell>
          <cell r="CU388">
            <v>0.73629999999999995</v>
          </cell>
          <cell r="CW388" t="str">
            <v>S14&amp;15</v>
          </cell>
          <cell r="CX388">
            <v>0.63070000000000004</v>
          </cell>
        </row>
        <row r="389">
          <cell r="CA389" t="str">
            <v>AKJS</v>
          </cell>
          <cell r="CB389" t="str">
            <v>Select</v>
          </cell>
          <cell r="CC389">
            <v>25</v>
          </cell>
          <cell r="CD389">
            <v>40</v>
          </cell>
          <cell r="CE389" t="str">
            <v>N/A</v>
          </cell>
          <cell r="CF389" t="str">
            <v>N/A</v>
          </cell>
          <cell r="CG389">
            <v>125</v>
          </cell>
          <cell r="CH389">
            <v>250</v>
          </cell>
          <cell r="CI389" t="str">
            <v>N/A</v>
          </cell>
          <cell r="CJ389" t="str">
            <v>$2,000 / $4,000</v>
          </cell>
          <cell r="CK389">
            <v>0.8</v>
          </cell>
          <cell r="CL389" t="str">
            <v>$5,000 / $10,000</v>
          </cell>
          <cell r="CM389" t="str">
            <v>N/A</v>
          </cell>
          <cell r="CN389">
            <v>0</v>
          </cell>
          <cell r="CO389" t="str">
            <v>N/A</v>
          </cell>
          <cell r="CP389" t="str">
            <v>Emb</v>
          </cell>
          <cell r="CS389" t="str">
            <v>INS</v>
          </cell>
          <cell r="CT389" t="str">
            <v>Select</v>
          </cell>
          <cell r="CU389">
            <v>0.67710000000000004</v>
          </cell>
          <cell r="CW389" t="str">
            <v>S14&amp;15</v>
          </cell>
          <cell r="CX389">
            <v>0.60170000000000001</v>
          </cell>
        </row>
        <row r="390">
          <cell r="CA390" t="str">
            <v>AKJT</v>
          </cell>
          <cell r="CB390" t="str">
            <v>Select</v>
          </cell>
          <cell r="CC390">
            <v>20</v>
          </cell>
          <cell r="CD390">
            <v>40</v>
          </cell>
          <cell r="CE390" t="str">
            <v>N/A</v>
          </cell>
          <cell r="CF390" t="str">
            <v>N/A</v>
          </cell>
          <cell r="CG390">
            <v>125</v>
          </cell>
          <cell r="CH390">
            <v>250</v>
          </cell>
          <cell r="CI390" t="str">
            <v>N/A</v>
          </cell>
          <cell r="CJ390" t="str">
            <v>$2,500 / $5,000</v>
          </cell>
          <cell r="CK390">
            <v>0.8</v>
          </cell>
          <cell r="CL390" t="str">
            <v>$5,000 / $10,000</v>
          </cell>
          <cell r="CM390" t="str">
            <v>N/A</v>
          </cell>
          <cell r="CN390">
            <v>0</v>
          </cell>
          <cell r="CO390" t="str">
            <v>N/A</v>
          </cell>
          <cell r="CP390" t="str">
            <v>Emb</v>
          </cell>
          <cell r="CS390" t="str">
            <v>INS</v>
          </cell>
          <cell r="CT390" t="str">
            <v>Select</v>
          </cell>
          <cell r="CU390">
            <v>0.67030000000000001</v>
          </cell>
          <cell r="CW390" t="str">
            <v>S14&amp;15</v>
          </cell>
          <cell r="CX390">
            <v>0.59850000000000003</v>
          </cell>
        </row>
        <row r="391">
          <cell r="CA391" t="str">
            <v>AKJU</v>
          </cell>
          <cell r="CB391" t="str">
            <v>Select</v>
          </cell>
          <cell r="CC391">
            <v>25</v>
          </cell>
          <cell r="CD391">
            <v>50</v>
          </cell>
          <cell r="CE391" t="str">
            <v>N/A</v>
          </cell>
          <cell r="CF391" t="str">
            <v>N/A</v>
          </cell>
          <cell r="CG391">
            <v>125</v>
          </cell>
          <cell r="CH391">
            <v>250</v>
          </cell>
          <cell r="CI391" t="str">
            <v>N/A</v>
          </cell>
          <cell r="CJ391" t="str">
            <v>$3,000 / $6,000</v>
          </cell>
          <cell r="CK391">
            <v>0.7</v>
          </cell>
          <cell r="CL391" t="str">
            <v>$5,000 / $10,000</v>
          </cell>
          <cell r="CM391" t="str">
            <v>N/A</v>
          </cell>
          <cell r="CN391">
            <v>0</v>
          </cell>
          <cell r="CO391" t="str">
            <v>N/A</v>
          </cell>
          <cell r="CP391" t="str">
            <v>Emb</v>
          </cell>
          <cell r="CS391" t="str">
            <v>INS</v>
          </cell>
          <cell r="CT391" t="str">
            <v>Select</v>
          </cell>
          <cell r="CU391">
            <v>0.65349999999999997</v>
          </cell>
          <cell r="CW391" t="str">
            <v>S14&amp;15</v>
          </cell>
          <cell r="CX391">
            <v>0.58740000000000003</v>
          </cell>
        </row>
        <row r="392">
          <cell r="CA392" t="str">
            <v>AKL3</v>
          </cell>
          <cell r="CB392" t="str">
            <v>Select</v>
          </cell>
          <cell r="CC392">
            <v>10</v>
          </cell>
          <cell r="CD392">
            <v>10</v>
          </cell>
          <cell r="CE392" t="str">
            <v>N/A</v>
          </cell>
          <cell r="CF392" t="str">
            <v>$100 POD</v>
          </cell>
          <cell r="CG392">
            <v>10</v>
          </cell>
          <cell r="CH392" t="str">
            <v>$100 POD</v>
          </cell>
          <cell r="CI392" t="str">
            <v>N/A</v>
          </cell>
          <cell r="CJ392" t="str">
            <v>$1,000 / $2,000</v>
          </cell>
          <cell r="CK392">
            <v>0.9</v>
          </cell>
          <cell r="CL392" t="str">
            <v>$3,500 / $7,000</v>
          </cell>
          <cell r="CM392" t="str">
            <v>N/A</v>
          </cell>
          <cell r="CN392">
            <v>0</v>
          </cell>
          <cell r="CO392" t="str">
            <v>N/A</v>
          </cell>
          <cell r="CP392" t="str">
            <v>Emb</v>
          </cell>
          <cell r="CS392" t="str">
            <v>INS</v>
          </cell>
          <cell r="CT392" t="str">
            <v>Select</v>
          </cell>
          <cell r="CU392">
            <v>0.76359999999999995</v>
          </cell>
          <cell r="CW392" t="str">
            <v>S14&amp;15</v>
          </cell>
          <cell r="CX392">
            <v>0.67649999999999999</v>
          </cell>
        </row>
        <row r="393">
          <cell r="CA393" t="str">
            <v>AKL4</v>
          </cell>
          <cell r="CB393" t="str">
            <v>Select</v>
          </cell>
          <cell r="CC393">
            <v>35</v>
          </cell>
          <cell r="CD393">
            <v>35</v>
          </cell>
          <cell r="CE393" t="str">
            <v>N/A</v>
          </cell>
          <cell r="CF393" t="str">
            <v>$100 POD</v>
          </cell>
          <cell r="CG393">
            <v>35</v>
          </cell>
          <cell r="CH393" t="str">
            <v>$100 POD</v>
          </cell>
          <cell r="CI393" t="str">
            <v>N/A</v>
          </cell>
          <cell r="CJ393" t="str">
            <v>$1,000 / $2,000</v>
          </cell>
          <cell r="CK393">
            <v>0.8</v>
          </cell>
          <cell r="CL393" t="str">
            <v>$5,000 / $10,000</v>
          </cell>
          <cell r="CM393" t="str">
            <v>N/A</v>
          </cell>
          <cell r="CN393">
            <v>0</v>
          </cell>
          <cell r="CO393" t="str">
            <v>N/A</v>
          </cell>
          <cell r="CP393" t="str">
            <v>Emb</v>
          </cell>
          <cell r="CS393" t="str">
            <v>INS</v>
          </cell>
          <cell r="CT393" t="str">
            <v>Select</v>
          </cell>
          <cell r="CU393">
            <v>0.68189999999999995</v>
          </cell>
          <cell r="CW393" t="str">
            <v>S14&amp;15</v>
          </cell>
          <cell r="CX393">
            <v>0.62290000000000001</v>
          </cell>
        </row>
        <row r="394">
          <cell r="CA394" t="str">
            <v>AKL6</v>
          </cell>
          <cell r="CB394" t="str">
            <v>Select</v>
          </cell>
          <cell r="CC394">
            <v>15</v>
          </cell>
          <cell r="CD394">
            <v>15</v>
          </cell>
          <cell r="CE394" t="str">
            <v>N/A</v>
          </cell>
          <cell r="CF394" t="str">
            <v>$100 POD</v>
          </cell>
          <cell r="CG394">
            <v>15</v>
          </cell>
          <cell r="CH394" t="str">
            <v>$300 POD</v>
          </cell>
          <cell r="CI394" t="str">
            <v>N/A</v>
          </cell>
          <cell r="CJ394" t="str">
            <v>$1,500 / $3,000</v>
          </cell>
          <cell r="CK394">
            <v>0.8</v>
          </cell>
          <cell r="CL394" t="str">
            <v>$4,500 / $9,000</v>
          </cell>
          <cell r="CM394" t="str">
            <v>N/A</v>
          </cell>
          <cell r="CN394">
            <v>0</v>
          </cell>
          <cell r="CO394" t="str">
            <v>N/A</v>
          </cell>
          <cell r="CP394" t="str">
            <v>Emb</v>
          </cell>
          <cell r="CS394" t="str">
            <v>INS</v>
          </cell>
          <cell r="CT394" t="str">
            <v>Select</v>
          </cell>
          <cell r="CU394">
            <v>0.68710000000000004</v>
          </cell>
          <cell r="CW394" t="str">
            <v>S14&amp;15</v>
          </cell>
          <cell r="CX394">
            <v>0.63839999999999997</v>
          </cell>
        </row>
        <row r="395">
          <cell r="CA395" t="str">
            <v>AKL7</v>
          </cell>
          <cell r="CB395" t="str">
            <v>Select</v>
          </cell>
          <cell r="CC395">
            <v>20</v>
          </cell>
          <cell r="CD395">
            <v>20</v>
          </cell>
          <cell r="CE395" t="str">
            <v>N/A</v>
          </cell>
          <cell r="CF395" t="str">
            <v>$100 POD</v>
          </cell>
          <cell r="CG395">
            <v>20</v>
          </cell>
          <cell r="CH395" t="str">
            <v>$100 POD</v>
          </cell>
          <cell r="CI395" t="str">
            <v>N/A</v>
          </cell>
          <cell r="CJ395" t="str">
            <v>$2,000 / $4,000</v>
          </cell>
          <cell r="CK395">
            <v>0.8</v>
          </cell>
          <cell r="CL395" t="str">
            <v>$5,500 / $11,000</v>
          </cell>
          <cell r="CM395" t="str">
            <v>N/A</v>
          </cell>
          <cell r="CN395">
            <v>0</v>
          </cell>
          <cell r="CO395" t="str">
            <v>N/A</v>
          </cell>
          <cell r="CP395" t="str">
            <v>Emb</v>
          </cell>
          <cell r="CS395" t="str">
            <v>INS</v>
          </cell>
          <cell r="CT395" t="str">
            <v>Select</v>
          </cell>
          <cell r="CU395">
            <v>0.65349999999999997</v>
          </cell>
          <cell r="CW395" t="str">
            <v>S14&amp;15</v>
          </cell>
          <cell r="CX395">
            <v>0.62060000000000004</v>
          </cell>
        </row>
        <row r="396">
          <cell r="CA396" t="str">
            <v>AKL8</v>
          </cell>
          <cell r="CB396" t="str">
            <v>Select</v>
          </cell>
          <cell r="CC396">
            <v>25</v>
          </cell>
          <cell r="CD396">
            <v>25</v>
          </cell>
          <cell r="CE396" t="str">
            <v>N/A</v>
          </cell>
          <cell r="CF396" t="str">
            <v>$100 POD</v>
          </cell>
          <cell r="CG396">
            <v>25</v>
          </cell>
          <cell r="CH396" t="str">
            <v>$100 POD</v>
          </cell>
          <cell r="CI396" t="str">
            <v>N/A</v>
          </cell>
          <cell r="CJ396" t="str">
            <v>$2,500 / $5,000</v>
          </cell>
          <cell r="CK396">
            <v>0.8</v>
          </cell>
          <cell r="CL396" t="str">
            <v>$6,350 / $12,700</v>
          </cell>
          <cell r="CM396" t="str">
            <v>N/A</v>
          </cell>
          <cell r="CN396">
            <v>0</v>
          </cell>
          <cell r="CO396" t="str">
            <v>N/A</v>
          </cell>
          <cell r="CP396" t="str">
            <v>Emb</v>
          </cell>
          <cell r="CS396" t="str">
            <v>INS</v>
          </cell>
          <cell r="CT396" t="str">
            <v>Select</v>
          </cell>
          <cell r="CU396">
            <v>0.62119999999999997</v>
          </cell>
          <cell r="CW396" t="str">
            <v>S14&amp;15</v>
          </cell>
          <cell r="CX396">
            <v>0.60319999999999996</v>
          </cell>
        </row>
        <row r="397">
          <cell r="CA397" t="str">
            <v>AKL9</v>
          </cell>
          <cell r="CB397" t="str">
            <v>Select</v>
          </cell>
          <cell r="CC397">
            <v>30</v>
          </cell>
          <cell r="CD397">
            <v>30</v>
          </cell>
          <cell r="CE397" t="str">
            <v>N/A</v>
          </cell>
          <cell r="CF397" t="str">
            <v>$100 POD</v>
          </cell>
          <cell r="CG397">
            <v>30</v>
          </cell>
          <cell r="CH397" t="str">
            <v>$100 POD</v>
          </cell>
          <cell r="CI397" t="str">
            <v>N/A</v>
          </cell>
          <cell r="CJ397" t="str">
            <v>$3,000 / $6,000</v>
          </cell>
          <cell r="CK397">
            <v>0.8</v>
          </cell>
          <cell r="CL397" t="str">
            <v>$6,350 / $12,700</v>
          </cell>
          <cell r="CM397" t="str">
            <v>N/A</v>
          </cell>
          <cell r="CN397">
            <v>0</v>
          </cell>
          <cell r="CO397" t="str">
            <v>N/A</v>
          </cell>
          <cell r="CP397" t="str">
            <v>Emb</v>
          </cell>
          <cell r="CS397" t="str">
            <v>INS</v>
          </cell>
          <cell r="CT397" t="str">
            <v>Select</v>
          </cell>
          <cell r="CU397">
            <v>0.6028</v>
          </cell>
          <cell r="CW397" t="str">
            <v>S14&amp;15</v>
          </cell>
          <cell r="CX397">
            <v>0.59050000000000002</v>
          </cell>
        </row>
        <row r="398">
          <cell r="CA398" t="str">
            <v>AKMA</v>
          </cell>
          <cell r="CB398" t="str">
            <v>Select</v>
          </cell>
          <cell r="CC398">
            <v>35</v>
          </cell>
          <cell r="CD398">
            <v>35</v>
          </cell>
          <cell r="CE398" t="str">
            <v>N/A</v>
          </cell>
          <cell r="CF398" t="str">
            <v>$100 POD</v>
          </cell>
          <cell r="CG398">
            <v>35</v>
          </cell>
          <cell r="CH398" t="str">
            <v>$100 POD</v>
          </cell>
          <cell r="CI398" t="str">
            <v>N/A</v>
          </cell>
          <cell r="CJ398" t="str">
            <v>$3,500 / $7,000</v>
          </cell>
          <cell r="CK398">
            <v>0.8</v>
          </cell>
          <cell r="CL398" t="str">
            <v>$6,350 / $12,700</v>
          </cell>
          <cell r="CM398" t="str">
            <v>N/A</v>
          </cell>
          <cell r="CN398">
            <v>0</v>
          </cell>
          <cell r="CO398" t="str">
            <v>N/A</v>
          </cell>
          <cell r="CP398" t="str">
            <v>Emb</v>
          </cell>
          <cell r="CS398" t="str">
            <v>INS</v>
          </cell>
          <cell r="CT398" t="str">
            <v>Select</v>
          </cell>
          <cell r="CU398">
            <v>0.58599999999999997</v>
          </cell>
          <cell r="CW398" t="str">
            <v>S14&amp;15</v>
          </cell>
          <cell r="CX398">
            <v>0.57940000000000003</v>
          </cell>
        </row>
        <row r="399">
          <cell r="CA399" t="str">
            <v>AKMB</v>
          </cell>
          <cell r="CB399" t="str">
            <v>Select</v>
          </cell>
          <cell r="CC399">
            <v>40</v>
          </cell>
          <cell r="CD399">
            <v>40</v>
          </cell>
          <cell r="CE399" t="str">
            <v>N/A</v>
          </cell>
          <cell r="CF399" t="str">
            <v>$100 POD</v>
          </cell>
          <cell r="CG399">
            <v>40</v>
          </cell>
          <cell r="CH399" t="str">
            <v>$100 POD</v>
          </cell>
          <cell r="CI399" t="str">
            <v>N/A</v>
          </cell>
          <cell r="CJ399" t="str">
            <v>$4,000 / $8,000</v>
          </cell>
          <cell r="CK399">
            <v>0.8</v>
          </cell>
          <cell r="CL399" t="str">
            <v>$6,350 / $12,700</v>
          </cell>
          <cell r="CM399" t="str">
            <v>N/A</v>
          </cell>
          <cell r="CN399">
            <v>0</v>
          </cell>
          <cell r="CO399" t="str">
            <v>N/A</v>
          </cell>
          <cell r="CP399" t="str">
            <v>Emb</v>
          </cell>
          <cell r="CS399" t="str">
            <v>INS</v>
          </cell>
          <cell r="CT399" t="str">
            <v>Select</v>
          </cell>
          <cell r="CU399">
            <v>0.57250000000000001</v>
          </cell>
          <cell r="CW399" t="str">
            <v>S14&amp;15</v>
          </cell>
          <cell r="CX399">
            <v>0.5696</v>
          </cell>
        </row>
        <row r="400">
          <cell r="CA400" t="str">
            <v>AKMC</v>
          </cell>
          <cell r="CB400" t="str">
            <v>Select</v>
          </cell>
          <cell r="CC400" t="str">
            <v>N/A</v>
          </cell>
          <cell r="CD400" t="str">
            <v>N/A</v>
          </cell>
          <cell r="CE400" t="str">
            <v>N/A</v>
          </cell>
          <cell r="CF400" t="str">
            <v>$100 POD</v>
          </cell>
          <cell r="CG400" t="str">
            <v>N/A</v>
          </cell>
          <cell r="CH400" t="str">
            <v>$100 POD</v>
          </cell>
          <cell r="CI400" t="str">
            <v>N/A</v>
          </cell>
          <cell r="CJ400" t="str">
            <v>$5,500 / $11,000</v>
          </cell>
          <cell r="CK400">
            <v>0.8</v>
          </cell>
          <cell r="CL400" t="str">
            <v>$6,350 / $12,700</v>
          </cell>
          <cell r="CM400" t="str">
            <v>N/A</v>
          </cell>
          <cell r="CN400">
            <v>0</v>
          </cell>
          <cell r="CO400" t="str">
            <v>N/A</v>
          </cell>
          <cell r="CP400" t="str">
            <v>Emb</v>
          </cell>
          <cell r="CS400" t="str">
            <v>INS</v>
          </cell>
          <cell r="CT400" t="str">
            <v>Select</v>
          </cell>
          <cell r="CU400">
            <v>0.49669999999999997</v>
          </cell>
          <cell r="CW400" t="str">
            <v>S14&amp;15</v>
          </cell>
          <cell r="CX400">
            <v>0.49399999999999999</v>
          </cell>
        </row>
        <row r="401">
          <cell r="CA401" t="str">
            <v>AKMR</v>
          </cell>
          <cell r="CB401" t="str">
            <v>Select</v>
          </cell>
          <cell r="CC401">
            <v>15</v>
          </cell>
          <cell r="CD401">
            <v>15</v>
          </cell>
          <cell r="CE401" t="str">
            <v>N/A</v>
          </cell>
          <cell r="CF401" t="str">
            <v>$100 POD</v>
          </cell>
          <cell r="CG401">
            <v>15</v>
          </cell>
          <cell r="CH401" t="str">
            <v>$100 POD</v>
          </cell>
          <cell r="CI401" t="str">
            <v>N/A</v>
          </cell>
          <cell r="CJ401" t="str">
            <v>$500 / $1,000</v>
          </cell>
          <cell r="CK401">
            <v>0.9</v>
          </cell>
          <cell r="CL401" t="str">
            <v>$2,500 / $5,000</v>
          </cell>
          <cell r="CM401" t="str">
            <v>N/A</v>
          </cell>
          <cell r="CN401">
            <v>0</v>
          </cell>
          <cell r="CO401" t="str">
            <v>N/A</v>
          </cell>
          <cell r="CP401" t="str">
            <v>Emb</v>
          </cell>
          <cell r="CS401" t="str">
            <v>INS</v>
          </cell>
          <cell r="CT401" t="str">
            <v>Select</v>
          </cell>
          <cell r="CU401">
            <v>0.81399999999999995</v>
          </cell>
          <cell r="CW401" t="str">
            <v>S14&amp;15</v>
          </cell>
          <cell r="CX401">
            <v>0.69069999999999998</v>
          </cell>
        </row>
        <row r="402">
          <cell r="CA402" t="str">
            <v>AKMS</v>
          </cell>
          <cell r="CB402" t="str">
            <v>Select</v>
          </cell>
          <cell r="CC402">
            <v>20</v>
          </cell>
          <cell r="CD402">
            <v>20</v>
          </cell>
          <cell r="CE402" t="str">
            <v>N/A</v>
          </cell>
          <cell r="CF402" t="str">
            <v>$100 POD</v>
          </cell>
          <cell r="CG402">
            <v>20</v>
          </cell>
          <cell r="CH402" t="str">
            <v>$100 POD</v>
          </cell>
          <cell r="CI402" t="str">
            <v>N/A</v>
          </cell>
          <cell r="CJ402" t="str">
            <v>$500 / $1,000</v>
          </cell>
          <cell r="CK402">
            <v>0.8</v>
          </cell>
          <cell r="CL402" t="str">
            <v>$2,500 / $5,000</v>
          </cell>
          <cell r="CM402" t="str">
            <v>N/A</v>
          </cell>
          <cell r="CN402">
            <v>0</v>
          </cell>
          <cell r="CO402" t="str">
            <v>N/A</v>
          </cell>
          <cell r="CP402" t="str">
            <v>Emb</v>
          </cell>
          <cell r="CS402" t="str">
            <v>INS</v>
          </cell>
          <cell r="CT402" t="str">
            <v>Select</v>
          </cell>
          <cell r="CU402">
            <v>0.78169999999999995</v>
          </cell>
          <cell r="CW402" t="str">
            <v>S14&amp;15</v>
          </cell>
          <cell r="CX402">
            <v>0.67249999999999999</v>
          </cell>
        </row>
        <row r="403">
          <cell r="CA403" t="str">
            <v>AKMV</v>
          </cell>
          <cell r="CB403" t="str">
            <v>Select</v>
          </cell>
          <cell r="CC403">
            <v>25</v>
          </cell>
          <cell r="CD403">
            <v>25</v>
          </cell>
          <cell r="CE403" t="str">
            <v>N/A</v>
          </cell>
          <cell r="CF403" t="str">
            <v>$100 POD</v>
          </cell>
          <cell r="CG403">
            <v>25</v>
          </cell>
          <cell r="CH403" t="str">
            <v>$100 POD</v>
          </cell>
          <cell r="CI403" t="str">
            <v>N/A</v>
          </cell>
          <cell r="CJ403" t="str">
            <v>$750 / $1,500</v>
          </cell>
          <cell r="CK403">
            <v>0.8</v>
          </cell>
          <cell r="CL403" t="str">
            <v>$4,700 / $9,500</v>
          </cell>
          <cell r="CM403" t="str">
            <v>N/A</v>
          </cell>
          <cell r="CN403">
            <v>0</v>
          </cell>
          <cell r="CO403" t="str">
            <v>N/A</v>
          </cell>
          <cell r="CP403" t="str">
            <v>Emb</v>
          </cell>
          <cell r="CS403" t="str">
            <v>INS</v>
          </cell>
          <cell r="CT403" t="str">
            <v>Select</v>
          </cell>
          <cell r="CU403">
            <v>0.70909999999999995</v>
          </cell>
          <cell r="CW403" t="str">
            <v>S14&amp;15</v>
          </cell>
          <cell r="CX403">
            <v>0.63839999999999997</v>
          </cell>
        </row>
        <row r="404">
          <cell r="CA404" t="str">
            <v>PV2</v>
          </cell>
          <cell r="CB404" t="str">
            <v>Select</v>
          </cell>
          <cell r="CC404">
            <v>25</v>
          </cell>
          <cell r="CD404">
            <v>25</v>
          </cell>
          <cell r="CE404" t="str">
            <v>N/A</v>
          </cell>
          <cell r="CF404" t="str">
            <v>N/A</v>
          </cell>
          <cell r="CG404">
            <v>125</v>
          </cell>
          <cell r="CH404">
            <v>250</v>
          </cell>
          <cell r="CI404" t="str">
            <v>N/A</v>
          </cell>
          <cell r="CJ404" t="str">
            <v>$1,000 / $2,000</v>
          </cell>
          <cell r="CK404">
            <v>0.7</v>
          </cell>
          <cell r="CL404" t="str">
            <v>$4,000 / $8,000</v>
          </cell>
          <cell r="CM404" t="str">
            <v>N/A</v>
          </cell>
          <cell r="CN404">
            <v>0</v>
          </cell>
          <cell r="CO404" t="str">
            <v>N/A</v>
          </cell>
          <cell r="CP404" t="str">
            <v>Emb</v>
          </cell>
          <cell r="CS404" t="str">
            <v>INS</v>
          </cell>
          <cell r="CT404" t="str">
            <v>Select</v>
          </cell>
          <cell r="CU404">
            <v>0.71360000000000001</v>
          </cell>
          <cell r="CW404" t="str">
            <v>S14&amp;15</v>
          </cell>
          <cell r="CX404">
            <v>0.63619999999999999</v>
          </cell>
        </row>
        <row r="405">
          <cell r="CA405" t="str">
            <v>PV3</v>
          </cell>
          <cell r="CB405" t="str">
            <v>Select</v>
          </cell>
          <cell r="CC405">
            <v>30</v>
          </cell>
          <cell r="CD405">
            <v>30</v>
          </cell>
          <cell r="CE405" t="str">
            <v>N/A</v>
          </cell>
          <cell r="CF405" t="str">
            <v>N/A</v>
          </cell>
          <cell r="CG405">
            <v>125</v>
          </cell>
          <cell r="CH405">
            <v>250</v>
          </cell>
          <cell r="CI405" t="str">
            <v>N/A</v>
          </cell>
          <cell r="CJ405" t="str">
            <v>$1,500 / $3,000</v>
          </cell>
          <cell r="CK405">
            <v>0.8</v>
          </cell>
          <cell r="CL405" t="str">
            <v>$4,000 / $8,000</v>
          </cell>
          <cell r="CM405" t="str">
            <v>N/A</v>
          </cell>
          <cell r="CN405">
            <v>0</v>
          </cell>
          <cell r="CO405" t="str">
            <v>N/A</v>
          </cell>
          <cell r="CP405" t="str">
            <v>Emb</v>
          </cell>
          <cell r="CS405" t="str">
            <v>INS</v>
          </cell>
          <cell r="CT405" t="str">
            <v>Select</v>
          </cell>
          <cell r="CU405">
            <v>0.70679999999999998</v>
          </cell>
          <cell r="CW405" t="str">
            <v>S14&amp;15</v>
          </cell>
          <cell r="CX405">
            <v>0.62260000000000004</v>
          </cell>
        </row>
        <row r="406">
          <cell r="CA406" t="str">
            <v>PVI</v>
          </cell>
          <cell r="CB406" t="str">
            <v>Select</v>
          </cell>
          <cell r="CC406">
            <v>15</v>
          </cell>
          <cell r="CD406">
            <v>15</v>
          </cell>
          <cell r="CE406" t="str">
            <v>N/A</v>
          </cell>
          <cell r="CF406">
            <v>250</v>
          </cell>
          <cell r="CG406">
            <v>35</v>
          </cell>
          <cell r="CH406">
            <v>75</v>
          </cell>
          <cell r="CI406" t="str">
            <v>N/A</v>
          </cell>
          <cell r="CJ406" t="str">
            <v>N/A</v>
          </cell>
          <cell r="CK406">
            <v>1</v>
          </cell>
          <cell r="CL406" t="str">
            <v>$2,500 / $5,000</v>
          </cell>
          <cell r="CM406" t="str">
            <v>N/A</v>
          </cell>
          <cell r="CN406">
            <v>0</v>
          </cell>
          <cell r="CO406" t="str">
            <v>N/A</v>
          </cell>
          <cell r="CP406" t="str">
            <v>Emb</v>
          </cell>
          <cell r="CS406" t="str">
            <v>INS</v>
          </cell>
          <cell r="CT406" t="str">
            <v>Select</v>
          </cell>
          <cell r="CU406">
            <v>0.93110000000000004</v>
          </cell>
          <cell r="CW406" t="str">
            <v>S14&amp;15</v>
          </cell>
          <cell r="CX406">
            <v>0.73750000000000004</v>
          </cell>
        </row>
        <row r="407">
          <cell r="CA407" t="str">
            <v>PVK</v>
          </cell>
          <cell r="CB407" t="str">
            <v>Select</v>
          </cell>
          <cell r="CC407">
            <v>20</v>
          </cell>
          <cell r="CD407">
            <v>20</v>
          </cell>
          <cell r="CE407" t="str">
            <v>N/A</v>
          </cell>
          <cell r="CF407">
            <v>250</v>
          </cell>
          <cell r="CG407">
            <v>50</v>
          </cell>
          <cell r="CH407">
            <v>100</v>
          </cell>
          <cell r="CI407" t="str">
            <v>N/A</v>
          </cell>
          <cell r="CJ407" t="str">
            <v>N/A</v>
          </cell>
          <cell r="CK407">
            <v>1</v>
          </cell>
          <cell r="CL407" t="str">
            <v>$2,500 / $5,000</v>
          </cell>
          <cell r="CM407" t="str">
            <v>N/A</v>
          </cell>
          <cell r="CN407">
            <v>0</v>
          </cell>
          <cell r="CO407" t="str">
            <v>N/A</v>
          </cell>
          <cell r="CP407" t="str">
            <v>Emb</v>
          </cell>
          <cell r="CS407" t="str">
            <v>INS</v>
          </cell>
          <cell r="CT407" t="str">
            <v>Select</v>
          </cell>
          <cell r="CU407">
            <v>0.91979999999999995</v>
          </cell>
          <cell r="CW407" t="str">
            <v>S14&amp;15</v>
          </cell>
          <cell r="CX407">
            <v>0.7298</v>
          </cell>
        </row>
        <row r="408">
          <cell r="CA408" t="str">
            <v>PVM</v>
          </cell>
          <cell r="CB408" t="str">
            <v>Select</v>
          </cell>
          <cell r="CC408">
            <v>15</v>
          </cell>
          <cell r="CD408">
            <v>15</v>
          </cell>
          <cell r="CE408" t="str">
            <v>N/A</v>
          </cell>
          <cell r="CF408" t="str">
            <v>N/A</v>
          </cell>
          <cell r="CG408">
            <v>35</v>
          </cell>
          <cell r="CH408">
            <v>100</v>
          </cell>
          <cell r="CI408" t="str">
            <v>N/A</v>
          </cell>
          <cell r="CJ408" t="str">
            <v>$250 / $500</v>
          </cell>
          <cell r="CK408">
            <v>1</v>
          </cell>
          <cell r="CL408" t="str">
            <v>$250 / $500</v>
          </cell>
          <cell r="CM408" t="str">
            <v>N/A</v>
          </cell>
          <cell r="CN408">
            <v>0</v>
          </cell>
          <cell r="CO408" t="str">
            <v>N/A</v>
          </cell>
          <cell r="CP408" t="str">
            <v>Emb</v>
          </cell>
          <cell r="CS408" t="str">
            <v>INS</v>
          </cell>
          <cell r="CT408" t="str">
            <v>Select</v>
          </cell>
          <cell r="CU408">
            <v>0.99119999999999997</v>
          </cell>
          <cell r="CW408" t="str">
            <v>S14&amp;15</v>
          </cell>
          <cell r="CX408">
            <v>0.71430000000000005</v>
          </cell>
        </row>
        <row r="409">
          <cell r="CA409" t="str">
            <v>PVN</v>
          </cell>
          <cell r="CB409" t="str">
            <v>Select</v>
          </cell>
          <cell r="CC409">
            <v>10</v>
          </cell>
          <cell r="CD409">
            <v>10</v>
          </cell>
          <cell r="CE409" t="str">
            <v>N/A</v>
          </cell>
          <cell r="CF409" t="str">
            <v>N/A</v>
          </cell>
          <cell r="CG409">
            <v>35</v>
          </cell>
          <cell r="CH409">
            <v>100</v>
          </cell>
          <cell r="CI409" t="str">
            <v>N/A</v>
          </cell>
          <cell r="CJ409" t="str">
            <v>$250 / $500</v>
          </cell>
          <cell r="CK409">
            <v>0.9</v>
          </cell>
          <cell r="CL409" t="str">
            <v>$1,250 / $2,500</v>
          </cell>
          <cell r="CM409" t="str">
            <v>N/A</v>
          </cell>
          <cell r="CN409">
            <v>0</v>
          </cell>
          <cell r="CO409" t="str">
            <v>N/A</v>
          </cell>
          <cell r="CP409" t="str">
            <v>Emb</v>
          </cell>
          <cell r="CS409" t="str">
            <v>INS</v>
          </cell>
          <cell r="CT409" t="str">
            <v>Select</v>
          </cell>
          <cell r="CU409">
            <v>0.89529999999999998</v>
          </cell>
          <cell r="CW409" t="str">
            <v>S14&amp;15</v>
          </cell>
          <cell r="CX409">
            <v>0.71709999999999996</v>
          </cell>
        </row>
        <row r="410">
          <cell r="CA410" t="str">
            <v>PVO</v>
          </cell>
          <cell r="CB410" t="str">
            <v>Select</v>
          </cell>
          <cell r="CC410">
            <v>15</v>
          </cell>
          <cell r="CD410">
            <v>15</v>
          </cell>
          <cell r="CE410" t="str">
            <v>N/A</v>
          </cell>
          <cell r="CF410" t="str">
            <v>N/A</v>
          </cell>
          <cell r="CG410">
            <v>50</v>
          </cell>
          <cell r="CH410">
            <v>100</v>
          </cell>
          <cell r="CI410" t="str">
            <v>N/A</v>
          </cell>
          <cell r="CJ410" t="str">
            <v>$250 / $500</v>
          </cell>
          <cell r="CK410">
            <v>0.9</v>
          </cell>
          <cell r="CL410" t="str">
            <v>$2,250 / $4,500</v>
          </cell>
          <cell r="CM410" t="str">
            <v>N/A</v>
          </cell>
          <cell r="CN410">
            <v>0</v>
          </cell>
          <cell r="CO410" t="str">
            <v>N/A</v>
          </cell>
          <cell r="CP410" t="str">
            <v>Emb</v>
          </cell>
          <cell r="CS410" t="str">
            <v>INS</v>
          </cell>
          <cell r="CT410" t="str">
            <v>Select</v>
          </cell>
          <cell r="CU410">
            <v>0.85519999999999996</v>
          </cell>
          <cell r="CW410" t="str">
            <v>S14&amp;15</v>
          </cell>
          <cell r="CX410">
            <v>0.70099999999999996</v>
          </cell>
        </row>
        <row r="411">
          <cell r="CA411" t="str">
            <v>PVP</v>
          </cell>
          <cell r="CB411" t="str">
            <v>Select</v>
          </cell>
          <cell r="CC411">
            <v>20</v>
          </cell>
          <cell r="CD411">
            <v>20</v>
          </cell>
          <cell r="CE411" t="str">
            <v>N/A</v>
          </cell>
          <cell r="CF411" t="str">
            <v>$250 POD</v>
          </cell>
          <cell r="CG411">
            <v>125</v>
          </cell>
          <cell r="CH411">
            <v>250</v>
          </cell>
          <cell r="CI411" t="str">
            <v>N/A</v>
          </cell>
          <cell r="CJ411" t="str">
            <v>$250 / $500</v>
          </cell>
          <cell r="CK411">
            <v>0.9</v>
          </cell>
          <cell r="CL411" t="str">
            <v>$2,500 / $5,000</v>
          </cell>
          <cell r="CM411" t="str">
            <v>N/A</v>
          </cell>
          <cell r="CN411">
            <v>0</v>
          </cell>
          <cell r="CO411" t="str">
            <v>N/A</v>
          </cell>
          <cell r="CP411" t="str">
            <v>Emb</v>
          </cell>
          <cell r="CS411" t="str">
            <v>INS</v>
          </cell>
          <cell r="CT411" t="str">
            <v>Select</v>
          </cell>
          <cell r="CU411">
            <v>0.83130000000000004</v>
          </cell>
          <cell r="CW411" t="str">
            <v>S14&amp;15</v>
          </cell>
          <cell r="CX411">
            <v>0.68910000000000005</v>
          </cell>
        </row>
        <row r="412">
          <cell r="CA412" t="str">
            <v>PVQ</v>
          </cell>
          <cell r="CB412" t="str">
            <v>Select</v>
          </cell>
          <cell r="CC412">
            <v>20</v>
          </cell>
          <cell r="CD412">
            <v>20</v>
          </cell>
          <cell r="CE412" t="str">
            <v>N/A</v>
          </cell>
          <cell r="CF412" t="str">
            <v>N/A</v>
          </cell>
          <cell r="CG412">
            <v>50</v>
          </cell>
          <cell r="CH412">
            <v>100</v>
          </cell>
          <cell r="CI412" t="str">
            <v>N/A</v>
          </cell>
          <cell r="CJ412" t="str">
            <v>$500 / $1,000</v>
          </cell>
          <cell r="CK412">
            <v>0.8</v>
          </cell>
          <cell r="CL412" t="str">
            <v>$2,500 / $5,000</v>
          </cell>
          <cell r="CM412" t="str">
            <v>N/A</v>
          </cell>
          <cell r="CN412">
            <v>0</v>
          </cell>
          <cell r="CO412" t="str">
            <v>N/A</v>
          </cell>
          <cell r="CP412" t="str">
            <v>Emb</v>
          </cell>
          <cell r="CS412" t="str">
            <v>INS</v>
          </cell>
          <cell r="CT412" t="str">
            <v>Select</v>
          </cell>
          <cell r="CU412">
            <v>0.80459999999999998</v>
          </cell>
          <cell r="CW412" t="str">
            <v>S14&amp;15</v>
          </cell>
          <cell r="CX412">
            <v>0.6774</v>
          </cell>
        </row>
        <row r="413">
          <cell r="CA413" t="str">
            <v>PVR</v>
          </cell>
          <cell r="CB413" t="str">
            <v>Select</v>
          </cell>
          <cell r="CC413">
            <v>30</v>
          </cell>
          <cell r="CD413">
            <v>30</v>
          </cell>
          <cell r="CE413" t="str">
            <v>N/A</v>
          </cell>
          <cell r="CF413" t="str">
            <v>$500 POD</v>
          </cell>
          <cell r="CG413">
            <v>125</v>
          </cell>
          <cell r="CH413">
            <v>250</v>
          </cell>
          <cell r="CI413" t="str">
            <v>N/A</v>
          </cell>
          <cell r="CJ413" t="str">
            <v>$250 / $500</v>
          </cell>
          <cell r="CK413">
            <v>0.9</v>
          </cell>
          <cell r="CL413" t="str">
            <v>$3,500 / $7,000</v>
          </cell>
          <cell r="CM413" t="str">
            <v>N/A</v>
          </cell>
          <cell r="CN413">
            <v>0</v>
          </cell>
          <cell r="CO413" t="str">
            <v>N/A</v>
          </cell>
          <cell r="CP413" t="str">
            <v>Emb</v>
          </cell>
          <cell r="CS413" t="str">
            <v>INS</v>
          </cell>
          <cell r="CT413" t="str">
            <v>Select</v>
          </cell>
          <cell r="CU413">
            <v>0.80010000000000003</v>
          </cell>
          <cell r="CW413" t="str">
            <v>S14&amp;15</v>
          </cell>
          <cell r="CX413">
            <v>0.67200000000000004</v>
          </cell>
        </row>
        <row r="414">
          <cell r="CA414" t="str">
            <v>PVS</v>
          </cell>
          <cell r="CB414" t="str">
            <v>Select</v>
          </cell>
          <cell r="CC414">
            <v>30</v>
          </cell>
          <cell r="CD414">
            <v>30</v>
          </cell>
          <cell r="CE414" t="str">
            <v>N/A</v>
          </cell>
          <cell r="CF414" t="str">
            <v>$500 POD</v>
          </cell>
          <cell r="CG414">
            <v>125</v>
          </cell>
          <cell r="CH414">
            <v>250</v>
          </cell>
          <cell r="CI414" t="str">
            <v>N/A</v>
          </cell>
          <cell r="CJ414" t="str">
            <v>$500 / $1,000</v>
          </cell>
          <cell r="CK414">
            <v>0.8</v>
          </cell>
          <cell r="CL414" t="str">
            <v>$5,000 / $10,000</v>
          </cell>
          <cell r="CM414" t="str">
            <v>N/A</v>
          </cell>
          <cell r="CN414">
            <v>0</v>
          </cell>
          <cell r="CO414" t="str">
            <v>N/A</v>
          </cell>
          <cell r="CP414" t="str">
            <v>Emb</v>
          </cell>
          <cell r="CS414" t="str">
            <v>INS</v>
          </cell>
          <cell r="CT414" t="str">
            <v>Select</v>
          </cell>
          <cell r="CU414">
            <v>0.72589999999999999</v>
          </cell>
          <cell r="CW414" t="str">
            <v>S14&amp;15</v>
          </cell>
          <cell r="CX414">
            <v>0.64429999999999998</v>
          </cell>
        </row>
        <row r="415">
          <cell r="CA415" t="str">
            <v>PVT</v>
          </cell>
          <cell r="CB415" t="str">
            <v>Select</v>
          </cell>
          <cell r="CC415">
            <v>20</v>
          </cell>
          <cell r="CD415">
            <v>20</v>
          </cell>
          <cell r="CE415" t="str">
            <v>N/A</v>
          </cell>
          <cell r="CF415" t="str">
            <v>$250 POD</v>
          </cell>
          <cell r="CG415">
            <v>125</v>
          </cell>
          <cell r="CH415">
            <v>250</v>
          </cell>
          <cell r="CI415" t="str">
            <v>N/A</v>
          </cell>
          <cell r="CJ415" t="str">
            <v>$500 / $1,000</v>
          </cell>
          <cell r="CK415">
            <v>0.7</v>
          </cell>
          <cell r="CL415" t="str">
            <v>$4,500 / $9,000</v>
          </cell>
          <cell r="CM415" t="str">
            <v>N/A</v>
          </cell>
          <cell r="CN415">
            <v>0</v>
          </cell>
          <cell r="CO415" t="str">
            <v>N/A</v>
          </cell>
          <cell r="CP415" t="str">
            <v>Emb</v>
          </cell>
          <cell r="CS415" t="str">
            <v>INS</v>
          </cell>
          <cell r="CT415" t="str">
            <v>Select</v>
          </cell>
          <cell r="CU415">
            <v>0.72340000000000004</v>
          </cell>
          <cell r="CW415" t="str">
            <v>S14&amp;15</v>
          </cell>
          <cell r="CX415">
            <v>0.65110000000000001</v>
          </cell>
        </row>
        <row r="416">
          <cell r="CA416" t="str">
            <v>PVU</v>
          </cell>
          <cell r="CB416" t="str">
            <v>Select</v>
          </cell>
          <cell r="CC416">
            <v>25</v>
          </cell>
          <cell r="CD416">
            <v>25</v>
          </cell>
          <cell r="CE416" t="str">
            <v>N/A</v>
          </cell>
          <cell r="CF416" t="str">
            <v>N/A</v>
          </cell>
          <cell r="CG416">
            <v>125</v>
          </cell>
          <cell r="CH416">
            <v>250</v>
          </cell>
          <cell r="CI416" t="str">
            <v>N/A</v>
          </cell>
          <cell r="CJ416" t="str">
            <v>$1,000 / $2,000</v>
          </cell>
          <cell r="CK416">
            <v>0.9</v>
          </cell>
          <cell r="CL416" t="str">
            <v>$2,000 / $4,000</v>
          </cell>
          <cell r="CM416" t="str">
            <v>N/A</v>
          </cell>
          <cell r="CN416">
            <v>0</v>
          </cell>
          <cell r="CO416" t="str">
            <v>N/A</v>
          </cell>
          <cell r="CP416" t="str">
            <v>Emb</v>
          </cell>
          <cell r="CS416" t="str">
            <v>INS</v>
          </cell>
          <cell r="CT416" t="str">
            <v>Select</v>
          </cell>
          <cell r="CU416">
            <v>0.80330000000000001</v>
          </cell>
          <cell r="CW416" t="str">
            <v>S14&amp;15</v>
          </cell>
          <cell r="CX416">
            <v>0.66259999999999997</v>
          </cell>
        </row>
        <row r="417">
          <cell r="CA417" t="str">
            <v>PVW</v>
          </cell>
          <cell r="CB417" t="str">
            <v>Select</v>
          </cell>
          <cell r="CC417">
            <v>25</v>
          </cell>
          <cell r="CD417">
            <v>25</v>
          </cell>
          <cell r="CE417" t="str">
            <v>N/A</v>
          </cell>
          <cell r="CF417" t="str">
            <v>N/A</v>
          </cell>
          <cell r="CG417">
            <v>50</v>
          </cell>
          <cell r="CH417">
            <v>100</v>
          </cell>
          <cell r="CI417" t="str">
            <v>N/A</v>
          </cell>
          <cell r="CJ417" t="str">
            <v>$1,000 / $2,000</v>
          </cell>
          <cell r="CK417">
            <v>0.8</v>
          </cell>
          <cell r="CL417" t="str">
            <v>$3,000 / $6,000</v>
          </cell>
          <cell r="CM417" t="str">
            <v>N/A</v>
          </cell>
          <cell r="CN417">
            <v>0</v>
          </cell>
          <cell r="CO417" t="str">
            <v>N/A</v>
          </cell>
          <cell r="CP417" t="str">
            <v>Emb</v>
          </cell>
          <cell r="CS417" t="str">
            <v>INS</v>
          </cell>
          <cell r="CT417" t="str">
            <v>Select</v>
          </cell>
          <cell r="CU417">
            <v>0.76180000000000003</v>
          </cell>
          <cell r="CW417" t="str">
            <v>S14&amp;15</v>
          </cell>
          <cell r="CX417">
            <v>0.65259999999999996</v>
          </cell>
        </row>
        <row r="418">
          <cell r="CA418" t="str">
            <v>PVX</v>
          </cell>
          <cell r="CB418" t="str">
            <v>Select</v>
          </cell>
          <cell r="CC418">
            <v>35</v>
          </cell>
          <cell r="CD418">
            <v>35</v>
          </cell>
          <cell r="CE418" t="str">
            <v>N/A</v>
          </cell>
          <cell r="CF418" t="str">
            <v>N/A</v>
          </cell>
          <cell r="CG418">
            <v>125</v>
          </cell>
          <cell r="CH418">
            <v>250</v>
          </cell>
          <cell r="CI418" t="str">
            <v>N/A</v>
          </cell>
          <cell r="CJ418" t="str">
            <v>$750 / $1,500</v>
          </cell>
          <cell r="CK418">
            <v>0.8</v>
          </cell>
          <cell r="CL418" t="str">
            <v>$2,500 / $5,000</v>
          </cell>
          <cell r="CM418" t="str">
            <v>N/A</v>
          </cell>
          <cell r="CN418">
            <v>0</v>
          </cell>
          <cell r="CO418" t="str">
            <v>N/A</v>
          </cell>
          <cell r="CP418" t="str">
            <v>Emb</v>
          </cell>
          <cell r="CS418" t="str">
            <v>INS</v>
          </cell>
          <cell r="CT418" t="str">
            <v>Select</v>
          </cell>
          <cell r="CU418">
            <v>0.76770000000000005</v>
          </cell>
          <cell r="CW418" t="str">
            <v>S14&amp;15</v>
          </cell>
          <cell r="CX418">
            <v>0.65049999999999997</v>
          </cell>
        </row>
        <row r="419">
          <cell r="CA419" t="str">
            <v>PVZ</v>
          </cell>
          <cell r="CB419" t="str">
            <v>Select</v>
          </cell>
          <cell r="CC419">
            <v>30</v>
          </cell>
          <cell r="CD419">
            <v>30</v>
          </cell>
          <cell r="CE419" t="str">
            <v>N/A</v>
          </cell>
          <cell r="CF419" t="str">
            <v>N/A</v>
          </cell>
          <cell r="CG419">
            <v>50</v>
          </cell>
          <cell r="CH419">
            <v>150</v>
          </cell>
          <cell r="CI419" t="str">
            <v>N/A</v>
          </cell>
          <cell r="CJ419" t="str">
            <v>$1,000 / $2,000</v>
          </cell>
          <cell r="CK419">
            <v>0.8</v>
          </cell>
          <cell r="CL419" t="str">
            <v>$4,000 / $8,000</v>
          </cell>
          <cell r="CM419" t="str">
            <v>N/A</v>
          </cell>
          <cell r="CN419">
            <v>0</v>
          </cell>
          <cell r="CO419" t="str">
            <v>N/A</v>
          </cell>
          <cell r="CP419" t="str">
            <v>Emb</v>
          </cell>
          <cell r="CS419" t="str">
            <v>INS</v>
          </cell>
          <cell r="CT419" t="str">
            <v>Select</v>
          </cell>
          <cell r="CU419">
            <v>0.72599999999999998</v>
          </cell>
          <cell r="CW419" t="str">
            <v>S14&amp;15</v>
          </cell>
          <cell r="CX419">
            <v>0.63580000000000003</v>
          </cell>
        </row>
        <row r="420">
          <cell r="CA420" t="str">
            <v>PWH</v>
          </cell>
          <cell r="CB420" t="str">
            <v>Select HRA</v>
          </cell>
          <cell r="CC420" t="str">
            <v>N/A</v>
          </cell>
          <cell r="CD420" t="str">
            <v>N/A</v>
          </cell>
          <cell r="CE420" t="str">
            <v>N/A</v>
          </cell>
          <cell r="CF420" t="str">
            <v>N/A</v>
          </cell>
          <cell r="CG420" t="str">
            <v>N/A</v>
          </cell>
          <cell r="CH420" t="str">
            <v>N/A</v>
          </cell>
          <cell r="CI420" t="str">
            <v>N/A</v>
          </cell>
          <cell r="CJ420" t="str">
            <v>$1,500 / $3,000</v>
          </cell>
          <cell r="CK420">
            <v>0.9</v>
          </cell>
          <cell r="CL420" t="str">
            <v>$2,500 / $5,000</v>
          </cell>
          <cell r="CM420" t="str">
            <v>N/A</v>
          </cell>
          <cell r="CN420">
            <v>0</v>
          </cell>
          <cell r="CO420" t="str">
            <v>N/A</v>
          </cell>
          <cell r="CP420" t="str">
            <v>Emb</v>
          </cell>
          <cell r="CS420" t="str">
            <v>INS</v>
          </cell>
          <cell r="CT420" t="str">
            <v>Select</v>
          </cell>
          <cell r="CU420">
            <v>0.6704</v>
          </cell>
          <cell r="CW420" t="str">
            <v>SNHRA14&amp;15</v>
          </cell>
          <cell r="CX420">
            <v>0.61880000000000002</v>
          </cell>
        </row>
        <row r="421">
          <cell r="CA421" t="str">
            <v>PWK</v>
          </cell>
          <cell r="CB421" t="str">
            <v>Select HRA</v>
          </cell>
          <cell r="CC421" t="str">
            <v>N/A</v>
          </cell>
          <cell r="CD421" t="str">
            <v>N/A</v>
          </cell>
          <cell r="CE421" t="str">
            <v>N/A</v>
          </cell>
          <cell r="CF421" t="str">
            <v>N/A</v>
          </cell>
          <cell r="CG421" t="str">
            <v>N/A</v>
          </cell>
          <cell r="CH421" t="str">
            <v>N/A</v>
          </cell>
          <cell r="CI421" t="str">
            <v>N/A</v>
          </cell>
          <cell r="CJ421" t="str">
            <v>$5,000 / $10,000</v>
          </cell>
          <cell r="CK421">
            <v>1</v>
          </cell>
          <cell r="CL421" t="str">
            <v>$5,000 / $10,000</v>
          </cell>
          <cell r="CM421" t="str">
            <v>N/A</v>
          </cell>
          <cell r="CN421">
            <v>0</v>
          </cell>
          <cell r="CO421" t="str">
            <v>N/A</v>
          </cell>
          <cell r="CP421" t="str">
            <v>Emb</v>
          </cell>
          <cell r="CS421" t="str">
            <v>INS</v>
          </cell>
          <cell r="CT421" t="str">
            <v>Select</v>
          </cell>
          <cell r="CU421">
            <v>0.60570000000000002</v>
          </cell>
          <cell r="CV421" t="str">
            <v>H9-HRA</v>
          </cell>
          <cell r="CW421" t="str">
            <v>SHRA14&amp;15</v>
          </cell>
          <cell r="CX421">
            <v>0.64239999999999997</v>
          </cell>
        </row>
        <row r="422">
          <cell r="CA422" t="str">
            <v>PWM</v>
          </cell>
          <cell r="CB422" t="str">
            <v>Select HRA</v>
          </cell>
          <cell r="CC422" t="str">
            <v>N/A</v>
          </cell>
          <cell r="CD422" t="str">
            <v>N/A</v>
          </cell>
          <cell r="CE422" t="str">
            <v>N/A</v>
          </cell>
          <cell r="CF422" t="str">
            <v>N/A</v>
          </cell>
          <cell r="CG422" t="str">
            <v>N/A</v>
          </cell>
          <cell r="CH422" t="str">
            <v>N/A</v>
          </cell>
          <cell r="CI422" t="str">
            <v>N/A</v>
          </cell>
          <cell r="CJ422" t="str">
            <v>$2,000 / $4,000</v>
          </cell>
          <cell r="CK422">
            <v>0.8</v>
          </cell>
          <cell r="CL422" t="str">
            <v>$4,000 / $8,000</v>
          </cell>
          <cell r="CM422" t="str">
            <v>N/A</v>
          </cell>
          <cell r="CN422">
            <v>0</v>
          </cell>
          <cell r="CO422" t="str">
            <v>N/A</v>
          </cell>
          <cell r="CP422" t="str">
            <v>Emb</v>
          </cell>
          <cell r="CS422" t="str">
            <v>INS</v>
          </cell>
          <cell r="CT422" t="str">
            <v>Select</v>
          </cell>
          <cell r="CU422">
            <v>0.69720000000000004</v>
          </cell>
          <cell r="CV422" t="str">
            <v>H9-HRA</v>
          </cell>
          <cell r="CW422" t="str">
            <v>SHRA14&amp;15</v>
          </cell>
          <cell r="CX422">
            <v>0.73860000000000003</v>
          </cell>
        </row>
        <row r="423">
          <cell r="CA423" t="str">
            <v>PWP</v>
          </cell>
          <cell r="CB423" t="str">
            <v>Select HRA</v>
          </cell>
          <cell r="CC423" t="str">
            <v>N/A</v>
          </cell>
          <cell r="CD423" t="str">
            <v>N/A</v>
          </cell>
          <cell r="CE423" t="str">
            <v>N/A</v>
          </cell>
          <cell r="CF423" t="str">
            <v>N/A</v>
          </cell>
          <cell r="CG423" t="str">
            <v>N/A</v>
          </cell>
          <cell r="CH423" t="str">
            <v>N/A</v>
          </cell>
          <cell r="CI423" t="str">
            <v>N/A</v>
          </cell>
          <cell r="CJ423" t="str">
            <v>$2,500 / $5,000</v>
          </cell>
          <cell r="CK423">
            <v>0.8</v>
          </cell>
          <cell r="CL423" t="str">
            <v>$5,000 / $10,000</v>
          </cell>
          <cell r="CM423" t="str">
            <v>N/A</v>
          </cell>
          <cell r="CN423">
            <v>0</v>
          </cell>
          <cell r="CO423" t="str">
            <v>N/A</v>
          </cell>
          <cell r="CP423" t="str">
            <v>Emb</v>
          </cell>
          <cell r="CS423" t="str">
            <v>INS</v>
          </cell>
          <cell r="CT423" t="str">
            <v>Select</v>
          </cell>
          <cell r="CU423">
            <v>0.64449999999999996</v>
          </cell>
          <cell r="CV423" t="str">
            <v>H9-HRA</v>
          </cell>
          <cell r="CW423" t="str">
            <v>SHRA14&amp;15</v>
          </cell>
          <cell r="CX423">
            <v>0.70230000000000004</v>
          </cell>
        </row>
        <row r="424">
          <cell r="CA424" t="str">
            <v>UKA</v>
          </cell>
          <cell r="CB424" t="str">
            <v>Select HRA</v>
          </cell>
          <cell r="CC424" t="str">
            <v>N/A</v>
          </cell>
          <cell r="CD424" t="str">
            <v>N/A</v>
          </cell>
          <cell r="CE424" t="str">
            <v>N/A</v>
          </cell>
          <cell r="CF424" t="str">
            <v>N/A</v>
          </cell>
          <cell r="CG424" t="str">
            <v>N/A</v>
          </cell>
          <cell r="CH424" t="str">
            <v>N/A</v>
          </cell>
          <cell r="CI424" t="str">
            <v>N/A</v>
          </cell>
          <cell r="CJ424" t="str">
            <v>$3,000 / $6,000</v>
          </cell>
          <cell r="CK424">
            <v>0.9</v>
          </cell>
          <cell r="CL424" t="str">
            <v>$5,000 / $10,000</v>
          </cell>
          <cell r="CM424" t="str">
            <v>N/A</v>
          </cell>
          <cell r="CN424">
            <v>0</v>
          </cell>
          <cell r="CO424" t="str">
            <v>N/A</v>
          </cell>
          <cell r="CP424" t="str">
            <v>Emb</v>
          </cell>
          <cell r="CS424" t="str">
            <v>INS</v>
          </cell>
          <cell r="CT424" t="str">
            <v>Select</v>
          </cell>
          <cell r="CU424">
            <v>0.63870000000000005</v>
          </cell>
          <cell r="CV424" t="str">
            <v>H9-HRA</v>
          </cell>
          <cell r="CW424" t="str">
            <v>SHRA14&amp;15</v>
          </cell>
          <cell r="CX424">
            <v>0.69389999999999996</v>
          </cell>
        </row>
        <row r="425">
          <cell r="CA425" t="str">
            <v>ULC</v>
          </cell>
          <cell r="CB425" t="str">
            <v>Select HSA</v>
          </cell>
          <cell r="CC425" t="str">
            <v>N/A</v>
          </cell>
          <cell r="CD425" t="str">
            <v>N/A</v>
          </cell>
          <cell r="CE425" t="str">
            <v>N/A</v>
          </cell>
          <cell r="CF425" t="str">
            <v>N/A</v>
          </cell>
          <cell r="CG425" t="str">
            <v>N/A</v>
          </cell>
          <cell r="CH425" t="str">
            <v>N/A</v>
          </cell>
          <cell r="CI425" t="str">
            <v>N/A</v>
          </cell>
          <cell r="CJ425" t="str">
            <v>$5,000 / $10,000</v>
          </cell>
          <cell r="CK425">
            <v>0.7</v>
          </cell>
          <cell r="CL425" t="str">
            <v>$6,350 / $12,700</v>
          </cell>
          <cell r="CM425" t="str">
            <v>N/A</v>
          </cell>
          <cell r="CN425">
            <v>0</v>
          </cell>
          <cell r="CO425" t="str">
            <v>N/A</v>
          </cell>
          <cell r="CP425" t="str">
            <v>Emb</v>
          </cell>
          <cell r="CS425" t="str">
            <v>INS</v>
          </cell>
          <cell r="CT425" t="str">
            <v>Select</v>
          </cell>
          <cell r="CU425">
            <v>0.54569999999999996</v>
          </cell>
          <cell r="CV425" t="str">
            <v>H9-HSA</v>
          </cell>
          <cell r="CW425" t="str">
            <v>SHSA14&amp;15</v>
          </cell>
          <cell r="CX425">
            <v>0.61019999999999996</v>
          </cell>
        </row>
        <row r="426">
          <cell r="CA426" t="str">
            <v>ULD</v>
          </cell>
          <cell r="CB426" t="str">
            <v>Select HSA</v>
          </cell>
          <cell r="CC426" t="str">
            <v>N/A</v>
          </cell>
          <cell r="CD426" t="str">
            <v>N/A</v>
          </cell>
          <cell r="CE426" t="str">
            <v>N/A</v>
          </cell>
          <cell r="CF426" t="str">
            <v>N/A</v>
          </cell>
          <cell r="CG426" t="str">
            <v>N/A</v>
          </cell>
          <cell r="CH426" t="str">
            <v>N/A</v>
          </cell>
          <cell r="CI426" t="str">
            <v>N/A</v>
          </cell>
          <cell r="CJ426" t="str">
            <v>$5,500 / $11,000</v>
          </cell>
          <cell r="CK426">
            <v>0.7</v>
          </cell>
          <cell r="CL426" t="str">
            <v>$6,350 / $12,700</v>
          </cell>
          <cell r="CM426" t="str">
            <v>N/A</v>
          </cell>
          <cell r="CN426">
            <v>0</v>
          </cell>
          <cell r="CO426" t="str">
            <v>N/A</v>
          </cell>
          <cell r="CP426" t="str">
            <v>Emb</v>
          </cell>
          <cell r="CS426" t="str">
            <v>INS</v>
          </cell>
          <cell r="CT426" t="str">
            <v>Select</v>
          </cell>
          <cell r="CU426">
            <v>0.54179999999999995</v>
          </cell>
          <cell r="CV426" t="str">
            <v>H9-HSA</v>
          </cell>
          <cell r="CW426" t="str">
            <v>SHSA14&amp;15</v>
          </cell>
          <cell r="CX426">
            <v>0.60470000000000002</v>
          </cell>
        </row>
        <row r="427">
          <cell r="CA427" t="str">
            <v>ULE</v>
          </cell>
          <cell r="CB427" t="str">
            <v>Select HSA</v>
          </cell>
          <cell r="CC427" t="str">
            <v>N/A</v>
          </cell>
          <cell r="CD427" t="str">
            <v>N/A</v>
          </cell>
          <cell r="CE427" t="str">
            <v>N/A</v>
          </cell>
          <cell r="CF427" t="str">
            <v>N/A</v>
          </cell>
          <cell r="CG427" t="str">
            <v>N/A</v>
          </cell>
          <cell r="CH427" t="str">
            <v>N/A</v>
          </cell>
          <cell r="CI427" t="str">
            <v>N/A</v>
          </cell>
          <cell r="CJ427" t="str">
            <v>$6,000 / $12,000</v>
          </cell>
          <cell r="CK427">
            <v>0.65</v>
          </cell>
          <cell r="CL427" t="str">
            <v>$6,350 / $12,700</v>
          </cell>
          <cell r="CM427" t="str">
            <v>N/A</v>
          </cell>
          <cell r="CN427">
            <v>0</v>
          </cell>
          <cell r="CO427" t="str">
            <v>N/A</v>
          </cell>
          <cell r="CP427" t="str">
            <v>Emb</v>
          </cell>
          <cell r="CS427" t="str">
            <v>INS</v>
          </cell>
          <cell r="CT427" t="str">
            <v>Select</v>
          </cell>
          <cell r="CU427">
            <v>0.53949999999999998</v>
          </cell>
          <cell r="CV427" t="str">
            <v>H9-HSA</v>
          </cell>
          <cell r="CW427" t="str">
            <v>SHSA14&amp;15</v>
          </cell>
          <cell r="CX427">
            <v>0.60109999999999997</v>
          </cell>
        </row>
        <row r="428">
          <cell r="CA428" t="str">
            <v>ULF</v>
          </cell>
          <cell r="CB428" t="str">
            <v>Select HSA</v>
          </cell>
          <cell r="CC428" t="str">
            <v>N/A</v>
          </cell>
          <cell r="CD428" t="str">
            <v>N/A</v>
          </cell>
          <cell r="CE428" t="str">
            <v>N/A</v>
          </cell>
          <cell r="CF428" t="str">
            <v>N/A</v>
          </cell>
          <cell r="CG428" t="str">
            <v>N/A</v>
          </cell>
          <cell r="CH428" t="str">
            <v>N/A</v>
          </cell>
          <cell r="CI428" t="str">
            <v>N/A</v>
          </cell>
          <cell r="CJ428" t="str">
            <v>$6,250 / $12,500</v>
          </cell>
          <cell r="CK428">
            <v>0.6</v>
          </cell>
          <cell r="CL428" t="str">
            <v>$6,350 / $12,700</v>
          </cell>
          <cell r="CM428" t="str">
            <v>N/A</v>
          </cell>
          <cell r="CN428">
            <v>0</v>
          </cell>
          <cell r="CO428" t="str">
            <v>N/A</v>
          </cell>
          <cell r="CP428" t="str">
            <v>Emb</v>
          </cell>
          <cell r="CS428" t="str">
            <v>INS</v>
          </cell>
          <cell r="CT428" t="str">
            <v>Select</v>
          </cell>
          <cell r="CU428">
            <v>0.53920000000000001</v>
          </cell>
          <cell r="CV428" t="str">
            <v>H9-HSA</v>
          </cell>
          <cell r="CW428" t="str">
            <v>SHSA14&amp;15</v>
          </cell>
          <cell r="CX428">
            <v>0.60050000000000003</v>
          </cell>
        </row>
        <row r="435">
          <cell r="CA435" t="str">
            <v>AB55</v>
          </cell>
          <cell r="CB435" t="str">
            <v>Select Plus HSA</v>
          </cell>
          <cell r="CC435" t="str">
            <v>N/A</v>
          </cell>
          <cell r="CD435" t="str">
            <v>N/A</v>
          </cell>
          <cell r="CE435" t="str">
            <v>N/A</v>
          </cell>
          <cell r="CF435" t="str">
            <v>N/A</v>
          </cell>
          <cell r="CG435" t="str">
            <v>N/A</v>
          </cell>
          <cell r="CH435" t="str">
            <v>N/A</v>
          </cell>
          <cell r="CI435" t="str">
            <v>N/A</v>
          </cell>
          <cell r="CJ435" t="str">
            <v>$3,000 / $6,000</v>
          </cell>
          <cell r="CK435">
            <v>0.8</v>
          </cell>
          <cell r="CL435" t="str">
            <v>$5,000 / $10,000</v>
          </cell>
          <cell r="CM435" t="str">
            <v>$3,000 / $6,000</v>
          </cell>
          <cell r="CN435">
            <v>0.6</v>
          </cell>
          <cell r="CO435" t="str">
            <v>$10,000 / $20,000</v>
          </cell>
          <cell r="CP435" t="str">
            <v>Emb</v>
          </cell>
          <cell r="CS435" t="str">
            <v>INS</v>
          </cell>
          <cell r="CT435" t="str">
            <v>Select +</v>
          </cell>
          <cell r="CU435">
            <v>0.62539999999999996</v>
          </cell>
          <cell r="CV435" t="str">
            <v>H9-HSA</v>
          </cell>
          <cell r="CW435" t="str">
            <v>SPHSA14&amp;15</v>
          </cell>
          <cell r="CX435">
            <v>0.68559999999999999</v>
          </cell>
        </row>
        <row r="436">
          <cell r="CA436" t="str">
            <v>AB57</v>
          </cell>
          <cell r="CB436" t="str">
            <v>Select Plus HSA</v>
          </cell>
          <cell r="CC436" t="str">
            <v>N/A</v>
          </cell>
          <cell r="CD436" t="str">
            <v>N/A</v>
          </cell>
          <cell r="CE436" t="str">
            <v>N/A</v>
          </cell>
          <cell r="CF436" t="str">
            <v>N/A</v>
          </cell>
          <cell r="CG436" t="str">
            <v>N/A</v>
          </cell>
          <cell r="CH436" t="str">
            <v>N/A</v>
          </cell>
          <cell r="CI436" t="str">
            <v>N/A</v>
          </cell>
          <cell r="CJ436" t="str">
            <v>$3,000 / $6,000</v>
          </cell>
          <cell r="CK436">
            <v>1</v>
          </cell>
          <cell r="CL436" t="str">
            <v>$5,000 / $10,000</v>
          </cell>
          <cell r="CM436" t="str">
            <v>$3,000 / $6,000</v>
          </cell>
          <cell r="CN436">
            <v>0.7</v>
          </cell>
          <cell r="CO436" t="str">
            <v>$10,000 / $20,000</v>
          </cell>
          <cell r="CP436" t="str">
            <v>Emb</v>
          </cell>
          <cell r="CS436" t="str">
            <v>INS</v>
          </cell>
          <cell r="CT436" t="str">
            <v>Select +</v>
          </cell>
          <cell r="CU436">
            <v>0.7288</v>
          </cell>
          <cell r="CV436" t="str">
            <v>H9-HSA</v>
          </cell>
          <cell r="CW436" t="str">
            <v>SPHSA14&amp;15</v>
          </cell>
          <cell r="CX436">
            <v>0.74170000000000003</v>
          </cell>
        </row>
        <row r="437">
          <cell r="CA437" t="str">
            <v>AB5F</v>
          </cell>
          <cell r="CB437" t="str">
            <v>Select Plus</v>
          </cell>
          <cell r="CC437">
            <v>35</v>
          </cell>
          <cell r="CD437">
            <v>50</v>
          </cell>
          <cell r="CE437" t="str">
            <v>N/A</v>
          </cell>
          <cell r="CF437" t="str">
            <v>N/A</v>
          </cell>
          <cell r="CG437">
            <v>50</v>
          </cell>
          <cell r="CH437" t="str">
            <v>$150 POD</v>
          </cell>
          <cell r="CI437" t="str">
            <v>N/A</v>
          </cell>
          <cell r="CJ437" t="str">
            <v>$1,250 / $2,500</v>
          </cell>
          <cell r="CK437">
            <v>0.7</v>
          </cell>
          <cell r="CL437" t="str">
            <v>$6,350 / $12,700</v>
          </cell>
          <cell r="CM437" t="str">
            <v>$2,500 / $5,000</v>
          </cell>
          <cell r="CN437">
            <v>0.5</v>
          </cell>
          <cell r="CO437" t="str">
            <v>$10,000 / $20,000</v>
          </cell>
          <cell r="CP437" t="str">
            <v>Emb</v>
          </cell>
          <cell r="CS437" t="str">
            <v>INS</v>
          </cell>
          <cell r="CT437" t="str">
            <v>Select +</v>
          </cell>
          <cell r="CU437">
            <v>0.64139999999999997</v>
          </cell>
          <cell r="CW437" t="str">
            <v>SP14&amp;15</v>
          </cell>
          <cell r="CX437">
            <v>0.58689999999999998</v>
          </cell>
        </row>
        <row r="438">
          <cell r="CA438" t="str">
            <v>AB5N</v>
          </cell>
          <cell r="CB438" t="str">
            <v>Select Plus</v>
          </cell>
          <cell r="CC438">
            <v>35</v>
          </cell>
          <cell r="CD438">
            <v>35</v>
          </cell>
          <cell r="CE438" t="str">
            <v>N/A</v>
          </cell>
          <cell r="CF438" t="str">
            <v>N/A</v>
          </cell>
          <cell r="CG438" t="str">
            <v>N/A</v>
          </cell>
          <cell r="CH438" t="str">
            <v>N/A</v>
          </cell>
          <cell r="CI438" t="str">
            <v>N/A</v>
          </cell>
          <cell r="CJ438" t="str">
            <v>$5,900 / $11,800</v>
          </cell>
          <cell r="CK438">
            <v>1</v>
          </cell>
          <cell r="CL438" t="str">
            <v>$6,350 / $12,700</v>
          </cell>
          <cell r="CM438" t="str">
            <v>$11,800 / $23,600</v>
          </cell>
          <cell r="CN438">
            <v>0.5</v>
          </cell>
          <cell r="CO438" t="str">
            <v>$12,700 / $25,400</v>
          </cell>
          <cell r="CP438" t="str">
            <v>Emb</v>
          </cell>
          <cell r="CS438" t="str">
            <v>INS</v>
          </cell>
          <cell r="CT438" t="str">
            <v>Select +</v>
          </cell>
          <cell r="CU438">
            <v>0.54779999999999995</v>
          </cell>
          <cell r="CW438" t="str">
            <v>SP14&amp;15</v>
          </cell>
          <cell r="CX438">
            <v>0.54110000000000003</v>
          </cell>
        </row>
        <row r="439">
          <cell r="CA439" t="str">
            <v>AB5O</v>
          </cell>
          <cell r="CB439" t="str">
            <v>Select Plus</v>
          </cell>
          <cell r="CC439">
            <v>35</v>
          </cell>
          <cell r="CD439">
            <v>60</v>
          </cell>
          <cell r="CE439" t="str">
            <v>N/A</v>
          </cell>
          <cell r="CF439" t="str">
            <v>N/A</v>
          </cell>
          <cell r="CG439">
            <v>60</v>
          </cell>
          <cell r="CH439" t="str">
            <v>N/A</v>
          </cell>
          <cell r="CI439" t="str">
            <v>N/A</v>
          </cell>
          <cell r="CJ439" t="str">
            <v>$6,000 / $12,000</v>
          </cell>
          <cell r="CK439">
            <v>1</v>
          </cell>
          <cell r="CL439" t="str">
            <v>$6,350 / $12,700</v>
          </cell>
          <cell r="CM439" t="str">
            <v>$12,000 / $24,000</v>
          </cell>
          <cell r="CN439">
            <v>0.5</v>
          </cell>
          <cell r="CO439" t="str">
            <v>$12,700 / $25,400</v>
          </cell>
          <cell r="CP439" t="str">
            <v>Emb</v>
          </cell>
          <cell r="CS439" t="str">
            <v>INS</v>
          </cell>
          <cell r="CT439" t="str">
            <v>Select +</v>
          </cell>
          <cell r="CU439">
            <v>0.57230000000000003</v>
          </cell>
          <cell r="CW439" t="str">
            <v>SP14&amp;15</v>
          </cell>
          <cell r="CX439">
            <v>0.54930000000000001</v>
          </cell>
        </row>
        <row r="440">
          <cell r="CA440" t="str">
            <v>AB5P</v>
          </cell>
          <cell r="CB440" t="str">
            <v>Select Plus HRA</v>
          </cell>
          <cell r="CC440" t="str">
            <v>N/A</v>
          </cell>
          <cell r="CD440" t="str">
            <v>N/A</v>
          </cell>
          <cell r="CE440" t="str">
            <v>N/A</v>
          </cell>
          <cell r="CF440" t="str">
            <v>N/A</v>
          </cell>
          <cell r="CG440" t="str">
            <v>N/A</v>
          </cell>
          <cell r="CH440" t="str">
            <v>N/A</v>
          </cell>
          <cell r="CI440" t="str">
            <v>N/A</v>
          </cell>
          <cell r="CJ440" t="str">
            <v>$1,500 / $3,000</v>
          </cell>
          <cell r="CK440">
            <v>0.9</v>
          </cell>
          <cell r="CL440" t="str">
            <v>$3,000 / $6,000</v>
          </cell>
          <cell r="CM440" t="str">
            <v>$2,500 / $5,000</v>
          </cell>
          <cell r="CN440">
            <v>0.7</v>
          </cell>
          <cell r="CO440" t="str">
            <v>$6,000 / $12,000</v>
          </cell>
          <cell r="CP440" t="str">
            <v>Emb</v>
          </cell>
          <cell r="CS440" t="str">
            <v>INS</v>
          </cell>
          <cell r="CT440" t="str">
            <v>Select +</v>
          </cell>
          <cell r="CU440">
            <v>0.67600000000000005</v>
          </cell>
          <cell r="CW440" t="str">
            <v>SPNHRA14&amp;15</v>
          </cell>
          <cell r="CX440">
            <v>0.61439999999999995</v>
          </cell>
        </row>
        <row r="441">
          <cell r="CA441" t="str">
            <v>AB5Q</v>
          </cell>
          <cell r="CB441" t="str">
            <v>Select Plus HRA</v>
          </cell>
          <cell r="CC441">
            <v>20</v>
          </cell>
          <cell r="CD441">
            <v>20</v>
          </cell>
          <cell r="CE441" t="str">
            <v>N/A</v>
          </cell>
          <cell r="CF441" t="str">
            <v>N/A</v>
          </cell>
          <cell r="CG441">
            <v>30</v>
          </cell>
          <cell r="CH441" t="str">
            <v>N/A</v>
          </cell>
          <cell r="CI441" t="str">
            <v>N/A</v>
          </cell>
          <cell r="CJ441" t="str">
            <v>$1,500 / $3,000</v>
          </cell>
          <cell r="CK441">
            <v>0.9</v>
          </cell>
          <cell r="CL441" t="str">
            <v>$3,500 / $7,000</v>
          </cell>
          <cell r="CM441" t="str">
            <v>$2,500 / $5,000</v>
          </cell>
          <cell r="CN441">
            <v>0.7</v>
          </cell>
          <cell r="CO441" t="str">
            <v>$7,000 / $14,000</v>
          </cell>
          <cell r="CP441" t="str">
            <v>Emb</v>
          </cell>
          <cell r="CS441" t="str">
            <v>INS</v>
          </cell>
          <cell r="CT441" t="str">
            <v>Select +</v>
          </cell>
          <cell r="CU441">
            <v>0.75229999999999997</v>
          </cell>
          <cell r="CW441" t="str">
            <v>SPNHRA14&amp;15</v>
          </cell>
          <cell r="CX441">
            <v>0.65200000000000002</v>
          </cell>
        </row>
        <row r="442">
          <cell r="CA442" t="str">
            <v>AB5R</v>
          </cell>
          <cell r="CB442" t="str">
            <v>Select Plus HRA</v>
          </cell>
          <cell r="CC442" t="str">
            <v>N/A</v>
          </cell>
          <cell r="CD442" t="str">
            <v>N/A</v>
          </cell>
          <cell r="CE442" t="str">
            <v>N/A</v>
          </cell>
          <cell r="CF442" t="str">
            <v>N/A</v>
          </cell>
          <cell r="CG442" t="str">
            <v>N/A</v>
          </cell>
          <cell r="CH442" t="str">
            <v>N/A</v>
          </cell>
          <cell r="CI442" t="str">
            <v>N/A</v>
          </cell>
          <cell r="CJ442" t="str">
            <v>$2,000 / $4,000</v>
          </cell>
          <cell r="CK442">
            <v>0.8</v>
          </cell>
          <cell r="CL442" t="str">
            <v>$5,000 / $10,000</v>
          </cell>
          <cell r="CM442" t="str">
            <v>$3,000 / $6,000</v>
          </cell>
          <cell r="CN442">
            <v>0.6</v>
          </cell>
          <cell r="CO442" t="str">
            <v>$10,000 / $20,000</v>
          </cell>
          <cell r="CP442" t="str">
            <v>Emb</v>
          </cell>
          <cell r="CS442" t="str">
            <v>INS</v>
          </cell>
          <cell r="CT442" t="str">
            <v>Select +</v>
          </cell>
          <cell r="CU442">
            <v>0.58220000000000005</v>
          </cell>
          <cell r="CW442" t="str">
            <v>SPNHRA14&amp;15</v>
          </cell>
          <cell r="CX442">
            <v>0.55730000000000002</v>
          </cell>
        </row>
        <row r="443">
          <cell r="CA443" t="str">
            <v>AB5S</v>
          </cell>
          <cell r="CB443" t="str">
            <v>Select Plus HRA</v>
          </cell>
          <cell r="CC443">
            <v>30</v>
          </cell>
          <cell r="CD443">
            <v>30</v>
          </cell>
          <cell r="CE443" t="str">
            <v>N/A</v>
          </cell>
          <cell r="CF443" t="str">
            <v>N/A</v>
          </cell>
          <cell r="CG443">
            <v>30</v>
          </cell>
          <cell r="CH443" t="str">
            <v>N/A</v>
          </cell>
          <cell r="CI443" t="str">
            <v>N/A</v>
          </cell>
          <cell r="CJ443" t="str">
            <v>$2,000 / $4,000</v>
          </cell>
          <cell r="CK443">
            <v>0.8</v>
          </cell>
          <cell r="CL443" t="str">
            <v>$5,000 / $10,000</v>
          </cell>
          <cell r="CM443" t="str">
            <v>$4,000 / $8,000</v>
          </cell>
          <cell r="CN443">
            <v>0.6</v>
          </cell>
          <cell r="CO443" t="str">
            <v>$10,000 / $20,000</v>
          </cell>
          <cell r="CP443" t="str">
            <v>Emb</v>
          </cell>
          <cell r="CS443" t="str">
            <v>INS</v>
          </cell>
          <cell r="CT443" t="str">
            <v>Select +</v>
          </cell>
          <cell r="CU443">
            <v>0.67930000000000001</v>
          </cell>
          <cell r="CW443" t="str">
            <v>SPNHRA14&amp;15</v>
          </cell>
          <cell r="CX443">
            <v>0.61150000000000004</v>
          </cell>
        </row>
        <row r="444">
          <cell r="CA444" t="str">
            <v>AB5T</v>
          </cell>
          <cell r="CB444" t="str">
            <v>Select Plus HRA</v>
          </cell>
          <cell r="CC444" t="str">
            <v>N/A</v>
          </cell>
          <cell r="CD444" t="str">
            <v>N/A</v>
          </cell>
          <cell r="CE444" t="str">
            <v>N/A</v>
          </cell>
          <cell r="CF444" t="str">
            <v>N/A</v>
          </cell>
          <cell r="CG444" t="str">
            <v>N/A</v>
          </cell>
          <cell r="CH444" t="str">
            <v>N/A</v>
          </cell>
          <cell r="CI444" t="str">
            <v>N/A</v>
          </cell>
          <cell r="CJ444" t="str">
            <v>$3,000 / $6,000</v>
          </cell>
          <cell r="CK444">
            <v>1</v>
          </cell>
          <cell r="CL444" t="str">
            <v>$4,000 / $8,000</v>
          </cell>
          <cell r="CM444" t="str">
            <v>$3,000 / $6,000</v>
          </cell>
          <cell r="CN444">
            <v>0.7</v>
          </cell>
          <cell r="CO444" t="str">
            <v>$6,000 / $12,000</v>
          </cell>
          <cell r="CP444" t="str">
            <v>Emb</v>
          </cell>
          <cell r="CS444" t="str">
            <v>INS</v>
          </cell>
          <cell r="CT444" t="str">
            <v>Select +</v>
          </cell>
          <cell r="CU444">
            <v>0.61529999999999996</v>
          </cell>
          <cell r="CW444" t="str">
            <v>SPNHRA14&amp;15</v>
          </cell>
          <cell r="CX444">
            <v>0.57820000000000005</v>
          </cell>
        </row>
        <row r="445">
          <cell r="CA445" t="str">
            <v>AB5U</v>
          </cell>
          <cell r="CB445" t="str">
            <v>Select Plus HRA</v>
          </cell>
          <cell r="CC445">
            <v>20</v>
          </cell>
          <cell r="CD445">
            <v>20</v>
          </cell>
          <cell r="CE445" t="str">
            <v>N/A</v>
          </cell>
          <cell r="CF445" t="str">
            <v>N/A</v>
          </cell>
          <cell r="CG445">
            <v>20</v>
          </cell>
          <cell r="CH445" t="str">
            <v>N/A</v>
          </cell>
          <cell r="CI445" t="str">
            <v>N/A</v>
          </cell>
          <cell r="CJ445" t="str">
            <v>$3,000 / $6,000</v>
          </cell>
          <cell r="CK445">
            <v>1</v>
          </cell>
          <cell r="CL445" t="str">
            <v>$6,000 / $12,000</v>
          </cell>
          <cell r="CM445" t="str">
            <v>$6,350 / $12,700</v>
          </cell>
          <cell r="CN445">
            <v>0.7</v>
          </cell>
          <cell r="CO445" t="str">
            <v>$12,700 / $25,400</v>
          </cell>
          <cell r="CP445" t="str">
            <v>Emb</v>
          </cell>
          <cell r="CS445" t="str">
            <v>INS</v>
          </cell>
          <cell r="CT445" t="str">
            <v>Select +</v>
          </cell>
          <cell r="CU445">
            <v>0.71430000000000005</v>
          </cell>
          <cell r="CW445" t="str">
            <v>SPNHRA14&amp;15</v>
          </cell>
          <cell r="CX445">
            <v>0.63470000000000004</v>
          </cell>
        </row>
        <row r="446">
          <cell r="CA446" t="str">
            <v>AB6E</v>
          </cell>
          <cell r="CB446" t="str">
            <v>Select Plus</v>
          </cell>
          <cell r="CC446">
            <v>15</v>
          </cell>
          <cell r="CD446">
            <v>15</v>
          </cell>
          <cell r="CE446" t="str">
            <v>N/A</v>
          </cell>
          <cell r="CF446" t="str">
            <v>N/A</v>
          </cell>
          <cell r="CG446">
            <v>15</v>
          </cell>
          <cell r="CH446" t="str">
            <v>$100 POD</v>
          </cell>
          <cell r="CI446" t="str">
            <v>N/A</v>
          </cell>
          <cell r="CJ446" t="str">
            <v>$150 / $300</v>
          </cell>
          <cell r="CK446">
            <v>0.9</v>
          </cell>
          <cell r="CL446" t="str">
            <v>$1,150 / $2,300</v>
          </cell>
          <cell r="CM446" t="str">
            <v>$150 / $300</v>
          </cell>
          <cell r="CN446">
            <v>0.7</v>
          </cell>
          <cell r="CO446" t="str">
            <v>$2,150 / $4,300</v>
          </cell>
          <cell r="CP446" t="str">
            <v>Emb</v>
          </cell>
          <cell r="CS446" t="str">
            <v>INS</v>
          </cell>
          <cell r="CT446" t="str">
            <v>Select +</v>
          </cell>
          <cell r="CU446">
            <v>0.91290000000000004</v>
          </cell>
          <cell r="CW446" t="str">
            <v>SP14&amp;15</v>
          </cell>
          <cell r="CX446">
            <v>0.71819999999999995</v>
          </cell>
        </row>
        <row r="447">
          <cell r="CA447" t="str">
            <v>AB6F</v>
          </cell>
          <cell r="CB447" t="str">
            <v>Select Plus</v>
          </cell>
          <cell r="CC447">
            <v>15</v>
          </cell>
          <cell r="CD447">
            <v>30</v>
          </cell>
          <cell r="CE447" t="str">
            <v>N/A</v>
          </cell>
          <cell r="CF447" t="str">
            <v>N/A</v>
          </cell>
          <cell r="CG447">
            <v>30</v>
          </cell>
          <cell r="CH447" t="str">
            <v>$100 POD</v>
          </cell>
          <cell r="CI447" t="str">
            <v>N/A</v>
          </cell>
          <cell r="CJ447" t="str">
            <v>$150 / $300</v>
          </cell>
          <cell r="CK447">
            <v>0.9</v>
          </cell>
          <cell r="CL447" t="str">
            <v>$3,000 / $6,000</v>
          </cell>
          <cell r="CM447" t="str">
            <v>$300 / $600</v>
          </cell>
          <cell r="CN447">
            <v>0.6</v>
          </cell>
          <cell r="CO447" t="str">
            <v>$8,000 / $16,000</v>
          </cell>
          <cell r="CP447" t="str">
            <v>Emb</v>
          </cell>
          <cell r="CS447" t="str">
            <v>INS</v>
          </cell>
          <cell r="CT447" t="str">
            <v>Select +</v>
          </cell>
          <cell r="CU447">
            <v>0.8498</v>
          </cell>
          <cell r="CW447" t="str">
            <v>SP14&amp;15</v>
          </cell>
          <cell r="CX447">
            <v>0.69620000000000004</v>
          </cell>
        </row>
        <row r="448">
          <cell r="CA448" t="str">
            <v>AB6G</v>
          </cell>
          <cell r="CB448" t="str">
            <v>Select Plus</v>
          </cell>
          <cell r="CC448">
            <v>20</v>
          </cell>
          <cell r="CD448">
            <v>20</v>
          </cell>
          <cell r="CE448" t="str">
            <v>N/A</v>
          </cell>
          <cell r="CF448" t="str">
            <v>N/A</v>
          </cell>
          <cell r="CG448">
            <v>20</v>
          </cell>
          <cell r="CH448" t="str">
            <v>$100 POD</v>
          </cell>
          <cell r="CI448" t="str">
            <v>N/A</v>
          </cell>
          <cell r="CJ448" t="str">
            <v>$200 / $400</v>
          </cell>
          <cell r="CK448">
            <v>0.9</v>
          </cell>
          <cell r="CL448" t="str">
            <v>$2,200 / $4,400</v>
          </cell>
          <cell r="CM448" t="str">
            <v>$200 / $400</v>
          </cell>
          <cell r="CN448">
            <v>0.7</v>
          </cell>
          <cell r="CO448" t="str">
            <v>$5,200 / $10,400</v>
          </cell>
          <cell r="CP448" t="str">
            <v>Emb</v>
          </cell>
          <cell r="CS448" t="str">
            <v>INS</v>
          </cell>
          <cell r="CT448" t="str">
            <v>Select +</v>
          </cell>
          <cell r="CU448">
            <v>0.8619</v>
          </cell>
          <cell r="CW448" t="str">
            <v>SP14&amp;15</v>
          </cell>
          <cell r="CX448">
            <v>0.70020000000000004</v>
          </cell>
        </row>
        <row r="449">
          <cell r="CA449" t="str">
            <v>AB6H</v>
          </cell>
          <cell r="CB449" t="str">
            <v>Select Plus</v>
          </cell>
          <cell r="CC449">
            <v>10</v>
          </cell>
          <cell r="CD449">
            <v>10</v>
          </cell>
          <cell r="CE449" t="str">
            <v>N/A</v>
          </cell>
          <cell r="CF449" t="str">
            <v>N/A</v>
          </cell>
          <cell r="CG449">
            <v>10</v>
          </cell>
          <cell r="CH449" t="str">
            <v>$100 POD</v>
          </cell>
          <cell r="CI449" t="str">
            <v>N/A</v>
          </cell>
          <cell r="CJ449" t="str">
            <v>$250 / $500</v>
          </cell>
          <cell r="CK449">
            <v>0.9</v>
          </cell>
          <cell r="CL449" t="str">
            <v>$1,750 / $3,500</v>
          </cell>
          <cell r="CM449" t="str">
            <v>$500 / $1,000</v>
          </cell>
          <cell r="CN449">
            <v>0.7</v>
          </cell>
          <cell r="CO449" t="str">
            <v>$3,500 / $7,000</v>
          </cell>
          <cell r="CP449" t="str">
            <v>Emb</v>
          </cell>
          <cell r="CS449" t="str">
            <v>INS</v>
          </cell>
          <cell r="CT449" t="str">
            <v>Select +</v>
          </cell>
          <cell r="CU449">
            <v>0.88370000000000004</v>
          </cell>
          <cell r="CW449" t="str">
            <v>SP14&amp;15</v>
          </cell>
          <cell r="CX449">
            <v>0.71260000000000001</v>
          </cell>
        </row>
        <row r="450">
          <cell r="CA450" t="str">
            <v>AB6I</v>
          </cell>
          <cell r="CB450" t="str">
            <v>Select Plus</v>
          </cell>
          <cell r="CC450">
            <v>25</v>
          </cell>
          <cell r="CD450">
            <v>25</v>
          </cell>
          <cell r="CE450" t="str">
            <v>N/A</v>
          </cell>
          <cell r="CF450" t="str">
            <v>N/A</v>
          </cell>
          <cell r="CG450">
            <v>25</v>
          </cell>
          <cell r="CH450" t="str">
            <v>$100 POD</v>
          </cell>
          <cell r="CI450" t="str">
            <v>N/A</v>
          </cell>
          <cell r="CJ450" t="str">
            <v>$250 / $500</v>
          </cell>
          <cell r="CK450">
            <v>0.9</v>
          </cell>
          <cell r="CL450" t="str">
            <v>$3,250 / $6,500</v>
          </cell>
          <cell r="CM450" t="str">
            <v>$250 / $500</v>
          </cell>
          <cell r="CN450">
            <v>0.6</v>
          </cell>
          <cell r="CO450" t="str">
            <v>$7,750 / $15,500</v>
          </cell>
          <cell r="CP450" t="str">
            <v>Emb</v>
          </cell>
          <cell r="CS450" t="str">
            <v>INS</v>
          </cell>
          <cell r="CT450" t="str">
            <v>Select +</v>
          </cell>
          <cell r="CU450">
            <v>0.82920000000000005</v>
          </cell>
          <cell r="CW450" t="str">
            <v>SP14&amp;15</v>
          </cell>
          <cell r="CX450">
            <v>0.68689999999999996</v>
          </cell>
        </row>
        <row r="451">
          <cell r="CA451" t="str">
            <v>AB6L</v>
          </cell>
          <cell r="CB451" t="str">
            <v>Select Plus</v>
          </cell>
          <cell r="CC451">
            <v>30</v>
          </cell>
          <cell r="CD451">
            <v>30</v>
          </cell>
          <cell r="CE451" t="str">
            <v>N/A</v>
          </cell>
          <cell r="CF451" t="str">
            <v>N/A</v>
          </cell>
          <cell r="CG451">
            <v>30</v>
          </cell>
          <cell r="CH451" t="str">
            <v>$100 POD</v>
          </cell>
          <cell r="CI451" t="str">
            <v>N/A</v>
          </cell>
          <cell r="CJ451" t="str">
            <v>$500 / $1,000</v>
          </cell>
          <cell r="CK451">
            <v>0.9</v>
          </cell>
          <cell r="CL451" t="str">
            <v>$3,500 / $7,000</v>
          </cell>
          <cell r="CM451" t="str">
            <v>$500 / $1,000</v>
          </cell>
          <cell r="CN451">
            <v>0.6</v>
          </cell>
          <cell r="CO451" t="str">
            <v>$8,000 / $16,000</v>
          </cell>
          <cell r="CP451" t="str">
            <v>Emb</v>
          </cell>
          <cell r="CS451" t="str">
            <v>INS</v>
          </cell>
          <cell r="CT451" t="str">
            <v>Select +</v>
          </cell>
          <cell r="CU451">
            <v>0.79249999999999998</v>
          </cell>
          <cell r="CW451" t="str">
            <v>SP14&amp;15</v>
          </cell>
          <cell r="CX451">
            <v>0.6673</v>
          </cell>
        </row>
        <row r="452">
          <cell r="CA452" t="str">
            <v>AB6M</v>
          </cell>
          <cell r="CB452" t="str">
            <v>Select Plus</v>
          </cell>
          <cell r="CC452">
            <v>35</v>
          </cell>
          <cell r="CD452">
            <v>35</v>
          </cell>
          <cell r="CE452" t="str">
            <v>N/A</v>
          </cell>
          <cell r="CF452" t="str">
            <v>N/A</v>
          </cell>
          <cell r="CG452">
            <v>35</v>
          </cell>
          <cell r="CH452" t="str">
            <v>$100 POD</v>
          </cell>
          <cell r="CI452" t="str">
            <v>N/A</v>
          </cell>
          <cell r="CJ452" t="str">
            <v>$500 / $1,000</v>
          </cell>
          <cell r="CK452">
            <v>0.8</v>
          </cell>
          <cell r="CL452" t="str">
            <v>$3,500 / $7,000</v>
          </cell>
          <cell r="CM452" t="str">
            <v>$500 / $1,000</v>
          </cell>
          <cell r="CN452">
            <v>0.6</v>
          </cell>
          <cell r="CO452" t="str">
            <v>$10,500 / $21,000</v>
          </cell>
          <cell r="CP452" t="str">
            <v>Emb</v>
          </cell>
          <cell r="CS452" t="str">
            <v>INS</v>
          </cell>
          <cell r="CT452" t="str">
            <v>Select +</v>
          </cell>
          <cell r="CU452">
            <v>0.74890000000000001</v>
          </cell>
          <cell r="CW452" t="str">
            <v>SP14&amp;15</v>
          </cell>
          <cell r="CX452">
            <v>0.64580000000000004</v>
          </cell>
        </row>
        <row r="453">
          <cell r="CA453" t="str">
            <v>AB6O</v>
          </cell>
          <cell r="CB453" t="str">
            <v>Select Plus</v>
          </cell>
          <cell r="CC453">
            <v>20</v>
          </cell>
          <cell r="CD453">
            <v>35</v>
          </cell>
          <cell r="CE453" t="str">
            <v>N/A</v>
          </cell>
          <cell r="CF453" t="str">
            <v>N/A</v>
          </cell>
          <cell r="CG453">
            <v>35</v>
          </cell>
          <cell r="CH453" t="str">
            <v>$100 POD</v>
          </cell>
          <cell r="CI453" t="str">
            <v>N/A</v>
          </cell>
          <cell r="CJ453" t="str">
            <v>$750 / $1,500</v>
          </cell>
          <cell r="CK453">
            <v>0.8</v>
          </cell>
          <cell r="CL453" t="str">
            <v>$6,350 / $12,700</v>
          </cell>
          <cell r="CM453" t="str">
            <v>$1,500 / $3,000</v>
          </cell>
          <cell r="CN453">
            <v>0.6</v>
          </cell>
          <cell r="CO453" t="str">
            <v>$10,000 / $20,000</v>
          </cell>
          <cell r="CP453" t="str">
            <v>Emb</v>
          </cell>
          <cell r="CS453" t="str">
            <v>INS</v>
          </cell>
          <cell r="CT453" t="str">
            <v>Select +</v>
          </cell>
          <cell r="CU453">
            <v>0.71</v>
          </cell>
          <cell r="CW453" t="str">
            <v>SP14&amp;15</v>
          </cell>
          <cell r="CX453">
            <v>0.63429999999999997</v>
          </cell>
        </row>
        <row r="454">
          <cell r="CA454" t="str">
            <v>AB6P</v>
          </cell>
          <cell r="CB454" t="str">
            <v>Select Plus</v>
          </cell>
          <cell r="CC454">
            <v>20</v>
          </cell>
          <cell r="CD454">
            <v>45</v>
          </cell>
          <cell r="CE454" t="str">
            <v>N/A</v>
          </cell>
          <cell r="CF454" t="str">
            <v>N/A</v>
          </cell>
          <cell r="CG454">
            <v>45</v>
          </cell>
          <cell r="CH454" t="str">
            <v>$100 POD</v>
          </cell>
          <cell r="CI454" t="str">
            <v>N/A</v>
          </cell>
          <cell r="CJ454" t="str">
            <v>N/A</v>
          </cell>
          <cell r="CK454">
            <v>0.75</v>
          </cell>
          <cell r="CL454" t="str">
            <v>$5,000 / $10,000</v>
          </cell>
          <cell r="CM454" t="str">
            <v>N/A</v>
          </cell>
          <cell r="CN454">
            <v>0.6</v>
          </cell>
          <cell r="CO454" t="str">
            <v>$10,000 / $20,000</v>
          </cell>
          <cell r="CP454" t="str">
            <v>Emb</v>
          </cell>
          <cell r="CS454" t="str">
            <v>INS</v>
          </cell>
          <cell r="CT454" t="str">
            <v>Select +</v>
          </cell>
          <cell r="CU454">
            <v>0.75539999999999996</v>
          </cell>
          <cell r="CW454" t="str">
            <v>SP14&amp;15</v>
          </cell>
          <cell r="CX454">
            <v>0.65839999999999999</v>
          </cell>
        </row>
        <row r="455">
          <cell r="CA455" t="str">
            <v>AB6Q</v>
          </cell>
          <cell r="CB455" t="str">
            <v>Select Plus</v>
          </cell>
          <cell r="CC455">
            <v>10</v>
          </cell>
          <cell r="CD455">
            <v>10</v>
          </cell>
          <cell r="CE455" t="str">
            <v>N/A</v>
          </cell>
          <cell r="CF455">
            <v>100</v>
          </cell>
          <cell r="CG455">
            <v>10</v>
          </cell>
          <cell r="CH455">
            <v>100</v>
          </cell>
          <cell r="CI455" t="str">
            <v>N/A</v>
          </cell>
          <cell r="CJ455" t="str">
            <v>N/A</v>
          </cell>
          <cell r="CK455">
            <v>1</v>
          </cell>
          <cell r="CL455" t="str">
            <v>$500 / $1,000</v>
          </cell>
          <cell r="CM455" t="str">
            <v>$500 / $1,000</v>
          </cell>
          <cell r="CN455">
            <v>0.5</v>
          </cell>
          <cell r="CO455" t="str">
            <v>$2,000 / $4,000</v>
          </cell>
          <cell r="CP455" t="str">
            <v>Emb</v>
          </cell>
          <cell r="CS455" t="str">
            <v>INS</v>
          </cell>
          <cell r="CT455" t="str">
            <v>Select +</v>
          </cell>
          <cell r="CU455">
            <v>1.0065</v>
          </cell>
          <cell r="CW455" t="str">
            <v>SP14&amp;15</v>
          </cell>
          <cell r="CX455">
            <v>0.74439999999999995</v>
          </cell>
        </row>
        <row r="456">
          <cell r="CA456" t="str">
            <v>AHT3</v>
          </cell>
          <cell r="CB456" t="str">
            <v>Select Plus HSA</v>
          </cell>
          <cell r="CC456" t="str">
            <v>N/A</v>
          </cell>
          <cell r="CD456" t="str">
            <v>N/A</v>
          </cell>
          <cell r="CE456" t="str">
            <v>N/A</v>
          </cell>
          <cell r="CF456" t="str">
            <v>$100 POD</v>
          </cell>
          <cell r="CG456" t="str">
            <v>N/A</v>
          </cell>
          <cell r="CH456" t="str">
            <v>$100 POD</v>
          </cell>
          <cell r="CI456" t="str">
            <v>N/A</v>
          </cell>
          <cell r="CJ456" t="str">
            <v>$3,000 / $6,000</v>
          </cell>
          <cell r="CK456">
            <v>0.8</v>
          </cell>
          <cell r="CL456" t="str">
            <v>$5,000 / $10,000</v>
          </cell>
          <cell r="CM456" t="str">
            <v>$6,000 / $12,000</v>
          </cell>
          <cell r="CN456">
            <v>0.6</v>
          </cell>
          <cell r="CO456" t="str">
            <v>$12,000 / $24,000</v>
          </cell>
          <cell r="CP456" t="str">
            <v>Emb</v>
          </cell>
          <cell r="CS456" t="str">
            <v>INS</v>
          </cell>
          <cell r="CT456" t="str">
            <v>Select +</v>
          </cell>
          <cell r="CU456">
            <v>0.62160000000000004</v>
          </cell>
          <cell r="CV456" t="str">
            <v>H9-HSA</v>
          </cell>
          <cell r="CW456" t="str">
            <v>SPHSA14&amp;15</v>
          </cell>
          <cell r="CX456">
            <v>0.68489999999999995</v>
          </cell>
        </row>
        <row r="457">
          <cell r="CA457" t="str">
            <v>AHT4</v>
          </cell>
          <cell r="CB457" t="str">
            <v>Select Plus HSA</v>
          </cell>
          <cell r="CC457" t="str">
            <v>N/A</v>
          </cell>
          <cell r="CD457" t="str">
            <v>N/A</v>
          </cell>
          <cell r="CE457" t="str">
            <v>N/A</v>
          </cell>
          <cell r="CF457" t="str">
            <v>$100 POD</v>
          </cell>
          <cell r="CG457" t="str">
            <v>N/A</v>
          </cell>
          <cell r="CH457" t="str">
            <v>$100 POD</v>
          </cell>
          <cell r="CI457" t="str">
            <v>N/A</v>
          </cell>
          <cell r="CJ457" t="str">
            <v>$3,000 / $6,000</v>
          </cell>
          <cell r="CK457">
            <v>0.8</v>
          </cell>
          <cell r="CL457" t="str">
            <v>$5,000 / $10,000</v>
          </cell>
          <cell r="CM457" t="str">
            <v>$3,000 / $6,000</v>
          </cell>
          <cell r="CN457">
            <v>0.6</v>
          </cell>
          <cell r="CO457" t="str">
            <v>$10,000 / $20,000</v>
          </cell>
          <cell r="CP457" t="str">
            <v>Emb</v>
          </cell>
          <cell r="CS457" t="str">
            <v>INS</v>
          </cell>
          <cell r="CT457" t="str">
            <v>Select +</v>
          </cell>
          <cell r="CU457">
            <v>0.62429999999999997</v>
          </cell>
          <cell r="CV457" t="str">
            <v>H9-HSA</v>
          </cell>
          <cell r="CW457" t="str">
            <v>SPHSA14&amp;15</v>
          </cell>
          <cell r="CX457">
            <v>0.68489999999999995</v>
          </cell>
        </row>
        <row r="458">
          <cell r="CA458" t="str">
            <v>AHT5</v>
          </cell>
          <cell r="CB458" t="str">
            <v>Select Plus HSA</v>
          </cell>
          <cell r="CC458" t="str">
            <v>N/A</v>
          </cell>
          <cell r="CD458" t="str">
            <v>N/A</v>
          </cell>
          <cell r="CE458" t="str">
            <v>N/A</v>
          </cell>
          <cell r="CF458" t="str">
            <v>$100 POD</v>
          </cell>
          <cell r="CG458" t="str">
            <v>N/A</v>
          </cell>
          <cell r="CH458" t="str">
            <v>$100 POD</v>
          </cell>
          <cell r="CI458" t="str">
            <v>N/A</v>
          </cell>
          <cell r="CJ458" t="str">
            <v>$3,500 / $7,000</v>
          </cell>
          <cell r="CK458">
            <v>0.8</v>
          </cell>
          <cell r="CL458" t="str">
            <v>$5,500 / $11,000</v>
          </cell>
          <cell r="CM458" t="str">
            <v>$3,500 / $7,000</v>
          </cell>
          <cell r="CN458">
            <v>0.5</v>
          </cell>
          <cell r="CO458" t="str">
            <v>$10,000 / $20,000</v>
          </cell>
          <cell r="CP458" t="str">
            <v>Emb</v>
          </cell>
          <cell r="CS458" t="str">
            <v>INS</v>
          </cell>
          <cell r="CT458" t="str">
            <v>Select +</v>
          </cell>
          <cell r="CU458">
            <v>0.6028</v>
          </cell>
          <cell r="CV458" t="str">
            <v>H9-HSA</v>
          </cell>
          <cell r="CW458" t="str">
            <v>SPHSA14&amp;15</v>
          </cell>
          <cell r="CX458">
            <v>0.66159999999999997</v>
          </cell>
        </row>
        <row r="459">
          <cell r="CA459" t="str">
            <v>AHT6</v>
          </cell>
          <cell r="CB459" t="str">
            <v>Select Plus HSA</v>
          </cell>
          <cell r="CC459" t="str">
            <v>N/A</v>
          </cell>
          <cell r="CD459" t="str">
            <v>N/A</v>
          </cell>
          <cell r="CE459" t="str">
            <v>N/A</v>
          </cell>
          <cell r="CF459" t="str">
            <v>$100 POD</v>
          </cell>
          <cell r="CG459" t="str">
            <v>N/A</v>
          </cell>
          <cell r="CH459" t="str">
            <v>$100 POD</v>
          </cell>
          <cell r="CI459" t="str">
            <v>N/A</v>
          </cell>
          <cell r="CJ459" t="str">
            <v>$4,000 / $8,000</v>
          </cell>
          <cell r="CK459">
            <v>0.8</v>
          </cell>
          <cell r="CL459" t="str">
            <v>$5,500 / $11,000</v>
          </cell>
          <cell r="CM459" t="str">
            <v>$4,000 / $8,000</v>
          </cell>
          <cell r="CN459">
            <v>0.5</v>
          </cell>
          <cell r="CO459" t="str">
            <v>$10,000 / $20,000</v>
          </cell>
          <cell r="CP459" t="str">
            <v>Emb</v>
          </cell>
          <cell r="CS459" t="str">
            <v>INS</v>
          </cell>
          <cell r="CT459" t="str">
            <v>Select +</v>
          </cell>
          <cell r="CU459">
            <v>0.59319999999999995</v>
          </cell>
          <cell r="CV459" t="str">
            <v>H9-HSA</v>
          </cell>
          <cell r="CW459" t="str">
            <v>SPHSA14&amp;15</v>
          </cell>
          <cell r="CX459">
            <v>0.64880000000000004</v>
          </cell>
        </row>
        <row r="460">
          <cell r="CA460" t="str">
            <v>AHT7</v>
          </cell>
          <cell r="CB460" t="str">
            <v>Select Plus HSA</v>
          </cell>
          <cell r="CC460" t="str">
            <v>N/A</v>
          </cell>
          <cell r="CD460" t="str">
            <v>N/A</v>
          </cell>
          <cell r="CE460" t="str">
            <v>N/A</v>
          </cell>
          <cell r="CF460" t="str">
            <v>N/A</v>
          </cell>
          <cell r="CG460" t="str">
            <v>N/A</v>
          </cell>
          <cell r="CH460" t="str">
            <v>N/A</v>
          </cell>
          <cell r="CI460" t="str">
            <v>N/A</v>
          </cell>
          <cell r="CJ460" t="str">
            <v>$4,500 / $9,000</v>
          </cell>
          <cell r="CK460">
            <v>0.8</v>
          </cell>
          <cell r="CL460" t="str">
            <v>$6,350 / $12,700</v>
          </cell>
          <cell r="CM460" t="str">
            <v>$9,000 / $18,000</v>
          </cell>
          <cell r="CN460">
            <v>0.5</v>
          </cell>
          <cell r="CO460" t="str">
            <v>$12,700 / $25,400</v>
          </cell>
          <cell r="CP460" t="str">
            <v>Emb</v>
          </cell>
          <cell r="CS460" t="str">
            <v>INS</v>
          </cell>
          <cell r="CT460" t="str">
            <v>Select +</v>
          </cell>
          <cell r="CU460">
            <v>0.57089999999999996</v>
          </cell>
          <cell r="CV460" t="str">
            <v>H9-HSA</v>
          </cell>
          <cell r="CW460" t="str">
            <v>SPHSA14&amp;15</v>
          </cell>
          <cell r="CX460">
            <v>0.624</v>
          </cell>
        </row>
        <row r="461">
          <cell r="CA461" t="str">
            <v>AHT8</v>
          </cell>
          <cell r="CB461" t="str">
            <v>Select Plus HSA</v>
          </cell>
          <cell r="CC461" t="str">
            <v>N/A</v>
          </cell>
          <cell r="CD461" t="str">
            <v>N/A</v>
          </cell>
          <cell r="CE461" t="str">
            <v>N/A</v>
          </cell>
          <cell r="CF461" t="str">
            <v>N/A</v>
          </cell>
          <cell r="CG461" t="str">
            <v>N/A</v>
          </cell>
          <cell r="CH461" t="str">
            <v>$200 POD</v>
          </cell>
          <cell r="CI461" t="str">
            <v>N/A</v>
          </cell>
          <cell r="CJ461" t="str">
            <v>$5,500 / $11,000</v>
          </cell>
          <cell r="CK461">
            <v>0.6</v>
          </cell>
          <cell r="CL461" t="str">
            <v>$6,350 / $12,700</v>
          </cell>
          <cell r="CM461" t="str">
            <v>$5,500 / $11,000</v>
          </cell>
          <cell r="CN461">
            <v>0.5</v>
          </cell>
          <cell r="CO461" t="str">
            <v>$10,000 / $20,000</v>
          </cell>
          <cell r="CP461" t="str">
            <v>Emb</v>
          </cell>
          <cell r="CS461" t="str">
            <v>INS</v>
          </cell>
          <cell r="CT461" t="str">
            <v>Select +</v>
          </cell>
          <cell r="CU461">
            <v>0.55889999999999995</v>
          </cell>
          <cell r="CV461" t="str">
            <v>H9-HSA</v>
          </cell>
          <cell r="CW461" t="str">
            <v>SPHSA14&amp;15</v>
          </cell>
          <cell r="CX461">
            <v>0.6028</v>
          </cell>
        </row>
        <row r="462">
          <cell r="CA462" t="str">
            <v>AHT9</v>
          </cell>
          <cell r="CB462" t="str">
            <v>Select Plus HSA</v>
          </cell>
          <cell r="CC462" t="str">
            <v>N/A</v>
          </cell>
          <cell r="CD462" t="str">
            <v>N/A</v>
          </cell>
          <cell r="CE462" t="str">
            <v>N/A</v>
          </cell>
          <cell r="CF462" t="str">
            <v>N/A</v>
          </cell>
          <cell r="CG462" t="str">
            <v>N/A</v>
          </cell>
          <cell r="CH462" t="str">
            <v>N/A</v>
          </cell>
          <cell r="CI462" t="str">
            <v>N/A</v>
          </cell>
          <cell r="CJ462" t="str">
            <v>$6,350 / $12,700</v>
          </cell>
          <cell r="CK462">
            <v>1</v>
          </cell>
          <cell r="CL462" t="str">
            <v>$6,350 / $12,700</v>
          </cell>
          <cell r="CM462" t="str">
            <v>$9,525 / $19,050</v>
          </cell>
          <cell r="CN462">
            <v>0.5</v>
          </cell>
          <cell r="CO462" t="str">
            <v>$12,700 / $25,400</v>
          </cell>
          <cell r="CP462" t="str">
            <v>Emb</v>
          </cell>
          <cell r="CS462" t="str">
            <v>INS</v>
          </cell>
          <cell r="CT462" t="str">
            <v>Select +</v>
          </cell>
          <cell r="CU462">
            <v>0.55979999999999996</v>
          </cell>
          <cell r="CV462" t="str">
            <v>H9-HSA</v>
          </cell>
          <cell r="CW462" t="str">
            <v>SPHSA14&amp;15</v>
          </cell>
          <cell r="CX462">
            <v>0.60040000000000004</v>
          </cell>
        </row>
        <row r="463">
          <cell r="CA463" t="str">
            <v>AKJX</v>
          </cell>
          <cell r="CB463" t="str">
            <v>Select Plus</v>
          </cell>
          <cell r="CC463">
            <v>15</v>
          </cell>
          <cell r="CD463">
            <v>25</v>
          </cell>
          <cell r="CE463">
            <v>0</v>
          </cell>
          <cell r="CF463">
            <v>0</v>
          </cell>
          <cell r="CG463">
            <v>50</v>
          </cell>
          <cell r="CH463">
            <v>150</v>
          </cell>
          <cell r="CI463">
            <v>0</v>
          </cell>
          <cell r="CJ463" t="str">
            <v>$0 / $0</v>
          </cell>
          <cell r="CK463">
            <v>1</v>
          </cell>
          <cell r="CL463" t="str">
            <v>$2,500 / $5,000</v>
          </cell>
          <cell r="CM463" t="str">
            <v>$1,000 / $2,000</v>
          </cell>
          <cell r="CN463">
            <v>0.8</v>
          </cell>
          <cell r="CO463" t="str">
            <v>$5,000 / $10,000</v>
          </cell>
          <cell r="CP463" t="str">
            <v>Emb</v>
          </cell>
          <cell r="CS463" t="str">
            <v>INS</v>
          </cell>
          <cell r="CT463" t="str">
            <v>Select +</v>
          </cell>
          <cell r="CU463">
            <v>0.94199999999999995</v>
          </cell>
          <cell r="CW463" t="str">
            <v>SP14&amp;15</v>
          </cell>
          <cell r="CX463">
            <v>0.72950000000000004</v>
          </cell>
        </row>
        <row r="464">
          <cell r="CA464" t="str">
            <v>AKJZ</v>
          </cell>
          <cell r="CB464" t="str">
            <v>Select Plus</v>
          </cell>
          <cell r="CC464">
            <v>20</v>
          </cell>
          <cell r="CD464">
            <v>30</v>
          </cell>
          <cell r="CE464">
            <v>0</v>
          </cell>
          <cell r="CF464">
            <v>0</v>
          </cell>
          <cell r="CG464">
            <v>50</v>
          </cell>
          <cell r="CH464">
            <v>150</v>
          </cell>
          <cell r="CI464">
            <v>0</v>
          </cell>
          <cell r="CJ464" t="str">
            <v>$0 / $0</v>
          </cell>
          <cell r="CK464">
            <v>1</v>
          </cell>
          <cell r="CL464" t="str">
            <v>$2,500 / $5,000</v>
          </cell>
          <cell r="CM464" t="str">
            <v>$1,500 / $3,000</v>
          </cell>
          <cell r="CN464">
            <v>0.8</v>
          </cell>
          <cell r="CO464" t="str">
            <v>$5,000 / $10,000</v>
          </cell>
          <cell r="CP464" t="str">
            <v>Emb</v>
          </cell>
          <cell r="CS464" t="str">
            <v>INS</v>
          </cell>
          <cell r="CT464" t="str">
            <v>Select +</v>
          </cell>
          <cell r="CU464">
            <v>0.93240000000000001</v>
          </cell>
          <cell r="CW464" t="str">
            <v>SP14&amp;15</v>
          </cell>
          <cell r="CX464">
            <v>0.72270000000000001</v>
          </cell>
        </row>
        <row r="465">
          <cell r="CA465" t="str">
            <v>AKK2</v>
          </cell>
          <cell r="CB465" t="str">
            <v>Select Plus</v>
          </cell>
          <cell r="CC465">
            <v>25</v>
          </cell>
          <cell r="CD465">
            <v>40</v>
          </cell>
          <cell r="CE465" t="str">
            <v>N/A</v>
          </cell>
          <cell r="CF465" t="str">
            <v>N/A</v>
          </cell>
          <cell r="CG465">
            <v>125</v>
          </cell>
          <cell r="CH465">
            <v>250</v>
          </cell>
          <cell r="CI465" t="str">
            <v>N/A</v>
          </cell>
          <cell r="CJ465" t="str">
            <v>$2,000 / $4,000</v>
          </cell>
          <cell r="CK465">
            <v>0.8</v>
          </cell>
          <cell r="CL465" t="str">
            <v>$5,000 / $10,000</v>
          </cell>
          <cell r="CM465" t="str">
            <v>$4,000 / $8,000</v>
          </cell>
          <cell r="CN465">
            <v>0.5</v>
          </cell>
          <cell r="CO465" t="str">
            <v>$10,000 / $20,000</v>
          </cell>
          <cell r="CP465" t="str">
            <v>Emb</v>
          </cell>
          <cell r="CS465" t="str">
            <v>INS</v>
          </cell>
          <cell r="CT465" t="str">
            <v>Select +</v>
          </cell>
          <cell r="CU465">
            <v>0.69289999999999996</v>
          </cell>
          <cell r="CW465" t="str">
            <v>SP14&amp;15</v>
          </cell>
          <cell r="CX465">
            <v>0.60170000000000001</v>
          </cell>
        </row>
        <row r="466">
          <cell r="CA466" t="str">
            <v>AKK3</v>
          </cell>
          <cell r="CB466" t="str">
            <v>Select Plus</v>
          </cell>
          <cell r="CC466">
            <v>20</v>
          </cell>
          <cell r="CD466">
            <v>40</v>
          </cell>
          <cell r="CE466" t="str">
            <v>N/A</v>
          </cell>
          <cell r="CF466" t="str">
            <v>N/A</v>
          </cell>
          <cell r="CG466">
            <v>125</v>
          </cell>
          <cell r="CH466">
            <v>250</v>
          </cell>
          <cell r="CI466" t="str">
            <v>N/A</v>
          </cell>
          <cell r="CJ466" t="str">
            <v>$2,500 / $5,000</v>
          </cell>
          <cell r="CK466">
            <v>0.8</v>
          </cell>
          <cell r="CL466" t="str">
            <v>$5,000 / $10,000</v>
          </cell>
          <cell r="CM466" t="str">
            <v>$4,500 / $9,000</v>
          </cell>
          <cell r="CN466">
            <v>0.5</v>
          </cell>
          <cell r="CO466" t="str">
            <v>$10,000 / $20,000</v>
          </cell>
          <cell r="CP466" t="str">
            <v>Emb</v>
          </cell>
          <cell r="CS466" t="str">
            <v>INS</v>
          </cell>
          <cell r="CT466" t="str">
            <v>Select +</v>
          </cell>
          <cell r="CU466">
            <v>0.68589999999999995</v>
          </cell>
          <cell r="CW466" t="str">
            <v>SP14&amp;15</v>
          </cell>
          <cell r="CX466">
            <v>0.59850000000000003</v>
          </cell>
        </row>
        <row r="467">
          <cell r="CA467" t="str">
            <v>AKK4</v>
          </cell>
          <cell r="CB467" t="str">
            <v>Select Plus</v>
          </cell>
          <cell r="CC467">
            <v>25</v>
          </cell>
          <cell r="CD467">
            <v>50</v>
          </cell>
          <cell r="CE467" t="str">
            <v>N/A</v>
          </cell>
          <cell r="CF467" t="str">
            <v>N/A</v>
          </cell>
          <cell r="CG467">
            <v>125</v>
          </cell>
          <cell r="CH467">
            <v>250</v>
          </cell>
          <cell r="CI467" t="str">
            <v>N/A</v>
          </cell>
          <cell r="CJ467" t="str">
            <v>$3,000 / $6,000</v>
          </cell>
          <cell r="CK467">
            <v>0.7</v>
          </cell>
          <cell r="CL467" t="str">
            <v>$5,000 / $10,000</v>
          </cell>
          <cell r="CM467" t="str">
            <v>$6,000 / $12,000</v>
          </cell>
          <cell r="CN467">
            <v>0.5</v>
          </cell>
          <cell r="CO467" t="str">
            <v>$10,000 / $20,000</v>
          </cell>
          <cell r="CP467" t="str">
            <v>Emb</v>
          </cell>
          <cell r="CS467" t="str">
            <v>INS</v>
          </cell>
          <cell r="CT467" t="str">
            <v>Select +</v>
          </cell>
          <cell r="CU467">
            <v>0.66879999999999995</v>
          </cell>
          <cell r="CW467" t="str">
            <v>SP14&amp;15</v>
          </cell>
          <cell r="CX467">
            <v>0.58740000000000003</v>
          </cell>
        </row>
        <row r="468">
          <cell r="CA468" t="str">
            <v>AKK5</v>
          </cell>
          <cell r="CB468" t="str">
            <v>Select Plus</v>
          </cell>
          <cell r="CC468">
            <v>10</v>
          </cell>
          <cell r="CD468">
            <v>10</v>
          </cell>
          <cell r="CE468" t="str">
            <v>N/A</v>
          </cell>
          <cell r="CF468" t="str">
            <v>$100 POD</v>
          </cell>
          <cell r="CG468">
            <v>10</v>
          </cell>
          <cell r="CH468" t="str">
            <v>$100 POD</v>
          </cell>
          <cell r="CI468" t="str">
            <v>N/A</v>
          </cell>
          <cell r="CJ468" t="str">
            <v>$1,000 / $2,000</v>
          </cell>
          <cell r="CK468">
            <v>0.9</v>
          </cell>
          <cell r="CL468" t="str">
            <v>$3,500 / $7,000</v>
          </cell>
          <cell r="CM468" t="str">
            <v>$1,000 / $2,000</v>
          </cell>
          <cell r="CN468">
            <v>0.7</v>
          </cell>
          <cell r="CO468" t="str">
            <v>$6,000 / $12,000</v>
          </cell>
          <cell r="CP468" t="str">
            <v>Emb</v>
          </cell>
          <cell r="CS468" t="str">
            <v>INS</v>
          </cell>
          <cell r="CT468" t="str">
            <v>Select +</v>
          </cell>
          <cell r="CU468">
            <v>0.78259999999999996</v>
          </cell>
          <cell r="CW468" t="str">
            <v>SP14&amp;15</v>
          </cell>
          <cell r="CX468">
            <v>0.67649999999999999</v>
          </cell>
        </row>
        <row r="469">
          <cell r="CA469" t="str">
            <v>AKK6</v>
          </cell>
          <cell r="CB469" t="str">
            <v>Select Plus</v>
          </cell>
          <cell r="CC469">
            <v>35</v>
          </cell>
          <cell r="CD469">
            <v>35</v>
          </cell>
          <cell r="CE469" t="str">
            <v>N/A</v>
          </cell>
          <cell r="CF469" t="str">
            <v>$100 POD</v>
          </cell>
          <cell r="CG469">
            <v>35</v>
          </cell>
          <cell r="CH469" t="str">
            <v>$100 POD</v>
          </cell>
          <cell r="CI469" t="str">
            <v>N/A</v>
          </cell>
          <cell r="CJ469" t="str">
            <v>$1,000 / $2,000</v>
          </cell>
          <cell r="CK469">
            <v>0.8</v>
          </cell>
          <cell r="CL469" t="str">
            <v>$5,000 / $10,000</v>
          </cell>
          <cell r="CM469" t="str">
            <v>$2,000 / $4,000</v>
          </cell>
          <cell r="CN469">
            <v>0.6</v>
          </cell>
          <cell r="CO469" t="str">
            <v>$10,000 / $20,000</v>
          </cell>
          <cell r="CP469" t="str">
            <v>Emb</v>
          </cell>
          <cell r="CS469" t="str">
            <v>INS</v>
          </cell>
          <cell r="CT469" t="str">
            <v>Select +</v>
          </cell>
          <cell r="CU469">
            <v>0.69830000000000003</v>
          </cell>
          <cell r="CW469" t="str">
            <v>SP14&amp;15</v>
          </cell>
          <cell r="CX469">
            <v>0.62290000000000001</v>
          </cell>
        </row>
        <row r="470">
          <cell r="CA470" t="str">
            <v>AKK8</v>
          </cell>
          <cell r="CB470" t="str">
            <v>Select Plus</v>
          </cell>
          <cell r="CC470">
            <v>15</v>
          </cell>
          <cell r="CD470">
            <v>15</v>
          </cell>
          <cell r="CE470" t="str">
            <v>N/A</v>
          </cell>
          <cell r="CF470" t="str">
            <v>$100 POD</v>
          </cell>
          <cell r="CG470">
            <v>15</v>
          </cell>
          <cell r="CH470" t="str">
            <v>$300 POD</v>
          </cell>
          <cell r="CI470" t="str">
            <v>N/A</v>
          </cell>
          <cell r="CJ470" t="str">
            <v>$1,500 / $3,000</v>
          </cell>
          <cell r="CK470">
            <v>0.8</v>
          </cell>
          <cell r="CL470" t="str">
            <v>$4,500 / $9,000</v>
          </cell>
          <cell r="CM470" t="str">
            <v>$1,500 / $3,000</v>
          </cell>
          <cell r="CN470">
            <v>0.5</v>
          </cell>
          <cell r="CO470" t="str">
            <v>$7,500 / $15,000</v>
          </cell>
          <cell r="CP470" t="str">
            <v>Emb</v>
          </cell>
          <cell r="CS470" t="str">
            <v>INS</v>
          </cell>
          <cell r="CT470" t="str">
            <v>Select +</v>
          </cell>
          <cell r="CU470">
            <v>0.70409999999999995</v>
          </cell>
          <cell r="CW470" t="str">
            <v>SP14&amp;15</v>
          </cell>
          <cell r="CX470">
            <v>0.63839999999999997</v>
          </cell>
        </row>
        <row r="471">
          <cell r="CA471" t="str">
            <v>AKK9</v>
          </cell>
          <cell r="CB471" t="str">
            <v>Select Plus</v>
          </cell>
          <cell r="CC471">
            <v>20</v>
          </cell>
          <cell r="CD471">
            <v>20</v>
          </cell>
          <cell r="CE471" t="str">
            <v>N/A</v>
          </cell>
          <cell r="CF471" t="str">
            <v>$100 POD</v>
          </cell>
          <cell r="CG471">
            <v>20</v>
          </cell>
          <cell r="CH471" t="str">
            <v>$100 POD</v>
          </cell>
          <cell r="CI471" t="str">
            <v>N/A</v>
          </cell>
          <cell r="CJ471" t="str">
            <v>$2,000 / $4,000</v>
          </cell>
          <cell r="CK471">
            <v>0.8</v>
          </cell>
          <cell r="CL471" t="str">
            <v>$5,500 / $11,000</v>
          </cell>
          <cell r="CM471" t="str">
            <v>$2,000 / $4,000</v>
          </cell>
          <cell r="CN471">
            <v>0.5</v>
          </cell>
          <cell r="CO471" t="str">
            <v>$9,000 / $18,000</v>
          </cell>
          <cell r="CP471" t="str">
            <v>Emb</v>
          </cell>
          <cell r="CS471" t="str">
            <v>INS</v>
          </cell>
          <cell r="CT471" t="str">
            <v>Select +</v>
          </cell>
          <cell r="CU471">
            <v>0.66959999999999997</v>
          </cell>
          <cell r="CW471" t="str">
            <v>SP14&amp;15</v>
          </cell>
          <cell r="CX471">
            <v>0.62060000000000004</v>
          </cell>
        </row>
        <row r="472">
          <cell r="CA472" t="str">
            <v>AKKK</v>
          </cell>
          <cell r="CB472" t="str">
            <v>Select Plus</v>
          </cell>
          <cell r="CC472">
            <v>20</v>
          </cell>
          <cell r="CD472">
            <v>40</v>
          </cell>
          <cell r="CE472" t="str">
            <v>N/A</v>
          </cell>
          <cell r="CF472" t="str">
            <v>N/A</v>
          </cell>
          <cell r="CG472">
            <v>50</v>
          </cell>
          <cell r="CH472">
            <v>100</v>
          </cell>
          <cell r="CI472" t="str">
            <v>N/A</v>
          </cell>
          <cell r="CJ472" t="str">
            <v>$500 / $1,000</v>
          </cell>
          <cell r="CK472">
            <v>0.8</v>
          </cell>
          <cell r="CL472" t="str">
            <v>$4,500 / $9,000</v>
          </cell>
          <cell r="CM472" t="str">
            <v>$1,000 / $2,000</v>
          </cell>
          <cell r="CN472">
            <v>0.6</v>
          </cell>
          <cell r="CO472" t="str">
            <v>$9,000 / $18,000</v>
          </cell>
          <cell r="CP472" t="str">
            <v>Emb</v>
          </cell>
          <cell r="CS472" t="str">
            <v>INS</v>
          </cell>
          <cell r="CT472" t="str">
            <v>Select +</v>
          </cell>
          <cell r="CU472">
            <v>0.76580000000000004</v>
          </cell>
          <cell r="CW472" t="str">
            <v>SP14&amp;15</v>
          </cell>
          <cell r="CX472">
            <v>0.64910000000000001</v>
          </cell>
        </row>
        <row r="473">
          <cell r="CA473" t="str">
            <v>AKKM</v>
          </cell>
          <cell r="CB473" t="str">
            <v>Select Plus</v>
          </cell>
          <cell r="CC473">
            <v>20</v>
          </cell>
          <cell r="CD473">
            <v>30</v>
          </cell>
          <cell r="CE473" t="str">
            <v>N/A</v>
          </cell>
          <cell r="CF473" t="str">
            <v>$500 POD</v>
          </cell>
          <cell r="CG473">
            <v>125</v>
          </cell>
          <cell r="CH473">
            <v>250</v>
          </cell>
          <cell r="CI473" t="str">
            <v>N/A</v>
          </cell>
          <cell r="CJ473" t="str">
            <v>$250 / $500</v>
          </cell>
          <cell r="CK473">
            <v>0.7</v>
          </cell>
          <cell r="CL473" t="str">
            <v>$3,500 / $7,000</v>
          </cell>
          <cell r="CM473" t="str">
            <v>$500 / $1,000</v>
          </cell>
          <cell r="CN473">
            <v>0.5</v>
          </cell>
          <cell r="CO473" t="str">
            <v>$7,000 / $14,000</v>
          </cell>
          <cell r="CP473" t="str">
            <v>Emb</v>
          </cell>
          <cell r="CS473" t="str">
            <v>INS</v>
          </cell>
          <cell r="CT473" t="str">
            <v>Select +</v>
          </cell>
          <cell r="CU473">
            <v>0.77310000000000001</v>
          </cell>
          <cell r="CW473" t="str">
            <v>SP14&amp;15</v>
          </cell>
          <cell r="CX473">
            <v>0.66169999999999995</v>
          </cell>
        </row>
        <row r="474">
          <cell r="CA474" t="str">
            <v>AKKS</v>
          </cell>
          <cell r="CB474" t="str">
            <v>Select Plus</v>
          </cell>
          <cell r="CC474">
            <v>20</v>
          </cell>
          <cell r="CD474">
            <v>40</v>
          </cell>
          <cell r="CE474" t="str">
            <v>N/A</v>
          </cell>
          <cell r="CF474" t="str">
            <v>N/A</v>
          </cell>
          <cell r="CG474">
            <v>125</v>
          </cell>
          <cell r="CH474">
            <v>250</v>
          </cell>
          <cell r="CI474" t="str">
            <v>N/A</v>
          </cell>
          <cell r="CJ474" t="str">
            <v>$1,000 / $2,000</v>
          </cell>
          <cell r="CK474">
            <v>0.9</v>
          </cell>
          <cell r="CL474" t="str">
            <v>$3,000 / $6,000</v>
          </cell>
          <cell r="CM474" t="str">
            <v>$2,000 / $4,000</v>
          </cell>
          <cell r="CN474">
            <v>0.7</v>
          </cell>
          <cell r="CO474" t="str">
            <v>$6,000 / $12,000</v>
          </cell>
          <cell r="CP474" t="str">
            <v>Emb</v>
          </cell>
          <cell r="CS474" t="str">
            <v>INS</v>
          </cell>
          <cell r="CT474" t="str">
            <v>Select +</v>
          </cell>
          <cell r="CU474">
            <v>0.78239999999999998</v>
          </cell>
          <cell r="CW474" t="str">
            <v>SP14&amp;15</v>
          </cell>
          <cell r="CX474">
            <v>0.64190000000000003</v>
          </cell>
        </row>
        <row r="475">
          <cell r="CA475" t="str">
            <v>AKKV</v>
          </cell>
          <cell r="CB475" t="str">
            <v>Select Plus</v>
          </cell>
          <cell r="CC475">
            <v>25</v>
          </cell>
          <cell r="CD475">
            <v>35</v>
          </cell>
          <cell r="CE475" t="str">
            <v>N/A</v>
          </cell>
          <cell r="CF475" t="str">
            <v>N/A</v>
          </cell>
          <cell r="CG475">
            <v>125</v>
          </cell>
          <cell r="CH475">
            <v>250</v>
          </cell>
          <cell r="CI475" t="str">
            <v>N/A</v>
          </cell>
          <cell r="CJ475" t="str">
            <v>$1,000 / $2,000</v>
          </cell>
          <cell r="CK475">
            <v>0.8</v>
          </cell>
          <cell r="CL475" t="str">
            <v>$3,000 / $6,000</v>
          </cell>
          <cell r="CM475" t="str">
            <v>$2,000 / $4,000</v>
          </cell>
          <cell r="CN475">
            <v>0.6</v>
          </cell>
          <cell r="CO475" t="str">
            <v>$3,000 / $6,000</v>
          </cell>
          <cell r="CP475" t="str">
            <v>Emb</v>
          </cell>
          <cell r="CS475" t="str">
            <v>INS</v>
          </cell>
          <cell r="CT475" t="str">
            <v>Select +</v>
          </cell>
          <cell r="CU475">
            <v>0.76729999999999998</v>
          </cell>
          <cell r="CW475" t="str">
            <v>SP14&amp;15</v>
          </cell>
          <cell r="CX475">
            <v>0.64290000000000003</v>
          </cell>
        </row>
        <row r="476">
          <cell r="CA476" t="str">
            <v>AKKY</v>
          </cell>
          <cell r="CB476" t="str">
            <v>Select Plus</v>
          </cell>
          <cell r="CC476">
            <v>30</v>
          </cell>
          <cell r="CD476">
            <v>50</v>
          </cell>
          <cell r="CE476" t="str">
            <v>N/A</v>
          </cell>
          <cell r="CF476" t="str">
            <v>N/A</v>
          </cell>
          <cell r="CG476">
            <v>125</v>
          </cell>
          <cell r="CH476">
            <v>250</v>
          </cell>
          <cell r="CI476" t="str">
            <v>N/A</v>
          </cell>
          <cell r="CJ476" t="str">
            <v>$1,000 / $2,000</v>
          </cell>
          <cell r="CK476">
            <v>0.8</v>
          </cell>
          <cell r="CL476" t="str">
            <v>$3,000 / $6,000</v>
          </cell>
          <cell r="CM476" t="str">
            <v>$2,000 / $4,000</v>
          </cell>
          <cell r="CN476">
            <v>0.6</v>
          </cell>
          <cell r="CO476" t="str">
            <v>$6,000 / $12,000</v>
          </cell>
          <cell r="CP476" t="str">
            <v>Emb</v>
          </cell>
          <cell r="CS476" t="str">
            <v>INS</v>
          </cell>
          <cell r="CT476" t="str">
            <v>Select +</v>
          </cell>
          <cell r="CU476">
            <v>0.75449999999999995</v>
          </cell>
          <cell r="CW476" t="str">
            <v>SP14&amp;15</v>
          </cell>
          <cell r="CX476">
            <v>0.63070000000000004</v>
          </cell>
        </row>
        <row r="477">
          <cell r="CA477" t="str">
            <v>AKLA</v>
          </cell>
          <cell r="CB477" t="str">
            <v>Select Plus</v>
          </cell>
          <cell r="CC477">
            <v>25</v>
          </cell>
          <cell r="CD477">
            <v>25</v>
          </cell>
          <cell r="CE477" t="str">
            <v>N/A</v>
          </cell>
          <cell r="CF477" t="str">
            <v>$100 POD</v>
          </cell>
          <cell r="CG477">
            <v>25</v>
          </cell>
          <cell r="CH477" t="str">
            <v>$100 POD</v>
          </cell>
          <cell r="CI477" t="str">
            <v>N/A</v>
          </cell>
          <cell r="CJ477" t="str">
            <v>$2,500 / $5,000</v>
          </cell>
          <cell r="CK477">
            <v>0.8</v>
          </cell>
          <cell r="CL477" t="str">
            <v>$6,350 / $12,700</v>
          </cell>
          <cell r="CM477" t="str">
            <v>$2,500 / $5,000</v>
          </cell>
          <cell r="CN477">
            <v>0.5</v>
          </cell>
          <cell r="CO477" t="str">
            <v>$10,500 / $21,000</v>
          </cell>
          <cell r="CP477" t="str">
            <v>Emb</v>
          </cell>
          <cell r="CS477" t="str">
            <v>INS</v>
          </cell>
          <cell r="CT477" t="str">
            <v>Select +</v>
          </cell>
          <cell r="CU477">
            <v>0.63670000000000004</v>
          </cell>
          <cell r="CW477" t="str">
            <v>SP14&amp;15</v>
          </cell>
          <cell r="CX477">
            <v>0.60319999999999996</v>
          </cell>
        </row>
        <row r="478">
          <cell r="CA478" t="str">
            <v>AKLB</v>
          </cell>
          <cell r="CB478" t="str">
            <v>Select Plus</v>
          </cell>
          <cell r="CC478">
            <v>30</v>
          </cell>
          <cell r="CD478">
            <v>30</v>
          </cell>
          <cell r="CE478" t="str">
            <v>N/A</v>
          </cell>
          <cell r="CF478" t="str">
            <v>$100 POD</v>
          </cell>
          <cell r="CG478">
            <v>30</v>
          </cell>
          <cell r="CH478" t="str">
            <v>$100 POD</v>
          </cell>
          <cell r="CI478" t="str">
            <v>N/A</v>
          </cell>
          <cell r="CJ478" t="str">
            <v>$3,000 / $6,000</v>
          </cell>
          <cell r="CK478">
            <v>0.8</v>
          </cell>
          <cell r="CL478" t="str">
            <v>$6,350 / $12,700</v>
          </cell>
          <cell r="CM478" t="str">
            <v>$3,000 / $6,000</v>
          </cell>
          <cell r="CN478">
            <v>0.5</v>
          </cell>
          <cell r="CO478" t="str">
            <v>$13,000 / $26,000</v>
          </cell>
          <cell r="CP478" t="str">
            <v>Emb</v>
          </cell>
          <cell r="CS478" t="str">
            <v>INS</v>
          </cell>
          <cell r="CT478" t="str">
            <v>Select +</v>
          </cell>
          <cell r="CU478">
            <v>0.61739999999999995</v>
          </cell>
          <cell r="CW478" t="str">
            <v>SP14&amp;15</v>
          </cell>
          <cell r="CX478">
            <v>0.59050000000000002</v>
          </cell>
        </row>
        <row r="479">
          <cell r="CA479" t="str">
            <v>AKLC</v>
          </cell>
          <cell r="CB479" t="str">
            <v>Select Plus</v>
          </cell>
          <cell r="CC479">
            <v>35</v>
          </cell>
          <cell r="CD479">
            <v>35</v>
          </cell>
          <cell r="CE479" t="str">
            <v>N/A</v>
          </cell>
          <cell r="CF479" t="str">
            <v>$100 POD</v>
          </cell>
          <cell r="CG479">
            <v>35</v>
          </cell>
          <cell r="CH479" t="str">
            <v>$100 POD</v>
          </cell>
          <cell r="CI479" t="str">
            <v>N/A</v>
          </cell>
          <cell r="CJ479" t="str">
            <v>$3,500 / $7,000</v>
          </cell>
          <cell r="CK479">
            <v>0.8</v>
          </cell>
          <cell r="CL479" t="str">
            <v>$6,350 / $12,700</v>
          </cell>
          <cell r="CM479" t="str">
            <v>$3,500 / $7,000</v>
          </cell>
          <cell r="CN479">
            <v>0.5</v>
          </cell>
          <cell r="CO479" t="str">
            <v>$13,500 / $27,000</v>
          </cell>
          <cell r="CP479" t="str">
            <v>Emb</v>
          </cell>
          <cell r="CS479" t="str">
            <v>INS</v>
          </cell>
          <cell r="CT479" t="str">
            <v>Select +</v>
          </cell>
          <cell r="CU479">
            <v>0.60029999999999994</v>
          </cell>
          <cell r="CW479" t="str">
            <v>SP14&amp;15</v>
          </cell>
          <cell r="CX479">
            <v>0.57940000000000003</v>
          </cell>
        </row>
        <row r="480">
          <cell r="CA480" t="str">
            <v>AKLD</v>
          </cell>
          <cell r="CB480" t="str">
            <v>Select Plus</v>
          </cell>
          <cell r="CC480">
            <v>40</v>
          </cell>
          <cell r="CD480">
            <v>40</v>
          </cell>
          <cell r="CE480" t="str">
            <v>N/A</v>
          </cell>
          <cell r="CF480" t="str">
            <v>$100 POD</v>
          </cell>
          <cell r="CG480">
            <v>40</v>
          </cell>
          <cell r="CH480" t="str">
            <v>$100 POD</v>
          </cell>
          <cell r="CI480" t="str">
            <v>N/A</v>
          </cell>
          <cell r="CJ480" t="str">
            <v>$4,000 / $8,000</v>
          </cell>
          <cell r="CK480">
            <v>0.8</v>
          </cell>
          <cell r="CL480" t="str">
            <v>$6,350 / $12,700</v>
          </cell>
          <cell r="CM480" t="str">
            <v>$4,000 / $8,000</v>
          </cell>
          <cell r="CN480">
            <v>0.5</v>
          </cell>
          <cell r="CO480" t="str">
            <v>$14,000 / $28,000</v>
          </cell>
          <cell r="CP480" t="str">
            <v>Emb</v>
          </cell>
          <cell r="CS480" t="str">
            <v>INS</v>
          </cell>
          <cell r="CT480" t="str">
            <v>Select +</v>
          </cell>
          <cell r="CU480">
            <v>0.58640000000000003</v>
          </cell>
          <cell r="CW480" t="str">
            <v>SP14&amp;15</v>
          </cell>
          <cell r="CX480">
            <v>0.5696</v>
          </cell>
        </row>
        <row r="481">
          <cell r="CA481" t="str">
            <v>AKLE</v>
          </cell>
          <cell r="CB481" t="str">
            <v>Select Plus</v>
          </cell>
          <cell r="CC481" t="str">
            <v>N/A</v>
          </cell>
          <cell r="CD481" t="str">
            <v>N/A</v>
          </cell>
          <cell r="CE481" t="str">
            <v>N/A</v>
          </cell>
          <cell r="CF481" t="str">
            <v>$100 POD</v>
          </cell>
          <cell r="CG481" t="str">
            <v>N/A</v>
          </cell>
          <cell r="CH481" t="str">
            <v>$100 POD</v>
          </cell>
          <cell r="CI481" t="str">
            <v>N/A</v>
          </cell>
          <cell r="CJ481" t="str">
            <v>$5,500 / $11,000</v>
          </cell>
          <cell r="CK481">
            <v>0.8</v>
          </cell>
          <cell r="CL481" t="str">
            <v>$6,350 / $12,700</v>
          </cell>
          <cell r="CM481" t="str">
            <v>$5,500 / $11,000</v>
          </cell>
          <cell r="CN481">
            <v>0.5</v>
          </cell>
          <cell r="CO481" t="str">
            <v>$10,000 / $20,000</v>
          </cell>
          <cell r="CP481" t="str">
            <v>Emb</v>
          </cell>
          <cell r="CS481" t="str">
            <v>INS</v>
          </cell>
          <cell r="CT481" t="str">
            <v>Select +</v>
          </cell>
          <cell r="CU481">
            <v>0.51149999999999995</v>
          </cell>
          <cell r="CW481" t="str">
            <v>SP14&amp;15</v>
          </cell>
          <cell r="CX481">
            <v>0.49399999999999999</v>
          </cell>
        </row>
        <row r="482">
          <cell r="CA482" t="str">
            <v>AKLU</v>
          </cell>
          <cell r="CB482" t="str">
            <v>Select Plus</v>
          </cell>
          <cell r="CC482">
            <v>15</v>
          </cell>
          <cell r="CD482">
            <v>15</v>
          </cell>
          <cell r="CE482" t="str">
            <v>N/A</v>
          </cell>
          <cell r="CF482" t="str">
            <v>$100 POD</v>
          </cell>
          <cell r="CG482">
            <v>15</v>
          </cell>
          <cell r="CH482" t="str">
            <v>$100 POD</v>
          </cell>
          <cell r="CI482" t="str">
            <v>N/A</v>
          </cell>
          <cell r="CJ482" t="str">
            <v>$500 / $1,000</v>
          </cell>
          <cell r="CK482">
            <v>0.9</v>
          </cell>
          <cell r="CL482" t="str">
            <v>$2,500 / $5,000</v>
          </cell>
          <cell r="CM482" t="str">
            <v>$1,000 / $2,000</v>
          </cell>
          <cell r="CN482">
            <v>0.6</v>
          </cell>
          <cell r="CO482" t="str">
            <v>$5,000 / $10,000</v>
          </cell>
          <cell r="CP482" t="str">
            <v>Emb</v>
          </cell>
          <cell r="CS482" t="str">
            <v>INS</v>
          </cell>
          <cell r="CT482" t="str">
            <v>Select +</v>
          </cell>
          <cell r="CU482">
            <v>0.83289999999999997</v>
          </cell>
          <cell r="CW482" t="str">
            <v>SP14&amp;15</v>
          </cell>
          <cell r="CX482">
            <v>0.69069999999999998</v>
          </cell>
        </row>
        <row r="483">
          <cell r="CA483" t="str">
            <v>AKLV</v>
          </cell>
          <cell r="CB483" t="str">
            <v>Select Plus</v>
          </cell>
          <cell r="CC483">
            <v>20</v>
          </cell>
          <cell r="CD483">
            <v>20</v>
          </cell>
          <cell r="CE483" t="str">
            <v>N/A</v>
          </cell>
          <cell r="CF483" t="str">
            <v>$100 POD</v>
          </cell>
          <cell r="CG483">
            <v>20</v>
          </cell>
          <cell r="CH483" t="str">
            <v>$100 POD</v>
          </cell>
          <cell r="CI483" t="str">
            <v>N/A</v>
          </cell>
          <cell r="CJ483" t="str">
            <v>$500 / $1,000</v>
          </cell>
          <cell r="CK483">
            <v>0.8</v>
          </cell>
          <cell r="CL483" t="str">
            <v>$2,500 / $5,000</v>
          </cell>
          <cell r="CM483" t="str">
            <v>$1,000 / $2,000</v>
          </cell>
          <cell r="CN483">
            <v>0.6</v>
          </cell>
          <cell r="CO483" t="str">
            <v>$5,000 / $10,000</v>
          </cell>
          <cell r="CP483" t="str">
            <v>Emb</v>
          </cell>
          <cell r="CS483" t="str">
            <v>INS</v>
          </cell>
          <cell r="CT483" t="str">
            <v>Select +</v>
          </cell>
          <cell r="CU483">
            <v>0.80059999999999998</v>
          </cell>
          <cell r="CW483" t="str">
            <v>SP14&amp;15</v>
          </cell>
          <cell r="CX483">
            <v>0.67249999999999999</v>
          </cell>
        </row>
        <row r="484">
          <cell r="CA484" t="str">
            <v>AKLY</v>
          </cell>
          <cell r="CB484" t="str">
            <v>Select Plus</v>
          </cell>
          <cell r="CC484">
            <v>25</v>
          </cell>
          <cell r="CD484">
            <v>25</v>
          </cell>
          <cell r="CE484" t="str">
            <v>N/A</v>
          </cell>
          <cell r="CF484" t="str">
            <v>$100 POD</v>
          </cell>
          <cell r="CG484">
            <v>25</v>
          </cell>
          <cell r="CH484" t="str">
            <v>$100 POD</v>
          </cell>
          <cell r="CI484" t="str">
            <v>N/A</v>
          </cell>
          <cell r="CJ484" t="str">
            <v>$750 / $1,500</v>
          </cell>
          <cell r="CK484">
            <v>0.8</v>
          </cell>
          <cell r="CL484" t="str">
            <v>$4,700 / $9,500</v>
          </cell>
          <cell r="CM484" t="str">
            <v>$1,500 / $3,000</v>
          </cell>
          <cell r="CN484">
            <v>0.6</v>
          </cell>
          <cell r="CO484" t="str">
            <v>$9,500 / $19,000</v>
          </cell>
          <cell r="CP484" t="str">
            <v>Emb</v>
          </cell>
          <cell r="CS484" t="str">
            <v>INS</v>
          </cell>
          <cell r="CT484" t="str">
            <v>Select +</v>
          </cell>
          <cell r="CU484">
            <v>0.72599999999999998</v>
          </cell>
          <cell r="CW484" t="str">
            <v>SP14&amp;15</v>
          </cell>
          <cell r="CX484">
            <v>0.64429999999999998</v>
          </cell>
        </row>
        <row r="485">
          <cell r="CA485" t="str">
            <v>AOPN</v>
          </cell>
          <cell r="CB485" t="str">
            <v>Select Plus</v>
          </cell>
          <cell r="CC485">
            <v>0.01</v>
          </cell>
          <cell r="CD485">
            <v>100</v>
          </cell>
          <cell r="CE485" t="str">
            <v>N/A</v>
          </cell>
          <cell r="CF485" t="str">
            <v>N/A</v>
          </cell>
          <cell r="CG485">
            <v>50</v>
          </cell>
          <cell r="CH485" t="str">
            <v>N/A</v>
          </cell>
          <cell r="CI485" t="str">
            <v>N/A</v>
          </cell>
          <cell r="CJ485" t="str">
            <v>$2,000 / $4,000</v>
          </cell>
          <cell r="CK485">
            <v>0.8</v>
          </cell>
          <cell r="CL485" t="str">
            <v>$6,500 / $13,000</v>
          </cell>
          <cell r="CM485" t="str">
            <v>$4,000 / $8,000</v>
          </cell>
          <cell r="CN485">
            <v>0.5</v>
          </cell>
          <cell r="CO485" t="str">
            <v>$13,000 / $26,000</v>
          </cell>
          <cell r="CP485" t="str">
            <v>Emb</v>
          </cell>
          <cell r="CS485" t="str">
            <v>INS</v>
          </cell>
          <cell r="CT485" t="str">
            <v>Select +</v>
          </cell>
          <cell r="CU485">
            <v>0.63119999999999998</v>
          </cell>
          <cell r="CW485" t="str">
            <v>SP17</v>
          </cell>
          <cell r="CX485">
            <v>0.79359999999999997</v>
          </cell>
        </row>
        <row r="486">
          <cell r="CA486" t="str">
            <v>AOPO</v>
          </cell>
          <cell r="CB486" t="str">
            <v>Select Plus</v>
          </cell>
          <cell r="CC486">
            <v>0.01</v>
          </cell>
          <cell r="CD486">
            <v>100</v>
          </cell>
          <cell r="CE486" t="str">
            <v>N/A</v>
          </cell>
          <cell r="CF486" t="str">
            <v>N/A</v>
          </cell>
          <cell r="CG486">
            <v>50</v>
          </cell>
          <cell r="CH486" t="str">
            <v>N/A</v>
          </cell>
          <cell r="CI486" t="str">
            <v>N/A</v>
          </cell>
          <cell r="CJ486" t="str">
            <v>$2,500 / $5,000</v>
          </cell>
          <cell r="CK486">
            <v>0.8</v>
          </cell>
          <cell r="CL486" t="str">
            <v>$6,500 / $13,000</v>
          </cell>
          <cell r="CM486" t="str">
            <v>$,5000 / $10,000</v>
          </cell>
          <cell r="CN486">
            <v>0.5</v>
          </cell>
          <cell r="CO486" t="str">
            <v>$13,000 / $26,000</v>
          </cell>
          <cell r="CP486" t="str">
            <v>Emb</v>
          </cell>
          <cell r="CS486" t="str">
            <v>INS</v>
          </cell>
          <cell r="CT486" t="str">
            <v>Select +</v>
          </cell>
          <cell r="CU486">
            <v>0.61539999999999995</v>
          </cell>
          <cell r="CW486" t="str">
            <v>SP17</v>
          </cell>
          <cell r="CX486">
            <v>0.78569999999999995</v>
          </cell>
        </row>
        <row r="487">
          <cell r="CA487" t="str">
            <v>AOPP</v>
          </cell>
          <cell r="CB487" t="str">
            <v>Select Plus</v>
          </cell>
          <cell r="CC487">
            <v>0.01</v>
          </cell>
          <cell r="CD487">
            <v>100</v>
          </cell>
          <cell r="CE487" t="str">
            <v>N/A</v>
          </cell>
          <cell r="CF487" t="str">
            <v>N/A</v>
          </cell>
          <cell r="CG487">
            <v>50</v>
          </cell>
          <cell r="CH487" t="str">
            <v>N/A</v>
          </cell>
          <cell r="CI487" t="str">
            <v>N/A</v>
          </cell>
          <cell r="CJ487" t="str">
            <v>$3,000 / $6,000</v>
          </cell>
          <cell r="CK487">
            <v>0.8</v>
          </cell>
          <cell r="CL487" t="str">
            <v>$6,500 / $13,000</v>
          </cell>
          <cell r="CM487" t="str">
            <v>$6,000 / $12,000</v>
          </cell>
          <cell r="CN487">
            <v>0.5</v>
          </cell>
          <cell r="CO487" t="str">
            <v>$13,000 / $26,000</v>
          </cell>
          <cell r="CP487" t="str">
            <v>Emb</v>
          </cell>
          <cell r="CS487" t="str">
            <v>INS</v>
          </cell>
          <cell r="CT487" t="str">
            <v>Select +</v>
          </cell>
          <cell r="CU487">
            <v>0.60270000000000001</v>
          </cell>
          <cell r="CW487" t="str">
            <v>SP17</v>
          </cell>
          <cell r="CX487">
            <v>0.77969999999999995</v>
          </cell>
        </row>
        <row r="488">
          <cell r="CA488" t="str">
            <v>AOPQ</v>
          </cell>
          <cell r="CB488" t="str">
            <v>Select Plus</v>
          </cell>
          <cell r="CC488">
            <v>0.01</v>
          </cell>
          <cell r="CD488">
            <v>100</v>
          </cell>
          <cell r="CE488" t="str">
            <v>N/A</v>
          </cell>
          <cell r="CF488" t="str">
            <v>N/A</v>
          </cell>
          <cell r="CG488">
            <v>50</v>
          </cell>
          <cell r="CH488" t="str">
            <v>N/A</v>
          </cell>
          <cell r="CI488" t="str">
            <v>N/A</v>
          </cell>
          <cell r="CJ488" t="str">
            <v>$4,000 / $8,000</v>
          </cell>
          <cell r="CK488">
            <v>0.8</v>
          </cell>
          <cell r="CL488" t="str">
            <v>$6,500 / $13,000</v>
          </cell>
          <cell r="CM488" t="str">
            <v>$8,000 / $16,000</v>
          </cell>
          <cell r="CN488">
            <v>0.5</v>
          </cell>
          <cell r="CO488" t="str">
            <v>$13,000 / $26,000</v>
          </cell>
          <cell r="CP488" t="str">
            <v>Emb</v>
          </cell>
          <cell r="CS488" t="str">
            <v>INS</v>
          </cell>
          <cell r="CT488" t="str">
            <v>Select +</v>
          </cell>
          <cell r="CU488">
            <v>0.58440000000000003</v>
          </cell>
          <cell r="CW488" t="str">
            <v>SP17</v>
          </cell>
          <cell r="CX488">
            <v>0.77239999999999998</v>
          </cell>
        </row>
        <row r="489">
          <cell r="CA489" t="str">
            <v>AOPR</v>
          </cell>
          <cell r="CB489" t="str">
            <v>Select Plus</v>
          </cell>
          <cell r="CC489">
            <v>0.01</v>
          </cell>
          <cell r="CD489">
            <v>100</v>
          </cell>
          <cell r="CE489" t="str">
            <v>N/A</v>
          </cell>
          <cell r="CF489" t="str">
            <v>N/A</v>
          </cell>
          <cell r="CG489">
            <v>50</v>
          </cell>
          <cell r="CH489" t="str">
            <v>N/A</v>
          </cell>
          <cell r="CI489" t="str">
            <v>N/A</v>
          </cell>
          <cell r="CJ489" t="str">
            <v>$5,000 / $10,000</v>
          </cell>
          <cell r="CK489">
            <v>0.8</v>
          </cell>
          <cell r="CL489" t="str">
            <v>$6,500 / $13,000</v>
          </cell>
          <cell r="CM489" t="str">
            <v>$10,000 / $20,000</v>
          </cell>
          <cell r="CN489">
            <v>0.5</v>
          </cell>
          <cell r="CO489" t="str">
            <v>$13,000 / $26,000</v>
          </cell>
          <cell r="CP489" t="str">
            <v>Emb</v>
          </cell>
          <cell r="CS489" t="str">
            <v>INS</v>
          </cell>
          <cell r="CT489" t="str">
            <v>Select +</v>
          </cell>
          <cell r="CU489">
            <v>0.57469999999999999</v>
          </cell>
          <cell r="CW489" t="str">
            <v>SP17</v>
          </cell>
          <cell r="CX489">
            <v>0.77029999999999998</v>
          </cell>
        </row>
        <row r="490">
          <cell r="CA490" t="str">
            <v>IS7</v>
          </cell>
          <cell r="CB490" t="str">
            <v>Select Plus HSA</v>
          </cell>
          <cell r="CC490" t="str">
            <v>N/A</v>
          </cell>
          <cell r="CD490" t="str">
            <v>N/A</v>
          </cell>
          <cell r="CE490" t="str">
            <v>N/A</v>
          </cell>
          <cell r="CF490" t="str">
            <v>N/A</v>
          </cell>
          <cell r="CG490" t="str">
            <v>N/A</v>
          </cell>
          <cell r="CH490" t="str">
            <v>N/A</v>
          </cell>
          <cell r="CI490" t="str">
            <v>N/A</v>
          </cell>
          <cell r="CJ490" t="str">
            <v>$5,000 / $10,000</v>
          </cell>
          <cell r="CK490">
            <v>0.7</v>
          </cell>
          <cell r="CL490" t="str">
            <v>$6,350 / $12,700</v>
          </cell>
          <cell r="CM490" t="str">
            <v>$10,000 / $20,000</v>
          </cell>
          <cell r="CN490">
            <v>0.5</v>
          </cell>
          <cell r="CO490" t="str">
            <v>$12,700 / $25,400</v>
          </cell>
          <cell r="CP490" t="str">
            <v>Emb</v>
          </cell>
          <cell r="CS490" t="str">
            <v>INS</v>
          </cell>
          <cell r="CT490" t="str">
            <v>Select +</v>
          </cell>
          <cell r="CU490">
            <v>0.56059999999999999</v>
          </cell>
          <cell r="CV490" t="str">
            <v>H9-HSA</v>
          </cell>
          <cell r="CW490" t="str">
            <v>SPHSA14&amp;15</v>
          </cell>
          <cell r="CX490">
            <v>0.61019999999999996</v>
          </cell>
        </row>
        <row r="491">
          <cell r="CA491" t="str">
            <v>IS8</v>
          </cell>
          <cell r="CB491" t="str">
            <v>Select Plus HSA</v>
          </cell>
          <cell r="CC491" t="str">
            <v>N/A</v>
          </cell>
          <cell r="CD491" t="str">
            <v>N/A</v>
          </cell>
          <cell r="CE491" t="str">
            <v>N/A</v>
          </cell>
          <cell r="CF491" t="str">
            <v>N/A</v>
          </cell>
          <cell r="CG491" t="str">
            <v>N/A</v>
          </cell>
          <cell r="CH491" t="str">
            <v>N/A</v>
          </cell>
          <cell r="CI491" t="str">
            <v>N/A</v>
          </cell>
          <cell r="CJ491" t="str">
            <v>$5,500 / $11,000</v>
          </cell>
          <cell r="CK491">
            <v>0.7</v>
          </cell>
          <cell r="CL491" t="str">
            <v>$6,350 / $12,700</v>
          </cell>
          <cell r="CM491" t="str">
            <v>$11,000 / $22,000</v>
          </cell>
          <cell r="CN491">
            <v>0.5</v>
          </cell>
          <cell r="CO491" t="str">
            <v>$12,700 / $25,400</v>
          </cell>
          <cell r="CP491" t="str">
            <v>Emb</v>
          </cell>
          <cell r="CS491" t="str">
            <v>INS</v>
          </cell>
          <cell r="CT491" t="str">
            <v>Select +</v>
          </cell>
          <cell r="CU491">
            <v>0.55659999999999998</v>
          </cell>
          <cell r="CV491" t="str">
            <v>H9-HSA</v>
          </cell>
          <cell r="CW491" t="str">
            <v>SPHSA14&amp;15</v>
          </cell>
          <cell r="CX491">
            <v>0.60470000000000002</v>
          </cell>
        </row>
        <row r="492">
          <cell r="CA492" t="str">
            <v>IS9</v>
          </cell>
          <cell r="CB492" t="str">
            <v>Select Plus HSA</v>
          </cell>
          <cell r="CC492" t="str">
            <v>N/A</v>
          </cell>
          <cell r="CD492" t="str">
            <v>N/A</v>
          </cell>
          <cell r="CE492" t="str">
            <v>N/A</v>
          </cell>
          <cell r="CF492" t="str">
            <v>N/A</v>
          </cell>
          <cell r="CG492" t="str">
            <v>N/A</v>
          </cell>
          <cell r="CH492" t="str">
            <v>N/A</v>
          </cell>
          <cell r="CI492" t="str">
            <v>N/A</v>
          </cell>
          <cell r="CJ492" t="str">
            <v>$6,000 / $12,000</v>
          </cell>
          <cell r="CK492">
            <v>0.65</v>
          </cell>
          <cell r="CL492" t="str">
            <v>$6,350 / $12,700</v>
          </cell>
          <cell r="CM492" t="str">
            <v>$12,000 / $24,000</v>
          </cell>
          <cell r="CN492">
            <v>0.5</v>
          </cell>
          <cell r="CO492" t="str">
            <v>$12,700 / $25,400</v>
          </cell>
          <cell r="CP492" t="str">
            <v>Emb</v>
          </cell>
          <cell r="CS492" t="str">
            <v>INS</v>
          </cell>
          <cell r="CT492" t="str">
            <v>Select +</v>
          </cell>
          <cell r="CU492">
            <v>0.55420000000000003</v>
          </cell>
          <cell r="CV492" t="str">
            <v>H9-HSA</v>
          </cell>
          <cell r="CW492" t="str">
            <v>SPHSA14&amp;15</v>
          </cell>
          <cell r="CX492">
            <v>0.60109999999999997</v>
          </cell>
        </row>
        <row r="493">
          <cell r="CA493" t="str">
            <v>ISZ</v>
          </cell>
          <cell r="CB493" t="str">
            <v>Select Plus HSA</v>
          </cell>
          <cell r="CC493" t="str">
            <v>N/A</v>
          </cell>
          <cell r="CD493" t="str">
            <v>N/A</v>
          </cell>
          <cell r="CE493" t="str">
            <v>N/A</v>
          </cell>
          <cell r="CF493" t="str">
            <v>N/A</v>
          </cell>
          <cell r="CG493" t="str">
            <v>N/A</v>
          </cell>
          <cell r="CH493" t="str">
            <v>N/A</v>
          </cell>
          <cell r="CI493" t="str">
            <v>N/A</v>
          </cell>
          <cell r="CJ493" t="str">
            <v>$6,250 / $12,500</v>
          </cell>
          <cell r="CK493">
            <v>0.6</v>
          </cell>
          <cell r="CL493" t="str">
            <v>$6,350 / $12,700</v>
          </cell>
          <cell r="CM493" t="str">
            <v>$12,500 / $25,000</v>
          </cell>
          <cell r="CN493">
            <v>0.5</v>
          </cell>
          <cell r="CO493" t="str">
            <v>$12,700 / $25,400</v>
          </cell>
          <cell r="CP493" t="str">
            <v>Emb</v>
          </cell>
          <cell r="CS493" t="str">
            <v>INS</v>
          </cell>
          <cell r="CT493" t="str">
            <v>Select +</v>
          </cell>
          <cell r="CU493">
            <v>0.55389999999999995</v>
          </cell>
          <cell r="CV493" t="str">
            <v>H9-HSA</v>
          </cell>
          <cell r="CW493" t="str">
            <v>SPHSA14&amp;15</v>
          </cell>
          <cell r="CX493">
            <v>0.60050000000000003</v>
          </cell>
        </row>
        <row r="494">
          <cell r="CA494" t="str">
            <v>PQ1</v>
          </cell>
          <cell r="CB494" t="str">
            <v>Select Plus</v>
          </cell>
          <cell r="CC494">
            <v>15</v>
          </cell>
          <cell r="CD494">
            <v>15</v>
          </cell>
          <cell r="CE494" t="str">
            <v>N/A</v>
          </cell>
          <cell r="CF494" t="str">
            <v>N/A</v>
          </cell>
          <cell r="CG494">
            <v>35</v>
          </cell>
          <cell r="CH494">
            <v>100</v>
          </cell>
          <cell r="CI494" t="str">
            <v>N/A</v>
          </cell>
          <cell r="CJ494" t="str">
            <v>$250 / $500</v>
          </cell>
          <cell r="CK494">
            <v>1</v>
          </cell>
          <cell r="CL494" t="str">
            <v>$250 / $500</v>
          </cell>
          <cell r="CM494" t="str">
            <v>$500 / $1,000</v>
          </cell>
          <cell r="CN494">
            <v>0.8</v>
          </cell>
          <cell r="CO494" t="str">
            <v>$3,000 / $6,000</v>
          </cell>
          <cell r="CP494" t="str">
            <v>Emb</v>
          </cell>
          <cell r="CS494" t="str">
            <v>INS</v>
          </cell>
          <cell r="CT494" t="str">
            <v>Select +</v>
          </cell>
          <cell r="CU494">
            <v>1.0130999999999999</v>
          </cell>
          <cell r="CW494" t="str">
            <v>SP14&amp;15</v>
          </cell>
          <cell r="CX494">
            <v>0.71430000000000005</v>
          </cell>
        </row>
        <row r="495">
          <cell r="CA495" t="str">
            <v>PQ2</v>
          </cell>
          <cell r="CB495" t="str">
            <v>Select Plus</v>
          </cell>
          <cell r="CC495">
            <v>10</v>
          </cell>
          <cell r="CD495">
            <v>10</v>
          </cell>
          <cell r="CE495" t="str">
            <v>N/A</v>
          </cell>
          <cell r="CF495" t="str">
            <v>N/A</v>
          </cell>
          <cell r="CG495">
            <v>50</v>
          </cell>
          <cell r="CH495">
            <v>100</v>
          </cell>
          <cell r="CI495" t="str">
            <v>N/A</v>
          </cell>
          <cell r="CJ495" t="str">
            <v>$250 / $500</v>
          </cell>
          <cell r="CK495">
            <v>0.9</v>
          </cell>
          <cell r="CL495" t="str">
            <v>$1,250 / $2,500</v>
          </cell>
          <cell r="CM495" t="str">
            <v>$500 / $1,000</v>
          </cell>
          <cell r="CN495">
            <v>0.7</v>
          </cell>
          <cell r="CO495" t="str">
            <v>$2,500 / $5,000</v>
          </cell>
          <cell r="CP495" t="str">
            <v>Emb</v>
          </cell>
          <cell r="CS495" t="str">
            <v>INS</v>
          </cell>
          <cell r="CT495" t="str">
            <v>Select +</v>
          </cell>
          <cell r="CU495">
            <v>0.91610000000000003</v>
          </cell>
          <cell r="CW495" t="str">
            <v>SP14&amp;15</v>
          </cell>
          <cell r="CX495">
            <v>0.71709999999999996</v>
          </cell>
        </row>
        <row r="496">
          <cell r="CA496" t="str">
            <v>PQ3</v>
          </cell>
          <cell r="CB496" t="str">
            <v>Select Plus</v>
          </cell>
          <cell r="CC496">
            <v>15</v>
          </cell>
          <cell r="CD496">
            <v>15</v>
          </cell>
          <cell r="CE496" t="str">
            <v>N/A</v>
          </cell>
          <cell r="CF496" t="str">
            <v>N/A</v>
          </cell>
          <cell r="CG496">
            <v>50</v>
          </cell>
          <cell r="CH496">
            <v>100</v>
          </cell>
          <cell r="CI496" t="str">
            <v>N/A</v>
          </cell>
          <cell r="CJ496" t="str">
            <v>$250 / $500</v>
          </cell>
          <cell r="CK496">
            <v>0.9</v>
          </cell>
          <cell r="CL496" t="str">
            <v>$1,250 / $2,500</v>
          </cell>
          <cell r="CM496" t="str">
            <v>$500 / $1,000</v>
          </cell>
          <cell r="CN496">
            <v>0.7</v>
          </cell>
          <cell r="CO496" t="str">
            <v>$2,500 / $5,000</v>
          </cell>
          <cell r="CP496" t="str">
            <v>Emb</v>
          </cell>
          <cell r="CS496" t="str">
            <v>INS</v>
          </cell>
          <cell r="CT496" t="str">
            <v>Select +</v>
          </cell>
          <cell r="CU496">
            <v>0.90990000000000004</v>
          </cell>
          <cell r="CW496" t="str">
            <v>SP14&amp;15</v>
          </cell>
          <cell r="CX496">
            <v>0.71150000000000002</v>
          </cell>
        </row>
        <row r="497">
          <cell r="CA497" t="str">
            <v>PQ4</v>
          </cell>
          <cell r="CB497" t="str">
            <v>Select Plus</v>
          </cell>
          <cell r="CC497">
            <v>10</v>
          </cell>
          <cell r="CD497">
            <v>10</v>
          </cell>
          <cell r="CE497" t="str">
            <v>N/A</v>
          </cell>
          <cell r="CF497" t="str">
            <v>N/A</v>
          </cell>
          <cell r="CG497">
            <v>50</v>
          </cell>
          <cell r="CH497">
            <v>100</v>
          </cell>
          <cell r="CI497" t="str">
            <v>N/A</v>
          </cell>
          <cell r="CJ497" t="str">
            <v>$250 / $500</v>
          </cell>
          <cell r="CK497">
            <v>0.9</v>
          </cell>
          <cell r="CL497" t="str">
            <v>$2,250 / $4,500</v>
          </cell>
          <cell r="CM497" t="str">
            <v>$500 / $1,000</v>
          </cell>
          <cell r="CN497">
            <v>0.7</v>
          </cell>
          <cell r="CO497" t="str">
            <v>$4,500 / $9,000</v>
          </cell>
          <cell r="CP497" t="str">
            <v>Emb</v>
          </cell>
          <cell r="CS497" t="str">
            <v>INS</v>
          </cell>
          <cell r="CT497" t="str">
            <v>Select +</v>
          </cell>
          <cell r="CU497">
            <v>0.88300000000000001</v>
          </cell>
          <cell r="CW497" t="str">
            <v>SP14&amp;15</v>
          </cell>
          <cell r="CX497">
            <v>0.70730000000000004</v>
          </cell>
        </row>
        <row r="498">
          <cell r="CA498" t="str">
            <v>PQ5</v>
          </cell>
          <cell r="CB498" t="str">
            <v>Select Plus</v>
          </cell>
          <cell r="CC498">
            <v>15</v>
          </cell>
          <cell r="CD498">
            <v>15</v>
          </cell>
          <cell r="CE498" t="str">
            <v>N/A</v>
          </cell>
          <cell r="CF498" t="str">
            <v>N/A</v>
          </cell>
          <cell r="CG498">
            <v>50</v>
          </cell>
          <cell r="CH498">
            <v>100</v>
          </cell>
          <cell r="CI498" t="str">
            <v>N/A</v>
          </cell>
          <cell r="CJ498" t="str">
            <v>$250 / $500</v>
          </cell>
          <cell r="CK498">
            <v>0.9</v>
          </cell>
          <cell r="CL498" t="str">
            <v>$2,250 / $4,500</v>
          </cell>
          <cell r="CM498" t="str">
            <v>$500 / $1,000</v>
          </cell>
          <cell r="CN498">
            <v>0.7</v>
          </cell>
          <cell r="CO498" t="str">
            <v>$4,500 / $9,000</v>
          </cell>
          <cell r="CP498" t="str">
            <v>Emb</v>
          </cell>
          <cell r="CS498" t="str">
            <v>INS</v>
          </cell>
          <cell r="CT498" t="str">
            <v>Select +</v>
          </cell>
          <cell r="CU498">
            <v>0.87570000000000003</v>
          </cell>
          <cell r="CW498" t="str">
            <v>SP14&amp;15</v>
          </cell>
          <cell r="CX498">
            <v>0.70099999999999996</v>
          </cell>
        </row>
        <row r="499">
          <cell r="CA499" t="str">
            <v>PQ6</v>
          </cell>
          <cell r="CB499" t="str">
            <v>Select Plus</v>
          </cell>
          <cell r="CC499">
            <v>10</v>
          </cell>
          <cell r="CD499">
            <v>10</v>
          </cell>
          <cell r="CE499" t="str">
            <v>N/A</v>
          </cell>
          <cell r="CF499" t="str">
            <v>N/A</v>
          </cell>
          <cell r="CG499">
            <v>50</v>
          </cell>
          <cell r="CH499">
            <v>100</v>
          </cell>
          <cell r="CI499" t="str">
            <v>N/A</v>
          </cell>
          <cell r="CJ499" t="str">
            <v>$500 / $1,000</v>
          </cell>
          <cell r="CK499">
            <v>0.9</v>
          </cell>
          <cell r="CL499" t="str">
            <v>$1,500 / $3,000</v>
          </cell>
          <cell r="CM499" t="str">
            <v>$1,000 / $2,000</v>
          </cell>
          <cell r="CN499">
            <v>0.7</v>
          </cell>
          <cell r="CO499" t="str">
            <v>$4,000 / $8,000</v>
          </cell>
          <cell r="CP499" t="str">
            <v>Emb</v>
          </cell>
          <cell r="CS499" t="str">
            <v>INS</v>
          </cell>
          <cell r="CT499" t="str">
            <v>Select +</v>
          </cell>
          <cell r="CU499">
            <v>0.89129999999999998</v>
          </cell>
          <cell r="CW499" t="str">
            <v>SP14&amp;15</v>
          </cell>
          <cell r="CX499">
            <v>0.70369999999999999</v>
          </cell>
        </row>
        <row r="500">
          <cell r="CA500" t="str">
            <v>PQ7</v>
          </cell>
          <cell r="CB500" t="str">
            <v>Select Plus</v>
          </cell>
          <cell r="CC500">
            <v>20</v>
          </cell>
          <cell r="CD500">
            <v>20</v>
          </cell>
          <cell r="CE500" t="str">
            <v>N/A</v>
          </cell>
          <cell r="CF500" t="str">
            <v>N/A</v>
          </cell>
          <cell r="CG500">
            <v>50</v>
          </cell>
          <cell r="CH500">
            <v>75</v>
          </cell>
          <cell r="CI500" t="str">
            <v>N/A</v>
          </cell>
          <cell r="CJ500" t="str">
            <v>$250 / $500</v>
          </cell>
          <cell r="CK500">
            <v>0.9</v>
          </cell>
          <cell r="CL500" t="str">
            <v>$2,000 / $4,000</v>
          </cell>
          <cell r="CM500" t="str">
            <v>$1,000 / $2,000</v>
          </cell>
          <cell r="CN500">
            <v>0.6</v>
          </cell>
          <cell r="CO500" t="str">
            <v>$4,000 / $8,000</v>
          </cell>
          <cell r="CP500" t="str">
            <v>Emb</v>
          </cell>
          <cell r="CS500" t="str">
            <v>INS</v>
          </cell>
          <cell r="CT500" t="str">
            <v>Select +</v>
          </cell>
          <cell r="CU500">
            <v>0.87490000000000001</v>
          </cell>
          <cell r="CW500" t="str">
            <v>SP14&amp;15</v>
          </cell>
          <cell r="CX500">
            <v>0.69720000000000004</v>
          </cell>
        </row>
        <row r="501">
          <cell r="CA501" t="str">
            <v>PQ8</v>
          </cell>
          <cell r="CB501" t="str">
            <v>Select Plus</v>
          </cell>
          <cell r="CC501">
            <v>15</v>
          </cell>
          <cell r="CD501">
            <v>15</v>
          </cell>
          <cell r="CE501" t="str">
            <v>N/A</v>
          </cell>
          <cell r="CF501" t="str">
            <v>N/A</v>
          </cell>
          <cell r="CG501">
            <v>50</v>
          </cell>
          <cell r="CH501">
            <v>100</v>
          </cell>
          <cell r="CI501" t="str">
            <v>N/A</v>
          </cell>
          <cell r="CJ501" t="str">
            <v>$500 / $1,000</v>
          </cell>
          <cell r="CK501">
            <v>0.8</v>
          </cell>
          <cell r="CL501" t="str">
            <v>$1,500 / $3,000</v>
          </cell>
          <cell r="CM501" t="str">
            <v>$1,000 / $2,000</v>
          </cell>
          <cell r="CN501">
            <v>0.6</v>
          </cell>
          <cell r="CO501" t="str">
            <v>$5,000 / $10,000</v>
          </cell>
          <cell r="CP501" t="str">
            <v>Emb</v>
          </cell>
          <cell r="CS501" t="str">
            <v>INS</v>
          </cell>
          <cell r="CT501" t="str">
            <v>Select +</v>
          </cell>
          <cell r="CU501">
            <v>0.87929999999999997</v>
          </cell>
          <cell r="CW501" t="str">
            <v>SP14&amp;15</v>
          </cell>
          <cell r="CX501">
            <v>0.69899999999999995</v>
          </cell>
        </row>
        <row r="502">
          <cell r="CA502" t="str">
            <v>PQ9</v>
          </cell>
          <cell r="CB502" t="str">
            <v>Select Plus</v>
          </cell>
          <cell r="CC502">
            <v>15</v>
          </cell>
          <cell r="CD502">
            <v>15</v>
          </cell>
          <cell r="CE502" t="str">
            <v>N/A</v>
          </cell>
          <cell r="CF502" t="str">
            <v>N/A</v>
          </cell>
          <cell r="CG502">
            <v>50</v>
          </cell>
          <cell r="CH502">
            <v>100</v>
          </cell>
          <cell r="CI502" t="str">
            <v>N/A</v>
          </cell>
          <cell r="CJ502" t="str">
            <v>$500 / $1,000</v>
          </cell>
          <cell r="CK502">
            <v>0.9</v>
          </cell>
          <cell r="CL502" t="str">
            <v>$2,500 / $5,000</v>
          </cell>
          <cell r="CM502" t="str">
            <v>$1,000 / $2,000</v>
          </cell>
          <cell r="CN502">
            <v>0.7</v>
          </cell>
          <cell r="CO502" t="str">
            <v>$5,000 / $10,000</v>
          </cell>
          <cell r="CP502" t="str">
            <v>Emb</v>
          </cell>
          <cell r="CS502" t="str">
            <v>INS</v>
          </cell>
          <cell r="CT502" t="str">
            <v>Select +</v>
          </cell>
          <cell r="CU502">
            <v>0.85189999999999999</v>
          </cell>
          <cell r="CW502" t="str">
            <v>SP14&amp;15</v>
          </cell>
          <cell r="CX502">
            <v>0.68759999999999999</v>
          </cell>
        </row>
        <row r="503">
          <cell r="CA503" t="str">
            <v>PQU</v>
          </cell>
          <cell r="CB503" t="str">
            <v>Select Plus</v>
          </cell>
          <cell r="CC503">
            <v>10</v>
          </cell>
          <cell r="CD503">
            <v>10</v>
          </cell>
          <cell r="CE503">
            <v>0</v>
          </cell>
          <cell r="CF503">
            <v>0</v>
          </cell>
          <cell r="CG503">
            <v>35</v>
          </cell>
          <cell r="CH503">
            <v>75</v>
          </cell>
          <cell r="CI503">
            <v>0</v>
          </cell>
          <cell r="CJ503" t="str">
            <v>$0 / $0</v>
          </cell>
          <cell r="CK503">
            <v>1</v>
          </cell>
          <cell r="CL503" t="str">
            <v>$2,000 / $4,000</v>
          </cell>
          <cell r="CM503" t="str">
            <v>$300 / $600</v>
          </cell>
          <cell r="CN503">
            <v>0.8</v>
          </cell>
          <cell r="CO503" t="str">
            <v>$2,000 / $4,000</v>
          </cell>
          <cell r="CP503" t="str">
            <v>Emb</v>
          </cell>
          <cell r="CS503" t="str">
            <v>INS</v>
          </cell>
          <cell r="CT503" t="str">
            <v>Select +</v>
          </cell>
          <cell r="CU503">
            <v>0.96879999999999999</v>
          </cell>
          <cell r="CW503" t="str">
            <v>SP14&amp;15</v>
          </cell>
          <cell r="CX503">
            <v>0.747</v>
          </cell>
        </row>
        <row r="504">
          <cell r="CA504" t="str">
            <v>PQV</v>
          </cell>
          <cell r="CB504" t="str">
            <v>Select Plus</v>
          </cell>
          <cell r="CC504">
            <v>15</v>
          </cell>
          <cell r="CD504">
            <v>15</v>
          </cell>
          <cell r="CE504">
            <v>0</v>
          </cell>
          <cell r="CF504">
            <v>250</v>
          </cell>
          <cell r="CG504">
            <v>35</v>
          </cell>
          <cell r="CH504">
            <v>75</v>
          </cell>
          <cell r="CI504">
            <v>0</v>
          </cell>
          <cell r="CJ504" t="str">
            <v>$0 / $0</v>
          </cell>
          <cell r="CK504">
            <v>1</v>
          </cell>
          <cell r="CL504" t="str">
            <v>$2,500 / $5,000</v>
          </cell>
          <cell r="CM504" t="str">
            <v>$2,000 / $4,000</v>
          </cell>
          <cell r="CN504">
            <v>0.7</v>
          </cell>
          <cell r="CO504" t="str">
            <v>$6,000 / $12,000</v>
          </cell>
          <cell r="CP504" t="str">
            <v>Emb</v>
          </cell>
          <cell r="CS504" t="str">
            <v>INS</v>
          </cell>
          <cell r="CT504" t="str">
            <v>Select +</v>
          </cell>
          <cell r="CU504">
            <v>0.94899999999999995</v>
          </cell>
          <cell r="CW504" t="str">
            <v>SP14&amp;15</v>
          </cell>
          <cell r="CX504">
            <v>0.73750000000000004</v>
          </cell>
        </row>
        <row r="505">
          <cell r="CA505" t="str">
            <v>PQX</v>
          </cell>
          <cell r="CB505" t="str">
            <v>Select Plus</v>
          </cell>
          <cell r="CC505">
            <v>20</v>
          </cell>
          <cell r="CD505">
            <v>20</v>
          </cell>
          <cell r="CE505">
            <v>0</v>
          </cell>
          <cell r="CF505">
            <v>250</v>
          </cell>
          <cell r="CG505">
            <v>50</v>
          </cell>
          <cell r="CH505">
            <v>100</v>
          </cell>
          <cell r="CI505">
            <v>0</v>
          </cell>
          <cell r="CJ505" t="str">
            <v>$0 / $0</v>
          </cell>
          <cell r="CK505">
            <v>1</v>
          </cell>
          <cell r="CL505" t="str">
            <v>$2,500 / $5,000</v>
          </cell>
          <cell r="CM505" t="str">
            <v>$2,500 / $5,000</v>
          </cell>
          <cell r="CN505">
            <v>0.8</v>
          </cell>
          <cell r="CO505" t="str">
            <v>$7,500 / $15,000</v>
          </cell>
          <cell r="CP505" t="str">
            <v>Emb</v>
          </cell>
          <cell r="CS505" t="str">
            <v>INS</v>
          </cell>
          <cell r="CT505" t="str">
            <v>Select +</v>
          </cell>
          <cell r="CU505">
            <v>0.93759999999999999</v>
          </cell>
          <cell r="CW505" t="str">
            <v>SP14&amp;15</v>
          </cell>
          <cell r="CX505">
            <v>0.7298</v>
          </cell>
        </row>
        <row r="506">
          <cell r="CA506" t="str">
            <v>PQZ</v>
          </cell>
          <cell r="CB506" t="str">
            <v>Select Plus</v>
          </cell>
          <cell r="CC506">
            <v>15</v>
          </cell>
          <cell r="CD506">
            <v>15</v>
          </cell>
          <cell r="CE506" t="str">
            <v>N/A</v>
          </cell>
          <cell r="CF506" t="str">
            <v>N/A</v>
          </cell>
          <cell r="CG506">
            <v>50</v>
          </cell>
          <cell r="CH506">
            <v>100</v>
          </cell>
          <cell r="CI506">
            <v>0</v>
          </cell>
          <cell r="CJ506" t="str">
            <v>$0 / $0</v>
          </cell>
          <cell r="CK506">
            <v>0.9</v>
          </cell>
          <cell r="CL506" t="str">
            <v>$2,000 / $4,000</v>
          </cell>
          <cell r="CM506" t="str">
            <v>$1,500 / $3,000</v>
          </cell>
          <cell r="CN506">
            <v>0.5</v>
          </cell>
          <cell r="CO506" t="str">
            <v>$6,500 / $13,000</v>
          </cell>
          <cell r="CP506" t="str">
            <v>Emb</v>
          </cell>
          <cell r="CS506" t="str">
            <v>INS</v>
          </cell>
          <cell r="CT506" t="str">
            <v>Select +</v>
          </cell>
          <cell r="CU506">
            <v>0.90269999999999995</v>
          </cell>
          <cell r="CW506" t="str">
            <v>SP14&amp;15</v>
          </cell>
          <cell r="CX506">
            <v>0.73319999999999996</v>
          </cell>
        </row>
        <row r="507">
          <cell r="CA507" t="str">
            <v>PR1</v>
          </cell>
          <cell r="CB507" t="str">
            <v>Select Plus</v>
          </cell>
          <cell r="CC507">
            <v>20</v>
          </cell>
          <cell r="CD507">
            <v>20</v>
          </cell>
          <cell r="CE507" t="str">
            <v>N/A</v>
          </cell>
          <cell r="CF507" t="str">
            <v>N/A</v>
          </cell>
          <cell r="CG507">
            <v>50</v>
          </cell>
          <cell r="CH507">
            <v>100</v>
          </cell>
          <cell r="CI507" t="str">
            <v>N/A</v>
          </cell>
          <cell r="CJ507" t="str">
            <v>$500 / $1,000</v>
          </cell>
          <cell r="CK507">
            <v>0.9</v>
          </cell>
          <cell r="CL507" t="str">
            <v>$3,000 / $6,000</v>
          </cell>
          <cell r="CM507" t="str">
            <v>$1,000 / $2,000</v>
          </cell>
          <cell r="CN507">
            <v>0.7</v>
          </cell>
          <cell r="CO507" t="str">
            <v>$6,000 / $12,000</v>
          </cell>
          <cell r="CP507" t="str">
            <v>Emb</v>
          </cell>
          <cell r="CS507" t="str">
            <v>INS</v>
          </cell>
          <cell r="CT507" t="str">
            <v>Select +</v>
          </cell>
          <cell r="CU507">
            <v>0.83520000000000005</v>
          </cell>
          <cell r="CW507" t="str">
            <v>SP14&amp;15</v>
          </cell>
          <cell r="CX507">
            <v>0.67879999999999996</v>
          </cell>
        </row>
        <row r="508">
          <cell r="CA508" t="str">
            <v>PR2</v>
          </cell>
          <cell r="CB508" t="str">
            <v>Select Plus</v>
          </cell>
          <cell r="CC508">
            <v>25</v>
          </cell>
          <cell r="CD508">
            <v>25</v>
          </cell>
          <cell r="CE508" t="str">
            <v>N/A</v>
          </cell>
          <cell r="CF508" t="str">
            <v>N/A</v>
          </cell>
          <cell r="CG508">
            <v>50</v>
          </cell>
          <cell r="CH508">
            <v>100</v>
          </cell>
          <cell r="CI508" t="str">
            <v>N/A</v>
          </cell>
          <cell r="CJ508" t="str">
            <v>$250 / $500</v>
          </cell>
          <cell r="CK508">
            <v>0.8</v>
          </cell>
          <cell r="CL508" t="str">
            <v>$2,250 / $4,500</v>
          </cell>
          <cell r="CM508" t="str">
            <v>$500 / $1,000</v>
          </cell>
          <cell r="CN508">
            <v>0.6</v>
          </cell>
          <cell r="CO508" t="str">
            <v>$4,500 / $9,000</v>
          </cell>
          <cell r="CP508" t="str">
            <v>Emb</v>
          </cell>
          <cell r="CS508" t="str">
            <v>INS</v>
          </cell>
          <cell r="CT508" t="str">
            <v>Select +</v>
          </cell>
          <cell r="CU508">
            <v>0.83919999999999995</v>
          </cell>
          <cell r="CW508" t="str">
            <v>SP14&amp;15</v>
          </cell>
          <cell r="CX508">
            <v>0.68420000000000003</v>
          </cell>
        </row>
        <row r="509">
          <cell r="CA509" t="str">
            <v>PR3</v>
          </cell>
          <cell r="CB509" t="str">
            <v>Select Plus</v>
          </cell>
          <cell r="CC509">
            <v>20</v>
          </cell>
          <cell r="CD509">
            <v>20</v>
          </cell>
          <cell r="CE509" t="str">
            <v>N/A</v>
          </cell>
          <cell r="CF509" t="str">
            <v>N/A</v>
          </cell>
          <cell r="CG509">
            <v>50</v>
          </cell>
          <cell r="CH509">
            <v>100</v>
          </cell>
          <cell r="CI509" t="str">
            <v>N/A</v>
          </cell>
          <cell r="CJ509" t="str">
            <v>$500 / $1,000</v>
          </cell>
          <cell r="CK509">
            <v>0.8</v>
          </cell>
          <cell r="CL509" t="str">
            <v>$2,500 / $5,000</v>
          </cell>
          <cell r="CM509" t="str">
            <v>$1,000 / $2,000</v>
          </cell>
          <cell r="CN509">
            <v>0.6</v>
          </cell>
          <cell r="CO509" t="str">
            <v>$5,000 / $10,000</v>
          </cell>
          <cell r="CP509" t="str">
            <v>Emb</v>
          </cell>
          <cell r="CS509" t="str">
            <v>INS</v>
          </cell>
          <cell r="CT509" t="str">
            <v>Select +</v>
          </cell>
          <cell r="CU509">
            <v>0.82389999999999997</v>
          </cell>
          <cell r="CW509" t="str">
            <v>SP14&amp;15</v>
          </cell>
          <cell r="CX509">
            <v>0.6774</v>
          </cell>
        </row>
        <row r="510">
          <cell r="CA510" t="str">
            <v>PR4</v>
          </cell>
          <cell r="CB510" t="str">
            <v>Select Plus</v>
          </cell>
          <cell r="CC510">
            <v>30</v>
          </cell>
          <cell r="CD510">
            <v>30</v>
          </cell>
          <cell r="CE510" t="str">
            <v>N/A</v>
          </cell>
          <cell r="CF510" t="str">
            <v>$500 POD</v>
          </cell>
          <cell r="CG510">
            <v>125</v>
          </cell>
          <cell r="CH510">
            <v>250</v>
          </cell>
          <cell r="CI510" t="str">
            <v>N/A</v>
          </cell>
          <cell r="CJ510" t="str">
            <v>$250 / $500</v>
          </cell>
          <cell r="CK510">
            <v>0.9</v>
          </cell>
          <cell r="CL510" t="str">
            <v>$3,500 / $7,000</v>
          </cell>
          <cell r="CM510" t="str">
            <v>$500 / $1,000</v>
          </cell>
          <cell r="CN510">
            <v>0.7</v>
          </cell>
          <cell r="CO510" t="str">
            <v>$7,000 / $14,000</v>
          </cell>
          <cell r="CP510" t="str">
            <v>Emb</v>
          </cell>
          <cell r="CS510" t="str">
            <v>INS</v>
          </cell>
          <cell r="CT510" t="str">
            <v>Select +</v>
          </cell>
          <cell r="CU510">
            <v>0.81979999999999997</v>
          </cell>
          <cell r="CW510" t="str">
            <v>SP14&amp;15</v>
          </cell>
          <cell r="CX510">
            <v>0.67200000000000004</v>
          </cell>
        </row>
        <row r="511">
          <cell r="CA511" t="str">
            <v>PR5</v>
          </cell>
          <cell r="CB511" t="str">
            <v>Select Plus</v>
          </cell>
          <cell r="CC511">
            <v>20</v>
          </cell>
          <cell r="CD511">
            <v>20</v>
          </cell>
          <cell r="CE511" t="str">
            <v>N/A</v>
          </cell>
          <cell r="CF511" t="str">
            <v>N/A</v>
          </cell>
          <cell r="CG511">
            <v>50</v>
          </cell>
          <cell r="CH511">
            <v>100</v>
          </cell>
          <cell r="CI511" t="str">
            <v>N/A</v>
          </cell>
          <cell r="CJ511" t="str">
            <v>$500 / $1,000</v>
          </cell>
          <cell r="CK511">
            <v>0.8</v>
          </cell>
          <cell r="CL511" t="str">
            <v>$3,500 / $7,000</v>
          </cell>
          <cell r="CM511" t="str">
            <v>$1,000 / $2,000</v>
          </cell>
          <cell r="CN511">
            <v>0.6</v>
          </cell>
          <cell r="CO511" t="str">
            <v>$7,000 / $14,000</v>
          </cell>
          <cell r="CP511" t="str">
            <v>Emb</v>
          </cell>
          <cell r="CS511" t="str">
            <v>INS</v>
          </cell>
          <cell r="CT511" t="str">
            <v>Select +</v>
          </cell>
          <cell r="CU511">
            <v>0.79659999999999997</v>
          </cell>
          <cell r="CW511" t="str">
            <v>SP14&amp;15</v>
          </cell>
          <cell r="CX511">
            <v>0.66839999999999999</v>
          </cell>
        </row>
        <row r="512">
          <cell r="CA512" t="str">
            <v>PR7</v>
          </cell>
          <cell r="CB512" t="str">
            <v>Select Plus</v>
          </cell>
          <cell r="CC512">
            <v>20</v>
          </cell>
          <cell r="CD512">
            <v>20</v>
          </cell>
          <cell r="CE512" t="str">
            <v>N/A</v>
          </cell>
          <cell r="CF512" t="str">
            <v>$500 POD</v>
          </cell>
          <cell r="CG512">
            <v>125</v>
          </cell>
          <cell r="CH512">
            <v>250</v>
          </cell>
          <cell r="CI512" t="str">
            <v>N/A</v>
          </cell>
          <cell r="CJ512" t="str">
            <v>$500 / $1,000</v>
          </cell>
          <cell r="CK512">
            <v>0.8</v>
          </cell>
          <cell r="CL512" t="str">
            <v>$4,500 / $9,000</v>
          </cell>
          <cell r="CM512" t="str">
            <v>$1,000 / $2,000</v>
          </cell>
          <cell r="CN512">
            <v>0.6</v>
          </cell>
          <cell r="CO512" t="str">
            <v>$9,000 / $18,000</v>
          </cell>
          <cell r="CP512" t="str">
            <v>Emb</v>
          </cell>
          <cell r="CS512" t="str">
            <v>INS</v>
          </cell>
          <cell r="CT512" t="str">
            <v>Select +</v>
          </cell>
          <cell r="CU512">
            <v>0.7651</v>
          </cell>
          <cell r="CW512" t="str">
            <v>SP14&amp;15</v>
          </cell>
          <cell r="CX512">
            <v>0.65920000000000001</v>
          </cell>
        </row>
        <row r="513">
          <cell r="CA513" t="str">
            <v>PRF</v>
          </cell>
          <cell r="CB513" t="str">
            <v>Select Plus</v>
          </cell>
          <cell r="CC513">
            <v>15</v>
          </cell>
          <cell r="CD513">
            <v>15</v>
          </cell>
          <cell r="CE513" t="str">
            <v>N/A</v>
          </cell>
          <cell r="CF513" t="str">
            <v>N/A</v>
          </cell>
          <cell r="CG513">
            <v>50</v>
          </cell>
          <cell r="CH513">
            <v>100</v>
          </cell>
          <cell r="CI513" t="str">
            <v>N/A</v>
          </cell>
          <cell r="CJ513" t="str">
            <v>$250 / $500</v>
          </cell>
          <cell r="CK513">
            <v>0.8</v>
          </cell>
          <cell r="CL513" t="str">
            <v>$2,250 / $4,500</v>
          </cell>
          <cell r="CM513" t="str">
            <v>$500 / $1,000</v>
          </cell>
          <cell r="CN513">
            <v>0.6</v>
          </cell>
          <cell r="CO513" t="str">
            <v>$4,500 / $9,000</v>
          </cell>
          <cell r="CP513" t="str">
            <v>Emb</v>
          </cell>
          <cell r="CS513" t="str">
            <v>INS</v>
          </cell>
          <cell r="CT513" t="str">
            <v>Select +</v>
          </cell>
          <cell r="CU513">
            <v>0.85240000000000005</v>
          </cell>
          <cell r="CW513" t="str">
            <v>SP14&amp;15</v>
          </cell>
          <cell r="CX513">
            <v>0.69540000000000002</v>
          </cell>
        </row>
        <row r="514">
          <cell r="CA514" t="str">
            <v>PRK</v>
          </cell>
          <cell r="CB514" t="str">
            <v>Select Plus</v>
          </cell>
          <cell r="CC514">
            <v>20</v>
          </cell>
          <cell r="CD514">
            <v>20</v>
          </cell>
          <cell r="CE514" t="str">
            <v>N/A</v>
          </cell>
          <cell r="CF514" t="str">
            <v>N/A</v>
          </cell>
          <cell r="CG514">
            <v>50</v>
          </cell>
          <cell r="CH514">
            <v>100</v>
          </cell>
          <cell r="CI514" t="str">
            <v>N/A</v>
          </cell>
          <cell r="CJ514" t="str">
            <v>$500 / $1,000</v>
          </cell>
          <cell r="CK514">
            <v>0.9</v>
          </cell>
          <cell r="CL514" t="str">
            <v>$2,000 / $4,000</v>
          </cell>
          <cell r="CM514" t="str">
            <v>$1,000 / $2,000</v>
          </cell>
          <cell r="CN514">
            <v>0.6</v>
          </cell>
          <cell r="CO514" t="str">
            <v>$4,000 / $8,000</v>
          </cell>
          <cell r="CP514" t="str">
            <v>Emb</v>
          </cell>
          <cell r="CS514" t="str">
            <v>INS</v>
          </cell>
          <cell r="CT514" t="str">
            <v>Select +</v>
          </cell>
          <cell r="CU514">
            <v>0.85740000000000005</v>
          </cell>
          <cell r="CW514" t="str">
            <v>SP14&amp;15</v>
          </cell>
          <cell r="CX514">
            <v>0.68510000000000004</v>
          </cell>
        </row>
        <row r="515">
          <cell r="CA515" t="str">
            <v>PRY</v>
          </cell>
          <cell r="CB515" t="str">
            <v>Select Plus</v>
          </cell>
          <cell r="CC515">
            <v>20</v>
          </cell>
          <cell r="CD515">
            <v>20</v>
          </cell>
          <cell r="CE515" t="str">
            <v>N/A</v>
          </cell>
          <cell r="CF515" t="str">
            <v>$250 POD</v>
          </cell>
          <cell r="CG515">
            <v>125</v>
          </cell>
          <cell r="CH515">
            <v>250</v>
          </cell>
          <cell r="CI515" t="str">
            <v>N/A</v>
          </cell>
          <cell r="CJ515" t="str">
            <v>$250 / $500</v>
          </cell>
          <cell r="CK515">
            <v>0.9</v>
          </cell>
          <cell r="CL515" t="str">
            <v>$2,500 / $5,000</v>
          </cell>
          <cell r="CM515" t="str">
            <v>$250 / $500</v>
          </cell>
          <cell r="CN515">
            <v>0.7</v>
          </cell>
          <cell r="CO515" t="str">
            <v>$10,000 / $20,000</v>
          </cell>
          <cell r="CP515" t="str">
            <v>Emb</v>
          </cell>
          <cell r="CS515" t="str">
            <v>INS</v>
          </cell>
          <cell r="CT515" t="str">
            <v>Select +</v>
          </cell>
          <cell r="CU515">
            <v>0.85089999999999999</v>
          </cell>
          <cell r="CW515" t="str">
            <v>SP14&amp;15</v>
          </cell>
          <cell r="CX515">
            <v>0.68910000000000005</v>
          </cell>
        </row>
        <row r="516">
          <cell r="CA516" t="str">
            <v>PRZ</v>
          </cell>
          <cell r="CB516" t="str">
            <v>Select Plus</v>
          </cell>
          <cell r="CC516">
            <v>20</v>
          </cell>
          <cell r="CD516">
            <v>20</v>
          </cell>
          <cell r="CE516" t="str">
            <v>N/A</v>
          </cell>
          <cell r="CF516" t="str">
            <v>N/A</v>
          </cell>
          <cell r="CG516">
            <v>50</v>
          </cell>
          <cell r="CH516">
            <v>100</v>
          </cell>
          <cell r="CI516" t="str">
            <v>N/A</v>
          </cell>
          <cell r="CJ516" t="str">
            <v>$250 / $500</v>
          </cell>
          <cell r="CK516">
            <v>0.8</v>
          </cell>
          <cell r="CL516" t="str">
            <v>$2,250 / $4,500</v>
          </cell>
          <cell r="CM516" t="str">
            <v>$500 / $1,000</v>
          </cell>
          <cell r="CN516">
            <v>0.6</v>
          </cell>
          <cell r="CO516" t="str">
            <v>$4,500 / $9,000</v>
          </cell>
          <cell r="CP516" t="str">
            <v>Emb</v>
          </cell>
          <cell r="CS516" t="str">
            <v>INS</v>
          </cell>
          <cell r="CT516" t="str">
            <v>Select +</v>
          </cell>
          <cell r="CU516">
            <v>0.84550000000000003</v>
          </cell>
          <cell r="CW516" t="str">
            <v>SP14&amp;15</v>
          </cell>
          <cell r="CX516">
            <v>0.68979999999999997</v>
          </cell>
        </row>
        <row r="517">
          <cell r="CA517" t="str">
            <v>PS1</v>
          </cell>
          <cell r="CB517" t="str">
            <v>Select Plus</v>
          </cell>
          <cell r="CC517">
            <v>20</v>
          </cell>
          <cell r="CD517">
            <v>20</v>
          </cell>
          <cell r="CE517" t="str">
            <v>N/A</v>
          </cell>
          <cell r="CF517" t="str">
            <v>$250 POD</v>
          </cell>
          <cell r="CG517">
            <v>125</v>
          </cell>
          <cell r="CH517">
            <v>250</v>
          </cell>
          <cell r="CI517" t="str">
            <v>N/A</v>
          </cell>
          <cell r="CJ517" t="str">
            <v>$500 / $1,000</v>
          </cell>
          <cell r="CK517">
            <v>0.7</v>
          </cell>
          <cell r="CL517" t="str">
            <v>$4,500 / $9,000</v>
          </cell>
          <cell r="CM517" t="str">
            <v>$1,000 / $2,000</v>
          </cell>
          <cell r="CN517">
            <v>0.5</v>
          </cell>
          <cell r="CO517" t="str">
            <v>$9,000 / $18,000</v>
          </cell>
          <cell r="CP517" t="str">
            <v>Emb</v>
          </cell>
          <cell r="CS517" t="str">
            <v>INS</v>
          </cell>
          <cell r="CT517" t="str">
            <v>Select +</v>
          </cell>
          <cell r="CU517">
            <v>0.74080000000000001</v>
          </cell>
          <cell r="CW517" t="str">
            <v>SP14&amp;15</v>
          </cell>
          <cell r="CX517">
            <v>0.65110000000000001</v>
          </cell>
        </row>
        <row r="518">
          <cell r="CA518" t="str">
            <v>PS2</v>
          </cell>
          <cell r="CB518" t="str">
            <v>Select Plus</v>
          </cell>
          <cell r="CC518">
            <v>15</v>
          </cell>
          <cell r="CD518">
            <v>15</v>
          </cell>
          <cell r="CE518" t="str">
            <v>N/A</v>
          </cell>
          <cell r="CF518" t="str">
            <v>N/A</v>
          </cell>
          <cell r="CG518">
            <v>50</v>
          </cell>
          <cell r="CH518">
            <v>100</v>
          </cell>
          <cell r="CI518" t="str">
            <v>N/A</v>
          </cell>
          <cell r="CJ518" t="str">
            <v>$1,000 / $2,000</v>
          </cell>
          <cell r="CK518">
            <v>0.9</v>
          </cell>
          <cell r="CL518" t="str">
            <v>$3,000 / $6,000</v>
          </cell>
          <cell r="CM518" t="str">
            <v>$2,000 / $4,000</v>
          </cell>
          <cell r="CN518">
            <v>0.7</v>
          </cell>
          <cell r="CO518" t="str">
            <v>$6,000 / $12,000</v>
          </cell>
          <cell r="CP518" t="str">
            <v>Emb</v>
          </cell>
          <cell r="CS518" t="str">
            <v>INS</v>
          </cell>
          <cell r="CT518" t="str">
            <v>Select +</v>
          </cell>
          <cell r="CU518">
            <v>0.81200000000000006</v>
          </cell>
          <cell r="CW518" t="str">
            <v>SP14&amp;15</v>
          </cell>
          <cell r="CX518">
            <v>0.66749999999999998</v>
          </cell>
        </row>
        <row r="519">
          <cell r="CA519" t="str">
            <v>PS3</v>
          </cell>
          <cell r="CB519" t="str">
            <v>Select Plus</v>
          </cell>
          <cell r="CC519">
            <v>25</v>
          </cell>
          <cell r="CD519">
            <v>25</v>
          </cell>
          <cell r="CE519" t="str">
            <v>N/A</v>
          </cell>
          <cell r="CF519" t="str">
            <v>N/A</v>
          </cell>
          <cell r="CG519">
            <v>125</v>
          </cell>
          <cell r="CH519">
            <v>250</v>
          </cell>
          <cell r="CI519" t="str">
            <v>N/A</v>
          </cell>
          <cell r="CJ519" t="str">
            <v>$1,000 / $2,000</v>
          </cell>
          <cell r="CK519">
            <v>0.9</v>
          </cell>
          <cell r="CL519" t="str">
            <v>$2,000 / $4,000</v>
          </cell>
          <cell r="CM519" t="str">
            <v>$2,000 / $4,000</v>
          </cell>
          <cell r="CN519">
            <v>0.6</v>
          </cell>
          <cell r="CO519" t="str">
            <v>$4,000 / $8,000</v>
          </cell>
          <cell r="CP519" t="str">
            <v>Emb</v>
          </cell>
          <cell r="CS519" t="str">
            <v>INS</v>
          </cell>
          <cell r="CT519" t="str">
            <v>Select +</v>
          </cell>
          <cell r="CU519">
            <v>0.82250000000000001</v>
          </cell>
          <cell r="CW519" t="str">
            <v>SP14&amp;15</v>
          </cell>
          <cell r="CX519">
            <v>0.66259999999999997</v>
          </cell>
        </row>
        <row r="520">
          <cell r="CA520" t="str">
            <v>PS4</v>
          </cell>
          <cell r="CB520" t="str">
            <v>Select Plus</v>
          </cell>
          <cell r="CC520">
            <v>15</v>
          </cell>
          <cell r="CD520">
            <v>15</v>
          </cell>
          <cell r="CE520" t="str">
            <v>N/A</v>
          </cell>
          <cell r="CF520" t="str">
            <v>N/A</v>
          </cell>
          <cell r="CG520">
            <v>50</v>
          </cell>
          <cell r="CH520">
            <v>100</v>
          </cell>
          <cell r="CI520" t="str">
            <v>N/A</v>
          </cell>
          <cell r="CJ520" t="str">
            <v>$1,500 / $3,500</v>
          </cell>
          <cell r="CK520">
            <v>0.9</v>
          </cell>
          <cell r="CL520" t="str">
            <v>$3,500 / $7,000</v>
          </cell>
          <cell r="CM520" t="str">
            <v>$3,000 / $6,000</v>
          </cell>
          <cell r="CN520">
            <v>0.7</v>
          </cell>
          <cell r="CO520" t="str">
            <v>$7,000 / $14,000</v>
          </cell>
          <cell r="CP520" t="str">
            <v>Emb</v>
          </cell>
          <cell r="CS520" t="str">
            <v>INS</v>
          </cell>
          <cell r="CT520" t="str">
            <v>Select +</v>
          </cell>
          <cell r="CU520">
            <v>0.77810000000000001</v>
          </cell>
          <cell r="CW520" t="str">
            <v>SP14&amp;15</v>
          </cell>
          <cell r="CX520">
            <v>0.65169999999999995</v>
          </cell>
        </row>
        <row r="521">
          <cell r="CA521" t="str">
            <v>PS6</v>
          </cell>
          <cell r="CB521" t="str">
            <v>Select Plus</v>
          </cell>
          <cell r="CC521">
            <v>25</v>
          </cell>
          <cell r="CD521">
            <v>25</v>
          </cell>
          <cell r="CE521" t="str">
            <v>N/A</v>
          </cell>
          <cell r="CF521" t="str">
            <v>N/A</v>
          </cell>
          <cell r="CG521">
            <v>50</v>
          </cell>
          <cell r="CH521">
            <v>100</v>
          </cell>
          <cell r="CI521" t="str">
            <v>N/A</v>
          </cell>
          <cell r="CJ521" t="str">
            <v>$1,000 / $2,000</v>
          </cell>
          <cell r="CK521">
            <v>0.8</v>
          </cell>
          <cell r="CL521" t="str">
            <v>$3,000 / $6,000</v>
          </cell>
          <cell r="CM521" t="str">
            <v>$2,000 / $4,000</v>
          </cell>
          <cell r="CN521">
            <v>0.6</v>
          </cell>
          <cell r="CO521" t="str">
            <v>$10,000 / $20,000</v>
          </cell>
          <cell r="CP521" t="str">
            <v>Emb</v>
          </cell>
          <cell r="CS521" t="str">
            <v>INS</v>
          </cell>
          <cell r="CT521" t="str">
            <v>Select +</v>
          </cell>
          <cell r="CU521">
            <v>0.77880000000000005</v>
          </cell>
          <cell r="CW521" t="str">
            <v>SP14&amp;15</v>
          </cell>
          <cell r="CX521">
            <v>0.65259999999999996</v>
          </cell>
        </row>
        <row r="522">
          <cell r="CA522" t="str">
            <v>PS7</v>
          </cell>
          <cell r="CB522" t="str">
            <v>Select Plus</v>
          </cell>
          <cell r="CC522">
            <v>35</v>
          </cell>
          <cell r="CD522">
            <v>35</v>
          </cell>
          <cell r="CE522" t="str">
            <v>N/A</v>
          </cell>
          <cell r="CF522" t="str">
            <v>N/A</v>
          </cell>
          <cell r="CG522">
            <v>125</v>
          </cell>
          <cell r="CH522">
            <v>250</v>
          </cell>
          <cell r="CI522" t="str">
            <v>N/A</v>
          </cell>
          <cell r="CJ522" t="str">
            <v>$750 / $1,500</v>
          </cell>
          <cell r="CK522">
            <v>0.8</v>
          </cell>
          <cell r="CL522" t="str">
            <v>$2,500 / $5,000</v>
          </cell>
          <cell r="CM522" t="str">
            <v>$1,500 / $3,000</v>
          </cell>
          <cell r="CN522">
            <v>0.6</v>
          </cell>
          <cell r="CO522" t="str">
            <v>$5,000 / $10,000</v>
          </cell>
          <cell r="CP522" t="str">
            <v>Emb</v>
          </cell>
          <cell r="CS522" t="str">
            <v>INS</v>
          </cell>
          <cell r="CT522" t="str">
            <v>Select +</v>
          </cell>
          <cell r="CU522">
            <v>0.78659999999999997</v>
          </cell>
          <cell r="CW522" t="str">
            <v>SP14&amp;15</v>
          </cell>
          <cell r="CX522">
            <v>0.65049999999999997</v>
          </cell>
        </row>
        <row r="523">
          <cell r="CA523" t="str">
            <v>PS9</v>
          </cell>
          <cell r="CB523" t="str">
            <v>Select Plus</v>
          </cell>
          <cell r="CC523">
            <v>30</v>
          </cell>
          <cell r="CD523">
            <v>30</v>
          </cell>
          <cell r="CE523" t="str">
            <v>N/A</v>
          </cell>
          <cell r="CF523" t="str">
            <v>N/A</v>
          </cell>
          <cell r="CG523">
            <v>50</v>
          </cell>
          <cell r="CH523">
            <v>150</v>
          </cell>
          <cell r="CI523" t="str">
            <v>N/A</v>
          </cell>
          <cell r="CJ523" t="str">
            <v>$1,000 / $2,000</v>
          </cell>
          <cell r="CK523">
            <v>0.8</v>
          </cell>
          <cell r="CL523" t="str">
            <v>$4,000 / $8,000</v>
          </cell>
          <cell r="CM523" t="str">
            <v>$2,000 / $4,000</v>
          </cell>
          <cell r="CN523">
            <v>0.6</v>
          </cell>
          <cell r="CO523" t="str">
            <v>$10,000 / $20,000</v>
          </cell>
          <cell r="CP523" t="str">
            <v>Emb</v>
          </cell>
          <cell r="CS523" t="str">
            <v>INS</v>
          </cell>
          <cell r="CT523" t="str">
            <v>Select +</v>
          </cell>
          <cell r="CU523">
            <v>0.7429</v>
          </cell>
          <cell r="CW523" t="str">
            <v>SP14&amp;15</v>
          </cell>
          <cell r="CX523">
            <v>0.63580000000000003</v>
          </cell>
        </row>
        <row r="524">
          <cell r="CA524" t="str">
            <v>PSZ</v>
          </cell>
          <cell r="CB524" t="str">
            <v>Select Plus</v>
          </cell>
          <cell r="CC524">
            <v>30</v>
          </cell>
          <cell r="CD524">
            <v>30</v>
          </cell>
          <cell r="CE524" t="str">
            <v>N/A</v>
          </cell>
          <cell r="CF524" t="str">
            <v>$500 POD</v>
          </cell>
          <cell r="CG524">
            <v>125</v>
          </cell>
          <cell r="CH524">
            <v>250</v>
          </cell>
          <cell r="CI524" t="str">
            <v>N/A</v>
          </cell>
          <cell r="CJ524" t="str">
            <v>$500 / $1,000</v>
          </cell>
          <cell r="CK524">
            <v>0.8</v>
          </cell>
          <cell r="CL524" t="str">
            <v>$5,000 / $10,000</v>
          </cell>
          <cell r="CM524" t="str">
            <v>$500 / $1,000</v>
          </cell>
          <cell r="CN524">
            <v>0.6</v>
          </cell>
          <cell r="CO524" t="str">
            <v>$10,000 / $20,000</v>
          </cell>
          <cell r="CP524" t="str">
            <v>Emb</v>
          </cell>
          <cell r="CS524" t="str">
            <v>INS</v>
          </cell>
          <cell r="CT524" t="str">
            <v>Select +</v>
          </cell>
          <cell r="CU524">
            <v>0.74429999999999996</v>
          </cell>
          <cell r="CW524" t="str">
            <v>SP14&amp;15</v>
          </cell>
          <cell r="CX524">
            <v>0.64429999999999998</v>
          </cell>
        </row>
        <row r="525">
          <cell r="CA525" t="str">
            <v>PT1</v>
          </cell>
          <cell r="CB525" t="str">
            <v>Select Plus</v>
          </cell>
          <cell r="CC525">
            <v>20</v>
          </cell>
          <cell r="CD525">
            <v>20</v>
          </cell>
          <cell r="CE525" t="str">
            <v>N/A</v>
          </cell>
          <cell r="CF525" t="str">
            <v>N/A</v>
          </cell>
          <cell r="CG525">
            <v>50</v>
          </cell>
          <cell r="CH525">
            <v>100</v>
          </cell>
          <cell r="CI525" t="str">
            <v>N/A</v>
          </cell>
          <cell r="CJ525" t="str">
            <v>$1,500 / $3,500</v>
          </cell>
          <cell r="CK525">
            <v>0.8</v>
          </cell>
          <cell r="CL525" t="str">
            <v>$4,500 / $9,000</v>
          </cell>
          <cell r="CM525" t="str">
            <v>$3,000 / $6,000</v>
          </cell>
          <cell r="CN525">
            <v>0.6</v>
          </cell>
          <cell r="CO525" t="str">
            <v>$9,000 / $18,000</v>
          </cell>
          <cell r="CP525" t="str">
            <v>Emb</v>
          </cell>
          <cell r="CS525" t="str">
            <v>INS</v>
          </cell>
          <cell r="CT525" t="str">
            <v>Select +</v>
          </cell>
          <cell r="CU525">
            <v>0.73319999999999996</v>
          </cell>
          <cell r="CW525" t="str">
            <v>SP14&amp;15</v>
          </cell>
          <cell r="CX525">
            <v>0.63519999999999999</v>
          </cell>
        </row>
        <row r="526">
          <cell r="CA526" t="str">
            <v>PT3</v>
          </cell>
          <cell r="CB526" t="str">
            <v>Select Plus</v>
          </cell>
          <cell r="CC526">
            <v>25</v>
          </cell>
          <cell r="CD526">
            <v>25</v>
          </cell>
          <cell r="CE526" t="str">
            <v>N/A</v>
          </cell>
          <cell r="CF526" t="str">
            <v>N/A</v>
          </cell>
          <cell r="CG526">
            <v>125</v>
          </cell>
          <cell r="CH526">
            <v>250</v>
          </cell>
          <cell r="CI526" t="str">
            <v>N/A</v>
          </cell>
          <cell r="CJ526" t="str">
            <v>$1,000 / $2,000</v>
          </cell>
          <cell r="CK526">
            <v>0.7</v>
          </cell>
          <cell r="CL526" t="str">
            <v>$4,000 / $8,000</v>
          </cell>
          <cell r="CM526" t="str">
            <v>$2,000 / $4,000</v>
          </cell>
          <cell r="CN526">
            <v>0.5</v>
          </cell>
          <cell r="CO526" t="str">
            <v>$10,000 / $20,000</v>
          </cell>
          <cell r="CP526" t="str">
            <v>Emb</v>
          </cell>
          <cell r="CS526" t="str">
            <v>INS</v>
          </cell>
          <cell r="CT526" t="str">
            <v>Select +</v>
          </cell>
          <cell r="CU526">
            <v>0.73009999999999997</v>
          </cell>
          <cell r="CW526" t="str">
            <v>SP14&amp;15</v>
          </cell>
          <cell r="CX526">
            <v>0.63619999999999999</v>
          </cell>
        </row>
        <row r="527">
          <cell r="CA527" t="str">
            <v>PT4</v>
          </cell>
          <cell r="CB527" t="str">
            <v>Select Plus</v>
          </cell>
          <cell r="CC527">
            <v>30</v>
          </cell>
          <cell r="CD527">
            <v>30</v>
          </cell>
          <cell r="CE527" t="str">
            <v>N/A</v>
          </cell>
          <cell r="CF527" t="str">
            <v>N/A</v>
          </cell>
          <cell r="CG527">
            <v>125</v>
          </cell>
          <cell r="CH527">
            <v>250</v>
          </cell>
          <cell r="CI527" t="str">
            <v>N/A</v>
          </cell>
          <cell r="CJ527" t="str">
            <v>$1,500 / $3,000</v>
          </cell>
          <cell r="CK527">
            <v>0.8</v>
          </cell>
          <cell r="CL527" t="str">
            <v>$4,000 / $8,000</v>
          </cell>
          <cell r="CM527" t="str">
            <v>$3,000 / $6,000</v>
          </cell>
          <cell r="CN527">
            <v>0.5</v>
          </cell>
          <cell r="CO527" t="str">
            <v>$8,000 / $16,000</v>
          </cell>
          <cell r="CP527" t="str">
            <v>Emb</v>
          </cell>
          <cell r="CS527" t="str">
            <v>INS</v>
          </cell>
          <cell r="CT527" t="str">
            <v>Select +</v>
          </cell>
          <cell r="CU527">
            <v>0.72350000000000003</v>
          </cell>
          <cell r="CW527" t="str">
            <v>SP14&amp;15</v>
          </cell>
          <cell r="CX527">
            <v>0.62260000000000004</v>
          </cell>
        </row>
        <row r="528">
          <cell r="CA528" t="str">
            <v>PT8</v>
          </cell>
          <cell r="CB528" t="str">
            <v>Select Plus HRA</v>
          </cell>
          <cell r="CC528" t="str">
            <v>N/A</v>
          </cell>
          <cell r="CD528" t="str">
            <v>N/A</v>
          </cell>
          <cell r="CE528" t="str">
            <v>N/A</v>
          </cell>
          <cell r="CF528" t="str">
            <v>N/A</v>
          </cell>
          <cell r="CG528" t="str">
            <v>N/A</v>
          </cell>
          <cell r="CH528" t="str">
            <v>N/A</v>
          </cell>
          <cell r="CI528" t="str">
            <v>N/A</v>
          </cell>
          <cell r="CJ528" t="str">
            <v>$1,500 / $3,000</v>
          </cell>
          <cell r="CK528">
            <v>1</v>
          </cell>
          <cell r="CL528" t="str">
            <v>$2,500 / $5,000</v>
          </cell>
          <cell r="CM528" t="str">
            <v>$3,500 / $7,000</v>
          </cell>
          <cell r="CN528">
            <v>0.8</v>
          </cell>
          <cell r="CO528" t="str">
            <v>$4,500 / $9,000</v>
          </cell>
          <cell r="CP528" t="str">
            <v>Emb</v>
          </cell>
          <cell r="CS528" t="str">
            <v>INS</v>
          </cell>
          <cell r="CT528" t="str">
            <v>Select +</v>
          </cell>
          <cell r="CU528">
            <v>0.91849999999999998</v>
          </cell>
          <cell r="CV528" t="str">
            <v>H9-HRA</v>
          </cell>
          <cell r="CW528" t="str">
            <v>SPHRA14&amp;15</v>
          </cell>
          <cell r="CX528">
            <v>0.8125</v>
          </cell>
        </row>
        <row r="529">
          <cell r="CA529" t="str">
            <v>PT9</v>
          </cell>
          <cell r="CB529" t="str">
            <v>Select Plus HRA</v>
          </cell>
          <cell r="CC529" t="str">
            <v>N/A</v>
          </cell>
          <cell r="CD529" t="str">
            <v>N/A</v>
          </cell>
          <cell r="CE529" t="str">
            <v>N/A</v>
          </cell>
          <cell r="CF529" t="str">
            <v>N/A</v>
          </cell>
          <cell r="CG529" t="str">
            <v>N/A</v>
          </cell>
          <cell r="CH529" t="str">
            <v>N/A</v>
          </cell>
          <cell r="CI529" t="str">
            <v>N/A</v>
          </cell>
          <cell r="CJ529" t="str">
            <v>$1,000 / $2,000</v>
          </cell>
          <cell r="CK529">
            <v>0.8</v>
          </cell>
          <cell r="CL529" t="str">
            <v>$2,000 / $4,000</v>
          </cell>
          <cell r="CM529" t="str">
            <v>$2,000 / $4,000</v>
          </cell>
          <cell r="CN529">
            <v>0.6</v>
          </cell>
          <cell r="CO529" t="str">
            <v>$4,000 / $8,000</v>
          </cell>
          <cell r="CP529" t="str">
            <v>Emb</v>
          </cell>
          <cell r="CS529" t="str">
            <v>INS</v>
          </cell>
          <cell r="CT529" t="str">
            <v>Select +</v>
          </cell>
          <cell r="CU529">
            <v>0.86260000000000003</v>
          </cell>
          <cell r="CV529" t="str">
            <v>H9-HRA</v>
          </cell>
          <cell r="CW529" t="str">
            <v>SPHRA14&amp;15</v>
          </cell>
          <cell r="CX529">
            <v>0.83130000000000004</v>
          </cell>
        </row>
        <row r="530">
          <cell r="CA530" t="str">
            <v>PUA</v>
          </cell>
          <cell r="CB530" t="str">
            <v>Select Plus HRA</v>
          </cell>
          <cell r="CC530" t="str">
            <v>N/A</v>
          </cell>
          <cell r="CD530" t="str">
            <v>N/A</v>
          </cell>
          <cell r="CE530" t="str">
            <v>N/A</v>
          </cell>
          <cell r="CF530" t="str">
            <v>N/A</v>
          </cell>
          <cell r="CG530" t="str">
            <v>N/A</v>
          </cell>
          <cell r="CH530" t="str">
            <v>N/A</v>
          </cell>
          <cell r="CI530" t="str">
            <v>N/A</v>
          </cell>
          <cell r="CJ530" t="str">
            <v>$3,000 / $6,000</v>
          </cell>
          <cell r="CK530">
            <v>1</v>
          </cell>
          <cell r="CL530" t="str">
            <v>$4,000 / $8,000</v>
          </cell>
          <cell r="CM530" t="str">
            <v>$5,000 / $10,000</v>
          </cell>
          <cell r="CN530">
            <v>0.8</v>
          </cell>
          <cell r="CO530" t="str">
            <v>$6,000 / $12,000</v>
          </cell>
          <cell r="CP530" t="str">
            <v>Emb</v>
          </cell>
          <cell r="CS530" t="str">
            <v>INS</v>
          </cell>
          <cell r="CT530" t="str">
            <v>Select +</v>
          </cell>
          <cell r="CU530">
            <v>0.76239999999999997</v>
          </cell>
          <cell r="CV530" t="str">
            <v>H9-HRA</v>
          </cell>
          <cell r="CW530" t="str">
            <v>SPHRA14&amp;15</v>
          </cell>
          <cell r="CX530">
            <v>0.71699999999999997</v>
          </cell>
        </row>
        <row r="531">
          <cell r="CA531" t="str">
            <v>PUB</v>
          </cell>
          <cell r="CB531" t="str">
            <v>Select Plus HRA</v>
          </cell>
          <cell r="CC531" t="str">
            <v>N/A</v>
          </cell>
          <cell r="CD531" t="str">
            <v>N/A</v>
          </cell>
          <cell r="CE531" t="str">
            <v>N/A</v>
          </cell>
          <cell r="CF531" t="str">
            <v>N/A</v>
          </cell>
          <cell r="CG531" t="str">
            <v>N/A</v>
          </cell>
          <cell r="CH531" t="str">
            <v>N/A</v>
          </cell>
          <cell r="CI531" t="str">
            <v>N/A</v>
          </cell>
          <cell r="CJ531" t="str">
            <v>$1,500 / $3,000</v>
          </cell>
          <cell r="CK531">
            <v>0.9</v>
          </cell>
          <cell r="CL531" t="str">
            <v>$2,500 / $5,000</v>
          </cell>
          <cell r="CM531" t="str">
            <v>$3,000 / $6,000</v>
          </cell>
          <cell r="CN531">
            <v>0.7</v>
          </cell>
          <cell r="CO531" t="str">
            <v>$5,000 / $10,000</v>
          </cell>
          <cell r="CP531" t="str">
            <v>Emb</v>
          </cell>
          <cell r="CS531" t="str">
            <v>INS</v>
          </cell>
          <cell r="CT531" t="str">
            <v>Select +</v>
          </cell>
          <cell r="CU531">
            <v>0.68869999999999998</v>
          </cell>
          <cell r="CW531" t="str">
            <v>SPNHRA14&amp;15</v>
          </cell>
          <cell r="CX531">
            <v>0.61880000000000002</v>
          </cell>
        </row>
        <row r="532">
          <cell r="CA532" t="str">
            <v>PUC</v>
          </cell>
          <cell r="CB532" t="str">
            <v>Select Plus HRA</v>
          </cell>
          <cell r="CC532" t="str">
            <v>N/A</v>
          </cell>
          <cell r="CD532" t="str">
            <v>N/A</v>
          </cell>
          <cell r="CE532" t="str">
            <v>N/A</v>
          </cell>
          <cell r="CF532" t="str">
            <v>N/A</v>
          </cell>
          <cell r="CG532" t="str">
            <v>N/A</v>
          </cell>
          <cell r="CH532" t="str">
            <v>N/A</v>
          </cell>
          <cell r="CI532" t="str">
            <v>N/A</v>
          </cell>
          <cell r="CJ532" t="str">
            <v>$2,000 / $4,000</v>
          </cell>
          <cell r="CK532">
            <v>1</v>
          </cell>
          <cell r="CL532" t="str">
            <v>$2,000 / $4,000</v>
          </cell>
          <cell r="CM532" t="str">
            <v>$5,000 / $10,000</v>
          </cell>
          <cell r="CN532">
            <v>0.8</v>
          </cell>
          <cell r="CO532" t="str">
            <v>$10,000 / $20,000</v>
          </cell>
          <cell r="CP532" t="str">
            <v>Emb</v>
          </cell>
          <cell r="CS532" t="str">
            <v>INS</v>
          </cell>
          <cell r="CT532" t="str">
            <v>Select +</v>
          </cell>
          <cell r="CU532">
            <v>0.72319999999999995</v>
          </cell>
          <cell r="CW532" t="str">
            <v>SPNHRA14&amp;15</v>
          </cell>
          <cell r="CX532">
            <v>0.61</v>
          </cell>
        </row>
        <row r="533">
          <cell r="CA533" t="str">
            <v>PUD</v>
          </cell>
          <cell r="CB533" t="str">
            <v>Select Plus HRA</v>
          </cell>
          <cell r="CC533" t="str">
            <v>N/A</v>
          </cell>
          <cell r="CD533" t="str">
            <v>N/A</v>
          </cell>
          <cell r="CE533" t="str">
            <v>N/A</v>
          </cell>
          <cell r="CF533" t="str">
            <v>N/A</v>
          </cell>
          <cell r="CG533" t="str">
            <v>N/A</v>
          </cell>
          <cell r="CH533" t="str">
            <v>N/A</v>
          </cell>
          <cell r="CI533" t="str">
            <v>N/A</v>
          </cell>
          <cell r="CJ533" t="str">
            <v>$1,500 / $3,000</v>
          </cell>
          <cell r="CK533">
            <v>0.8</v>
          </cell>
          <cell r="CL533" t="str">
            <v>$2,500 / $5,000</v>
          </cell>
          <cell r="CM533" t="str">
            <v>$3,000 / $6,000</v>
          </cell>
          <cell r="CN533">
            <v>0.6</v>
          </cell>
          <cell r="CO533" t="str">
            <v>$5,000 / $10,000</v>
          </cell>
          <cell r="CP533" t="str">
            <v>Emb</v>
          </cell>
          <cell r="CS533" t="str">
            <v>INS</v>
          </cell>
          <cell r="CT533" t="str">
            <v>Select +</v>
          </cell>
          <cell r="CU533">
            <v>0.68049999999999999</v>
          </cell>
          <cell r="CW533" t="str">
            <v>SPNHRA14&amp;15</v>
          </cell>
          <cell r="CX533">
            <v>0.61380000000000001</v>
          </cell>
        </row>
        <row r="534">
          <cell r="CA534" t="str">
            <v>PUF</v>
          </cell>
          <cell r="CB534" t="str">
            <v>Select Plus HRA</v>
          </cell>
          <cell r="CC534" t="str">
            <v>N/A</v>
          </cell>
          <cell r="CD534" t="str">
            <v>N/A</v>
          </cell>
          <cell r="CE534" t="str">
            <v>N/A</v>
          </cell>
          <cell r="CF534" t="str">
            <v>N/A</v>
          </cell>
          <cell r="CG534" t="str">
            <v>N/A</v>
          </cell>
          <cell r="CH534" t="str">
            <v>N/A</v>
          </cell>
          <cell r="CI534" t="str">
            <v>N/A</v>
          </cell>
          <cell r="CJ534" t="str">
            <v>$5,000 / $10,000</v>
          </cell>
          <cell r="CK534">
            <v>1</v>
          </cell>
          <cell r="CL534" t="str">
            <v>$5,000 / $10,000</v>
          </cell>
          <cell r="CM534" t="str">
            <v>$10,000 / $20,000</v>
          </cell>
          <cell r="CN534">
            <v>0.7</v>
          </cell>
          <cell r="CO534" t="str">
            <v>$20,000 / $40,000</v>
          </cell>
          <cell r="CP534" t="str">
            <v>Emb</v>
          </cell>
          <cell r="CS534" t="str">
            <v>INS</v>
          </cell>
          <cell r="CT534" t="str">
            <v>Select +</v>
          </cell>
          <cell r="CU534">
            <v>0.62009999999999998</v>
          </cell>
          <cell r="CV534" t="str">
            <v>H9-HRA</v>
          </cell>
          <cell r="CW534" t="str">
            <v>SPHRA14&amp;15</v>
          </cell>
          <cell r="CX534">
            <v>0.64239999999999997</v>
          </cell>
        </row>
        <row r="535">
          <cell r="CA535" t="str">
            <v>PUJ</v>
          </cell>
          <cell r="CB535" t="str">
            <v>Select Plus HRA</v>
          </cell>
          <cell r="CC535" t="str">
            <v>N/A</v>
          </cell>
          <cell r="CD535" t="str">
            <v>N/A</v>
          </cell>
          <cell r="CE535" t="str">
            <v>N/A</v>
          </cell>
          <cell r="CF535" t="str">
            <v>N/A</v>
          </cell>
          <cell r="CG535" t="str">
            <v>N/A</v>
          </cell>
          <cell r="CH535" t="str">
            <v>N/A</v>
          </cell>
          <cell r="CI535" t="str">
            <v>N/A</v>
          </cell>
          <cell r="CJ535" t="str">
            <v>$3,000 / $6,000</v>
          </cell>
          <cell r="CK535">
            <v>0.9</v>
          </cell>
          <cell r="CL535" t="str">
            <v>$4,000 / $8,000</v>
          </cell>
          <cell r="CM535" t="str">
            <v>$5,000 / $10,000</v>
          </cell>
          <cell r="CN535">
            <v>0.7</v>
          </cell>
          <cell r="CO535" t="str">
            <v>$6,000 / $12,000</v>
          </cell>
          <cell r="CP535" t="str">
            <v>Emb</v>
          </cell>
          <cell r="CS535" t="str">
            <v>INS</v>
          </cell>
          <cell r="CT535" t="str">
            <v>Select +</v>
          </cell>
          <cell r="CU535">
            <v>0.67879999999999996</v>
          </cell>
          <cell r="CV535" t="str">
            <v>H9-HRA</v>
          </cell>
          <cell r="CW535" t="str">
            <v>SPHRA14&amp;15</v>
          </cell>
          <cell r="CX535">
            <v>0.70779999999999998</v>
          </cell>
        </row>
        <row r="536">
          <cell r="CA536" t="str">
            <v>PUP</v>
          </cell>
          <cell r="CB536" t="str">
            <v>Select Plus HRA</v>
          </cell>
          <cell r="CC536" t="str">
            <v>N/A</v>
          </cell>
          <cell r="CD536" t="str">
            <v>N/A</v>
          </cell>
          <cell r="CE536" t="str">
            <v>N/A</v>
          </cell>
          <cell r="CF536" t="str">
            <v>N/A</v>
          </cell>
          <cell r="CG536" t="str">
            <v>N/A</v>
          </cell>
          <cell r="CH536" t="str">
            <v>N/A</v>
          </cell>
          <cell r="CI536" t="str">
            <v>N/A</v>
          </cell>
          <cell r="CJ536" t="str">
            <v>$2,000 / $4,000</v>
          </cell>
          <cell r="CK536">
            <v>0.8</v>
          </cell>
          <cell r="CL536" t="str">
            <v>$4,000 / $8,000</v>
          </cell>
          <cell r="CM536" t="str">
            <v>$4,000 / $8,000</v>
          </cell>
          <cell r="CN536">
            <v>0.6</v>
          </cell>
          <cell r="CO536" t="str">
            <v>$9,000 / $18,000</v>
          </cell>
          <cell r="CP536" t="str">
            <v>Emb</v>
          </cell>
          <cell r="CS536" t="str">
            <v>INS</v>
          </cell>
          <cell r="CT536" t="str">
            <v>Select +</v>
          </cell>
          <cell r="CU536">
            <v>0.71609999999999996</v>
          </cell>
          <cell r="CV536" t="str">
            <v>H9-HRA</v>
          </cell>
          <cell r="CW536" t="str">
            <v>SPHRA14&amp;15</v>
          </cell>
          <cell r="CX536">
            <v>0.73860000000000003</v>
          </cell>
        </row>
        <row r="537">
          <cell r="CA537" t="str">
            <v>PUS</v>
          </cell>
          <cell r="CB537" t="str">
            <v>Select Plus HRA</v>
          </cell>
          <cell r="CC537" t="str">
            <v>N/A</v>
          </cell>
          <cell r="CD537" t="str">
            <v>N/A</v>
          </cell>
          <cell r="CE537" t="str">
            <v>N/A</v>
          </cell>
          <cell r="CF537" t="str">
            <v>N/A</v>
          </cell>
          <cell r="CG537" t="str">
            <v>N/A</v>
          </cell>
          <cell r="CH537" t="str">
            <v>N/A</v>
          </cell>
          <cell r="CI537" t="str">
            <v>N/A</v>
          </cell>
          <cell r="CJ537" t="str">
            <v>$2,000 / $4,000</v>
          </cell>
          <cell r="CK537">
            <v>0.9</v>
          </cell>
          <cell r="CL537" t="str">
            <v>$4,000 / $8,000</v>
          </cell>
          <cell r="CM537" t="str">
            <v>$4,000 / $8,000</v>
          </cell>
          <cell r="CN537">
            <v>0.7</v>
          </cell>
          <cell r="CO537" t="str">
            <v>$8,000 / $16,000</v>
          </cell>
          <cell r="CP537" t="str">
            <v>Emb</v>
          </cell>
          <cell r="CS537" t="str">
            <v>INS</v>
          </cell>
          <cell r="CT537" t="str">
            <v>Select +</v>
          </cell>
          <cell r="CU537">
            <v>0.62519999999999998</v>
          </cell>
          <cell r="CW537" t="str">
            <v>SPNHRA14&amp;15</v>
          </cell>
          <cell r="CX537">
            <v>0.58050000000000002</v>
          </cell>
        </row>
        <row r="538">
          <cell r="CA538" t="str">
            <v>PUT</v>
          </cell>
          <cell r="CB538" t="str">
            <v>Select Plus HRA</v>
          </cell>
          <cell r="CC538" t="str">
            <v>N/A</v>
          </cell>
          <cell r="CD538" t="str">
            <v>N/A</v>
          </cell>
          <cell r="CE538" t="str">
            <v>N/A</v>
          </cell>
          <cell r="CF538" t="str">
            <v>N/A</v>
          </cell>
          <cell r="CG538" t="str">
            <v>N/A</v>
          </cell>
          <cell r="CH538" t="str">
            <v>N/A</v>
          </cell>
          <cell r="CI538" t="str">
            <v>N/A</v>
          </cell>
          <cell r="CJ538" t="str">
            <v>$3,000 / $6,000</v>
          </cell>
          <cell r="CK538">
            <v>0.8</v>
          </cell>
          <cell r="CL538" t="str">
            <v>$4,000 / $8,000</v>
          </cell>
          <cell r="CM538" t="str">
            <v>$5,000 / $10,000</v>
          </cell>
          <cell r="CN538">
            <v>0.6</v>
          </cell>
          <cell r="CO538" t="str">
            <v>$6,000 / $12,000</v>
          </cell>
          <cell r="CP538" t="str">
            <v>Emb</v>
          </cell>
          <cell r="CS538" t="str">
            <v>INS</v>
          </cell>
          <cell r="CT538" t="str">
            <v>Select +</v>
          </cell>
          <cell r="CU538">
            <v>0.67169999999999996</v>
          </cell>
          <cell r="CV538" t="str">
            <v>H9-HRA</v>
          </cell>
          <cell r="CW538" t="str">
            <v>SPHRA14&amp;15</v>
          </cell>
          <cell r="CX538">
            <v>0.70379999999999998</v>
          </cell>
        </row>
        <row r="539">
          <cell r="CA539" t="str">
            <v>PUW</v>
          </cell>
          <cell r="CB539" t="str">
            <v>Select Plus HRA</v>
          </cell>
          <cell r="CC539" t="str">
            <v>N/A</v>
          </cell>
          <cell r="CD539" t="str">
            <v>N/A</v>
          </cell>
          <cell r="CE539" t="str">
            <v>N/A</v>
          </cell>
          <cell r="CF539" t="str">
            <v>N/A</v>
          </cell>
          <cell r="CG539" t="str">
            <v>N/A</v>
          </cell>
          <cell r="CH539" t="str">
            <v>N/A</v>
          </cell>
          <cell r="CI539" t="str">
            <v>N/A</v>
          </cell>
          <cell r="CJ539" t="str">
            <v>$2,500 / $5,000</v>
          </cell>
          <cell r="CK539">
            <v>0.8</v>
          </cell>
          <cell r="CL539" t="str">
            <v>$5,000 / $10,000</v>
          </cell>
          <cell r="CM539" t="str">
            <v>$6,000 / $12,000</v>
          </cell>
          <cell r="CN539">
            <v>0.6</v>
          </cell>
          <cell r="CO539" t="str">
            <v>$10,000 / $20,000</v>
          </cell>
          <cell r="CP539" t="str">
            <v>Emb</v>
          </cell>
          <cell r="CS539" t="str">
            <v>INS</v>
          </cell>
          <cell r="CT539" t="str">
            <v>Select +</v>
          </cell>
          <cell r="CU539">
            <v>0.66190000000000004</v>
          </cell>
          <cell r="CV539" t="str">
            <v>H9-HRA</v>
          </cell>
          <cell r="CW539" t="str">
            <v>SPHRA14&amp;15</v>
          </cell>
          <cell r="CX539">
            <v>0.70230000000000004</v>
          </cell>
        </row>
        <row r="540">
          <cell r="CA540" t="str">
            <v>PUX</v>
          </cell>
          <cell r="CB540" t="str">
            <v>Select Plus HRA</v>
          </cell>
          <cell r="CC540" t="str">
            <v>N/A</v>
          </cell>
          <cell r="CD540" t="str">
            <v>N/A</v>
          </cell>
          <cell r="CE540" t="str">
            <v>N/A</v>
          </cell>
          <cell r="CF540" t="str">
            <v>N/A</v>
          </cell>
          <cell r="CG540" t="str">
            <v>N/A</v>
          </cell>
          <cell r="CH540" t="str">
            <v>N/A</v>
          </cell>
          <cell r="CI540" t="str">
            <v>N/A</v>
          </cell>
          <cell r="CJ540" t="str">
            <v>$3,000 / $6,000</v>
          </cell>
          <cell r="CK540">
            <v>0.9</v>
          </cell>
          <cell r="CL540" t="str">
            <v>$5,000 / $10,000</v>
          </cell>
          <cell r="CM540" t="str">
            <v>$5,000 / $10,000</v>
          </cell>
          <cell r="CN540">
            <v>0.7</v>
          </cell>
          <cell r="CO540" t="str">
            <v>$10,000 / $20,000</v>
          </cell>
          <cell r="CP540" t="str">
            <v>Emb</v>
          </cell>
          <cell r="CS540" t="str">
            <v>INS</v>
          </cell>
          <cell r="CT540" t="str">
            <v>Select +</v>
          </cell>
          <cell r="CU540">
            <v>0.65710000000000002</v>
          </cell>
          <cell r="CV540" t="str">
            <v>H9-HRA</v>
          </cell>
          <cell r="CW540" t="str">
            <v>SPHRA14&amp;15</v>
          </cell>
          <cell r="CX540">
            <v>0.69389999999999996</v>
          </cell>
        </row>
        <row r="541">
          <cell r="CA541" t="str">
            <v>ULJ</v>
          </cell>
          <cell r="CB541" t="str">
            <v>Select Plus HSA</v>
          </cell>
          <cell r="CC541" t="str">
            <v>N/A</v>
          </cell>
          <cell r="CD541" t="str">
            <v>N/A</v>
          </cell>
          <cell r="CE541" t="str">
            <v>N/A</v>
          </cell>
          <cell r="CF541" t="str">
            <v>N/A</v>
          </cell>
          <cell r="CG541" t="str">
            <v>N/A</v>
          </cell>
          <cell r="CH541" t="str">
            <v>N/A</v>
          </cell>
          <cell r="CI541" t="str">
            <v>N/A</v>
          </cell>
          <cell r="CJ541" t="str">
            <v>$3,000 / $6,000</v>
          </cell>
          <cell r="CK541">
            <v>1</v>
          </cell>
          <cell r="CL541" t="str">
            <v>$4,000 / $8,000</v>
          </cell>
          <cell r="CM541" t="str">
            <v>$5,000 / $10,000</v>
          </cell>
          <cell r="CN541">
            <v>0.8</v>
          </cell>
          <cell r="CO541" t="str">
            <v>$6,000 / $12,000</v>
          </cell>
          <cell r="CP541" t="str">
            <v>Emb</v>
          </cell>
          <cell r="CS541" t="str">
            <v>INS</v>
          </cell>
          <cell r="CT541" t="str">
            <v>Select +</v>
          </cell>
          <cell r="CU541">
            <v>0.73309999999999997</v>
          </cell>
          <cell r="CV541" t="str">
            <v>H9-HSA</v>
          </cell>
          <cell r="CW541" t="str">
            <v>SPHSA14&amp;15</v>
          </cell>
          <cell r="CX541">
            <v>0.71699999999999997</v>
          </cell>
        </row>
        <row r="542">
          <cell r="CA542" t="str">
            <v>ULO</v>
          </cell>
          <cell r="CB542" t="str">
            <v>Select Plus HSA</v>
          </cell>
          <cell r="CC542" t="str">
            <v>N/A</v>
          </cell>
          <cell r="CD542" t="str">
            <v>N/A</v>
          </cell>
          <cell r="CE542" t="str">
            <v>N/A</v>
          </cell>
          <cell r="CF542" t="str">
            <v>N/A</v>
          </cell>
          <cell r="CG542" t="str">
            <v>N/A</v>
          </cell>
          <cell r="CH542" t="str">
            <v>N/A</v>
          </cell>
          <cell r="CI542" t="str">
            <v>N/A</v>
          </cell>
          <cell r="CJ542" t="str">
            <v>$3,000 / $6,000</v>
          </cell>
          <cell r="CK542">
            <v>0.9</v>
          </cell>
          <cell r="CL542" t="str">
            <v>$4,000 / $8,000</v>
          </cell>
          <cell r="CM542" t="str">
            <v>$5,000 / $10,000</v>
          </cell>
          <cell r="CN542">
            <v>0.7</v>
          </cell>
          <cell r="CO542" t="str">
            <v>$6,000 / $12,000</v>
          </cell>
          <cell r="CP542" t="str">
            <v>Emb</v>
          </cell>
          <cell r="CS542" t="str">
            <v>INS</v>
          </cell>
          <cell r="CT542" t="str">
            <v>Select +</v>
          </cell>
          <cell r="CU542">
            <v>0.66549999999999998</v>
          </cell>
          <cell r="CV542" t="str">
            <v>H9-HSA</v>
          </cell>
          <cell r="CW542" t="str">
            <v>SPHSA14&amp;15</v>
          </cell>
          <cell r="CX542">
            <v>0.70779999999999998</v>
          </cell>
        </row>
        <row r="543">
          <cell r="CA543" t="str">
            <v>ULR</v>
          </cell>
          <cell r="CB543" t="str">
            <v>Select Plus HSA</v>
          </cell>
          <cell r="CC543" t="str">
            <v>N/A</v>
          </cell>
          <cell r="CD543" t="str">
            <v>N/A</v>
          </cell>
          <cell r="CE543" t="str">
            <v>N/A</v>
          </cell>
          <cell r="CF543" t="str">
            <v>N/A</v>
          </cell>
          <cell r="CG543" t="str">
            <v>N/A</v>
          </cell>
          <cell r="CH543" t="str">
            <v>N/A</v>
          </cell>
          <cell r="CI543" t="str">
            <v>N/A</v>
          </cell>
          <cell r="CJ543" t="str">
            <v>$3,000 / $6,000</v>
          </cell>
          <cell r="CK543">
            <v>0.9</v>
          </cell>
          <cell r="CL543" t="str">
            <v>$5,000 / $10,000</v>
          </cell>
          <cell r="CM543" t="str">
            <v>$5,000 / $10,000</v>
          </cell>
          <cell r="CN543">
            <v>0.7</v>
          </cell>
          <cell r="CO543" t="str">
            <v>$10,000 / $20,000</v>
          </cell>
          <cell r="CP543" t="str">
            <v>Emb</v>
          </cell>
          <cell r="CS543" t="str">
            <v>INS</v>
          </cell>
          <cell r="CT543" t="str">
            <v>Select +</v>
          </cell>
          <cell r="CU543">
            <v>0.64419999999999999</v>
          </cell>
          <cell r="CV543" t="str">
            <v>H9-HSA</v>
          </cell>
          <cell r="CW543" t="str">
            <v>SPHSA14&amp;15</v>
          </cell>
          <cell r="CX543">
            <v>0.69389999999999996</v>
          </cell>
        </row>
        <row r="544">
          <cell r="CA544" t="str">
            <v>ULU</v>
          </cell>
          <cell r="CB544" t="str">
            <v>Select Plus HSA</v>
          </cell>
          <cell r="CC544" t="str">
            <v>N/A</v>
          </cell>
          <cell r="CD544" t="str">
            <v>N/A</v>
          </cell>
          <cell r="CE544" t="str">
            <v>N/A</v>
          </cell>
          <cell r="CF544" t="str">
            <v>N/A</v>
          </cell>
          <cell r="CG544" t="str">
            <v>N/A</v>
          </cell>
          <cell r="CH544" t="str">
            <v>N/A</v>
          </cell>
          <cell r="CI544" t="str">
            <v>N/A</v>
          </cell>
          <cell r="CJ544" t="str">
            <v>$3,000 / $6,000</v>
          </cell>
          <cell r="CK544">
            <v>0.8</v>
          </cell>
          <cell r="CL544" t="str">
            <v>$5,000 / $10,000</v>
          </cell>
          <cell r="CM544" t="str">
            <v>$6,000 / $12,000</v>
          </cell>
          <cell r="CN544">
            <v>0.6</v>
          </cell>
          <cell r="CO544" t="str">
            <v>$10,000 / $20,000</v>
          </cell>
          <cell r="CP544" t="str">
            <v>Emb</v>
          </cell>
          <cell r="CS544" t="str">
            <v>INS</v>
          </cell>
          <cell r="CT544" t="str">
            <v>Select +</v>
          </cell>
          <cell r="CU544">
            <v>0.62339999999999995</v>
          </cell>
          <cell r="CV544" t="str">
            <v>H9-HSA</v>
          </cell>
          <cell r="CW544" t="str">
            <v>SPHSA14&amp;15</v>
          </cell>
          <cell r="CX544">
            <v>0.68410000000000004</v>
          </cell>
        </row>
        <row r="547">
          <cell r="CA547" t="str">
            <v>AXEK</v>
          </cell>
          <cell r="CB547" t="str">
            <v>Select Plus HSA</v>
          </cell>
          <cell r="CC547" t="str">
            <v>N/A</v>
          </cell>
          <cell r="CD547" t="str">
            <v>N/A</v>
          </cell>
          <cell r="CE547" t="str">
            <v>N/A</v>
          </cell>
          <cell r="CF547" t="str">
            <v>N/A</v>
          </cell>
          <cell r="CG547" t="str">
            <v>N/A</v>
          </cell>
          <cell r="CH547" t="str">
            <v>N/A</v>
          </cell>
          <cell r="CI547" t="str">
            <v>N/A</v>
          </cell>
          <cell r="CJ547" t="str">
            <v>$1,350 / $2,700</v>
          </cell>
          <cell r="CK547">
            <v>0.9</v>
          </cell>
          <cell r="CL547" t="str">
            <v>$6,650 / $13,300</v>
          </cell>
          <cell r="CM547" t="str">
            <v>$2,700 / $5,400</v>
          </cell>
          <cell r="CN547">
            <v>0.7</v>
          </cell>
          <cell r="CO547" t="str">
            <v>$13,300 / $26,600</v>
          </cell>
          <cell r="CP547" t="str">
            <v>NonEmb</v>
          </cell>
          <cell r="CS547" t="str">
            <v>INS</v>
          </cell>
          <cell r="CT547" t="str">
            <v>Select +</v>
          </cell>
          <cell r="CU547">
            <v>0.75180000000000002</v>
          </cell>
          <cell r="CV547" t="str">
            <v>H9-HSA</v>
          </cell>
          <cell r="CW547" t="str">
            <v>SPHSA18</v>
          </cell>
          <cell r="CX547">
            <v>0.83040000000000003</v>
          </cell>
        </row>
        <row r="548">
          <cell r="CA548" t="str">
            <v>AXEL</v>
          </cell>
          <cell r="CB548" t="str">
            <v>Select Plus HSA</v>
          </cell>
          <cell r="CC548" t="str">
            <v>N/A</v>
          </cell>
          <cell r="CD548" t="str">
            <v>N/A</v>
          </cell>
          <cell r="CE548" t="str">
            <v>N/A</v>
          </cell>
          <cell r="CF548" t="str">
            <v>N/A</v>
          </cell>
          <cell r="CG548" t="str">
            <v>N/A</v>
          </cell>
          <cell r="CH548" t="str">
            <v>N/A</v>
          </cell>
          <cell r="CI548" t="str">
            <v>N/A</v>
          </cell>
          <cell r="CJ548" t="str">
            <v>$1,500 / $2,700</v>
          </cell>
          <cell r="CK548">
            <v>0.9</v>
          </cell>
          <cell r="CL548" t="str">
            <v>$6,000 / $12,000</v>
          </cell>
          <cell r="CM548" t="str">
            <v>$3,000 / $6,000</v>
          </cell>
          <cell r="CN548">
            <v>0.7</v>
          </cell>
          <cell r="CO548" t="str">
            <v>$12,000 / $24,000</v>
          </cell>
          <cell r="CP548" t="str">
            <v>NonEmb</v>
          </cell>
          <cell r="CS548" t="str">
            <v>INS</v>
          </cell>
          <cell r="CT548" t="str">
            <v>Select +</v>
          </cell>
          <cell r="CU548">
            <v>0.75090000000000001</v>
          </cell>
          <cell r="CV548" t="str">
            <v>H9-HSA</v>
          </cell>
          <cell r="CW548" t="str">
            <v>SPHSA18</v>
          </cell>
          <cell r="CX548">
            <v>0.79490000000000005</v>
          </cell>
        </row>
        <row r="549">
          <cell r="CA549" t="str">
            <v>AXEM</v>
          </cell>
          <cell r="CB549" t="str">
            <v>Select Plus HSA</v>
          </cell>
          <cell r="CC549" t="str">
            <v>N/A</v>
          </cell>
          <cell r="CD549" t="str">
            <v>N/A</v>
          </cell>
          <cell r="CE549" t="str">
            <v>N/A</v>
          </cell>
          <cell r="CF549" t="str">
            <v>N/A</v>
          </cell>
          <cell r="CG549" t="str">
            <v>N/A</v>
          </cell>
          <cell r="CH549" t="str">
            <v>N/A</v>
          </cell>
          <cell r="CI549" t="str">
            <v>N/A</v>
          </cell>
          <cell r="CJ549" t="str">
            <v>$1,350 / $2,700</v>
          </cell>
          <cell r="CK549">
            <v>0.8</v>
          </cell>
          <cell r="CL549" t="str">
            <v>$6,650 / $13,300</v>
          </cell>
          <cell r="CM549" t="str">
            <v>$2,700 / $5,400</v>
          </cell>
          <cell r="CN549">
            <v>0.6</v>
          </cell>
          <cell r="CO549" t="str">
            <v>$13,300 / $26,600</v>
          </cell>
          <cell r="CP549" t="str">
            <v>NonEmb</v>
          </cell>
          <cell r="CS549" t="str">
            <v>INS</v>
          </cell>
          <cell r="CT549" t="str">
            <v>Select +</v>
          </cell>
          <cell r="CU549">
            <v>0.70099999999999996</v>
          </cell>
          <cell r="CV549" t="str">
            <v>H9-HSA</v>
          </cell>
          <cell r="CW549" t="str">
            <v>SPHSA18</v>
          </cell>
          <cell r="CX549">
            <v>0.77180000000000004</v>
          </cell>
        </row>
        <row r="550">
          <cell r="CA550" t="str">
            <v>AXEN</v>
          </cell>
          <cell r="CB550" t="str">
            <v>Select Plus HSA</v>
          </cell>
          <cell r="CC550" t="str">
            <v>N/A</v>
          </cell>
          <cell r="CD550" t="str">
            <v>N/A</v>
          </cell>
          <cell r="CE550" t="str">
            <v>N/A</v>
          </cell>
          <cell r="CF550" t="str">
            <v>N/A</v>
          </cell>
          <cell r="CG550" t="str">
            <v>N/A</v>
          </cell>
          <cell r="CH550" t="str">
            <v>N/A</v>
          </cell>
          <cell r="CI550" t="str">
            <v>N/A</v>
          </cell>
          <cell r="CJ550" t="str">
            <v>$1,500 / $2,700</v>
          </cell>
          <cell r="CK550">
            <v>0.8</v>
          </cell>
          <cell r="CL550" t="str">
            <v>$6,000 / $12,000</v>
          </cell>
          <cell r="CM550" t="str">
            <v>$3,000 / $6,000</v>
          </cell>
          <cell r="CN550">
            <v>0.6</v>
          </cell>
          <cell r="CO550" t="str">
            <v>$12,000 / $24,000</v>
          </cell>
          <cell r="CP550" t="str">
            <v>NonEmb</v>
          </cell>
          <cell r="CS550" t="str">
            <v>INS</v>
          </cell>
          <cell r="CT550" t="str">
            <v>Select +</v>
          </cell>
          <cell r="CU550">
            <v>0.70409999999999995</v>
          </cell>
          <cell r="CV550" t="str">
            <v>H9-HSA</v>
          </cell>
          <cell r="CW550" t="str">
            <v>SPHSA18</v>
          </cell>
          <cell r="CX550">
            <v>0.76890000000000003</v>
          </cell>
        </row>
        <row r="551">
          <cell r="CA551" t="str">
            <v>AXEO</v>
          </cell>
          <cell r="CB551" t="str">
            <v>Select Plus HSA</v>
          </cell>
          <cell r="CC551" t="str">
            <v>N/A</v>
          </cell>
          <cell r="CD551" t="str">
            <v>N/A</v>
          </cell>
          <cell r="CE551" t="str">
            <v>N/A</v>
          </cell>
          <cell r="CF551" t="str">
            <v>N/A</v>
          </cell>
          <cell r="CG551" t="str">
            <v>N/A</v>
          </cell>
          <cell r="CH551" t="str">
            <v>N/A</v>
          </cell>
          <cell r="CI551" t="str">
            <v>N/A</v>
          </cell>
          <cell r="CJ551" t="str">
            <v>$2,000 / $2,700</v>
          </cell>
          <cell r="CK551">
            <v>0.8</v>
          </cell>
          <cell r="CL551" t="str">
            <v>$4,000 / $8,000</v>
          </cell>
          <cell r="CM551" t="str">
            <v>$5,400 / $10,800</v>
          </cell>
          <cell r="CN551">
            <v>0.6</v>
          </cell>
          <cell r="CO551" t="str">
            <v>$8,000 / $16,000</v>
          </cell>
          <cell r="CP551" t="str">
            <v>NonEmb</v>
          </cell>
          <cell r="CS551" t="str">
            <v>INS</v>
          </cell>
          <cell r="CT551" t="str">
            <v>Select +</v>
          </cell>
          <cell r="CU551">
            <v>0.72589999999999999</v>
          </cell>
          <cell r="CV551" t="str">
            <v>H9-HSA</v>
          </cell>
          <cell r="CW551" t="str">
            <v>SPHSA18</v>
          </cell>
          <cell r="CX551">
            <v>0.77229999999999999</v>
          </cell>
        </row>
        <row r="552">
          <cell r="CA552" t="str">
            <v>AXEU</v>
          </cell>
          <cell r="CB552" t="str">
            <v>Select Plus HSA</v>
          </cell>
          <cell r="CC552" t="str">
            <v>N/A</v>
          </cell>
          <cell r="CD552" t="str">
            <v>N/A</v>
          </cell>
          <cell r="CE552" t="str">
            <v>N/A</v>
          </cell>
          <cell r="CF552" t="str">
            <v>N/A</v>
          </cell>
          <cell r="CG552" t="str">
            <v>N/A</v>
          </cell>
          <cell r="CH552" t="str">
            <v>N/A</v>
          </cell>
          <cell r="CI552" t="str">
            <v>N/A</v>
          </cell>
          <cell r="CJ552" t="str">
            <v>$1,350 / $2,700</v>
          </cell>
          <cell r="CK552">
            <v>0.9</v>
          </cell>
          <cell r="CL552" t="str">
            <v>$6,650 / $6,650</v>
          </cell>
          <cell r="CM552" t="str">
            <v>$2,700 / $5,400</v>
          </cell>
          <cell r="CN552">
            <v>0.7</v>
          </cell>
          <cell r="CO552" t="str">
            <v>$13,300 / $26,600</v>
          </cell>
          <cell r="CP552" t="str">
            <v>NonEmb</v>
          </cell>
          <cell r="CS552" t="str">
            <v>INS</v>
          </cell>
          <cell r="CT552" t="str">
            <v>Select +</v>
          </cell>
          <cell r="CU552">
            <v>0.75939999999999996</v>
          </cell>
          <cell r="CV552" t="str">
            <v>H9-HSA</v>
          </cell>
          <cell r="CW552" t="str">
            <v>SPHSA18</v>
          </cell>
          <cell r="CX552">
            <v>0.80089999999999995</v>
          </cell>
        </row>
        <row r="553">
          <cell r="CA553" t="str">
            <v>AXEV</v>
          </cell>
          <cell r="CB553" t="str">
            <v>Select Plus HSA</v>
          </cell>
          <cell r="CC553" t="str">
            <v>N/A</v>
          </cell>
          <cell r="CD553" t="str">
            <v>N/A</v>
          </cell>
          <cell r="CE553" t="str">
            <v>N/A</v>
          </cell>
          <cell r="CF553" t="str">
            <v>N/A</v>
          </cell>
          <cell r="CG553" t="str">
            <v>N/A</v>
          </cell>
          <cell r="CH553" t="str">
            <v>N/A</v>
          </cell>
          <cell r="CI553" t="str">
            <v>N/A</v>
          </cell>
          <cell r="CJ553" t="str">
            <v>$1,500 / $2,700</v>
          </cell>
          <cell r="CK553">
            <v>0.9</v>
          </cell>
          <cell r="CL553" t="str">
            <v>$6,000 / $6,000</v>
          </cell>
          <cell r="CM553" t="str">
            <v>$3,000 / $6,000</v>
          </cell>
          <cell r="CN553">
            <v>0.7</v>
          </cell>
          <cell r="CO553" t="str">
            <v>$6,000 / $12,000</v>
          </cell>
          <cell r="CP553" t="str">
            <v>NonEmb</v>
          </cell>
          <cell r="CS553" t="str">
            <v>INS</v>
          </cell>
          <cell r="CT553" t="str">
            <v>Select +</v>
          </cell>
          <cell r="CU553">
            <v>0.76180000000000003</v>
          </cell>
          <cell r="CV553" t="str">
            <v>H9-HSA</v>
          </cell>
          <cell r="CW553" t="str">
            <v>SPHSA18</v>
          </cell>
          <cell r="CX553">
            <v>0.79490000000000005</v>
          </cell>
        </row>
        <row r="554">
          <cell r="CA554" t="str">
            <v>AXEW</v>
          </cell>
          <cell r="CB554" t="str">
            <v>Select Plus HSA</v>
          </cell>
          <cell r="CC554" t="str">
            <v>N/A</v>
          </cell>
          <cell r="CD554" t="str">
            <v>N/A</v>
          </cell>
          <cell r="CE554" t="str">
            <v>N/A</v>
          </cell>
          <cell r="CF554" t="str">
            <v>N/A</v>
          </cell>
          <cell r="CG554" t="str">
            <v>N/A</v>
          </cell>
          <cell r="CH554" t="str">
            <v>N/A</v>
          </cell>
          <cell r="CI554" t="str">
            <v>N/A</v>
          </cell>
          <cell r="CJ554" t="str">
            <v>$1,500 / $2,700</v>
          </cell>
          <cell r="CK554">
            <v>0.8</v>
          </cell>
          <cell r="CL554" t="str">
            <v>$6,000 / $6,000</v>
          </cell>
          <cell r="CM554" t="str">
            <v>$3,000 / $6,000</v>
          </cell>
          <cell r="CN554">
            <v>0.6</v>
          </cell>
          <cell r="CO554" t="str">
            <v>$6,650 / $13,300</v>
          </cell>
          <cell r="CP554" t="str">
            <v>NonEmb</v>
          </cell>
          <cell r="CS554" t="str">
            <v>INS</v>
          </cell>
          <cell r="CT554" t="str">
            <v>Select +</v>
          </cell>
          <cell r="CU554">
            <v>0.72729999999999995</v>
          </cell>
          <cell r="CV554" t="str">
            <v>H9-HSA</v>
          </cell>
          <cell r="CW554" t="str">
            <v>SPHSA18</v>
          </cell>
          <cell r="CX554">
            <v>0.76890000000000003</v>
          </cell>
        </row>
        <row r="555">
          <cell r="CA555" t="str">
            <v>AXEX</v>
          </cell>
          <cell r="CB555" t="str">
            <v>Select Plus HSA</v>
          </cell>
          <cell r="CC555" t="str">
            <v>N/A</v>
          </cell>
          <cell r="CD555" t="str">
            <v>N/A</v>
          </cell>
          <cell r="CE555" t="str">
            <v>N/A</v>
          </cell>
          <cell r="CF555" t="str">
            <v>N/A</v>
          </cell>
          <cell r="CG555" t="str">
            <v>N/A</v>
          </cell>
          <cell r="CH555" t="str">
            <v>N/A</v>
          </cell>
          <cell r="CI555" t="str">
            <v>N/A</v>
          </cell>
          <cell r="CJ555" t="str">
            <v>$2,000 / $2,700</v>
          </cell>
          <cell r="CK555">
            <v>0.8</v>
          </cell>
          <cell r="CL555" t="str">
            <v>$4,000 / $4,000</v>
          </cell>
          <cell r="CM555" t="str">
            <v>$4,000 / $8,000</v>
          </cell>
          <cell r="CN555">
            <v>0.6</v>
          </cell>
          <cell r="CO555" t="str">
            <v>$6,650 / $13,300</v>
          </cell>
          <cell r="CP555" t="str">
            <v>NonEmb</v>
          </cell>
          <cell r="CS555" t="str">
            <v>INS</v>
          </cell>
          <cell r="CT555" t="str">
            <v>Select +</v>
          </cell>
          <cell r="CU555">
            <v>0.76549999999999996</v>
          </cell>
          <cell r="CV555" t="str">
            <v>H9-HSA</v>
          </cell>
          <cell r="CW555" t="str">
            <v>SPHSA18</v>
          </cell>
          <cell r="CX555">
            <v>0.77229999999999999</v>
          </cell>
        </row>
        <row r="556">
          <cell r="CA556" t="str">
            <v>AXEY</v>
          </cell>
          <cell r="CB556" t="str">
            <v>Select Plus HSA</v>
          </cell>
          <cell r="CC556" t="str">
            <v>N/A</v>
          </cell>
          <cell r="CD556" t="str">
            <v>N/A</v>
          </cell>
          <cell r="CE556" t="str">
            <v>N/A</v>
          </cell>
          <cell r="CF556" t="str">
            <v>N/A</v>
          </cell>
          <cell r="CG556" t="str">
            <v>N/A</v>
          </cell>
          <cell r="CH556" t="str">
            <v>N/A</v>
          </cell>
          <cell r="CI556" t="str">
            <v>N/A</v>
          </cell>
          <cell r="CJ556" t="str">
            <v>$1,350 / $2,700</v>
          </cell>
          <cell r="CK556">
            <v>0.8</v>
          </cell>
          <cell r="CL556" t="str">
            <v>$6,650 / $6,650</v>
          </cell>
          <cell r="CM556" t="str">
            <v>$2,700 / $5,400</v>
          </cell>
          <cell r="CN556">
            <v>0.6</v>
          </cell>
          <cell r="CO556" t="str">
            <v>$6,650 / $13,300</v>
          </cell>
          <cell r="CP556" t="str">
            <v>NonEmb</v>
          </cell>
          <cell r="CS556" t="str">
            <v>INS</v>
          </cell>
          <cell r="CT556" t="str">
            <v>Select +</v>
          </cell>
          <cell r="CU556">
            <v>0.72189999999999999</v>
          </cell>
          <cell r="CV556" t="str">
            <v>H9-HSA</v>
          </cell>
          <cell r="CW556" t="str">
            <v>SPHSA18</v>
          </cell>
          <cell r="CX556">
            <v>0.77180000000000004</v>
          </cell>
        </row>
        <row r="557">
          <cell r="CA557" t="str">
            <v>AXE5</v>
          </cell>
          <cell r="CB557" t="str">
            <v>Select Plus HSA</v>
          </cell>
          <cell r="CC557" t="str">
            <v>N/A</v>
          </cell>
          <cell r="CD557" t="str">
            <v>N/A</v>
          </cell>
          <cell r="CE557" t="str">
            <v>N/A</v>
          </cell>
          <cell r="CF557" t="str">
            <v>N/A</v>
          </cell>
          <cell r="CG557" t="str">
            <v>N/A</v>
          </cell>
          <cell r="CH557" t="str">
            <v>N/A</v>
          </cell>
          <cell r="CI557" t="str">
            <v>N/A</v>
          </cell>
          <cell r="CJ557" t="str">
            <v>$2,700 / $5,400</v>
          </cell>
          <cell r="CK557">
            <v>0.8</v>
          </cell>
          <cell r="CL557" t="str">
            <v>$5,000 / $10,000</v>
          </cell>
          <cell r="CM557" t="str">
            <v>$6,000 / $12,000</v>
          </cell>
          <cell r="CN557">
            <v>0.6</v>
          </cell>
          <cell r="CO557" t="str">
            <v>$10,000 / $20,000</v>
          </cell>
          <cell r="CP557" t="str">
            <v>Emb</v>
          </cell>
          <cell r="CS557" t="str">
            <v>INS</v>
          </cell>
          <cell r="CT557" t="str">
            <v>Select +</v>
          </cell>
          <cell r="CU557">
            <v>0.63839999999999997</v>
          </cell>
          <cell r="CV557" t="str">
            <v>H9-HSA</v>
          </cell>
          <cell r="CW557" t="str">
            <v>SPHSA18</v>
          </cell>
          <cell r="CX557">
            <v>0.73950000000000005</v>
          </cell>
        </row>
        <row r="558">
          <cell r="CA558" t="str">
            <v>AXE6</v>
          </cell>
          <cell r="CB558" t="str">
            <v>Select Plus HSA</v>
          </cell>
          <cell r="CC558" t="str">
            <v>N/A</v>
          </cell>
          <cell r="CD558" t="str">
            <v>N/A</v>
          </cell>
          <cell r="CE558" t="str">
            <v>N/A</v>
          </cell>
          <cell r="CF558" t="str">
            <v>N/A</v>
          </cell>
          <cell r="CG558" t="str">
            <v>N/A</v>
          </cell>
          <cell r="CH558" t="str">
            <v>N/A</v>
          </cell>
          <cell r="CI558" t="str">
            <v>N/A</v>
          </cell>
          <cell r="CJ558" t="str">
            <v>$2,700 / $5,400</v>
          </cell>
          <cell r="CK558">
            <v>1</v>
          </cell>
          <cell r="CL558" t="str">
            <v>$3,700 / $7,400</v>
          </cell>
          <cell r="CM558" t="str">
            <v>$3,700 / $7,400</v>
          </cell>
          <cell r="CN558">
            <v>0.8</v>
          </cell>
          <cell r="CO558" t="str">
            <v>$7,400 / $14,800</v>
          </cell>
          <cell r="CP558" t="str">
            <v>Emb</v>
          </cell>
          <cell r="CS558" t="str">
            <v>INS</v>
          </cell>
          <cell r="CT558" t="str">
            <v>Select +</v>
          </cell>
          <cell r="CU558">
            <v>0.7591</v>
          </cell>
          <cell r="CV558" t="str">
            <v>H9-HSA</v>
          </cell>
          <cell r="CW558" t="str">
            <v>SPHSA18</v>
          </cell>
          <cell r="CX558">
            <v>0.78190000000000004</v>
          </cell>
        </row>
        <row r="559">
          <cell r="CA559" t="str">
            <v>AXE7</v>
          </cell>
          <cell r="CB559" t="str">
            <v>Select Plus HSA</v>
          </cell>
          <cell r="CC559" t="str">
            <v>N/A</v>
          </cell>
          <cell r="CD559" t="str">
            <v>N/A</v>
          </cell>
          <cell r="CE559" t="str">
            <v>N/A</v>
          </cell>
          <cell r="CF559" t="str">
            <v>N/A</v>
          </cell>
          <cell r="CG559" t="str">
            <v>N/A</v>
          </cell>
          <cell r="CH559" t="str">
            <v>N/A</v>
          </cell>
          <cell r="CI559" t="str">
            <v>N/A</v>
          </cell>
          <cell r="CJ559" t="str">
            <v>$2,700 / $5,400</v>
          </cell>
          <cell r="CK559">
            <v>0.9</v>
          </cell>
          <cell r="CL559" t="str">
            <v>$3,700 / $7,400</v>
          </cell>
          <cell r="CM559" t="str">
            <v>$5,400 / $10,800</v>
          </cell>
          <cell r="CN559">
            <v>0.7</v>
          </cell>
          <cell r="CO559" t="str">
            <v>$13,300 / $26,600</v>
          </cell>
          <cell r="CP559" t="str">
            <v>Emb</v>
          </cell>
          <cell r="CS559" t="str">
            <v>INS</v>
          </cell>
          <cell r="CT559" t="str">
            <v>Select +</v>
          </cell>
          <cell r="CU559">
            <v>0.68589999999999995</v>
          </cell>
          <cell r="CV559" t="str">
            <v>H9-HSA</v>
          </cell>
          <cell r="CW559" t="str">
            <v>SPHSA18</v>
          </cell>
          <cell r="CX559">
            <v>0.76790000000000003</v>
          </cell>
        </row>
        <row r="560">
          <cell r="CA560" t="str">
            <v>AXE8</v>
          </cell>
          <cell r="CB560" t="str">
            <v>Select Plus HSA</v>
          </cell>
          <cell r="CC560" t="str">
            <v>N/A</v>
          </cell>
          <cell r="CD560" t="str">
            <v>N/A</v>
          </cell>
          <cell r="CE560" t="str">
            <v>N/A</v>
          </cell>
          <cell r="CF560" t="str">
            <v>N/A</v>
          </cell>
          <cell r="CG560" t="str">
            <v>N/A</v>
          </cell>
          <cell r="CH560" t="str">
            <v>N/A</v>
          </cell>
          <cell r="CI560" t="str">
            <v>N/A</v>
          </cell>
          <cell r="CJ560" t="str">
            <v>$2,700 / $5,400</v>
          </cell>
          <cell r="CK560">
            <v>0.8</v>
          </cell>
          <cell r="CL560" t="str">
            <v>$4,700 / $9,400</v>
          </cell>
          <cell r="CM560" t="str">
            <v>$4,700 / $9,400</v>
          </cell>
          <cell r="CN560">
            <v>0.6</v>
          </cell>
          <cell r="CO560" t="str">
            <v>$9,400 / $18,800</v>
          </cell>
          <cell r="CP560" t="str">
            <v>Emb</v>
          </cell>
          <cell r="CS560" t="str">
            <v>INS</v>
          </cell>
          <cell r="CT560" t="str">
            <v>Select +</v>
          </cell>
          <cell r="CU560">
            <v>0.64580000000000004</v>
          </cell>
          <cell r="CV560" t="str">
            <v>H9-HSA</v>
          </cell>
          <cell r="CW560" t="str">
            <v>SPHSA18</v>
          </cell>
          <cell r="CX560">
            <v>0.74439999999999995</v>
          </cell>
        </row>
        <row r="561">
          <cell r="CA561" t="str">
            <v>AXE9</v>
          </cell>
          <cell r="CB561" t="str">
            <v>Select Plus HSA</v>
          </cell>
          <cell r="CC561" t="str">
            <v>N/A</v>
          </cell>
          <cell r="CD561" t="str">
            <v>N/A</v>
          </cell>
          <cell r="CE561" t="str">
            <v>N/A</v>
          </cell>
          <cell r="CF561" t="str">
            <v>N/A</v>
          </cell>
          <cell r="CG561" t="str">
            <v>N/A</v>
          </cell>
          <cell r="CH561" t="str">
            <v>N/A</v>
          </cell>
          <cell r="CI561" t="str">
            <v>N/A</v>
          </cell>
          <cell r="CJ561" t="str">
            <v>$2,700 / $5,400</v>
          </cell>
          <cell r="CK561">
            <v>0.9</v>
          </cell>
          <cell r="CL561" t="str">
            <v>$6,650 / $13,300</v>
          </cell>
          <cell r="CM561" t="str">
            <v>$5,400 / $10,800</v>
          </cell>
          <cell r="CN561">
            <v>0.7</v>
          </cell>
          <cell r="CO561" t="str">
            <v>$13,300 / $26,600</v>
          </cell>
          <cell r="CP561" t="str">
            <v>Emb</v>
          </cell>
          <cell r="CS561" t="str">
            <v>INS</v>
          </cell>
          <cell r="CT561" t="str">
            <v>Select +</v>
          </cell>
          <cell r="CU561">
            <v>0.64700000000000002</v>
          </cell>
          <cell r="CV561" t="str">
            <v>H9-HSA</v>
          </cell>
          <cell r="CW561" t="str">
            <v>SPHSA18</v>
          </cell>
          <cell r="CX561">
            <v>0.7429</v>
          </cell>
        </row>
        <row r="567">
          <cell r="CA567" t="str">
            <v>MMX17 01 (1374A)</v>
          </cell>
          <cell r="CB567" t="str">
            <v>Traditional</v>
          </cell>
          <cell r="CC567">
            <v>20</v>
          </cell>
          <cell r="CD567">
            <v>30</v>
          </cell>
          <cell r="CE567">
            <v>100</v>
          </cell>
          <cell r="CF567" t="str">
            <v>N/A</v>
          </cell>
          <cell r="CG567">
            <v>50</v>
          </cell>
          <cell r="CH567">
            <v>100</v>
          </cell>
          <cell r="CI567" t="str">
            <v>N/A</v>
          </cell>
          <cell r="CJ567" t="str">
            <v>$N/A / $N/A</v>
          </cell>
          <cell r="CK567">
            <v>1</v>
          </cell>
          <cell r="CL567" t="str">
            <v>$1,500 / $3,000</v>
          </cell>
          <cell r="CM567" t="str">
            <v>$1,500 / $3,000</v>
          </cell>
          <cell r="CN567">
            <v>0.7</v>
          </cell>
          <cell r="CO567" t="str">
            <v>$3,000 / $6,000</v>
          </cell>
          <cell r="CP567" t="str">
            <v>Emb</v>
          </cell>
          <cell r="CQ567" t="str">
            <v>Gender Dysphoria, Orthotics (100% IN After Copay), Wigs ($300 IN Per Year), Acupuncture (12 Treatments Per Year)</v>
          </cell>
          <cell r="CS567" t="str">
            <v>INS</v>
          </cell>
          <cell r="CT567" t="str">
            <v>Select +</v>
          </cell>
          <cell r="CU567">
            <v>0.95350000000000001</v>
          </cell>
          <cell r="CV567" t="str">
            <v>MMX17 RX 01 (1039A)</v>
          </cell>
          <cell r="CX567">
            <v>0.9365</v>
          </cell>
        </row>
        <row r="568">
          <cell r="CA568" t="str">
            <v>MMX17 02 (1375A)</v>
          </cell>
          <cell r="CB568" t="str">
            <v>Traditional with Deductible</v>
          </cell>
          <cell r="CC568">
            <v>20</v>
          </cell>
          <cell r="CD568">
            <v>40</v>
          </cell>
          <cell r="CE568" t="str">
            <v>N/A</v>
          </cell>
          <cell r="CF568" t="str">
            <v>N/A</v>
          </cell>
          <cell r="CG568">
            <v>50</v>
          </cell>
          <cell r="CH568">
            <v>150</v>
          </cell>
          <cell r="CI568" t="str">
            <v>N/A</v>
          </cell>
          <cell r="CJ568" t="str">
            <v>$400 / $800</v>
          </cell>
          <cell r="CK568">
            <v>0.8</v>
          </cell>
          <cell r="CL568" t="str">
            <v>$2,200 / $4,400</v>
          </cell>
          <cell r="CM568" t="str">
            <v>$2,500 / $5,000</v>
          </cell>
          <cell r="CN568">
            <v>0.6</v>
          </cell>
          <cell r="CO568" t="str">
            <v>$4,400 / $8,800</v>
          </cell>
          <cell r="CP568" t="str">
            <v>Emb</v>
          </cell>
          <cell r="CQ568" t="str">
            <v>Gender Dysphoria, Orthotics (100% IN After Copay), Wigs ($300 IN Per Year), Acupuncture (12 Treatments Per Year)</v>
          </cell>
          <cell r="CS568" t="str">
            <v>INS</v>
          </cell>
          <cell r="CT568" t="str">
            <v>Select +</v>
          </cell>
          <cell r="CU568">
            <v>0.81850000000000001</v>
          </cell>
          <cell r="CV568" t="str">
            <v>MMX17 RX 02 (1040A)</v>
          </cell>
          <cell r="CX568">
            <v>0.86870000000000003</v>
          </cell>
        </row>
        <row r="569">
          <cell r="CA569" t="str">
            <v>MMX17 03 (1376A)</v>
          </cell>
          <cell r="CB569" t="str">
            <v>Consumer</v>
          </cell>
          <cell r="CC569" t="str">
            <v>N/A</v>
          </cell>
          <cell r="CD569" t="str">
            <v>N/A</v>
          </cell>
          <cell r="CE569" t="str">
            <v>N/A</v>
          </cell>
          <cell r="CF569" t="str">
            <v>N/A</v>
          </cell>
          <cell r="CG569" t="str">
            <v>N/A</v>
          </cell>
          <cell r="CH569" t="str">
            <v>N/A</v>
          </cell>
          <cell r="CI569" t="str">
            <v>N/A</v>
          </cell>
          <cell r="CJ569" t="str">
            <v>$900 / $1,800</v>
          </cell>
          <cell r="CK569">
            <v>0.8</v>
          </cell>
          <cell r="CL569" t="str">
            <v>$3,000 / $6,000</v>
          </cell>
          <cell r="CM569" t="str">
            <v>$3,000 / $6,000</v>
          </cell>
          <cell r="CN569">
            <v>0.6</v>
          </cell>
          <cell r="CO569" t="str">
            <v>$6,000 / $12,000</v>
          </cell>
          <cell r="CP569" t="str">
            <v>Emb</v>
          </cell>
          <cell r="CQ569" t="str">
            <v>Gender Dysphoria, Orthotics (100% IN After Copay), Wigs ($300 IN Per Year), Acupuncture (12 Treatments Per Year)</v>
          </cell>
          <cell r="CS569" t="str">
            <v>INS</v>
          </cell>
          <cell r="CT569" t="str">
            <v>Select +</v>
          </cell>
          <cell r="CU569">
            <v>0.69169999999999998</v>
          </cell>
          <cell r="CV569" t="str">
            <v>MMX17 RX 03 (1033A)</v>
          </cell>
          <cell r="CX569">
            <v>0.80979999999999996</v>
          </cell>
        </row>
        <row r="570">
          <cell r="CA570" t="str">
            <v>MMX17 04 (1377A)</v>
          </cell>
          <cell r="CB570" t="str">
            <v>Consumer</v>
          </cell>
          <cell r="CC570" t="str">
            <v>N/A</v>
          </cell>
          <cell r="CD570" t="str">
            <v>N/A</v>
          </cell>
          <cell r="CE570" t="str">
            <v>N/A</v>
          </cell>
          <cell r="CF570" t="str">
            <v>N/A</v>
          </cell>
          <cell r="CG570" t="str">
            <v>N/A</v>
          </cell>
          <cell r="CH570" t="str">
            <v>N/A</v>
          </cell>
          <cell r="CI570" t="str">
            <v>N/A</v>
          </cell>
          <cell r="CJ570" t="str">
            <v>$900 / $1,800</v>
          </cell>
          <cell r="CK570">
            <v>0.8</v>
          </cell>
          <cell r="CL570" t="str">
            <v>$4,800 / $9,600</v>
          </cell>
          <cell r="CM570" t="str">
            <v>$3,000 / $6,000</v>
          </cell>
          <cell r="CN570">
            <v>0.6</v>
          </cell>
          <cell r="CO570" t="str">
            <v>$9,600 / $19,200</v>
          </cell>
          <cell r="CP570" t="str">
            <v>Emb</v>
          </cell>
          <cell r="CQ570" t="str">
            <v>Gender Dysphoria, Orthotics (100% IN After Copay), Wigs ($300 IN Per Year), Acupuncture (12 Treatments Per Year)</v>
          </cell>
          <cell r="CS570" t="str">
            <v>INS</v>
          </cell>
          <cell r="CT570" t="str">
            <v>Select +</v>
          </cell>
          <cell r="CU570">
            <v>0.65569999999999995</v>
          </cell>
          <cell r="CV570" t="str">
            <v>MMX17 RX 04 (1033A)</v>
          </cell>
          <cell r="CX570">
            <v>0.78190000000000004</v>
          </cell>
        </row>
        <row r="571">
          <cell r="CA571" t="str">
            <v>MMX17 05 (1378A)</v>
          </cell>
          <cell r="CB571" t="str">
            <v>Traditional with Deductible</v>
          </cell>
          <cell r="CC571">
            <v>40</v>
          </cell>
          <cell r="CD571">
            <v>80</v>
          </cell>
          <cell r="CE571" t="str">
            <v>N/A</v>
          </cell>
          <cell r="CF571" t="str">
            <v>N/A</v>
          </cell>
          <cell r="CG571" t="str">
            <v>N/A</v>
          </cell>
          <cell r="CH571" t="str">
            <v>N/A</v>
          </cell>
          <cell r="CI571" t="str">
            <v>N/A</v>
          </cell>
          <cell r="CJ571" t="str">
            <v>$900 / $1,800</v>
          </cell>
          <cell r="CK571">
            <v>0.8</v>
          </cell>
          <cell r="CL571" t="str">
            <v>$3,000 / $6,000</v>
          </cell>
          <cell r="CM571" t="str">
            <v>$3,000 / $6,000</v>
          </cell>
          <cell r="CN571">
            <v>0.6</v>
          </cell>
          <cell r="CO571" t="str">
            <v>$6,000 / $12,000</v>
          </cell>
          <cell r="CP571" t="str">
            <v>Emb</v>
          </cell>
          <cell r="CQ571" t="str">
            <v>Gender Dysphoria, Orthotics (100% IN After Copay), Wigs ($300 IN Per Year), Acupuncture (12 Treatments Per Year)</v>
          </cell>
          <cell r="CS571" t="str">
            <v>INS</v>
          </cell>
          <cell r="CT571" t="str">
            <v>Select +</v>
          </cell>
          <cell r="CU571">
            <v>0.72989999999999999</v>
          </cell>
          <cell r="CV571" t="str">
            <v>MMX17 RX 05 (1147A)</v>
          </cell>
          <cell r="CX571">
            <v>0.79500000000000004</v>
          </cell>
        </row>
        <row r="572">
          <cell r="CA572" t="str">
            <v>MMX17 06 (1362A)</v>
          </cell>
          <cell r="CB572" t="str">
            <v>Consumer</v>
          </cell>
          <cell r="CC572" t="str">
            <v>N/A</v>
          </cell>
          <cell r="CD572" t="str">
            <v>N/A</v>
          </cell>
          <cell r="CE572" t="str">
            <v>N/A</v>
          </cell>
          <cell r="CF572" t="str">
            <v>N/A</v>
          </cell>
          <cell r="CG572" t="str">
            <v>N/A</v>
          </cell>
          <cell r="CH572" t="str">
            <v>N/A</v>
          </cell>
          <cell r="CI572" t="str">
            <v>N/A</v>
          </cell>
          <cell r="CJ572" t="str">
            <v>$1,500 / $3,000</v>
          </cell>
          <cell r="CK572">
            <v>0.8</v>
          </cell>
          <cell r="CL572" t="str">
            <v>$3,000 / $6,000</v>
          </cell>
          <cell r="CM572" t="str">
            <v>$3,000 / $6,000</v>
          </cell>
          <cell r="CN572">
            <v>0.6</v>
          </cell>
          <cell r="CO572" t="str">
            <v>$6,000 / $12,000</v>
          </cell>
          <cell r="CP572" t="str">
            <v>Emb</v>
          </cell>
          <cell r="CQ572" t="str">
            <v>Gender Dysphoria, Orthotics (100% IN After Copay), Wigs ($300 IN Per Year), Acupuncture (12 Treatments Per Year)</v>
          </cell>
          <cell r="CS572" t="str">
            <v>INS</v>
          </cell>
          <cell r="CT572" t="str">
            <v>Select +</v>
          </cell>
          <cell r="CU572">
            <v>0.6552</v>
          </cell>
          <cell r="CV572" t="str">
            <v>MMX17 RX 06 (1549A)</v>
          </cell>
          <cell r="CX572">
            <v>0.80579999999999996</v>
          </cell>
        </row>
        <row r="573">
          <cell r="CA573" t="str">
            <v>MMX17 07 (1363A)</v>
          </cell>
          <cell r="CB573" t="str">
            <v>Consumer</v>
          </cell>
          <cell r="CC573" t="str">
            <v>N/A</v>
          </cell>
          <cell r="CD573" t="str">
            <v>N/A</v>
          </cell>
          <cell r="CE573" t="str">
            <v>N/A</v>
          </cell>
          <cell r="CF573" t="str">
            <v>N/A</v>
          </cell>
          <cell r="CG573" t="str">
            <v>N/A</v>
          </cell>
          <cell r="CH573" t="str">
            <v>N/A</v>
          </cell>
          <cell r="CI573" t="str">
            <v>N/A</v>
          </cell>
          <cell r="CJ573" t="str">
            <v>$1,500 / $3,000</v>
          </cell>
          <cell r="CK573">
            <v>0.8</v>
          </cell>
          <cell r="CL573" t="str">
            <v>$5,200 / $10,400</v>
          </cell>
          <cell r="CM573" t="str">
            <v>$3,000 / $6,000</v>
          </cell>
          <cell r="CN573">
            <v>0.6</v>
          </cell>
          <cell r="CO573" t="str">
            <v>$10,400 / $20,800</v>
          </cell>
          <cell r="CP573" t="str">
            <v>Emb</v>
          </cell>
          <cell r="CQ573" t="str">
            <v>Gender Dysphoria, Orthotics (100% IN After Copay), Wigs ($300 IN Per Year), Acupuncture (12 Treatments Per Year)</v>
          </cell>
          <cell r="CS573" t="str">
            <v>INS</v>
          </cell>
          <cell r="CT573" t="str">
            <v>Select +</v>
          </cell>
          <cell r="CU573">
            <v>0.60550000000000004</v>
          </cell>
          <cell r="CV573" t="str">
            <v>MMX17 RX 07 (1549A)</v>
          </cell>
          <cell r="CX573">
            <v>0.77380000000000004</v>
          </cell>
        </row>
        <row r="574">
          <cell r="CA574" t="str">
            <v>MMX17 08 (1380A)</v>
          </cell>
          <cell r="CB574" t="str">
            <v>Consumer</v>
          </cell>
          <cell r="CC574" t="str">
            <v>N/A</v>
          </cell>
          <cell r="CD574" t="str">
            <v>N/A</v>
          </cell>
          <cell r="CE574" t="str">
            <v>N/A</v>
          </cell>
          <cell r="CF574" t="str">
            <v>N/A</v>
          </cell>
          <cell r="CG574" t="str">
            <v>N/A</v>
          </cell>
          <cell r="CH574" t="str">
            <v>N/A</v>
          </cell>
          <cell r="CI574" t="str">
            <v>N/A</v>
          </cell>
          <cell r="CJ574" t="str">
            <v>$1,850 / $3,700</v>
          </cell>
          <cell r="CK574">
            <v>0.8</v>
          </cell>
          <cell r="CL574" t="str">
            <v>$3,500 / $6,500</v>
          </cell>
          <cell r="CM574" t="str">
            <v>$3,700 / $7,400</v>
          </cell>
          <cell r="CN574">
            <v>0.6</v>
          </cell>
          <cell r="CO574" t="str">
            <v>$7,000 / $13,000</v>
          </cell>
          <cell r="CP574" t="str">
            <v>Emb</v>
          </cell>
          <cell r="CQ574" t="str">
            <v>Gender Dysphoria, Orthotics (100% IN After Copay), Wigs ($300 IN Per Year), Acupuncture (12 Treatments Per Year)</v>
          </cell>
          <cell r="CS574" t="str">
            <v>INS</v>
          </cell>
          <cell r="CT574" t="str">
            <v>Select +</v>
          </cell>
          <cell r="CU574">
            <v>0.62219999999999998</v>
          </cell>
          <cell r="CV574" t="str">
            <v>MMX17 RX 08 (1549A)</v>
          </cell>
          <cell r="CX574">
            <v>0.78520000000000001</v>
          </cell>
        </row>
        <row r="575">
          <cell r="CA575" t="str">
            <v>MMX17 09 (1381A)</v>
          </cell>
          <cell r="CB575" t="str">
            <v>Consumer</v>
          </cell>
          <cell r="CC575" t="str">
            <v>N/A</v>
          </cell>
          <cell r="CD575" t="str">
            <v>N/A</v>
          </cell>
          <cell r="CE575" t="str">
            <v>N/A</v>
          </cell>
          <cell r="CF575" t="str">
            <v>N/A</v>
          </cell>
          <cell r="CG575" t="str">
            <v>N/A</v>
          </cell>
          <cell r="CH575" t="str">
            <v>N/A</v>
          </cell>
          <cell r="CI575" t="str">
            <v>N/A</v>
          </cell>
          <cell r="CJ575" t="str">
            <v>$1,850 / $3,700</v>
          </cell>
          <cell r="CK575">
            <v>0.8</v>
          </cell>
          <cell r="CL575" t="str">
            <v>$6,000 / $6,850</v>
          </cell>
          <cell r="CM575" t="str">
            <v>$3,700 / $7,400</v>
          </cell>
          <cell r="CN575">
            <v>0.6</v>
          </cell>
          <cell r="CO575" t="str">
            <v>$12,000 / $13,700</v>
          </cell>
          <cell r="CP575" t="str">
            <v>Emb</v>
          </cell>
          <cell r="CQ575" t="str">
            <v>Gender Dysphoria, Orthotics (100% IN After Copay), Wigs ($300 IN Per Year), Acupuncture (12 Treatments Per Year)</v>
          </cell>
          <cell r="CS575" t="str">
            <v>INS</v>
          </cell>
          <cell r="CT575" t="str">
            <v>Select +</v>
          </cell>
          <cell r="CU575">
            <v>0.57269999999999999</v>
          </cell>
          <cell r="CV575" t="str">
            <v>MMX17 RX 09 (1549A)</v>
          </cell>
          <cell r="CX575">
            <v>0.75429999999999997</v>
          </cell>
        </row>
        <row r="576">
          <cell r="CA576" t="str">
            <v>MMX17 10 (1364A)</v>
          </cell>
          <cell r="CB576" t="str">
            <v>Consumer</v>
          </cell>
          <cell r="CC576" t="str">
            <v>N/A</v>
          </cell>
          <cell r="CD576" t="str">
            <v>N/A</v>
          </cell>
          <cell r="CE576" t="str">
            <v>N/A</v>
          </cell>
          <cell r="CF576" t="str">
            <v>N/A</v>
          </cell>
          <cell r="CG576" t="str">
            <v>N/A</v>
          </cell>
          <cell r="CH576" t="str">
            <v>N/A</v>
          </cell>
          <cell r="CI576" t="str">
            <v>N/A</v>
          </cell>
          <cell r="CJ576" t="str">
            <v>$2,500 / $5,000</v>
          </cell>
          <cell r="CK576">
            <v>0.7</v>
          </cell>
          <cell r="CL576" t="str">
            <v>$4,500 / $9,000</v>
          </cell>
          <cell r="CM576" t="str">
            <v>$4,500 / $9,000</v>
          </cell>
          <cell r="CN576">
            <v>0.5</v>
          </cell>
          <cell r="CO576" t="str">
            <v>$9,000 / $18,000</v>
          </cell>
          <cell r="CP576" t="str">
            <v>Emb</v>
          </cell>
          <cell r="CQ576" t="str">
            <v>Gender Dysphoria, Orthotics (100% IN After Copay), Wigs ($300 IN Per Year), Acupuncture (12 Treatments Per Year)</v>
          </cell>
          <cell r="CS576" t="str">
            <v>INS</v>
          </cell>
          <cell r="CT576" t="str">
            <v>Select +</v>
          </cell>
          <cell r="CU576">
            <v>0.55689999999999995</v>
          </cell>
          <cell r="CV576" t="str">
            <v>MMX17 RX 10 (1551A)</v>
          </cell>
          <cell r="CX576">
            <v>0.73570000000000002</v>
          </cell>
        </row>
        <row r="577">
          <cell r="CA577" t="str">
            <v>MMX17 11 (1365A)</v>
          </cell>
          <cell r="CB577" t="str">
            <v>Consumer</v>
          </cell>
          <cell r="CC577" t="str">
            <v>N/A</v>
          </cell>
          <cell r="CD577" t="str">
            <v>N/A</v>
          </cell>
          <cell r="CE577" t="str">
            <v>N/A</v>
          </cell>
          <cell r="CF577" t="str">
            <v>N/A</v>
          </cell>
          <cell r="CG577" t="str">
            <v>N/A</v>
          </cell>
          <cell r="CH577" t="str">
            <v>N/A</v>
          </cell>
          <cell r="CI577" t="str">
            <v>N/A</v>
          </cell>
          <cell r="CJ577" t="str">
            <v>$2,500 / $5,000</v>
          </cell>
          <cell r="CK577">
            <v>0.7</v>
          </cell>
          <cell r="CL577" t="str">
            <v>$6,200 / $12,400</v>
          </cell>
          <cell r="CM577" t="str">
            <v>$4,500 / $9,000</v>
          </cell>
          <cell r="CN577">
            <v>0.5</v>
          </cell>
          <cell r="CO577" t="str">
            <v>$12,400 / $24,800</v>
          </cell>
          <cell r="CP577" t="str">
            <v>Emb</v>
          </cell>
          <cell r="CQ577" t="str">
            <v>Gender Dysphoria, Orthotics (100% IN After Copay), Wigs ($300 IN Per Year), Acupuncture (12 Treatments Per Year)</v>
          </cell>
          <cell r="CS577" t="str">
            <v>INS</v>
          </cell>
          <cell r="CT577" t="str">
            <v>Select +</v>
          </cell>
          <cell r="CU577">
            <v>0.51739999999999997</v>
          </cell>
          <cell r="CV577" t="str">
            <v>MMX17 RX 11 (1551A)</v>
          </cell>
          <cell r="CX577">
            <v>0.70599999999999996</v>
          </cell>
        </row>
        <row r="578">
          <cell r="CA578" t="str">
            <v>MMX17 12 (1382A)</v>
          </cell>
          <cell r="CB578" t="str">
            <v>Consumer</v>
          </cell>
          <cell r="CC578" t="str">
            <v>N/A</v>
          </cell>
          <cell r="CD578" t="str">
            <v>N/A</v>
          </cell>
          <cell r="CE578" t="str">
            <v>N/A</v>
          </cell>
          <cell r="CF578" t="str">
            <v>N/A</v>
          </cell>
          <cell r="CG578" t="str">
            <v>N/A</v>
          </cell>
          <cell r="CH578" t="str">
            <v>N/A</v>
          </cell>
          <cell r="CI578" t="str">
            <v>N/A</v>
          </cell>
          <cell r="CJ578" t="str">
            <v>$2,850 / $5,700</v>
          </cell>
          <cell r="CK578">
            <v>0.7</v>
          </cell>
          <cell r="CL578" t="str">
            <v>$5,500 / $11,000</v>
          </cell>
          <cell r="CM578" t="str">
            <v>$5,700 / $11,400</v>
          </cell>
          <cell r="CN578">
            <v>0.5</v>
          </cell>
          <cell r="CO578" t="str">
            <v>$11,000 / $22,000</v>
          </cell>
          <cell r="CP578" t="str">
            <v>Emb</v>
          </cell>
          <cell r="CQ578" t="str">
            <v>Gender Dysphoria, Orthotics (100% IN After Copay), Wigs ($300 IN Per Year), Acupuncture (12 Treatments Per Year)</v>
          </cell>
          <cell r="CS578" t="str">
            <v>INS</v>
          </cell>
          <cell r="CT578" t="str">
            <v>Select +</v>
          </cell>
          <cell r="CU578">
            <v>0.51980000000000004</v>
          </cell>
          <cell r="CV578" t="str">
            <v>MMX17 RX 12 (1551A)</v>
          </cell>
          <cell r="CX578">
            <v>0.71140000000000003</v>
          </cell>
        </row>
        <row r="579">
          <cell r="CA579" t="str">
            <v>MMX17 13 (1383A)</v>
          </cell>
          <cell r="CB579" t="str">
            <v>Consumer</v>
          </cell>
          <cell r="CC579" t="str">
            <v>N/A</v>
          </cell>
          <cell r="CD579" t="str">
            <v>N/A</v>
          </cell>
          <cell r="CE579" t="str">
            <v>N/A</v>
          </cell>
          <cell r="CF579" t="str">
            <v>N/A</v>
          </cell>
          <cell r="CG579" t="str">
            <v>N/A</v>
          </cell>
          <cell r="CH579" t="str">
            <v>N/A</v>
          </cell>
          <cell r="CI579" t="str">
            <v>N/A</v>
          </cell>
          <cell r="CJ579" t="str">
            <v>$2,850 / $5,700</v>
          </cell>
          <cell r="CK579">
            <v>0.7</v>
          </cell>
          <cell r="CL579" t="str">
            <v>$6,550 / $13,100</v>
          </cell>
          <cell r="CM579" t="str">
            <v>$5,700 / $11,400</v>
          </cell>
          <cell r="CN579">
            <v>0.5</v>
          </cell>
          <cell r="CO579" t="str">
            <v>$13,100 / $26,200</v>
          </cell>
          <cell r="CP579" t="str">
            <v>Emb</v>
          </cell>
          <cell r="CQ579" t="str">
            <v>Gender Dysphoria, Orthotics (100% IN After Copay), Wigs ($300 IN Per Year), Acupuncture (12 Treatments Per Year)</v>
          </cell>
          <cell r="CS579" t="str">
            <v>INS</v>
          </cell>
          <cell r="CT579" t="str">
            <v>Select +</v>
          </cell>
          <cell r="CU579">
            <v>0.50729999999999997</v>
          </cell>
          <cell r="CV579" t="str">
            <v>MMX17 RX 13 (1551A)</v>
          </cell>
          <cell r="CX579">
            <v>0.69450000000000001</v>
          </cell>
        </row>
        <row r="580">
          <cell r="CA580" t="str">
            <v>MMX17 14 (1368A)</v>
          </cell>
          <cell r="CB580" t="str">
            <v>Consumer</v>
          </cell>
          <cell r="CC580" t="str">
            <v>N/A</v>
          </cell>
          <cell r="CD580" t="str">
            <v>N/A</v>
          </cell>
          <cell r="CE580" t="str">
            <v>N/A</v>
          </cell>
          <cell r="CF580" t="str">
            <v>N/A</v>
          </cell>
          <cell r="CG580" t="str">
            <v>N/A</v>
          </cell>
          <cell r="CH580" t="str">
            <v>N/A</v>
          </cell>
          <cell r="CI580" t="str">
            <v>N/A</v>
          </cell>
          <cell r="CJ580" t="str">
            <v>$4,500 / $9,000</v>
          </cell>
          <cell r="CK580">
            <v>0.7</v>
          </cell>
          <cell r="CL580" t="str">
            <v>$6,550 / $13,100</v>
          </cell>
          <cell r="CM580" t="str">
            <v>$9,000 / $18,000</v>
          </cell>
          <cell r="CN580">
            <v>0.5</v>
          </cell>
          <cell r="CO580" t="str">
            <v>$13,100 / $26,200</v>
          </cell>
          <cell r="CP580" t="str">
            <v>Emb</v>
          </cell>
          <cell r="CQ580" t="str">
            <v>Gender Dysphoria, Orthotics (100% IN After Copay), Wigs ($300 IN Per Year), Acupuncture (12 Treatments Per Year)</v>
          </cell>
          <cell r="CS580" t="str">
            <v>INS</v>
          </cell>
          <cell r="CT580" t="str">
            <v>Select +</v>
          </cell>
          <cell r="CU580">
            <v>0.48730000000000001</v>
          </cell>
          <cell r="CV580" t="str">
            <v>MMX17 RX 14 (1551A)</v>
          </cell>
          <cell r="CX580">
            <v>0.67469999999999997</v>
          </cell>
        </row>
        <row r="581">
          <cell r="CA581" t="str">
            <v>MMX17 15 (1369A)</v>
          </cell>
          <cell r="CB581" t="str">
            <v>Consumer</v>
          </cell>
          <cell r="CC581" t="str">
            <v>N/A</v>
          </cell>
          <cell r="CD581" t="str">
            <v>N/A</v>
          </cell>
          <cell r="CE581" t="str">
            <v>N/A</v>
          </cell>
          <cell r="CF581" t="str">
            <v>N/A</v>
          </cell>
          <cell r="CG581" t="str">
            <v>N/A</v>
          </cell>
          <cell r="CH581" t="str">
            <v>N/A</v>
          </cell>
          <cell r="CI581" t="str">
            <v>N/A</v>
          </cell>
          <cell r="CJ581" t="str">
            <v>$6,550 / $13,100</v>
          </cell>
          <cell r="CK581">
            <v>1</v>
          </cell>
          <cell r="CL581" t="str">
            <v>$6,550 / $13,100</v>
          </cell>
          <cell r="CM581" t="str">
            <v>$13,100 / $26,200</v>
          </cell>
          <cell r="CN581">
            <v>1</v>
          </cell>
          <cell r="CO581" t="str">
            <v>$13,100 / $26,200</v>
          </cell>
          <cell r="CP581" t="str">
            <v>Emb</v>
          </cell>
          <cell r="CQ581" t="str">
            <v>Gender Dysphoria, Orthotics (100% IN After Copay), Wigs ($300 IN Per Year), Acupuncture (12 Treatments Per Year)</v>
          </cell>
          <cell r="CS581" t="str">
            <v>INS</v>
          </cell>
          <cell r="CT581" t="str">
            <v>Select +</v>
          </cell>
          <cell r="CU581">
            <v>0.48230000000000001</v>
          </cell>
          <cell r="CV581" t="str">
            <v>MMX17 RX 15 (1551A)</v>
          </cell>
          <cell r="CX581">
            <v>0.63770000000000004</v>
          </cell>
        </row>
        <row r="582">
          <cell r="CA582" t="str">
            <v>MMX17 16 (1372A)</v>
          </cell>
          <cell r="CB582" t="str">
            <v>HSA</v>
          </cell>
          <cell r="CC582" t="str">
            <v>N/A</v>
          </cell>
          <cell r="CD582" t="str">
            <v>N/A</v>
          </cell>
          <cell r="CE582" t="str">
            <v>N/A</v>
          </cell>
          <cell r="CF582" t="str">
            <v>N/A</v>
          </cell>
          <cell r="CG582" t="str">
            <v>N/A</v>
          </cell>
          <cell r="CH582" t="str">
            <v>N/A</v>
          </cell>
          <cell r="CI582" t="str">
            <v>N/A</v>
          </cell>
          <cell r="CJ582" t="str">
            <v>$2,850 / $5,700</v>
          </cell>
          <cell r="CK582">
            <v>0.7</v>
          </cell>
          <cell r="CL582" t="str">
            <v>$5,500 / $11,000</v>
          </cell>
          <cell r="CM582" t="str">
            <v>$5,700 / $11,400</v>
          </cell>
          <cell r="CN582">
            <v>0.5</v>
          </cell>
          <cell r="CO582" t="str">
            <v>$11,000 / $22,000</v>
          </cell>
          <cell r="CP582" t="str">
            <v>Emb</v>
          </cell>
          <cell r="CQ582" t="str">
            <v>Gender Dysphoria, Orthotics (100% IN After Copay), Wigs ($300 IN Per Year), Acupuncture (12 Treatments Per Year)</v>
          </cell>
          <cell r="CS582" t="str">
            <v>INS</v>
          </cell>
          <cell r="CT582" t="str">
            <v>Select +</v>
          </cell>
          <cell r="CU582">
            <v>0.61890000000000001</v>
          </cell>
          <cell r="CV582" t="str">
            <v>MMX17 RX HSA 16 (1550A)</v>
          </cell>
          <cell r="CX582">
            <v>0.66959999999999997</v>
          </cell>
        </row>
        <row r="583">
          <cell r="CA583" t="str">
            <v>MMX17 17 (1373A)</v>
          </cell>
          <cell r="CB583" t="str">
            <v>HSA</v>
          </cell>
          <cell r="CC583" t="str">
            <v>N/A</v>
          </cell>
          <cell r="CD583" t="str">
            <v>N/A</v>
          </cell>
          <cell r="CE583" t="str">
            <v>N/A</v>
          </cell>
          <cell r="CF583" t="str">
            <v>N/A</v>
          </cell>
          <cell r="CG583" t="str">
            <v>N/A</v>
          </cell>
          <cell r="CH583" t="str">
            <v>N/A</v>
          </cell>
          <cell r="CI583" t="str">
            <v>N/A</v>
          </cell>
          <cell r="CJ583" t="str">
            <v>$2,850 / $5,700</v>
          </cell>
          <cell r="CK583">
            <v>0.7</v>
          </cell>
          <cell r="CL583" t="str">
            <v>$6,550 / $13,100</v>
          </cell>
          <cell r="CM583" t="str">
            <v>$5,700 / $11,400</v>
          </cell>
          <cell r="CN583">
            <v>0.5</v>
          </cell>
          <cell r="CO583" t="str">
            <v>$13,100 / $26,200</v>
          </cell>
          <cell r="CP583" t="str">
            <v>Emb</v>
          </cell>
          <cell r="CQ583" t="str">
            <v>Gender Dysphoria, Orthotics (100% IN After Copay), Wigs ($300 IN Per Year), Acupuncture (12 Treatments Per Year)</v>
          </cell>
          <cell r="CS583" t="str">
            <v>INS</v>
          </cell>
          <cell r="CT583" t="str">
            <v>Select +</v>
          </cell>
          <cell r="CU583">
            <v>0.60399999999999998</v>
          </cell>
          <cell r="CV583" t="str">
            <v>MMX17 RX HSA 17 (1550A)</v>
          </cell>
          <cell r="CX583">
            <v>0.65280000000000005</v>
          </cell>
        </row>
        <row r="584">
          <cell r="CA584" t="str">
            <v>MMX17 18 (1366A)</v>
          </cell>
          <cell r="CB584" t="str">
            <v>HSA</v>
          </cell>
          <cell r="CC584" t="str">
            <v>N/A</v>
          </cell>
          <cell r="CD584" t="str">
            <v>N/A</v>
          </cell>
          <cell r="CE584" t="str">
            <v>N/A</v>
          </cell>
          <cell r="CF584" t="str">
            <v>N/A</v>
          </cell>
          <cell r="CG584" t="str">
            <v>N/A</v>
          </cell>
          <cell r="CH584" t="str">
            <v>N/A</v>
          </cell>
          <cell r="CI584" t="str">
            <v>N/A</v>
          </cell>
          <cell r="CJ584" t="str">
            <v>$4,500 / $9,000</v>
          </cell>
          <cell r="CK584">
            <v>0.7</v>
          </cell>
          <cell r="CL584" t="str">
            <v>$6,550 / $13,100</v>
          </cell>
          <cell r="CM584" t="str">
            <v>$9,000 / $18,000</v>
          </cell>
          <cell r="CN584">
            <v>0.5</v>
          </cell>
          <cell r="CO584" t="str">
            <v>$13,100 / $26,200</v>
          </cell>
          <cell r="CP584" t="str">
            <v>Emb</v>
          </cell>
          <cell r="CQ584" t="str">
            <v>Gender Dysphoria, Orthotics (100% IN After Copay), Wigs ($300 IN Per Year), Acupuncture (12 Treatments Per Year)</v>
          </cell>
          <cell r="CS584" t="str">
            <v>INS</v>
          </cell>
          <cell r="CT584" t="str">
            <v>Select +</v>
          </cell>
          <cell r="CU584">
            <v>0.57679999999999998</v>
          </cell>
          <cell r="CV584" t="str">
            <v>MMX17 RX HSA 18 (1550A)</v>
          </cell>
          <cell r="CX584">
            <v>0.61360000000000003</v>
          </cell>
        </row>
        <row r="585">
          <cell r="CA585" t="str">
            <v>MMX17 19 (1367A)</v>
          </cell>
          <cell r="CB585" t="str">
            <v>HSA</v>
          </cell>
          <cell r="CC585" t="str">
            <v>N/A</v>
          </cell>
          <cell r="CD585" t="str">
            <v>N/A</v>
          </cell>
          <cell r="CE585" t="str">
            <v>N/A</v>
          </cell>
          <cell r="CF585" t="str">
            <v>N/A</v>
          </cell>
          <cell r="CG585" t="str">
            <v>N/A</v>
          </cell>
          <cell r="CH585" t="str">
            <v>N/A</v>
          </cell>
          <cell r="CI585" t="str">
            <v>N/A</v>
          </cell>
          <cell r="CJ585" t="str">
            <v>$6,550 / $13,100</v>
          </cell>
          <cell r="CK585">
            <v>1</v>
          </cell>
          <cell r="CL585" t="str">
            <v>$6,550 / $13,100</v>
          </cell>
          <cell r="CM585" t="str">
            <v>$13,100 / $26,200</v>
          </cell>
          <cell r="CN585">
            <v>1</v>
          </cell>
          <cell r="CO585" t="str">
            <v>$13,100 / $26,200</v>
          </cell>
          <cell r="CP585" t="str">
            <v>Emb</v>
          </cell>
          <cell r="CQ585" t="str">
            <v>Gender Dysphoria, Orthotics (100% IN After Copay), Wigs ($300 IN Per Year), Acupuncture (12 Treatments Per Year)</v>
          </cell>
          <cell r="CS585" t="str">
            <v>INS</v>
          </cell>
          <cell r="CT585" t="str">
            <v>Select +</v>
          </cell>
          <cell r="CU585">
            <v>0.57310000000000005</v>
          </cell>
          <cell r="CV585" t="str">
            <v>MMX17 RX HSA 19 (1148A)</v>
          </cell>
          <cell r="CX585">
            <v>0.60240000000000005</v>
          </cell>
        </row>
        <row r="589">
          <cell r="CA589" t="str">
            <v>MMX16 01 (1163A)</v>
          </cell>
          <cell r="CB589" t="str">
            <v>Traditional</v>
          </cell>
          <cell r="CC589">
            <v>15</v>
          </cell>
          <cell r="CD589">
            <v>25</v>
          </cell>
          <cell r="CE589">
            <v>100</v>
          </cell>
          <cell r="CF589">
            <v>200</v>
          </cell>
          <cell r="CG589">
            <v>50</v>
          </cell>
          <cell r="CH589">
            <v>100</v>
          </cell>
          <cell r="CI589">
            <v>0</v>
          </cell>
          <cell r="CJ589" t="str">
            <v>$0 / $0</v>
          </cell>
          <cell r="CK589">
            <v>1</v>
          </cell>
          <cell r="CL589" t="str">
            <v>$1,500 / $3,000</v>
          </cell>
          <cell r="CM589" t="str">
            <v>$1,500 / $3,000</v>
          </cell>
          <cell r="CN589">
            <v>0.7</v>
          </cell>
          <cell r="CO589" t="str">
            <v>$3,000 / $6,000</v>
          </cell>
          <cell r="CP589" t="str">
            <v>Emb</v>
          </cell>
          <cell r="CQ589" t="str">
            <v>ENRP, Acupuncture ( 12 Visits Per Year ), Wig ( $300 Per Year ), Infertility ( $15k Lifetime ), Bariatric Surgery</v>
          </cell>
          <cell r="CS589" t="str">
            <v>INS</v>
          </cell>
          <cell r="CT589" t="str">
            <v>Select +</v>
          </cell>
          <cell r="CU589">
            <v>0.94669999999999999</v>
          </cell>
          <cell r="CV589" t="str">
            <v>MMX16 Rx 01 (1039A)</v>
          </cell>
          <cell r="CW589" t="str">
            <v>MMX16 01 (1163A)</v>
          </cell>
          <cell r="CX589">
            <v>0.96989999999999998</v>
          </cell>
        </row>
        <row r="590">
          <cell r="CA590" t="str">
            <v>MMX16 02 (1164A)</v>
          </cell>
          <cell r="CB590" t="str">
            <v>Traditional with Deductible</v>
          </cell>
          <cell r="CC590">
            <v>15</v>
          </cell>
          <cell r="CD590">
            <v>30</v>
          </cell>
          <cell r="CE590" t="str">
            <v>80%, after Ded</v>
          </cell>
          <cell r="CF590" t="str">
            <v>80%, after Ded</v>
          </cell>
          <cell r="CG590">
            <v>50</v>
          </cell>
          <cell r="CH590" t="str">
            <v>$100, then 80%</v>
          </cell>
          <cell r="CI590" t="str">
            <v>80%, after Ded</v>
          </cell>
          <cell r="CJ590" t="str">
            <v>$350 / $700</v>
          </cell>
          <cell r="CK590">
            <v>0.8</v>
          </cell>
          <cell r="CL590" t="str">
            <v>$2,000 / $4,000</v>
          </cell>
          <cell r="CM590" t="str">
            <v>$2,000 / $4,000</v>
          </cell>
          <cell r="CN590">
            <v>0.6</v>
          </cell>
          <cell r="CO590" t="str">
            <v>$4,000 / $8,000</v>
          </cell>
          <cell r="CP590" t="str">
            <v>Emb</v>
          </cell>
          <cell r="CQ590" t="str">
            <v>ENRP, Acupuncture ( 12 Visits Per Year ), Wig ( $300 Per Year ), Infertility ( $15k Lifetime ), Bariatric Surgery</v>
          </cell>
          <cell r="CS590" t="str">
            <v>INS</v>
          </cell>
          <cell r="CT590" t="str">
            <v>Select +</v>
          </cell>
          <cell r="CU590">
            <v>0.84589999999999999</v>
          </cell>
          <cell r="CV590" t="str">
            <v>MMX16 Rx 02 (1040A)</v>
          </cell>
          <cell r="CW590" t="str">
            <v>MMX16 02 (1164A)</v>
          </cell>
          <cell r="CX590">
            <v>0.91849999999999998</v>
          </cell>
        </row>
        <row r="591">
          <cell r="CA591" t="str">
            <v>MMX16 03 (1165A)</v>
          </cell>
          <cell r="CB591" t="str">
            <v>Consumer</v>
          </cell>
          <cell r="CC591" t="str">
            <v>80%, after Ded</v>
          </cell>
          <cell r="CD591" t="str">
            <v>80%, after Ded</v>
          </cell>
          <cell r="CE591" t="str">
            <v>80%, after Ded</v>
          </cell>
          <cell r="CF591" t="str">
            <v>80%, after Ded</v>
          </cell>
          <cell r="CG591" t="str">
            <v>80%, after Ded</v>
          </cell>
          <cell r="CH591" t="str">
            <v>80%, after Ded</v>
          </cell>
          <cell r="CI591" t="str">
            <v>80%, after Ded</v>
          </cell>
          <cell r="CJ591" t="str">
            <v>$800 / $1,600</v>
          </cell>
          <cell r="CK591">
            <v>0.8</v>
          </cell>
          <cell r="CL591" t="str">
            <v>$2,400 / $4,800</v>
          </cell>
          <cell r="CM591" t="str">
            <v>$2,400 / $4,800</v>
          </cell>
          <cell r="CN591">
            <v>0.6</v>
          </cell>
          <cell r="CO591" t="str">
            <v>$4,800 / $9,600</v>
          </cell>
          <cell r="CP591" t="str">
            <v>Emb</v>
          </cell>
          <cell r="CQ591" t="str">
            <v>ENRP, Acupuncture ( 12 Visits Per Year ), Wig ( $300 Per Year ), Infertility ( $15k Lifetime ), Bariatric Surgery</v>
          </cell>
          <cell r="CS591" t="str">
            <v>INS</v>
          </cell>
          <cell r="CT591" t="str">
            <v>Select +</v>
          </cell>
          <cell r="CU591">
            <v>0.70579999999999998</v>
          </cell>
          <cell r="CV591" t="str">
            <v>MMX16 Rx 03 (1033A)</v>
          </cell>
          <cell r="CW591" t="str">
            <v>MMX16 03 (1165A)</v>
          </cell>
          <cell r="CX591">
            <v>0.87360000000000004</v>
          </cell>
        </row>
        <row r="592">
          <cell r="CA592" t="str">
            <v>MMX16 04 (1166A)</v>
          </cell>
          <cell r="CB592" t="str">
            <v>Consumer</v>
          </cell>
          <cell r="CC592" t="str">
            <v>80%, after Ded</v>
          </cell>
          <cell r="CD592" t="str">
            <v>80%, after Ded</v>
          </cell>
          <cell r="CE592" t="str">
            <v>80%, after Ded</v>
          </cell>
          <cell r="CF592" t="str">
            <v>80%, after Ded</v>
          </cell>
          <cell r="CG592" t="str">
            <v>80%, after Ded</v>
          </cell>
          <cell r="CH592" t="str">
            <v>80%, after Ded</v>
          </cell>
          <cell r="CI592" t="str">
            <v>80%, after Ded</v>
          </cell>
          <cell r="CJ592" t="str">
            <v>$800 / $1,600</v>
          </cell>
          <cell r="CK592">
            <v>0.8</v>
          </cell>
          <cell r="CL592" t="str">
            <v>$3,800 / $7,600</v>
          </cell>
          <cell r="CM592" t="str">
            <v>$2,400 / $4,800</v>
          </cell>
          <cell r="CN592">
            <v>0.6</v>
          </cell>
          <cell r="CO592" t="str">
            <v>$7,600 / $15,200</v>
          </cell>
          <cell r="CP592" t="str">
            <v>Emb</v>
          </cell>
          <cell r="CQ592" t="str">
            <v>ENRP, Acupuncture ( 12 Visits Per Year ), Wig ( $300 Per Year ), Infertility ( $15k Lifetime ), Bariatric Surgery</v>
          </cell>
          <cell r="CS592" t="str">
            <v>INS</v>
          </cell>
          <cell r="CT592" t="str">
            <v>Select +</v>
          </cell>
          <cell r="CU592">
            <v>0.66800000000000004</v>
          </cell>
          <cell r="CV592" t="str">
            <v>MMX16 Rx 04 (1033A)</v>
          </cell>
          <cell r="CW592" t="str">
            <v>MMX16 04 (1166A)</v>
          </cell>
          <cell r="CX592">
            <v>0.84260000000000002</v>
          </cell>
        </row>
        <row r="593">
          <cell r="CA593" t="str">
            <v>MMX16 05 (1167A)</v>
          </cell>
          <cell r="CB593" t="str">
            <v>HSA</v>
          </cell>
          <cell r="CC593" t="str">
            <v>80%, after Ded</v>
          </cell>
          <cell r="CD593" t="str">
            <v>80%, after Ded</v>
          </cell>
          <cell r="CE593" t="str">
            <v>80%, after Ded</v>
          </cell>
          <cell r="CF593" t="str">
            <v>80%, after Ded</v>
          </cell>
          <cell r="CG593" t="str">
            <v>80%, after Ded</v>
          </cell>
          <cell r="CH593" t="str">
            <v>80%, after Ded</v>
          </cell>
          <cell r="CI593" t="str">
            <v>80%, after Ded</v>
          </cell>
          <cell r="CJ593" t="str">
            <v>$1,500 / $3,000</v>
          </cell>
          <cell r="CK593">
            <v>0.8</v>
          </cell>
          <cell r="CL593" t="str">
            <v>$3,000 / $6,000</v>
          </cell>
          <cell r="CM593" t="str">
            <v>$3,000 / $6,000</v>
          </cell>
          <cell r="CN593">
            <v>0.6</v>
          </cell>
          <cell r="CO593" t="str">
            <v>$6,000 / $12,000</v>
          </cell>
          <cell r="CP593" t="str">
            <v>NonEmb</v>
          </cell>
          <cell r="CQ593" t="str">
            <v>ENRP, Acupuncture ( 12 Visits Per Year ), Wig ( $300 Per Year ), Infertility ( $15k Lifetime ), Bariatric Surgery</v>
          </cell>
          <cell r="CS593" t="str">
            <v>INS</v>
          </cell>
          <cell r="CT593" t="str">
            <v>Select +</v>
          </cell>
          <cell r="CW593" t="str">
            <v>MMX16 05 (1167A)</v>
          </cell>
        </row>
        <row r="594">
          <cell r="CA594" t="str">
            <v>MMX16 06 (1168A)</v>
          </cell>
          <cell r="CB594" t="str">
            <v>HSA</v>
          </cell>
          <cell r="CC594" t="str">
            <v>80%, after Ded</v>
          </cell>
          <cell r="CD594" t="str">
            <v>80%, after Ded</v>
          </cell>
          <cell r="CE594" t="str">
            <v>80%, after Ded</v>
          </cell>
          <cell r="CF594" t="str">
            <v>80%, after Ded</v>
          </cell>
          <cell r="CG594" t="str">
            <v>80%, after Ded</v>
          </cell>
          <cell r="CH594" t="str">
            <v>80%, after Ded</v>
          </cell>
          <cell r="CI594" t="str">
            <v>80%, after Ded</v>
          </cell>
          <cell r="CJ594" t="str">
            <v>$1,500 / $3,000</v>
          </cell>
          <cell r="CK594">
            <v>0.8</v>
          </cell>
          <cell r="CL594" t="str">
            <v>$5,200 / $6,850</v>
          </cell>
          <cell r="CM594" t="str">
            <v>$3,000 / $6,000</v>
          </cell>
          <cell r="CN594">
            <v>0.6</v>
          </cell>
          <cell r="CO594" t="str">
            <v>$10,400 / $13,700</v>
          </cell>
          <cell r="CP594" t="str">
            <v>NonEmb</v>
          </cell>
          <cell r="CQ594" t="str">
            <v>ENRP, Acupuncture ( 12 Visits Per Year ), Wig ( $300 Per Year ), Infertility ( $15k Lifetime ), Bariatric Surgery</v>
          </cell>
          <cell r="CS594" t="str">
            <v>INS</v>
          </cell>
          <cell r="CT594" t="str">
            <v>Select +</v>
          </cell>
          <cell r="CW594" t="str">
            <v>MMX16 06 (1168A)</v>
          </cell>
        </row>
        <row r="595">
          <cell r="CA595" t="str">
            <v>MMX16 07 (1169A)</v>
          </cell>
          <cell r="CB595" t="str">
            <v>HSA</v>
          </cell>
          <cell r="CC595" t="str">
            <v>70%, after Ded</v>
          </cell>
          <cell r="CD595" t="str">
            <v>70%, after Ded</v>
          </cell>
          <cell r="CE595" t="str">
            <v>70%, after Ded</v>
          </cell>
          <cell r="CF595" t="str">
            <v>70%, after Ded</v>
          </cell>
          <cell r="CG595" t="str">
            <v>70%, after Ded</v>
          </cell>
          <cell r="CH595" t="str">
            <v>70%, after Ded</v>
          </cell>
          <cell r="CI595" t="str">
            <v>70%, after Ded</v>
          </cell>
          <cell r="CJ595" t="str">
            <v>$2,500 / $5,000</v>
          </cell>
          <cell r="CK595">
            <v>0.7</v>
          </cell>
          <cell r="CL595" t="str">
            <v>$4,500 / $6,850</v>
          </cell>
          <cell r="CM595" t="str">
            <v>$4,500 / $9,000</v>
          </cell>
          <cell r="CN595">
            <v>0.5</v>
          </cell>
          <cell r="CO595" t="str">
            <v>$9,000 / $13,700</v>
          </cell>
          <cell r="CP595" t="str">
            <v>NonEmb</v>
          </cell>
          <cell r="CQ595" t="str">
            <v>ENRP, Acupuncture ( 12 Visits Per Year ), Wig ( $300 Per Year ), Infertility ( $15k Lifetime ), Bariatric Surgery</v>
          </cell>
          <cell r="CS595" t="str">
            <v>INS</v>
          </cell>
          <cell r="CT595" t="str">
            <v>Select +</v>
          </cell>
          <cell r="CW595" t="str">
            <v>MMX16 07 (1169A)</v>
          </cell>
        </row>
        <row r="596">
          <cell r="CA596" t="str">
            <v>MMX16 08 (1170A)</v>
          </cell>
          <cell r="CB596" t="str">
            <v>HSA</v>
          </cell>
          <cell r="CC596" t="str">
            <v>70%, after Ded</v>
          </cell>
          <cell r="CD596" t="str">
            <v>70%, after Ded</v>
          </cell>
          <cell r="CE596" t="str">
            <v>70%, after Ded</v>
          </cell>
          <cell r="CF596" t="str">
            <v>70%, after Ded</v>
          </cell>
          <cell r="CG596" t="str">
            <v>70%, after Ded</v>
          </cell>
          <cell r="CH596" t="str">
            <v>70%, after Ded</v>
          </cell>
          <cell r="CI596" t="str">
            <v>70%, after Ded</v>
          </cell>
          <cell r="CJ596" t="str">
            <v>$2,500 / $5,000</v>
          </cell>
          <cell r="CK596">
            <v>0.7</v>
          </cell>
          <cell r="CL596" t="str">
            <v>$6,200 / $6,850</v>
          </cell>
          <cell r="CM596" t="str">
            <v>$4,500 / $9,000</v>
          </cell>
          <cell r="CN596">
            <v>0.5</v>
          </cell>
          <cell r="CO596" t="str">
            <v>$12,400 / $13,700</v>
          </cell>
          <cell r="CP596" t="str">
            <v>NonEmb</v>
          </cell>
          <cell r="CQ596" t="str">
            <v>ENRP, Acupuncture ( 12 Visits Per Year ), Wig ( $300 Per Year ), Infertility ( $15k Lifetime ), Bariatric Surgery</v>
          </cell>
          <cell r="CS596" t="str">
            <v>INS</v>
          </cell>
          <cell r="CT596" t="str">
            <v>Select +</v>
          </cell>
          <cell r="CW596" t="str">
            <v>MMX16 08 (1170A)</v>
          </cell>
        </row>
        <row r="597">
          <cell r="CA597" t="str">
            <v>MMX16 09 (1171A)</v>
          </cell>
          <cell r="CB597" t="str">
            <v>Consumer</v>
          </cell>
          <cell r="CC597" t="str">
            <v>80%, after Ded</v>
          </cell>
          <cell r="CD597" t="str">
            <v>80%, after Ded</v>
          </cell>
          <cell r="CE597" t="str">
            <v>80%, after Ded</v>
          </cell>
          <cell r="CF597" t="str">
            <v>80%, after Ded</v>
          </cell>
          <cell r="CG597" t="str">
            <v>80%, after Ded</v>
          </cell>
          <cell r="CH597" t="str">
            <v>80%, after Ded</v>
          </cell>
          <cell r="CI597" t="str">
            <v>80%, after Ded</v>
          </cell>
          <cell r="CJ597" t="str">
            <v>$1,500 / $3,000</v>
          </cell>
          <cell r="CK597">
            <v>0.8</v>
          </cell>
          <cell r="CL597" t="str">
            <v>$3,000 / $6,000</v>
          </cell>
          <cell r="CM597" t="str">
            <v>$3,000 / $6,000</v>
          </cell>
          <cell r="CN597">
            <v>0.6</v>
          </cell>
          <cell r="CO597" t="str">
            <v>$6,000 / $12,000</v>
          </cell>
          <cell r="CP597" t="str">
            <v>Emb</v>
          </cell>
          <cell r="CQ597" t="str">
            <v>ENRP, Acupuncture ( 12 Visits Per Year ), Wig ( $300 Per Year ), Infertility ( $15k Lifetime ), Bariatric Surgery</v>
          </cell>
          <cell r="CS597" t="str">
            <v>INS</v>
          </cell>
          <cell r="CT597" t="str">
            <v>Select +</v>
          </cell>
          <cell r="CU597">
            <v>0.64219999999999999</v>
          </cell>
          <cell r="CV597" t="str">
            <v>MMX16 Rx 09 (1036A)</v>
          </cell>
          <cell r="CW597" t="str">
            <v>MMX16 09 (1171A)</v>
          </cell>
          <cell r="CX597">
            <v>0.86380000000000001</v>
          </cell>
        </row>
        <row r="598">
          <cell r="CA598" t="str">
            <v>MMX16 10 (1172A)</v>
          </cell>
          <cell r="CB598" t="str">
            <v>Consumer</v>
          </cell>
          <cell r="CC598" t="str">
            <v>80%, after Ded</v>
          </cell>
          <cell r="CD598" t="str">
            <v>80%, after Ded</v>
          </cell>
          <cell r="CE598" t="str">
            <v>80%, after Ded</v>
          </cell>
          <cell r="CF598" t="str">
            <v>80%, after Ded</v>
          </cell>
          <cell r="CG598" t="str">
            <v>80%, after Ded</v>
          </cell>
          <cell r="CH598" t="str">
            <v>80%, after Ded</v>
          </cell>
          <cell r="CI598" t="str">
            <v>80%, after Ded</v>
          </cell>
          <cell r="CJ598" t="str">
            <v>$1,500 / $3,000</v>
          </cell>
          <cell r="CK598">
            <v>0.8</v>
          </cell>
          <cell r="CL598" t="str">
            <v>$5,200 / $10,400</v>
          </cell>
          <cell r="CM598" t="str">
            <v>$3,000 / $6,000</v>
          </cell>
          <cell r="CN598">
            <v>0.6</v>
          </cell>
          <cell r="CO598" t="str">
            <v>$10,400 / $20,800</v>
          </cell>
          <cell r="CP598" t="str">
            <v>Emb</v>
          </cell>
          <cell r="CQ598" t="str">
            <v>ENRP, Acupuncture ( 12 Visits Per Year ), Wig ( $300 Per Year ), Infertility ( $15k Lifetime ), Bariatric Surgery</v>
          </cell>
          <cell r="CS598" t="str">
            <v>INS</v>
          </cell>
          <cell r="CT598" t="str">
            <v>Select +</v>
          </cell>
          <cell r="CU598">
            <v>0.59340000000000004</v>
          </cell>
          <cell r="CV598" t="str">
            <v>MMX16 Rx 10 (1036A)</v>
          </cell>
          <cell r="CW598" t="str">
            <v>MMX16 10 (1172A)</v>
          </cell>
          <cell r="CX598">
            <v>0.8306</v>
          </cell>
        </row>
        <row r="599">
          <cell r="CA599" t="str">
            <v>MMX16 11 (1173A)</v>
          </cell>
          <cell r="CB599" t="str">
            <v>Consumer</v>
          </cell>
          <cell r="CC599" t="str">
            <v>70%, after Ded</v>
          </cell>
          <cell r="CD599" t="str">
            <v>70%, after Ded</v>
          </cell>
          <cell r="CE599" t="str">
            <v>70%, after Ded</v>
          </cell>
          <cell r="CF599" t="str">
            <v>70%, after Ded</v>
          </cell>
          <cell r="CG599" t="str">
            <v>70%, after Ded</v>
          </cell>
          <cell r="CH599" t="str">
            <v>70%, after Ded</v>
          </cell>
          <cell r="CI599" t="str">
            <v>70%, after Ded</v>
          </cell>
          <cell r="CJ599" t="str">
            <v>$2,500 / $5,000</v>
          </cell>
          <cell r="CK599">
            <v>0.7</v>
          </cell>
          <cell r="CL599" t="str">
            <v>$4,500 / $9,000</v>
          </cell>
          <cell r="CM599" t="str">
            <v>$4,500 / $9,000</v>
          </cell>
          <cell r="CN599">
            <v>0.5</v>
          </cell>
          <cell r="CO599" t="str">
            <v>$9,000 / $18,000</v>
          </cell>
          <cell r="CP599" t="str">
            <v>Emb</v>
          </cell>
          <cell r="CQ599" t="str">
            <v>ENRP, Acupuncture ( 12 Visits Per Year ), Wig ( $300 Per Year ), Infertility ( $15k Lifetime ), Bariatric Surgery</v>
          </cell>
          <cell r="CS599" t="str">
            <v>INS</v>
          </cell>
          <cell r="CT599" t="str">
            <v>Select +</v>
          </cell>
          <cell r="CU599">
            <v>0.54569999999999996</v>
          </cell>
          <cell r="CV599" t="str">
            <v>MMX16 Rx 11 (1038A)</v>
          </cell>
          <cell r="CW599" t="str">
            <v>MMX16 11 (1173A)</v>
          </cell>
          <cell r="CX599">
            <v>0.80279999999999996</v>
          </cell>
        </row>
        <row r="600">
          <cell r="CA600" t="str">
            <v>MMX16 12 (1174A)</v>
          </cell>
          <cell r="CB600" t="str">
            <v>Consumer</v>
          </cell>
          <cell r="CC600" t="str">
            <v>70%, after Ded</v>
          </cell>
          <cell r="CD600" t="str">
            <v>70%, after Ded</v>
          </cell>
          <cell r="CE600" t="str">
            <v>70%, after Ded</v>
          </cell>
          <cell r="CF600" t="str">
            <v>70%, after Ded</v>
          </cell>
          <cell r="CG600" t="str">
            <v>70%, after Ded</v>
          </cell>
          <cell r="CH600" t="str">
            <v>70%, after Ded</v>
          </cell>
          <cell r="CI600" t="str">
            <v>70%, after Ded</v>
          </cell>
          <cell r="CJ600" t="str">
            <v>$2,500 / $5,000</v>
          </cell>
          <cell r="CK600">
            <v>0.7</v>
          </cell>
          <cell r="CL600" t="str">
            <v>$6,200 / $12,400</v>
          </cell>
          <cell r="CM600" t="str">
            <v>$4,500 / $9,000</v>
          </cell>
          <cell r="CN600">
            <v>0.5</v>
          </cell>
          <cell r="CO600" t="str">
            <v>$12,400 / $24,800</v>
          </cell>
          <cell r="CP600" t="str">
            <v>Emb</v>
          </cell>
          <cell r="CQ600" t="str">
            <v>ENRP, Acupuncture ( 12 Visits Per Year ), Wig ( $300 Per Year ), Infertility ( $15k Lifetime ), Bariatric Surgery</v>
          </cell>
          <cell r="CS600" t="str">
            <v>INS</v>
          </cell>
          <cell r="CT600" t="str">
            <v>Select +</v>
          </cell>
          <cell r="CU600">
            <v>0.5071</v>
          </cell>
          <cell r="CV600" t="str">
            <v>MMX16 Rx 12 (1038A)</v>
          </cell>
          <cell r="CW600" t="str">
            <v>MMX16 12 (1174A)</v>
          </cell>
          <cell r="CX600">
            <v>0.80879999999999996</v>
          </cell>
        </row>
        <row r="601">
          <cell r="CA601" t="str">
            <v>MMX16 13 (1175A)</v>
          </cell>
          <cell r="CB601" t="str">
            <v>Balanced</v>
          </cell>
          <cell r="CC601">
            <v>40</v>
          </cell>
          <cell r="CD601">
            <v>80</v>
          </cell>
          <cell r="CE601" t="str">
            <v>80%, after Ded</v>
          </cell>
          <cell r="CF601" t="str">
            <v>80%, after Ded</v>
          </cell>
          <cell r="CG601" t="str">
            <v>80%, after Ded</v>
          </cell>
          <cell r="CH601" t="str">
            <v>80%, after Ded</v>
          </cell>
          <cell r="CI601" t="str">
            <v>80%, after Ded</v>
          </cell>
          <cell r="CJ601" t="str">
            <v>$800 / $1,600</v>
          </cell>
          <cell r="CK601">
            <v>0.8</v>
          </cell>
          <cell r="CL601" t="str">
            <v>$2,400 / $4,800</v>
          </cell>
          <cell r="CM601" t="str">
            <v>$2,400 / $4,800</v>
          </cell>
          <cell r="CN601">
            <v>0.6</v>
          </cell>
          <cell r="CO601" t="str">
            <v>$4,800 / $9,600</v>
          </cell>
          <cell r="CP601" t="str">
            <v>Emb</v>
          </cell>
          <cell r="CQ601" t="str">
            <v>ENRP, Acupuncture ( 12 Visits Per Year ), Wig ( $300 Per Year ), Infertility ( $15k Lifetime ), Bariatric Surgery</v>
          </cell>
          <cell r="CS601" t="str">
            <v>INS</v>
          </cell>
          <cell r="CT601" t="str">
            <v>Select +</v>
          </cell>
          <cell r="CU601">
            <v>0.73970000000000002</v>
          </cell>
          <cell r="CV601" t="str">
            <v>MMX16 Rx 13 (1147A)</v>
          </cell>
          <cell r="CW601" t="str">
            <v>MMX16 13 (1175A)</v>
          </cell>
          <cell r="CX601">
            <v>0.84589999999999999</v>
          </cell>
        </row>
        <row r="602">
          <cell r="CA602" t="str">
            <v>MMX16 14 (1176A)</v>
          </cell>
          <cell r="CB602" t="str">
            <v>HSA</v>
          </cell>
          <cell r="CC602" t="str">
            <v>70%, after Ded</v>
          </cell>
          <cell r="CD602" t="str">
            <v>70%, after Ded</v>
          </cell>
          <cell r="CE602" t="str">
            <v>70%, after Ded</v>
          </cell>
          <cell r="CF602" t="str">
            <v>70%, after Ded</v>
          </cell>
          <cell r="CG602" t="str">
            <v>70%, after Ded</v>
          </cell>
          <cell r="CH602" t="str">
            <v>70%, after Ded</v>
          </cell>
          <cell r="CI602" t="str">
            <v>70%, after Ded</v>
          </cell>
          <cell r="CJ602" t="str">
            <v>$4,500 / $9,000</v>
          </cell>
          <cell r="CK602">
            <v>0.7</v>
          </cell>
          <cell r="CL602" t="str">
            <v>$6,550 / $13,100</v>
          </cell>
          <cell r="CM602" t="str">
            <v>$9,000 / $18,000</v>
          </cell>
          <cell r="CN602">
            <v>0.5</v>
          </cell>
          <cell r="CO602" t="str">
            <v>$13,100 / $26,200</v>
          </cell>
          <cell r="CP602" t="str">
            <v>Emb</v>
          </cell>
          <cell r="CQ602" t="str">
            <v>ENRP, Acupuncture ( 12 Visits Per Year ), Wig ( $300 Per Year ), Infertility ( $15k Lifetime ), Bariatric Surgery</v>
          </cell>
          <cell r="CS602" t="str">
            <v>INS</v>
          </cell>
          <cell r="CT602" t="str">
            <v>Select +</v>
          </cell>
          <cell r="CU602">
            <v>0.55910000000000004</v>
          </cell>
          <cell r="CV602" t="str">
            <v>MMX16 Rx HSA 14 (1037A)</v>
          </cell>
          <cell r="CW602" t="str">
            <v>MMX16 14 (1176A)</v>
          </cell>
          <cell r="CX602">
            <v>0.75060000000000004</v>
          </cell>
        </row>
        <row r="603">
          <cell r="CA603" t="str">
            <v>MMX16 15 (1177A)</v>
          </cell>
          <cell r="CB603" t="str">
            <v>HSA</v>
          </cell>
          <cell r="CC603" t="str">
            <v>100%, after Ded</v>
          </cell>
          <cell r="CD603" t="str">
            <v>100%, after Ded</v>
          </cell>
          <cell r="CE603" t="str">
            <v>100%, after Ded</v>
          </cell>
          <cell r="CF603" t="str">
            <v>100%, after Ded</v>
          </cell>
          <cell r="CG603" t="str">
            <v>100%, after Ded</v>
          </cell>
          <cell r="CH603" t="str">
            <v>100%, after Ded</v>
          </cell>
          <cell r="CI603" t="str">
            <v>100%, after Ded</v>
          </cell>
          <cell r="CJ603" t="str">
            <v>$6,550 / $13,100</v>
          </cell>
          <cell r="CK603">
            <v>1</v>
          </cell>
          <cell r="CL603" t="str">
            <v>$6,550 / $13,100</v>
          </cell>
          <cell r="CM603" t="str">
            <v>$13,100 / $26,200</v>
          </cell>
          <cell r="CN603">
            <v>1</v>
          </cell>
          <cell r="CO603" t="str">
            <v>$13,100 / $26,200</v>
          </cell>
          <cell r="CP603" t="str">
            <v>Emb</v>
          </cell>
          <cell r="CQ603" t="str">
            <v>ENRP, Acupuncture ( 12 Visits Per Year ), Wig ( $300 Per Year ), Infertility ( $15k Lifetime ), Bariatric Surgery</v>
          </cell>
          <cell r="CS603" t="str">
            <v>INS</v>
          </cell>
          <cell r="CT603" t="str">
            <v>Select +</v>
          </cell>
          <cell r="CU603">
            <v>0.55130000000000001</v>
          </cell>
          <cell r="CV603" t="str">
            <v>MMX16 Rx HSA 15 (1148A)</v>
          </cell>
          <cell r="CW603" t="str">
            <v>MMX16 15 (1177A)</v>
          </cell>
          <cell r="CX603">
            <v>0.75829999999999997</v>
          </cell>
        </row>
        <row r="604">
          <cell r="CA604" t="str">
            <v>MMX16 16 (1178A)</v>
          </cell>
          <cell r="CB604" t="str">
            <v>Consumer</v>
          </cell>
          <cell r="CC604" t="str">
            <v>70%, after Ded</v>
          </cell>
          <cell r="CD604" t="str">
            <v>70%, after Ded</v>
          </cell>
          <cell r="CE604" t="str">
            <v>70%, after Ded</v>
          </cell>
          <cell r="CF604" t="str">
            <v>70%, after Ded</v>
          </cell>
          <cell r="CG604" t="str">
            <v>70%, after Ded</v>
          </cell>
          <cell r="CH604" t="str">
            <v>70%, after Ded</v>
          </cell>
          <cell r="CI604" t="str">
            <v>70%, after Ded</v>
          </cell>
          <cell r="CJ604" t="str">
            <v>$4,500 / $9,000</v>
          </cell>
          <cell r="CK604">
            <v>0.7</v>
          </cell>
          <cell r="CL604" t="str">
            <v>$6,550 / $13,100</v>
          </cell>
          <cell r="CM604" t="str">
            <v>$9,000 / $18,000</v>
          </cell>
          <cell r="CN604">
            <v>0.5</v>
          </cell>
          <cell r="CO604" t="str">
            <v>$13,100 / $26,200</v>
          </cell>
          <cell r="CP604" t="str">
            <v>Emb</v>
          </cell>
          <cell r="CQ604" t="str">
            <v>ENRP, Acupuncture ( 12 Visits Per Year ), Wig ( $300 Per Year ), Infertility ( $15k Lifetime ), Bariatric Surgery</v>
          </cell>
          <cell r="CS604" t="str">
            <v>INS</v>
          </cell>
          <cell r="CT604" t="str">
            <v>Select +</v>
          </cell>
          <cell r="CU604">
            <v>0.47749999999999998</v>
          </cell>
          <cell r="CV604" t="str">
            <v>MMX16 Rx 16 (1038A)</v>
          </cell>
          <cell r="CW604" t="str">
            <v>MMX16 16 (1178A)</v>
          </cell>
          <cell r="CX604">
            <v>0.75739999999999996</v>
          </cell>
        </row>
        <row r="605">
          <cell r="CA605" t="str">
            <v>MMX16 17 (1179A)</v>
          </cell>
          <cell r="CB605" t="str">
            <v>Consumer</v>
          </cell>
          <cell r="CC605" t="str">
            <v>100%, after Ded</v>
          </cell>
          <cell r="CD605" t="str">
            <v>100%, after Ded</v>
          </cell>
          <cell r="CE605" t="str">
            <v>100%, after Ded</v>
          </cell>
          <cell r="CF605" t="str">
            <v>100%, after Ded</v>
          </cell>
          <cell r="CG605" t="str">
            <v>100%, after Ded</v>
          </cell>
          <cell r="CH605" t="str">
            <v>100%, after Ded</v>
          </cell>
          <cell r="CI605" t="str">
            <v>100%, after Ded</v>
          </cell>
          <cell r="CJ605" t="str">
            <v>$6,550 / $13,100</v>
          </cell>
          <cell r="CK605">
            <v>1</v>
          </cell>
          <cell r="CL605" t="str">
            <v>$6,550 / $13,100</v>
          </cell>
          <cell r="CM605" t="str">
            <v>$13,100 / $26,200</v>
          </cell>
          <cell r="CN605">
            <v>1</v>
          </cell>
          <cell r="CO605" t="str">
            <v>$13,100 / $26,200</v>
          </cell>
          <cell r="CP605" t="str">
            <v>Emb</v>
          </cell>
          <cell r="CQ605" t="str">
            <v>ENRP, Acupuncture ( 12 Visits Per Year ), Wig ( $300 Per Year ), Infertility ( $15k Lifetime ), Bariatric Surgery</v>
          </cell>
          <cell r="CS605" t="str">
            <v>INS</v>
          </cell>
          <cell r="CT605" t="str">
            <v>Select +</v>
          </cell>
          <cell r="CU605">
            <v>0.47270000000000001</v>
          </cell>
          <cell r="CV605" t="str">
            <v>MMX16 Rx 17 (1038A)</v>
          </cell>
          <cell r="CW605" t="str">
            <v>MMX16 17 (1179A)</v>
          </cell>
          <cell r="CX605">
            <v>0.7843</v>
          </cell>
        </row>
        <row r="606">
          <cell r="CA606" t="str">
            <v>MMX16 18 (1180A)</v>
          </cell>
          <cell r="CB606" t="str">
            <v>HSA</v>
          </cell>
          <cell r="CC606" t="str">
            <v>80%, after Ded</v>
          </cell>
          <cell r="CD606" t="str">
            <v>80%, after Ded</v>
          </cell>
          <cell r="CE606" t="str">
            <v>80%, after Ded</v>
          </cell>
          <cell r="CF606" t="str">
            <v>80%, after Ded</v>
          </cell>
          <cell r="CG606" t="str">
            <v>80%, after Ded</v>
          </cell>
          <cell r="CH606" t="str">
            <v>80%, after Ded</v>
          </cell>
          <cell r="CI606" t="str">
            <v>80%, after Ded</v>
          </cell>
          <cell r="CJ606" t="str">
            <v>$1,850 / $3,700</v>
          </cell>
          <cell r="CK606">
            <v>0.8</v>
          </cell>
          <cell r="CL606" t="str">
            <v>$3,500 / $6,500</v>
          </cell>
          <cell r="CM606" t="str">
            <v>$3,700 / $7,400</v>
          </cell>
          <cell r="CN606">
            <v>0.6</v>
          </cell>
          <cell r="CO606" t="str">
            <v>$7,000 / $13,000</v>
          </cell>
          <cell r="CP606" t="str">
            <v>NonEmb</v>
          </cell>
          <cell r="CQ606" t="str">
            <v>ENRP, Acupuncture ( 12 Visits Per Year ), Wig ( $300 Per Year ), Infertility ( $15k Lifetime ), Bariatric Surgery</v>
          </cell>
          <cell r="CS606" t="str">
            <v>INS</v>
          </cell>
          <cell r="CT606" t="str">
            <v>Select +</v>
          </cell>
          <cell r="CW606" t="str">
            <v>MMX16 18 (1180A)</v>
          </cell>
        </row>
        <row r="607">
          <cell r="CA607" t="str">
            <v>MMX16 19 (1181A)</v>
          </cell>
          <cell r="CB607" t="str">
            <v>HSA</v>
          </cell>
          <cell r="CC607" t="str">
            <v>80%, after Ded</v>
          </cell>
          <cell r="CD607" t="str">
            <v>80%, after Ded</v>
          </cell>
          <cell r="CE607" t="str">
            <v>80%, after Ded</v>
          </cell>
          <cell r="CF607" t="str">
            <v>80%, after Ded</v>
          </cell>
          <cell r="CG607" t="str">
            <v>80%, after Ded</v>
          </cell>
          <cell r="CH607" t="str">
            <v>80%, after Ded</v>
          </cell>
          <cell r="CI607" t="str">
            <v>80%, after Ded</v>
          </cell>
          <cell r="CJ607" t="str">
            <v>$1,850 / $3,700</v>
          </cell>
          <cell r="CK607">
            <v>0.8</v>
          </cell>
          <cell r="CL607" t="str">
            <v>$6,000 / $6,850</v>
          </cell>
          <cell r="CM607" t="str">
            <v>$3,700 / $7,400</v>
          </cell>
          <cell r="CN607">
            <v>0.6</v>
          </cell>
          <cell r="CO607" t="str">
            <v>$12,000 / $13,700</v>
          </cell>
          <cell r="CP607" t="str">
            <v>NonEmb</v>
          </cell>
          <cell r="CQ607" t="str">
            <v>ENRP, Acupuncture ( 12 Visits Per Year ), Wig ( $300 Per Year ), Infertility ( $15k Lifetime ), Bariatric Surgery</v>
          </cell>
          <cell r="CS607" t="str">
            <v>INS</v>
          </cell>
          <cell r="CT607" t="str">
            <v>Select +</v>
          </cell>
          <cell r="CW607" t="str">
            <v>MMX16 19 (1181A)</v>
          </cell>
        </row>
        <row r="608">
          <cell r="CA608" t="str">
            <v>MMX16 20 (1182A)</v>
          </cell>
          <cell r="CB608" t="str">
            <v>HSA</v>
          </cell>
          <cell r="CC608" t="str">
            <v>70%, after Ded</v>
          </cell>
          <cell r="CD608" t="str">
            <v>70%, after Ded</v>
          </cell>
          <cell r="CE608" t="str">
            <v>70%, after Ded</v>
          </cell>
          <cell r="CF608" t="str">
            <v>70%, after Ded</v>
          </cell>
          <cell r="CG608" t="str">
            <v>70%, after Ded</v>
          </cell>
          <cell r="CH608" t="str">
            <v>70%, after Ded</v>
          </cell>
          <cell r="CI608" t="str">
            <v>70%, after Ded</v>
          </cell>
          <cell r="CJ608" t="str">
            <v>$2,850 / $5,700</v>
          </cell>
          <cell r="CK608">
            <v>0.7</v>
          </cell>
          <cell r="CL608" t="str">
            <v>$5,500 / $11,000</v>
          </cell>
          <cell r="CM608" t="str">
            <v>$5,700 / $11,400</v>
          </cell>
          <cell r="CN608">
            <v>0.5</v>
          </cell>
          <cell r="CO608" t="str">
            <v>$11,000 / $22,000</v>
          </cell>
          <cell r="CP608" t="str">
            <v>Emb</v>
          </cell>
          <cell r="CQ608" t="str">
            <v>ENRP, Acupuncture ( 12 Visits Per Year ), Wig ( $300 Per Year ), Infertility ( $15k Lifetime ), Bariatric Surgery</v>
          </cell>
          <cell r="CS608" t="str">
            <v>INS</v>
          </cell>
          <cell r="CT608" t="str">
            <v>Select +</v>
          </cell>
          <cell r="CU608">
            <v>0.60260000000000002</v>
          </cell>
          <cell r="CV608" t="str">
            <v>MMX16 Rx HSA 20 (1037A)</v>
          </cell>
          <cell r="CW608" t="str">
            <v>MMX16 20 (1182A)</v>
          </cell>
          <cell r="CX608">
            <v>0.77990000000000004</v>
          </cell>
        </row>
        <row r="609">
          <cell r="CA609" t="str">
            <v>MMX16 21 (1183A)</v>
          </cell>
          <cell r="CB609" t="str">
            <v>HSA</v>
          </cell>
          <cell r="CC609" t="str">
            <v>70%, after Ded</v>
          </cell>
          <cell r="CD609" t="str">
            <v>70%, after Ded</v>
          </cell>
          <cell r="CE609" t="str">
            <v>70%, after Ded</v>
          </cell>
          <cell r="CF609" t="str">
            <v>70%, after Ded</v>
          </cell>
          <cell r="CG609" t="str">
            <v>70%, after Ded</v>
          </cell>
          <cell r="CH609" t="str">
            <v>70%, after Ded</v>
          </cell>
          <cell r="CI609" t="str">
            <v>70%, after Ded</v>
          </cell>
          <cell r="CJ609" t="str">
            <v>$2,850 / $5,700</v>
          </cell>
          <cell r="CK609">
            <v>0.7</v>
          </cell>
          <cell r="CL609" t="str">
            <v>$6,550 / $13,100</v>
          </cell>
          <cell r="CM609" t="str">
            <v>$5,700 / $11,400</v>
          </cell>
          <cell r="CN609">
            <v>0.5</v>
          </cell>
          <cell r="CO609" t="str">
            <v>$13,100 / $26,200</v>
          </cell>
          <cell r="CP609" t="str">
            <v>Emb</v>
          </cell>
          <cell r="CQ609" t="str">
            <v>ENRP, Acupuncture ( 12 Visits Per Year ), Wig ( $300 Per Year ), Infertility ( $15k Lifetime ), Bariatric Surgery</v>
          </cell>
          <cell r="CS609" t="str">
            <v>INS</v>
          </cell>
          <cell r="CT609" t="str">
            <v>Select +</v>
          </cell>
          <cell r="CU609">
            <v>0.58809999999999996</v>
          </cell>
          <cell r="CV609" t="str">
            <v>MMX16 Rx HSA 21 (1037A)</v>
          </cell>
          <cell r="CW609" t="str">
            <v>MMX16 21 (1183A)</v>
          </cell>
          <cell r="CX609">
            <v>0.76229999999999998</v>
          </cell>
        </row>
        <row r="615">
          <cell r="CA615" t="str">
            <v>069</v>
          </cell>
          <cell r="CB615" t="str">
            <v>Choice</v>
          </cell>
          <cell r="CC615">
            <v>15</v>
          </cell>
          <cell r="CD615">
            <v>15</v>
          </cell>
          <cell r="CE615">
            <v>0</v>
          </cell>
          <cell r="CF615">
            <v>250</v>
          </cell>
          <cell r="CG615">
            <v>35</v>
          </cell>
          <cell r="CH615">
            <v>75</v>
          </cell>
          <cell r="CI615">
            <v>0</v>
          </cell>
          <cell r="CJ615" t="str">
            <v>$0 / $0</v>
          </cell>
          <cell r="CK615">
            <v>1</v>
          </cell>
          <cell r="CL615" t="str">
            <v>$2,500 / $5,000</v>
          </cell>
          <cell r="CM615" t="str">
            <v>$0 / $0</v>
          </cell>
          <cell r="CN615">
            <v>0</v>
          </cell>
          <cell r="CO615" t="str">
            <v>$0 / $0</v>
          </cell>
          <cell r="CP615" t="str">
            <v>Emb</v>
          </cell>
          <cell r="CS615" t="str">
            <v>INS</v>
          </cell>
          <cell r="CT615" t="str">
            <v>Choice</v>
          </cell>
          <cell r="CU615">
            <v>0.93159999999999998</v>
          </cell>
          <cell r="CW615" t="str">
            <v>C14W</v>
          </cell>
          <cell r="CX615">
            <v>0.73750000000000004</v>
          </cell>
        </row>
        <row r="616">
          <cell r="CA616" t="str">
            <v>071</v>
          </cell>
          <cell r="CB616" t="str">
            <v>Choice</v>
          </cell>
          <cell r="CC616">
            <v>20</v>
          </cell>
          <cell r="CD616">
            <v>20</v>
          </cell>
          <cell r="CE616">
            <v>0</v>
          </cell>
          <cell r="CF616">
            <v>250</v>
          </cell>
          <cell r="CG616">
            <v>50</v>
          </cell>
          <cell r="CH616">
            <v>100</v>
          </cell>
          <cell r="CI616">
            <v>0</v>
          </cell>
          <cell r="CJ616" t="str">
            <v>$0 / $0</v>
          </cell>
          <cell r="CK616">
            <v>1</v>
          </cell>
          <cell r="CL616" t="str">
            <v>$2,500 / $5,000</v>
          </cell>
          <cell r="CM616" t="str">
            <v>$0 / $0</v>
          </cell>
          <cell r="CN616">
            <v>0</v>
          </cell>
          <cell r="CO616" t="str">
            <v>$0 / $0</v>
          </cell>
          <cell r="CP616" t="str">
            <v>Emb</v>
          </cell>
          <cell r="CS616" t="str">
            <v>INS</v>
          </cell>
          <cell r="CT616" t="str">
            <v>Choice</v>
          </cell>
          <cell r="CU616">
            <v>0.92069999999999996</v>
          </cell>
          <cell r="CW616" t="str">
            <v>C14W</v>
          </cell>
          <cell r="CX616">
            <v>0.7298</v>
          </cell>
        </row>
        <row r="617">
          <cell r="CA617" t="str">
            <v>073</v>
          </cell>
          <cell r="CB617" t="str">
            <v>Choice</v>
          </cell>
          <cell r="CC617">
            <v>15</v>
          </cell>
          <cell r="CD617">
            <v>15</v>
          </cell>
          <cell r="CE617" t="str">
            <v>N/A</v>
          </cell>
          <cell r="CF617" t="str">
            <v>N/A</v>
          </cell>
          <cell r="CG617">
            <v>35</v>
          </cell>
          <cell r="CH617">
            <v>100</v>
          </cell>
          <cell r="CI617" t="str">
            <v>N/A</v>
          </cell>
          <cell r="CJ617" t="str">
            <v>$250 / $500</v>
          </cell>
          <cell r="CK617">
            <v>1</v>
          </cell>
          <cell r="CL617" t="str">
            <v>$250 / $500</v>
          </cell>
          <cell r="CM617" t="str">
            <v>$0 / $0</v>
          </cell>
          <cell r="CN617">
            <v>0</v>
          </cell>
          <cell r="CO617" t="str">
            <v>$0 / $0</v>
          </cell>
          <cell r="CP617" t="str">
            <v>Emb</v>
          </cell>
          <cell r="CS617" t="str">
            <v>INS</v>
          </cell>
          <cell r="CT617" t="str">
            <v>Choice</v>
          </cell>
          <cell r="CU617">
            <v>0.99129999999999996</v>
          </cell>
          <cell r="CW617" t="str">
            <v>C14W</v>
          </cell>
          <cell r="CX617">
            <v>0.71430000000000005</v>
          </cell>
        </row>
        <row r="618">
          <cell r="CA618" t="str">
            <v>074</v>
          </cell>
          <cell r="CB618" t="str">
            <v>Choice</v>
          </cell>
          <cell r="CC618">
            <v>10</v>
          </cell>
          <cell r="CD618">
            <v>10</v>
          </cell>
          <cell r="CE618" t="str">
            <v>N/A</v>
          </cell>
          <cell r="CF618" t="str">
            <v>N/A</v>
          </cell>
          <cell r="CG618">
            <v>35</v>
          </cell>
          <cell r="CH618">
            <v>100</v>
          </cell>
          <cell r="CI618" t="str">
            <v>N/A</v>
          </cell>
          <cell r="CJ618" t="str">
            <v>$250 / $500</v>
          </cell>
          <cell r="CK618">
            <v>0.9</v>
          </cell>
          <cell r="CL618" t="str">
            <v>$1,250 / $2,500</v>
          </cell>
          <cell r="CM618" t="str">
            <v>$0 / $0</v>
          </cell>
          <cell r="CN618">
            <v>0</v>
          </cell>
          <cell r="CO618" t="str">
            <v>$0 / $0</v>
          </cell>
          <cell r="CP618" t="str">
            <v>Emb</v>
          </cell>
          <cell r="CS618" t="str">
            <v>INS</v>
          </cell>
          <cell r="CT618" t="str">
            <v>Choice</v>
          </cell>
          <cell r="CU618">
            <v>0.8962</v>
          </cell>
          <cell r="CW618" t="str">
            <v>C14W</v>
          </cell>
          <cell r="CX618">
            <v>0.71709999999999996</v>
          </cell>
        </row>
        <row r="619">
          <cell r="CA619" t="str">
            <v>075</v>
          </cell>
          <cell r="CB619" t="str">
            <v>Choice</v>
          </cell>
          <cell r="CC619">
            <v>15</v>
          </cell>
          <cell r="CD619">
            <v>15</v>
          </cell>
          <cell r="CE619" t="str">
            <v>N/A</v>
          </cell>
          <cell r="CF619" t="str">
            <v>N/A</v>
          </cell>
          <cell r="CG619">
            <v>50</v>
          </cell>
          <cell r="CH619">
            <v>100</v>
          </cell>
          <cell r="CI619" t="str">
            <v>N/A</v>
          </cell>
          <cell r="CJ619" t="str">
            <v>$250 / $500</v>
          </cell>
          <cell r="CK619">
            <v>0.9</v>
          </cell>
          <cell r="CL619" t="str">
            <v>$2,250 / $4,500</v>
          </cell>
          <cell r="CM619" t="str">
            <v>$0 / $0</v>
          </cell>
          <cell r="CN619">
            <v>0</v>
          </cell>
          <cell r="CO619" t="str">
            <v>$0 / $0</v>
          </cell>
          <cell r="CP619" t="str">
            <v>Emb</v>
          </cell>
          <cell r="CS619" t="str">
            <v>INS</v>
          </cell>
          <cell r="CT619" t="str">
            <v>Choice</v>
          </cell>
          <cell r="CU619">
            <v>0.85680000000000001</v>
          </cell>
          <cell r="CW619" t="str">
            <v>C14W</v>
          </cell>
          <cell r="CX619">
            <v>0.70099999999999996</v>
          </cell>
        </row>
        <row r="620">
          <cell r="CA620" t="str">
            <v>076</v>
          </cell>
          <cell r="CB620" t="str">
            <v>Choice</v>
          </cell>
          <cell r="CC620">
            <v>20</v>
          </cell>
          <cell r="CD620">
            <v>20</v>
          </cell>
          <cell r="CE620" t="str">
            <v>N/A</v>
          </cell>
          <cell r="CF620" t="str">
            <v>$250 POD</v>
          </cell>
          <cell r="CG620">
            <v>125</v>
          </cell>
          <cell r="CH620">
            <v>250</v>
          </cell>
          <cell r="CI620" t="str">
            <v>N/A</v>
          </cell>
          <cell r="CJ620" t="str">
            <v>$250 / $500</v>
          </cell>
          <cell r="CK620">
            <v>0.9</v>
          </cell>
          <cell r="CL620" t="str">
            <v>$2,500 / $5,000</v>
          </cell>
          <cell r="CM620" t="str">
            <v>$0 / $0</v>
          </cell>
          <cell r="CN620">
            <v>0</v>
          </cell>
          <cell r="CO620" t="str">
            <v>$0 / $0</v>
          </cell>
          <cell r="CP620" t="str">
            <v>Emb</v>
          </cell>
          <cell r="CS620" t="str">
            <v>INS</v>
          </cell>
          <cell r="CT620" t="str">
            <v>Choice</v>
          </cell>
          <cell r="CU620">
            <v>0.83340000000000003</v>
          </cell>
          <cell r="CW620" t="str">
            <v>C14W</v>
          </cell>
          <cell r="CX620">
            <v>0.68910000000000005</v>
          </cell>
        </row>
        <row r="621">
          <cell r="CA621" t="str">
            <v>077</v>
          </cell>
          <cell r="CB621" t="str">
            <v>Choice</v>
          </cell>
          <cell r="CC621">
            <v>20</v>
          </cell>
          <cell r="CD621">
            <v>20</v>
          </cell>
          <cell r="CE621" t="str">
            <v>N/A</v>
          </cell>
          <cell r="CF621" t="str">
            <v>N/A</v>
          </cell>
          <cell r="CG621">
            <v>50</v>
          </cell>
          <cell r="CH621">
            <v>100</v>
          </cell>
          <cell r="CI621" t="str">
            <v>N/A</v>
          </cell>
          <cell r="CJ621" t="str">
            <v>$500 / $1,000</v>
          </cell>
          <cell r="CK621">
            <v>0.8</v>
          </cell>
          <cell r="CL621" t="str">
            <v>$2,500 / $5,000</v>
          </cell>
          <cell r="CM621" t="str">
            <v>$0 / $0</v>
          </cell>
          <cell r="CN621">
            <v>0</v>
          </cell>
          <cell r="CO621" t="str">
            <v>$0 / $0</v>
          </cell>
          <cell r="CP621" t="str">
            <v>Emb</v>
          </cell>
          <cell r="CS621" t="str">
            <v>INS</v>
          </cell>
          <cell r="CT621" t="str">
            <v>Choice</v>
          </cell>
          <cell r="CU621">
            <v>0.80649999999999999</v>
          </cell>
          <cell r="CW621" t="str">
            <v>C14W</v>
          </cell>
          <cell r="CX621">
            <v>0.6774</v>
          </cell>
        </row>
        <row r="622">
          <cell r="CA622" t="str">
            <v>078</v>
          </cell>
          <cell r="CB622" t="str">
            <v>Choice</v>
          </cell>
          <cell r="CC622">
            <v>30</v>
          </cell>
          <cell r="CD622">
            <v>30</v>
          </cell>
          <cell r="CE622" t="str">
            <v>N/A</v>
          </cell>
          <cell r="CF622" t="str">
            <v>$500 POD</v>
          </cell>
          <cell r="CG622">
            <v>125</v>
          </cell>
          <cell r="CH622">
            <v>250</v>
          </cell>
          <cell r="CI622" t="str">
            <v>N/A</v>
          </cell>
          <cell r="CJ622" t="str">
            <v>$250 / $500</v>
          </cell>
          <cell r="CK622">
            <v>0.9</v>
          </cell>
          <cell r="CL622" t="str">
            <v>$3,500 / $7,000</v>
          </cell>
          <cell r="CM622" t="str">
            <v>$0 / $0</v>
          </cell>
          <cell r="CN622">
            <v>0</v>
          </cell>
          <cell r="CO622" t="str">
            <v>$0 / $0</v>
          </cell>
          <cell r="CP622" t="str">
            <v>Emb</v>
          </cell>
          <cell r="CS622" t="str">
            <v>INS</v>
          </cell>
          <cell r="CT622" t="str">
            <v>Choice</v>
          </cell>
          <cell r="CU622">
            <v>0.80359999999999998</v>
          </cell>
          <cell r="CW622" t="str">
            <v>C14W</v>
          </cell>
          <cell r="CX622">
            <v>0.67200000000000004</v>
          </cell>
        </row>
        <row r="623">
          <cell r="CA623" t="str">
            <v>079</v>
          </cell>
          <cell r="CB623" t="str">
            <v>Choice</v>
          </cell>
          <cell r="CC623">
            <v>30</v>
          </cell>
          <cell r="CD623">
            <v>30</v>
          </cell>
          <cell r="CE623" t="str">
            <v>N/A</v>
          </cell>
          <cell r="CF623" t="str">
            <v>$500 POD</v>
          </cell>
          <cell r="CG623">
            <v>125</v>
          </cell>
          <cell r="CH623">
            <v>250</v>
          </cell>
          <cell r="CI623" t="str">
            <v>N/A</v>
          </cell>
          <cell r="CJ623" t="str">
            <v>$500 / $1,000</v>
          </cell>
          <cell r="CK623">
            <v>0.8</v>
          </cell>
          <cell r="CL623" t="str">
            <v>$5,000 / $10,000</v>
          </cell>
          <cell r="CM623" t="str">
            <v>$0 / $0</v>
          </cell>
          <cell r="CN623">
            <v>0</v>
          </cell>
          <cell r="CO623" t="str">
            <v>$0 / $0</v>
          </cell>
          <cell r="CP623" t="str">
            <v>Emb</v>
          </cell>
          <cell r="CS623" t="str">
            <v>INS</v>
          </cell>
          <cell r="CT623" t="str">
            <v>Choice</v>
          </cell>
          <cell r="CU623">
            <v>0.72889999999999999</v>
          </cell>
          <cell r="CW623" t="str">
            <v>C14W</v>
          </cell>
          <cell r="CX623">
            <v>0.64429999999999998</v>
          </cell>
        </row>
        <row r="624">
          <cell r="CA624" t="str">
            <v>080</v>
          </cell>
          <cell r="CB624" t="str">
            <v>Choice</v>
          </cell>
          <cell r="CC624">
            <v>20</v>
          </cell>
          <cell r="CD624">
            <v>20</v>
          </cell>
          <cell r="CE624" t="str">
            <v>N/A</v>
          </cell>
          <cell r="CF624" t="str">
            <v>$250 POD</v>
          </cell>
          <cell r="CG624">
            <v>125</v>
          </cell>
          <cell r="CH624">
            <v>250</v>
          </cell>
          <cell r="CI624" t="str">
            <v>N/A</v>
          </cell>
          <cell r="CJ624" t="str">
            <v>$500 / $1,000</v>
          </cell>
          <cell r="CK624">
            <v>0.7</v>
          </cell>
          <cell r="CL624" t="str">
            <v>$4,500 / $9,000</v>
          </cell>
          <cell r="CM624" t="str">
            <v>$0 / $0</v>
          </cell>
          <cell r="CN624">
            <v>0</v>
          </cell>
          <cell r="CO624" t="str">
            <v>$0 / $0</v>
          </cell>
          <cell r="CP624" t="str">
            <v>Emb</v>
          </cell>
          <cell r="CS624" t="str">
            <v>INS</v>
          </cell>
          <cell r="CT624" t="str">
            <v>Choice</v>
          </cell>
          <cell r="CU624">
            <v>0.72489999999999999</v>
          </cell>
          <cell r="CW624" t="str">
            <v>C14W</v>
          </cell>
          <cell r="CX624">
            <v>0.65110000000000001</v>
          </cell>
        </row>
        <row r="625">
          <cell r="CA625" t="str">
            <v>081</v>
          </cell>
          <cell r="CB625" t="str">
            <v>Choice</v>
          </cell>
          <cell r="CC625">
            <v>25</v>
          </cell>
          <cell r="CD625">
            <v>25</v>
          </cell>
          <cell r="CE625" t="str">
            <v>N/A</v>
          </cell>
          <cell r="CF625" t="str">
            <v>N/A</v>
          </cell>
          <cell r="CG625">
            <v>125</v>
          </cell>
          <cell r="CH625">
            <v>250</v>
          </cell>
          <cell r="CI625" t="str">
            <v>N/A</v>
          </cell>
          <cell r="CJ625" t="str">
            <v>$1,000 / $2,000</v>
          </cell>
          <cell r="CK625">
            <v>0.9</v>
          </cell>
          <cell r="CL625" t="str">
            <v>$2,000 / $4,000</v>
          </cell>
          <cell r="CM625" t="str">
            <v>$0 / $0</v>
          </cell>
          <cell r="CN625">
            <v>0</v>
          </cell>
          <cell r="CO625" t="str">
            <v>$0 / $0</v>
          </cell>
          <cell r="CP625" t="str">
            <v>Emb</v>
          </cell>
          <cell r="CS625" t="str">
            <v>INS</v>
          </cell>
          <cell r="CT625" t="str">
            <v>Choice</v>
          </cell>
          <cell r="CU625">
            <v>0.8054</v>
          </cell>
          <cell r="CW625" t="str">
            <v>C14W</v>
          </cell>
          <cell r="CX625">
            <v>0.66259999999999997</v>
          </cell>
        </row>
        <row r="626">
          <cell r="CA626" t="str">
            <v>083</v>
          </cell>
          <cell r="CB626" t="str">
            <v>Choice</v>
          </cell>
          <cell r="CC626">
            <v>25</v>
          </cell>
          <cell r="CD626">
            <v>25</v>
          </cell>
          <cell r="CE626" t="str">
            <v>N/A</v>
          </cell>
          <cell r="CF626" t="str">
            <v>N/A</v>
          </cell>
          <cell r="CG626">
            <v>50</v>
          </cell>
          <cell r="CH626">
            <v>100</v>
          </cell>
          <cell r="CI626" t="str">
            <v>N/A</v>
          </cell>
          <cell r="CJ626" t="str">
            <v>$1,000 / $2,000</v>
          </cell>
          <cell r="CK626">
            <v>0.8</v>
          </cell>
          <cell r="CL626" t="str">
            <v>$3,000 / $6,000</v>
          </cell>
          <cell r="CM626" t="str">
            <v>$0 / $0</v>
          </cell>
          <cell r="CN626">
            <v>0</v>
          </cell>
          <cell r="CO626" t="str">
            <v>$0 / $0</v>
          </cell>
          <cell r="CP626" t="str">
            <v>Emb</v>
          </cell>
          <cell r="CS626" t="str">
            <v>INS</v>
          </cell>
          <cell r="CT626" t="str">
            <v>Choice</v>
          </cell>
          <cell r="CU626">
            <v>0.76429999999999998</v>
          </cell>
          <cell r="CW626" t="str">
            <v>C14W</v>
          </cell>
          <cell r="CX626">
            <v>0.65259999999999996</v>
          </cell>
        </row>
        <row r="627">
          <cell r="CA627" t="str">
            <v>084</v>
          </cell>
          <cell r="CB627" t="str">
            <v>Choice</v>
          </cell>
          <cell r="CC627">
            <v>35</v>
          </cell>
          <cell r="CD627">
            <v>35</v>
          </cell>
          <cell r="CE627" t="str">
            <v>N/A</v>
          </cell>
          <cell r="CF627" t="str">
            <v>N/A</v>
          </cell>
          <cell r="CG627">
            <v>125</v>
          </cell>
          <cell r="CH627">
            <v>250</v>
          </cell>
          <cell r="CI627" t="str">
            <v>N/A</v>
          </cell>
          <cell r="CJ627" t="str">
            <v>$750 / $1,500</v>
          </cell>
          <cell r="CK627">
            <v>0.8</v>
          </cell>
          <cell r="CL627" t="str">
            <v>$2,500 / $5,000</v>
          </cell>
          <cell r="CM627" t="str">
            <v>$0 / $0</v>
          </cell>
          <cell r="CN627">
            <v>0</v>
          </cell>
          <cell r="CO627" t="str">
            <v>$0 / $0</v>
          </cell>
          <cell r="CP627" t="str">
            <v>Emb</v>
          </cell>
          <cell r="CS627" t="str">
            <v>INS</v>
          </cell>
          <cell r="CT627" t="str">
            <v>Choice</v>
          </cell>
          <cell r="CU627">
            <v>0.77059999999999995</v>
          </cell>
          <cell r="CW627" t="str">
            <v>C14W</v>
          </cell>
          <cell r="CX627">
            <v>0.65049999999999997</v>
          </cell>
        </row>
        <row r="628">
          <cell r="CA628" t="str">
            <v>086</v>
          </cell>
          <cell r="CB628" t="str">
            <v>Choice</v>
          </cell>
          <cell r="CC628">
            <v>30</v>
          </cell>
          <cell r="CD628">
            <v>30</v>
          </cell>
          <cell r="CE628" t="str">
            <v>N/A</v>
          </cell>
          <cell r="CF628" t="str">
            <v>N/A</v>
          </cell>
          <cell r="CG628">
            <v>50</v>
          </cell>
          <cell r="CH628">
            <v>150</v>
          </cell>
          <cell r="CI628" t="str">
            <v>N/A</v>
          </cell>
          <cell r="CJ628" t="str">
            <v>$1,000 / $2,000</v>
          </cell>
          <cell r="CK628">
            <v>0.8</v>
          </cell>
          <cell r="CL628" t="str">
            <v>$4,000 / $8,000</v>
          </cell>
          <cell r="CM628" t="str">
            <v>$0 / $0</v>
          </cell>
          <cell r="CN628">
            <v>0</v>
          </cell>
          <cell r="CO628" t="str">
            <v>$0 / $0</v>
          </cell>
          <cell r="CP628" t="str">
            <v>Emb</v>
          </cell>
          <cell r="CS628" t="str">
            <v>INS</v>
          </cell>
          <cell r="CT628" t="str">
            <v>Choice</v>
          </cell>
          <cell r="CU628">
            <v>0.72889999999999999</v>
          </cell>
          <cell r="CW628" t="str">
            <v>C14W</v>
          </cell>
          <cell r="CX628">
            <v>0.63580000000000003</v>
          </cell>
        </row>
        <row r="629">
          <cell r="CA629" t="str">
            <v>088</v>
          </cell>
          <cell r="CB629" t="str">
            <v>Choice</v>
          </cell>
          <cell r="CC629">
            <v>25</v>
          </cell>
          <cell r="CD629">
            <v>25</v>
          </cell>
          <cell r="CE629" t="str">
            <v>N/A</v>
          </cell>
          <cell r="CF629" t="str">
            <v>N/A</v>
          </cell>
          <cell r="CG629">
            <v>125</v>
          </cell>
          <cell r="CH629">
            <v>250</v>
          </cell>
          <cell r="CI629" t="str">
            <v>N/A</v>
          </cell>
          <cell r="CJ629" t="str">
            <v>$1,000 / $2,000</v>
          </cell>
          <cell r="CK629">
            <v>0.7</v>
          </cell>
          <cell r="CL629" t="str">
            <v>$4,000 / $8,000</v>
          </cell>
          <cell r="CM629" t="str">
            <v>$0 / $0</v>
          </cell>
          <cell r="CN629">
            <v>0</v>
          </cell>
          <cell r="CO629" t="str">
            <v>$0 / $0</v>
          </cell>
          <cell r="CP629" t="str">
            <v>Emb</v>
          </cell>
          <cell r="CS629" t="str">
            <v>INS</v>
          </cell>
          <cell r="CT629" t="str">
            <v>Choice</v>
          </cell>
          <cell r="CU629">
            <v>0.71530000000000005</v>
          </cell>
          <cell r="CW629" t="str">
            <v>C14W</v>
          </cell>
          <cell r="CX629">
            <v>0.63619999999999999</v>
          </cell>
        </row>
        <row r="630">
          <cell r="CA630" t="str">
            <v>089</v>
          </cell>
          <cell r="CB630" t="str">
            <v>Choice</v>
          </cell>
          <cell r="CC630">
            <v>30</v>
          </cell>
          <cell r="CD630">
            <v>30</v>
          </cell>
          <cell r="CE630" t="str">
            <v>N/A</v>
          </cell>
          <cell r="CF630" t="str">
            <v>N/A</v>
          </cell>
          <cell r="CG630">
            <v>125</v>
          </cell>
          <cell r="CH630">
            <v>250</v>
          </cell>
          <cell r="CI630" t="str">
            <v>N/A</v>
          </cell>
          <cell r="CJ630" t="str">
            <v>$1,500 / $3,000</v>
          </cell>
          <cell r="CK630">
            <v>0.8</v>
          </cell>
          <cell r="CL630" t="str">
            <v>$4,000 / $8,000</v>
          </cell>
          <cell r="CM630" t="str">
            <v>$0 / $0</v>
          </cell>
          <cell r="CN630">
            <v>0</v>
          </cell>
          <cell r="CO630" t="str">
            <v>$0 / $0</v>
          </cell>
          <cell r="CP630" t="str">
            <v>Emb</v>
          </cell>
          <cell r="CS630" t="str">
            <v>INS</v>
          </cell>
          <cell r="CT630" t="str">
            <v>Choice</v>
          </cell>
          <cell r="CU630">
            <v>0.70889999999999997</v>
          </cell>
          <cell r="CW630" t="str">
            <v>C14W</v>
          </cell>
          <cell r="CX630">
            <v>0.62260000000000004</v>
          </cell>
        </row>
        <row r="631">
          <cell r="CA631" t="str">
            <v>096</v>
          </cell>
          <cell r="CB631" t="str">
            <v>Choice HRA</v>
          </cell>
          <cell r="CC631">
            <v>0</v>
          </cell>
          <cell r="CD631">
            <v>0</v>
          </cell>
          <cell r="CE631" t="str">
            <v>N/A</v>
          </cell>
          <cell r="CF631" t="str">
            <v>N/A</v>
          </cell>
          <cell r="CG631" t="str">
            <v>N/A</v>
          </cell>
          <cell r="CH631" t="str">
            <v>N/A</v>
          </cell>
          <cell r="CI631" t="str">
            <v>N/A</v>
          </cell>
          <cell r="CJ631" t="str">
            <v>$1,500 / $3,000</v>
          </cell>
          <cell r="CK631">
            <v>0.9</v>
          </cell>
          <cell r="CL631" t="str">
            <v>$2,500 / $5,000</v>
          </cell>
          <cell r="CM631" t="str">
            <v>$0 / $0</v>
          </cell>
          <cell r="CN631">
            <v>0</v>
          </cell>
          <cell r="CO631" t="str">
            <v>$0 / $0</v>
          </cell>
          <cell r="CP631" t="str">
            <v>Emb</v>
          </cell>
          <cell r="CS631" t="str">
            <v>INS</v>
          </cell>
          <cell r="CT631" t="str">
            <v>Choice</v>
          </cell>
          <cell r="CU631">
            <v>0.6704</v>
          </cell>
          <cell r="CW631" t="str">
            <v>CNHRA14W</v>
          </cell>
          <cell r="CX631">
            <v>0.61880000000000002</v>
          </cell>
        </row>
        <row r="632">
          <cell r="CA632" t="str">
            <v>099</v>
          </cell>
          <cell r="CB632" t="str">
            <v>Choice HRA</v>
          </cell>
          <cell r="CC632">
            <v>0</v>
          </cell>
          <cell r="CD632">
            <v>0</v>
          </cell>
          <cell r="CE632" t="str">
            <v>N/A</v>
          </cell>
          <cell r="CF632" t="str">
            <v>N/A</v>
          </cell>
          <cell r="CG632" t="str">
            <v>N/A</v>
          </cell>
          <cell r="CH632" t="str">
            <v>N/A</v>
          </cell>
          <cell r="CI632" t="str">
            <v>N/A</v>
          </cell>
          <cell r="CJ632" t="str">
            <v>$5,000 / $10,000</v>
          </cell>
          <cell r="CK632">
            <v>1</v>
          </cell>
          <cell r="CL632" t="str">
            <v>$5,000 / $10,000</v>
          </cell>
          <cell r="CM632" t="str">
            <v>$0 / $0</v>
          </cell>
          <cell r="CN632">
            <v>0</v>
          </cell>
          <cell r="CO632" t="str">
            <v>$0 / $0</v>
          </cell>
          <cell r="CP632" t="str">
            <v>Emb</v>
          </cell>
          <cell r="CS632" t="str">
            <v>INS</v>
          </cell>
          <cell r="CT632" t="str">
            <v>Choice</v>
          </cell>
          <cell r="CU632">
            <v>0.60570000000000002</v>
          </cell>
          <cell r="CV632" t="str">
            <v>H9-HRA</v>
          </cell>
          <cell r="CW632" t="str">
            <v>CHRA14W</v>
          </cell>
          <cell r="CX632">
            <v>0.64239999999999997</v>
          </cell>
        </row>
        <row r="633">
          <cell r="CA633" t="str">
            <v>1262A</v>
          </cell>
          <cell r="CB633" t="str">
            <v>Choice</v>
          </cell>
          <cell r="CC633">
            <v>15</v>
          </cell>
          <cell r="CD633">
            <v>25</v>
          </cell>
          <cell r="CE633">
            <v>0</v>
          </cell>
          <cell r="CF633">
            <v>0</v>
          </cell>
          <cell r="CG633">
            <v>50</v>
          </cell>
          <cell r="CH633">
            <v>150</v>
          </cell>
          <cell r="CI633">
            <v>0</v>
          </cell>
          <cell r="CJ633" t="str">
            <v>$0 / $0</v>
          </cell>
          <cell r="CK633">
            <v>1</v>
          </cell>
          <cell r="CL633" t="str">
            <v>$2,500 / $5,000</v>
          </cell>
          <cell r="CM633" t="str">
            <v>$0 / $0</v>
          </cell>
          <cell r="CN633">
            <v>0</v>
          </cell>
          <cell r="CO633" t="str">
            <v>$0 / $0</v>
          </cell>
          <cell r="CP633" t="str">
            <v>Emb</v>
          </cell>
          <cell r="CS633" t="str">
            <v>INS</v>
          </cell>
          <cell r="CT633" t="str">
            <v>Choice</v>
          </cell>
          <cell r="CU633">
            <v>0.92330000000000001</v>
          </cell>
          <cell r="CW633" t="str">
            <v>C14W</v>
          </cell>
          <cell r="CX633">
            <v>0.72950000000000004</v>
          </cell>
        </row>
        <row r="634">
          <cell r="CA634" t="str">
            <v>1264A</v>
          </cell>
          <cell r="CB634" t="str">
            <v>Choice</v>
          </cell>
          <cell r="CC634">
            <v>20</v>
          </cell>
          <cell r="CD634">
            <v>30</v>
          </cell>
          <cell r="CE634">
            <v>0</v>
          </cell>
          <cell r="CF634">
            <v>0</v>
          </cell>
          <cell r="CG634">
            <v>50</v>
          </cell>
          <cell r="CH634">
            <v>150</v>
          </cell>
          <cell r="CI634">
            <v>0</v>
          </cell>
          <cell r="CJ634" t="str">
            <v>$0 / $0</v>
          </cell>
          <cell r="CK634">
            <v>1</v>
          </cell>
          <cell r="CL634" t="str">
            <v>$2,500 / $5,000</v>
          </cell>
          <cell r="CM634" t="str">
            <v>$0 / $0</v>
          </cell>
          <cell r="CN634">
            <v>0</v>
          </cell>
          <cell r="CO634" t="str">
            <v>$0 / $0</v>
          </cell>
          <cell r="CP634" t="str">
            <v>Emb</v>
          </cell>
          <cell r="CS634" t="str">
            <v>INS</v>
          </cell>
          <cell r="CT634" t="str">
            <v>Choice</v>
          </cell>
          <cell r="CU634">
            <v>0.91459999999999997</v>
          </cell>
          <cell r="CW634" t="str">
            <v>C14W</v>
          </cell>
          <cell r="CX634">
            <v>0.72270000000000001</v>
          </cell>
        </row>
        <row r="635">
          <cell r="CA635" t="str">
            <v>1274A</v>
          </cell>
          <cell r="CB635" t="str">
            <v>Choice</v>
          </cell>
          <cell r="CC635">
            <v>20</v>
          </cell>
          <cell r="CD635">
            <v>40</v>
          </cell>
          <cell r="CE635" t="str">
            <v>N/A</v>
          </cell>
          <cell r="CF635" t="str">
            <v>N/A</v>
          </cell>
          <cell r="CG635">
            <v>125</v>
          </cell>
          <cell r="CH635">
            <v>250</v>
          </cell>
          <cell r="CI635" t="str">
            <v>N/A</v>
          </cell>
          <cell r="CJ635" t="str">
            <v>$1,000 / $2,000</v>
          </cell>
          <cell r="CK635">
            <v>0.9</v>
          </cell>
          <cell r="CL635" t="str">
            <v>$3,000 / $6,000</v>
          </cell>
          <cell r="CM635" t="str">
            <v>$0 / $0</v>
          </cell>
          <cell r="CN635">
            <v>0</v>
          </cell>
          <cell r="CO635" t="str">
            <v>$0 / $0</v>
          </cell>
          <cell r="CP635" t="str">
            <v>Emb</v>
          </cell>
          <cell r="CS635" t="str">
            <v>INS</v>
          </cell>
          <cell r="CT635" t="str">
            <v>Choice</v>
          </cell>
          <cell r="CU635">
            <v>0.76780000000000004</v>
          </cell>
          <cell r="CW635" t="str">
            <v>C14W</v>
          </cell>
          <cell r="CX635">
            <v>0.64190000000000003</v>
          </cell>
        </row>
        <row r="636">
          <cell r="CA636" t="str">
            <v>1277A</v>
          </cell>
          <cell r="CB636" t="str">
            <v>Choice</v>
          </cell>
          <cell r="CC636">
            <v>25</v>
          </cell>
          <cell r="CD636">
            <v>35</v>
          </cell>
          <cell r="CE636" t="str">
            <v>N/A</v>
          </cell>
          <cell r="CF636" t="str">
            <v>N/A</v>
          </cell>
          <cell r="CG636">
            <v>125</v>
          </cell>
          <cell r="CH636">
            <v>250</v>
          </cell>
          <cell r="CI636" t="str">
            <v>N/A</v>
          </cell>
          <cell r="CJ636" t="str">
            <v>$1,000 / $2,000</v>
          </cell>
          <cell r="CK636">
            <v>0.8</v>
          </cell>
          <cell r="CL636" t="str">
            <v>$3,000 / $6,000</v>
          </cell>
          <cell r="CM636" t="str">
            <v>$0 / $0</v>
          </cell>
          <cell r="CN636">
            <v>0</v>
          </cell>
          <cell r="CO636" t="str">
            <v>$0 / $0</v>
          </cell>
          <cell r="CP636" t="str">
            <v>Emb</v>
          </cell>
          <cell r="CS636" t="str">
            <v>INS</v>
          </cell>
          <cell r="CT636" t="str">
            <v>Choice</v>
          </cell>
          <cell r="CU636">
            <v>0.75</v>
          </cell>
          <cell r="CW636" t="str">
            <v>C14W</v>
          </cell>
          <cell r="CX636">
            <v>0.64290000000000003</v>
          </cell>
        </row>
        <row r="637">
          <cell r="CA637" t="str">
            <v>1279A</v>
          </cell>
          <cell r="CB637" t="str">
            <v>Choice</v>
          </cell>
          <cell r="CC637">
            <v>30</v>
          </cell>
          <cell r="CD637">
            <v>50</v>
          </cell>
          <cell r="CE637" t="str">
            <v>N/A</v>
          </cell>
          <cell r="CF637" t="str">
            <v>N/A</v>
          </cell>
          <cell r="CG637">
            <v>125</v>
          </cell>
          <cell r="CH637">
            <v>250</v>
          </cell>
          <cell r="CI637" t="str">
            <v>N/A</v>
          </cell>
          <cell r="CJ637" t="str">
            <v>$1,000 / $2,000</v>
          </cell>
          <cell r="CK637">
            <v>0.8</v>
          </cell>
          <cell r="CL637" t="str">
            <v>$3,000 / $6,000</v>
          </cell>
          <cell r="CM637" t="str">
            <v>$0 / $0</v>
          </cell>
          <cell r="CN637">
            <v>0</v>
          </cell>
          <cell r="CO637" t="str">
            <v>$0 / $0</v>
          </cell>
          <cell r="CP637" t="str">
            <v>Emb</v>
          </cell>
          <cell r="CS637" t="str">
            <v>INS</v>
          </cell>
          <cell r="CT637" t="str">
            <v>Choice</v>
          </cell>
          <cell r="CU637">
            <v>0.74019999999999997</v>
          </cell>
          <cell r="CW637" t="str">
            <v>C14W</v>
          </cell>
          <cell r="CX637">
            <v>0.63070000000000004</v>
          </cell>
        </row>
        <row r="638">
          <cell r="CA638" t="str">
            <v>1282A</v>
          </cell>
          <cell r="CB638" t="str">
            <v>Choice</v>
          </cell>
          <cell r="CC638">
            <v>25</v>
          </cell>
          <cell r="CD638">
            <v>40</v>
          </cell>
          <cell r="CE638" t="str">
            <v>N/A</v>
          </cell>
          <cell r="CF638" t="str">
            <v>N/A</v>
          </cell>
          <cell r="CG638">
            <v>125</v>
          </cell>
          <cell r="CH638">
            <v>250</v>
          </cell>
          <cell r="CI638" t="str">
            <v>N/A</v>
          </cell>
          <cell r="CJ638" t="str">
            <v>$2,000 / $4,000</v>
          </cell>
          <cell r="CK638">
            <v>0.8</v>
          </cell>
          <cell r="CL638" t="str">
            <v>$5,000 / $10,000</v>
          </cell>
          <cell r="CM638" t="str">
            <v>$0 / $0</v>
          </cell>
          <cell r="CN638">
            <v>0</v>
          </cell>
          <cell r="CO638" t="str">
            <v>$0 / $0</v>
          </cell>
          <cell r="CP638" t="str">
            <v>Emb</v>
          </cell>
          <cell r="CS638" t="str">
            <v>INS</v>
          </cell>
          <cell r="CT638" t="str">
            <v>Choice</v>
          </cell>
          <cell r="CU638">
            <v>0.67910000000000004</v>
          </cell>
          <cell r="CW638" t="str">
            <v>C14W</v>
          </cell>
          <cell r="CX638">
            <v>0.60170000000000001</v>
          </cell>
        </row>
        <row r="639">
          <cell r="CA639" t="str">
            <v>1283A</v>
          </cell>
          <cell r="CB639" t="str">
            <v>Choice</v>
          </cell>
          <cell r="CC639">
            <v>20</v>
          </cell>
          <cell r="CD639">
            <v>40</v>
          </cell>
          <cell r="CE639" t="str">
            <v>N/A</v>
          </cell>
          <cell r="CF639" t="str">
            <v>N/A</v>
          </cell>
          <cell r="CG639">
            <v>125</v>
          </cell>
          <cell r="CH639">
            <v>250</v>
          </cell>
          <cell r="CI639" t="str">
            <v>N/A</v>
          </cell>
          <cell r="CJ639" t="str">
            <v>$2,500 / $5,000</v>
          </cell>
          <cell r="CK639">
            <v>0.8</v>
          </cell>
          <cell r="CL639" t="str">
            <v>$5,000 / $10,000</v>
          </cell>
          <cell r="CM639" t="str">
            <v>$0 / $0</v>
          </cell>
          <cell r="CN639">
            <v>0</v>
          </cell>
          <cell r="CO639" t="str">
            <v>$0 / $0</v>
          </cell>
          <cell r="CP639" t="str">
            <v>Emb</v>
          </cell>
          <cell r="CS639" t="str">
            <v>INS</v>
          </cell>
          <cell r="CT639" t="str">
            <v>Choice</v>
          </cell>
          <cell r="CU639">
            <v>0.67200000000000004</v>
          </cell>
          <cell r="CW639" t="str">
            <v>C14W</v>
          </cell>
          <cell r="CX639">
            <v>0.59850000000000003</v>
          </cell>
        </row>
        <row r="640">
          <cell r="CA640" t="str">
            <v>1284A</v>
          </cell>
          <cell r="CB640" t="str">
            <v>Choice</v>
          </cell>
          <cell r="CC640">
            <v>25</v>
          </cell>
          <cell r="CD640">
            <v>50</v>
          </cell>
          <cell r="CE640" t="str">
            <v>N/A</v>
          </cell>
          <cell r="CF640" t="str">
            <v>N/A</v>
          </cell>
          <cell r="CG640">
            <v>125</v>
          </cell>
          <cell r="CH640">
            <v>250</v>
          </cell>
          <cell r="CI640" t="str">
            <v>N/A</v>
          </cell>
          <cell r="CJ640" t="str">
            <v>$3,000 / $6,000</v>
          </cell>
          <cell r="CK640">
            <v>0.7</v>
          </cell>
          <cell r="CL640" t="str">
            <v>$5,000 / $10,000</v>
          </cell>
          <cell r="CM640" t="str">
            <v>$0 / $0</v>
          </cell>
          <cell r="CN640">
            <v>0</v>
          </cell>
          <cell r="CO640" t="str">
            <v>$0 / $0</v>
          </cell>
          <cell r="CP640" t="str">
            <v>Emb</v>
          </cell>
          <cell r="CS640" t="str">
            <v>INS</v>
          </cell>
          <cell r="CT640" t="str">
            <v>Choice</v>
          </cell>
          <cell r="CU640">
            <v>0.65529999999999999</v>
          </cell>
          <cell r="CW640" t="str">
            <v>C14W</v>
          </cell>
          <cell r="CX640">
            <v>0.58740000000000003</v>
          </cell>
        </row>
        <row r="641">
          <cell r="CA641">
            <v>449</v>
          </cell>
          <cell r="CB641" t="str">
            <v>Choice HRA</v>
          </cell>
          <cell r="CC641" t="str">
            <v>N/A</v>
          </cell>
          <cell r="CD641" t="str">
            <v>N/A</v>
          </cell>
          <cell r="CE641" t="str">
            <v>N/A</v>
          </cell>
          <cell r="CF641" t="str">
            <v>N/A</v>
          </cell>
          <cell r="CG641" t="str">
            <v>N/A</v>
          </cell>
          <cell r="CH641" t="str">
            <v>N/A</v>
          </cell>
          <cell r="CI641" t="str">
            <v>N/A</v>
          </cell>
          <cell r="CJ641" t="str">
            <v>$2,000 / $4,000</v>
          </cell>
          <cell r="CK641">
            <v>0.8</v>
          </cell>
          <cell r="CL641" t="str">
            <v>$4,000 / $8,000</v>
          </cell>
          <cell r="CM641" t="str">
            <v>$0 / $0</v>
          </cell>
          <cell r="CN641">
            <v>0</v>
          </cell>
          <cell r="CO641" t="str">
            <v>$0 / $0</v>
          </cell>
          <cell r="CP641" t="str">
            <v>Emb</v>
          </cell>
          <cell r="CS641" t="str">
            <v>INS</v>
          </cell>
          <cell r="CT641" t="str">
            <v>Choice</v>
          </cell>
          <cell r="CU641">
            <v>0.69720000000000004</v>
          </cell>
          <cell r="CV641" t="str">
            <v>H9-HRA</v>
          </cell>
          <cell r="CW641" t="str">
            <v>CHRA14W</v>
          </cell>
          <cell r="CX641">
            <v>0.73860000000000003</v>
          </cell>
        </row>
        <row r="642">
          <cell r="CA642">
            <v>452</v>
          </cell>
          <cell r="CB642" t="str">
            <v>Choice HRA</v>
          </cell>
          <cell r="CC642" t="str">
            <v>N/A</v>
          </cell>
          <cell r="CD642" t="str">
            <v>N/A</v>
          </cell>
          <cell r="CE642" t="str">
            <v>N/A</v>
          </cell>
          <cell r="CF642" t="str">
            <v>N/A</v>
          </cell>
          <cell r="CG642" t="str">
            <v>N/A</v>
          </cell>
          <cell r="CH642" t="str">
            <v>N/A</v>
          </cell>
          <cell r="CI642" t="str">
            <v>N/A</v>
          </cell>
          <cell r="CJ642" t="str">
            <v>$2,500 / $5,000</v>
          </cell>
          <cell r="CK642">
            <v>0.8</v>
          </cell>
          <cell r="CL642" t="str">
            <v>$5,000 / $10,000</v>
          </cell>
          <cell r="CM642" t="str">
            <v>$0 / $0</v>
          </cell>
          <cell r="CN642">
            <v>0</v>
          </cell>
          <cell r="CO642" t="str">
            <v>$0 / $0</v>
          </cell>
          <cell r="CP642" t="str">
            <v>Emb</v>
          </cell>
          <cell r="CS642" t="str">
            <v>INS</v>
          </cell>
          <cell r="CT642" t="str">
            <v>Choice</v>
          </cell>
          <cell r="CU642">
            <v>0.64449999999999996</v>
          </cell>
          <cell r="CV642" t="str">
            <v>H9-HRA</v>
          </cell>
          <cell r="CW642" t="str">
            <v>CHRA14W</v>
          </cell>
          <cell r="CX642">
            <v>0.70230000000000004</v>
          </cell>
        </row>
        <row r="643">
          <cell r="CA643">
            <v>453</v>
          </cell>
          <cell r="CB643" t="str">
            <v>Choice HRA</v>
          </cell>
          <cell r="CC643" t="str">
            <v>N/A</v>
          </cell>
          <cell r="CD643" t="str">
            <v>N/A</v>
          </cell>
          <cell r="CE643" t="str">
            <v>N/A</v>
          </cell>
          <cell r="CF643" t="str">
            <v>N/A</v>
          </cell>
          <cell r="CG643" t="str">
            <v>N/A</v>
          </cell>
          <cell r="CH643" t="str">
            <v>N/A</v>
          </cell>
          <cell r="CI643" t="str">
            <v>N/A</v>
          </cell>
          <cell r="CJ643" t="str">
            <v>$3,000 / $6,000</v>
          </cell>
          <cell r="CK643">
            <v>0.9</v>
          </cell>
          <cell r="CL643" t="str">
            <v>$5,000 / $10,000</v>
          </cell>
          <cell r="CM643" t="str">
            <v>$0 / $0</v>
          </cell>
          <cell r="CN643">
            <v>0</v>
          </cell>
          <cell r="CO643" t="str">
            <v>$0 / $0</v>
          </cell>
          <cell r="CP643" t="str">
            <v>Emb</v>
          </cell>
          <cell r="CS643" t="str">
            <v>INS</v>
          </cell>
          <cell r="CT643" t="str">
            <v>Choice</v>
          </cell>
          <cell r="CU643">
            <v>0.63870000000000005</v>
          </cell>
          <cell r="CV643" t="str">
            <v>H9-HRA</v>
          </cell>
          <cell r="CW643" t="str">
            <v>CHRA14W</v>
          </cell>
          <cell r="CX643">
            <v>0.69389999999999996</v>
          </cell>
        </row>
        <row r="644">
          <cell r="CA644">
            <v>469</v>
          </cell>
          <cell r="CB644" t="str">
            <v>Choice HSA</v>
          </cell>
          <cell r="CC644" t="str">
            <v>N/A</v>
          </cell>
          <cell r="CD644" t="str">
            <v>N/A</v>
          </cell>
          <cell r="CE644" t="str">
            <v>N/A</v>
          </cell>
          <cell r="CF644" t="str">
            <v>N/A</v>
          </cell>
          <cell r="CG644" t="str">
            <v>N/A</v>
          </cell>
          <cell r="CH644" t="str">
            <v>N/A</v>
          </cell>
          <cell r="CI644" t="str">
            <v>N/A</v>
          </cell>
          <cell r="CJ644" t="str">
            <v>$5,000 / $10,000</v>
          </cell>
          <cell r="CK644">
            <v>0.7</v>
          </cell>
          <cell r="CL644" t="str">
            <v>$6,350 / $12,700</v>
          </cell>
          <cell r="CM644" t="str">
            <v>$0 / $0</v>
          </cell>
          <cell r="CN644">
            <v>0</v>
          </cell>
          <cell r="CO644" t="str">
            <v>$0 / $0</v>
          </cell>
          <cell r="CP644" t="str">
            <v>Emb</v>
          </cell>
          <cell r="CS644" t="str">
            <v>INS</v>
          </cell>
          <cell r="CT644" t="str">
            <v>Choice</v>
          </cell>
          <cell r="CU644">
            <v>0.54569999999999996</v>
          </cell>
          <cell r="CV644" t="str">
            <v>H9-HSA</v>
          </cell>
          <cell r="CW644" t="str">
            <v>CHSA14W</v>
          </cell>
          <cell r="CX644">
            <v>0.61019999999999996</v>
          </cell>
        </row>
        <row r="645">
          <cell r="CA645">
            <v>470</v>
          </cell>
          <cell r="CB645" t="str">
            <v>Choice HSA</v>
          </cell>
          <cell r="CC645" t="str">
            <v>N/A</v>
          </cell>
          <cell r="CD645" t="str">
            <v>N/A</v>
          </cell>
          <cell r="CE645" t="str">
            <v>N/A</v>
          </cell>
          <cell r="CF645" t="str">
            <v>N/A</v>
          </cell>
          <cell r="CG645" t="str">
            <v>N/A</v>
          </cell>
          <cell r="CH645" t="str">
            <v>N/A</v>
          </cell>
          <cell r="CI645" t="str">
            <v>N/A</v>
          </cell>
          <cell r="CJ645" t="str">
            <v>$5,500 / $11,000</v>
          </cell>
          <cell r="CK645">
            <v>0.7</v>
          </cell>
          <cell r="CL645" t="str">
            <v>$6,350 / $12,700</v>
          </cell>
          <cell r="CM645" t="str">
            <v>$0 / $0</v>
          </cell>
          <cell r="CN645">
            <v>0</v>
          </cell>
          <cell r="CO645" t="str">
            <v>$0 / $0</v>
          </cell>
          <cell r="CP645" t="str">
            <v>Emb</v>
          </cell>
          <cell r="CS645" t="str">
            <v>INS</v>
          </cell>
          <cell r="CT645" t="str">
            <v>Choice</v>
          </cell>
          <cell r="CU645">
            <v>0.54179999999999995</v>
          </cell>
          <cell r="CV645" t="str">
            <v>H9-HSA</v>
          </cell>
          <cell r="CW645" t="str">
            <v>CHSA14W</v>
          </cell>
          <cell r="CX645">
            <v>0.60470000000000002</v>
          </cell>
        </row>
        <row r="646">
          <cell r="CA646">
            <v>471</v>
          </cell>
          <cell r="CB646" t="str">
            <v>Choice HSA</v>
          </cell>
          <cell r="CC646" t="str">
            <v>N/A</v>
          </cell>
          <cell r="CD646" t="str">
            <v>N/A</v>
          </cell>
          <cell r="CE646" t="str">
            <v>N/A</v>
          </cell>
          <cell r="CF646" t="str">
            <v>N/A</v>
          </cell>
          <cell r="CG646" t="str">
            <v>N/A</v>
          </cell>
          <cell r="CH646" t="str">
            <v>N/A</v>
          </cell>
          <cell r="CI646" t="str">
            <v>N/A</v>
          </cell>
          <cell r="CJ646" t="str">
            <v>$6,000 / $12,000</v>
          </cell>
          <cell r="CK646">
            <v>0.65</v>
          </cell>
          <cell r="CL646" t="str">
            <v>$6,350 / $12,700</v>
          </cell>
          <cell r="CM646" t="str">
            <v>$0 / $0</v>
          </cell>
          <cell r="CN646">
            <v>0</v>
          </cell>
          <cell r="CO646" t="str">
            <v>$0 / $0</v>
          </cell>
          <cell r="CP646" t="str">
            <v>Emb</v>
          </cell>
          <cell r="CS646" t="str">
            <v>INS</v>
          </cell>
          <cell r="CT646" t="str">
            <v>Choice</v>
          </cell>
          <cell r="CU646">
            <v>0.53949999999999998</v>
          </cell>
          <cell r="CV646" t="str">
            <v>H9-HSA</v>
          </cell>
          <cell r="CW646" t="str">
            <v>CHSA14W</v>
          </cell>
          <cell r="CX646">
            <v>0.60109999999999997</v>
          </cell>
        </row>
        <row r="647">
          <cell r="CA647">
            <v>472</v>
          </cell>
          <cell r="CB647" t="str">
            <v>Choice HSA</v>
          </cell>
          <cell r="CC647" t="str">
            <v>N/A</v>
          </cell>
          <cell r="CD647" t="str">
            <v>N/A</v>
          </cell>
          <cell r="CE647" t="str">
            <v>N/A</v>
          </cell>
          <cell r="CF647" t="str">
            <v>N/A</v>
          </cell>
          <cell r="CG647" t="str">
            <v>N/A</v>
          </cell>
          <cell r="CH647" t="str">
            <v>N/A</v>
          </cell>
          <cell r="CI647" t="str">
            <v>N/A</v>
          </cell>
          <cell r="CJ647" t="str">
            <v>$6,250 / $12,500</v>
          </cell>
          <cell r="CK647">
            <v>0.6</v>
          </cell>
          <cell r="CL647" t="str">
            <v>$6,350 / $12,700</v>
          </cell>
          <cell r="CM647" t="str">
            <v>$0 / $0</v>
          </cell>
          <cell r="CN647">
            <v>0</v>
          </cell>
          <cell r="CO647" t="str">
            <v>$0 / $0</v>
          </cell>
          <cell r="CP647" t="str">
            <v>Emb</v>
          </cell>
          <cell r="CS647" t="str">
            <v>INS</v>
          </cell>
          <cell r="CT647" t="str">
            <v>Choice</v>
          </cell>
          <cell r="CU647">
            <v>0.53920000000000001</v>
          </cell>
          <cell r="CV647" t="str">
            <v>H9-HSA</v>
          </cell>
          <cell r="CW647" t="str">
            <v>CHSA14W</v>
          </cell>
          <cell r="CX647">
            <v>0.60050000000000003</v>
          </cell>
        </row>
        <row r="648">
          <cell r="CA648" t="str">
            <v>AOPI</v>
          </cell>
          <cell r="CB648" t="str">
            <v>Choice</v>
          </cell>
          <cell r="CC648">
            <v>0.01</v>
          </cell>
          <cell r="CD648">
            <v>100</v>
          </cell>
          <cell r="CE648" t="str">
            <v>N/A</v>
          </cell>
          <cell r="CF648" t="str">
            <v>N/A</v>
          </cell>
          <cell r="CG648">
            <v>50</v>
          </cell>
          <cell r="CH648" t="str">
            <v>N/A</v>
          </cell>
          <cell r="CI648" t="str">
            <v>N/A</v>
          </cell>
          <cell r="CJ648" t="str">
            <v>$2,000 / $4,000</v>
          </cell>
          <cell r="CK648">
            <v>0.8</v>
          </cell>
          <cell r="CL648" t="str">
            <v>$6,500 / $13,000</v>
          </cell>
          <cell r="CM648" t="str">
            <v>N/A</v>
          </cell>
          <cell r="CN648" t="str">
            <v>N/A</v>
          </cell>
          <cell r="CO648" t="str">
            <v>N/A</v>
          </cell>
          <cell r="CP648" t="str">
            <v>Emb</v>
          </cell>
          <cell r="CS648" t="str">
            <v>INS</v>
          </cell>
          <cell r="CT648" t="str">
            <v>Choice</v>
          </cell>
          <cell r="CU648">
            <v>0.61570000000000003</v>
          </cell>
          <cell r="CW648" t="str">
            <v>C17W</v>
          </cell>
          <cell r="CX648">
            <v>0.79359999999999997</v>
          </cell>
        </row>
        <row r="649">
          <cell r="CA649" t="str">
            <v>AOPJ</v>
          </cell>
          <cell r="CB649" t="str">
            <v>Choice</v>
          </cell>
          <cell r="CC649">
            <v>0.01</v>
          </cell>
          <cell r="CD649">
            <v>100</v>
          </cell>
          <cell r="CE649" t="str">
            <v>N/A</v>
          </cell>
          <cell r="CF649" t="str">
            <v>N/A</v>
          </cell>
          <cell r="CG649">
            <v>50</v>
          </cell>
          <cell r="CH649" t="str">
            <v>N/A</v>
          </cell>
          <cell r="CI649" t="str">
            <v>N/A</v>
          </cell>
          <cell r="CJ649" t="str">
            <v>$2,500 / $5,000</v>
          </cell>
          <cell r="CK649">
            <v>0.8</v>
          </cell>
          <cell r="CL649" t="str">
            <v>$6,500 / $13,000</v>
          </cell>
          <cell r="CM649" t="str">
            <v>N/A</v>
          </cell>
          <cell r="CN649" t="str">
            <v>N/A</v>
          </cell>
          <cell r="CO649" t="str">
            <v>N/A</v>
          </cell>
          <cell r="CP649" t="str">
            <v>Emb</v>
          </cell>
          <cell r="CS649" t="str">
            <v>INS</v>
          </cell>
          <cell r="CT649" t="str">
            <v>Choice</v>
          </cell>
          <cell r="CU649">
            <v>0.60040000000000004</v>
          </cell>
          <cell r="CW649" t="str">
            <v>C17W</v>
          </cell>
          <cell r="CX649">
            <v>0.78569999999999995</v>
          </cell>
        </row>
        <row r="650">
          <cell r="CA650" t="str">
            <v>AOPK</v>
          </cell>
          <cell r="CB650" t="str">
            <v>Choice</v>
          </cell>
          <cell r="CC650">
            <v>0.01</v>
          </cell>
          <cell r="CD650">
            <v>100</v>
          </cell>
          <cell r="CE650" t="str">
            <v>N/A</v>
          </cell>
          <cell r="CF650" t="str">
            <v>N/A</v>
          </cell>
          <cell r="CG650">
            <v>50</v>
          </cell>
          <cell r="CH650" t="str">
            <v>N/A</v>
          </cell>
          <cell r="CI650" t="str">
            <v>N/A</v>
          </cell>
          <cell r="CJ650" t="str">
            <v>$3,000 / $6,000</v>
          </cell>
          <cell r="CK650">
            <v>0.8</v>
          </cell>
          <cell r="CL650" t="str">
            <v>$6,500 / $13,000</v>
          </cell>
          <cell r="CM650" t="str">
            <v>N/A</v>
          </cell>
          <cell r="CN650" t="str">
            <v>N/A</v>
          </cell>
          <cell r="CO650" t="str">
            <v>N/A</v>
          </cell>
          <cell r="CP650" t="str">
            <v>Emb</v>
          </cell>
          <cell r="CS650" t="str">
            <v>INS</v>
          </cell>
          <cell r="CT650" t="str">
            <v>Choice</v>
          </cell>
          <cell r="CU650">
            <v>0.58799999999999997</v>
          </cell>
          <cell r="CW650" t="str">
            <v>C17W</v>
          </cell>
          <cell r="CX650">
            <v>0.77969999999999995</v>
          </cell>
        </row>
        <row r="651">
          <cell r="CA651" t="str">
            <v>AOPL</v>
          </cell>
          <cell r="CB651" t="str">
            <v>Choice</v>
          </cell>
          <cell r="CC651">
            <v>0.01</v>
          </cell>
          <cell r="CD651">
            <v>100</v>
          </cell>
          <cell r="CE651" t="str">
            <v>N/A</v>
          </cell>
          <cell r="CF651" t="str">
            <v>N/A</v>
          </cell>
          <cell r="CG651">
            <v>50</v>
          </cell>
          <cell r="CH651" t="str">
            <v>N/A</v>
          </cell>
          <cell r="CI651" t="str">
            <v>N/A</v>
          </cell>
          <cell r="CJ651" t="str">
            <v>$4,000 / $8,000</v>
          </cell>
          <cell r="CK651">
            <v>0.8</v>
          </cell>
          <cell r="CL651" t="str">
            <v>$6,500 / $13,000</v>
          </cell>
          <cell r="CM651" t="str">
            <v>N/A</v>
          </cell>
          <cell r="CN651" t="str">
            <v>N/A</v>
          </cell>
          <cell r="CO651" t="str">
            <v>N/A</v>
          </cell>
          <cell r="CP651" t="str">
            <v>Emb</v>
          </cell>
          <cell r="CS651" t="str">
            <v>INS</v>
          </cell>
          <cell r="CT651" t="str">
            <v>Choice</v>
          </cell>
          <cell r="CU651">
            <v>0.57010000000000005</v>
          </cell>
          <cell r="CW651" t="str">
            <v>C17W</v>
          </cell>
          <cell r="CX651">
            <v>0.77239999999999998</v>
          </cell>
        </row>
        <row r="652">
          <cell r="CA652" t="str">
            <v>AOPM</v>
          </cell>
          <cell r="CB652" t="str">
            <v>Choice</v>
          </cell>
          <cell r="CC652">
            <v>0.01</v>
          </cell>
          <cell r="CD652">
            <v>100</v>
          </cell>
          <cell r="CE652" t="str">
            <v>N/A</v>
          </cell>
          <cell r="CF652" t="str">
            <v>N/A</v>
          </cell>
          <cell r="CG652">
            <v>50</v>
          </cell>
          <cell r="CH652" t="str">
            <v>N/A</v>
          </cell>
          <cell r="CI652" t="str">
            <v>N/A</v>
          </cell>
          <cell r="CJ652" t="str">
            <v>$5,000 / $1,0000</v>
          </cell>
          <cell r="CK652">
            <v>0.8</v>
          </cell>
          <cell r="CL652" t="str">
            <v>$6,500 / $13,000</v>
          </cell>
          <cell r="CM652" t="str">
            <v>N/A</v>
          </cell>
          <cell r="CN652" t="str">
            <v>N/A</v>
          </cell>
          <cell r="CO652" t="str">
            <v>N/A</v>
          </cell>
          <cell r="CP652" t="str">
            <v>Emb</v>
          </cell>
          <cell r="CS652" t="str">
            <v>INS</v>
          </cell>
          <cell r="CT652" t="str">
            <v>Choice</v>
          </cell>
          <cell r="CU652">
            <v>0.56069999999999998</v>
          </cell>
          <cell r="CW652" t="str">
            <v>C17W</v>
          </cell>
          <cell r="CX652">
            <v>0.77029999999999998</v>
          </cell>
        </row>
        <row r="657">
          <cell r="CA657" t="str">
            <v>1287A</v>
          </cell>
          <cell r="CB657" t="str">
            <v>Choice Plus</v>
          </cell>
          <cell r="CC657">
            <v>15</v>
          </cell>
          <cell r="CD657">
            <v>25</v>
          </cell>
          <cell r="CE657">
            <v>0</v>
          </cell>
          <cell r="CF657">
            <v>0</v>
          </cell>
          <cell r="CG657">
            <v>50</v>
          </cell>
          <cell r="CH657">
            <v>150</v>
          </cell>
          <cell r="CI657">
            <v>0</v>
          </cell>
          <cell r="CJ657" t="str">
            <v>$0 / $0</v>
          </cell>
          <cell r="CK657">
            <v>1</v>
          </cell>
          <cell r="CL657" t="str">
            <v>$2,500 / $5,000</v>
          </cell>
          <cell r="CM657" t="str">
            <v>$1,000 / $2,000</v>
          </cell>
          <cell r="CN657">
            <v>0.8</v>
          </cell>
          <cell r="CO657" t="str">
            <v>$5,000 / $10,000</v>
          </cell>
          <cell r="CP657" t="str">
            <v>Emb</v>
          </cell>
          <cell r="CS657" t="str">
            <v>INS</v>
          </cell>
          <cell r="CT657" t="str">
            <v>Choice +</v>
          </cell>
          <cell r="CU657">
            <v>0.94199999999999995</v>
          </cell>
          <cell r="CW657" t="str">
            <v>CP14W</v>
          </cell>
          <cell r="CX657">
            <v>0.72950000000000004</v>
          </cell>
        </row>
        <row r="658">
          <cell r="CA658" t="str">
            <v>1289A</v>
          </cell>
          <cell r="CB658" t="str">
            <v>Choice Plus</v>
          </cell>
          <cell r="CC658">
            <v>20</v>
          </cell>
          <cell r="CD658">
            <v>30</v>
          </cell>
          <cell r="CE658">
            <v>0</v>
          </cell>
          <cell r="CF658">
            <v>0</v>
          </cell>
          <cell r="CG658">
            <v>50</v>
          </cell>
          <cell r="CH658">
            <v>150</v>
          </cell>
          <cell r="CI658">
            <v>0</v>
          </cell>
          <cell r="CJ658" t="str">
            <v>$0 / $0</v>
          </cell>
          <cell r="CK658">
            <v>1</v>
          </cell>
          <cell r="CL658" t="str">
            <v>$2,500 / $5,000</v>
          </cell>
          <cell r="CM658" t="str">
            <v>$1,500 / $3,000</v>
          </cell>
          <cell r="CN658">
            <v>0.8</v>
          </cell>
          <cell r="CO658" t="str">
            <v>$5,000 / $10,000</v>
          </cell>
          <cell r="CP658" t="str">
            <v>Emb</v>
          </cell>
          <cell r="CS658" t="str">
            <v>INS</v>
          </cell>
          <cell r="CT658" t="str">
            <v>Choice +</v>
          </cell>
          <cell r="CU658">
            <v>0.93240000000000001</v>
          </cell>
          <cell r="CW658" t="str">
            <v>CP14W</v>
          </cell>
          <cell r="CX658">
            <v>0.72270000000000001</v>
          </cell>
        </row>
        <row r="659">
          <cell r="CA659" t="str">
            <v>1309A</v>
          </cell>
          <cell r="CB659" t="str">
            <v>Choice Plus</v>
          </cell>
          <cell r="CC659">
            <v>20</v>
          </cell>
          <cell r="CD659">
            <v>40</v>
          </cell>
          <cell r="CE659" t="str">
            <v>N/A</v>
          </cell>
          <cell r="CF659" t="str">
            <v>N/A</v>
          </cell>
          <cell r="CG659">
            <v>50</v>
          </cell>
          <cell r="CH659">
            <v>100</v>
          </cell>
          <cell r="CI659" t="str">
            <v>N/A</v>
          </cell>
          <cell r="CJ659" t="str">
            <v>$500 / $1,000</v>
          </cell>
          <cell r="CK659">
            <v>0.8</v>
          </cell>
          <cell r="CL659" t="str">
            <v>$4,500 / $9,000</v>
          </cell>
          <cell r="CM659" t="str">
            <v>$1,000 / $2,000</v>
          </cell>
          <cell r="CN659">
            <v>0.6</v>
          </cell>
          <cell r="CO659" t="str">
            <v>$9,000 / $18,000</v>
          </cell>
          <cell r="CP659" t="str">
            <v>Emb</v>
          </cell>
          <cell r="CS659" t="str">
            <v>INS</v>
          </cell>
          <cell r="CT659" t="str">
            <v>Choice +</v>
          </cell>
          <cell r="CU659">
            <v>0.76849999999999996</v>
          </cell>
          <cell r="CW659" t="str">
            <v>CP14W</v>
          </cell>
          <cell r="CX659">
            <v>0.64910000000000001</v>
          </cell>
        </row>
        <row r="660">
          <cell r="CA660" t="str">
            <v>1311A</v>
          </cell>
          <cell r="CB660" t="str">
            <v>Choice Plus</v>
          </cell>
          <cell r="CC660">
            <v>20</v>
          </cell>
          <cell r="CD660">
            <v>30</v>
          </cell>
          <cell r="CE660" t="str">
            <v>N/A</v>
          </cell>
          <cell r="CF660" t="str">
            <v>$500 POD</v>
          </cell>
          <cell r="CG660">
            <v>125</v>
          </cell>
          <cell r="CH660">
            <v>250</v>
          </cell>
          <cell r="CI660" t="str">
            <v>N/A</v>
          </cell>
          <cell r="CJ660" t="str">
            <v>$250 / $500</v>
          </cell>
          <cell r="CK660">
            <v>0.7</v>
          </cell>
          <cell r="CL660" t="str">
            <v>$3,500 / $7,000</v>
          </cell>
          <cell r="CM660" t="str">
            <v>$500 / $1,000</v>
          </cell>
          <cell r="CN660">
            <v>0.5</v>
          </cell>
          <cell r="CO660" t="str">
            <v>$7,000 / $14,000</v>
          </cell>
          <cell r="CP660" t="str">
            <v>Emb</v>
          </cell>
          <cell r="CS660" t="str">
            <v>INS</v>
          </cell>
          <cell r="CT660" t="str">
            <v>Choice +</v>
          </cell>
          <cell r="CU660">
            <v>0.77490000000000003</v>
          </cell>
          <cell r="CW660" t="str">
            <v>CP14W</v>
          </cell>
          <cell r="CX660">
            <v>0.66169999999999995</v>
          </cell>
        </row>
        <row r="661">
          <cell r="CA661" t="str">
            <v>1317A</v>
          </cell>
          <cell r="CB661" t="str">
            <v>Choice Plus</v>
          </cell>
          <cell r="CC661">
            <v>20</v>
          </cell>
          <cell r="CD661">
            <v>40</v>
          </cell>
          <cell r="CE661" t="str">
            <v>N/A</v>
          </cell>
          <cell r="CF661" t="str">
            <v>N/A</v>
          </cell>
          <cell r="CG661">
            <v>125</v>
          </cell>
          <cell r="CH661">
            <v>250</v>
          </cell>
          <cell r="CI661" t="str">
            <v>N/A</v>
          </cell>
          <cell r="CJ661" t="str">
            <v>$1,000 / $2,000</v>
          </cell>
          <cell r="CK661">
            <v>0.9</v>
          </cell>
          <cell r="CL661" t="str">
            <v>$3,000 / $6,000</v>
          </cell>
          <cell r="CM661" t="str">
            <v>$2,000 / $4,000</v>
          </cell>
          <cell r="CN661">
            <v>0.7</v>
          </cell>
          <cell r="CO661" t="str">
            <v>$6,000 / $12,000</v>
          </cell>
          <cell r="CP661" t="str">
            <v>Emb</v>
          </cell>
          <cell r="CS661" t="str">
            <v>INS</v>
          </cell>
          <cell r="CT661" t="str">
            <v>Choice +</v>
          </cell>
          <cell r="CU661">
            <v>0.78500000000000003</v>
          </cell>
          <cell r="CW661" t="str">
            <v>CP14W</v>
          </cell>
          <cell r="CX661">
            <v>0.64190000000000003</v>
          </cell>
        </row>
        <row r="662">
          <cell r="CA662" t="str">
            <v>1320A</v>
          </cell>
          <cell r="CB662" t="str">
            <v>Choice Plus</v>
          </cell>
          <cell r="CC662">
            <v>25</v>
          </cell>
          <cell r="CD662">
            <v>35</v>
          </cell>
          <cell r="CE662" t="str">
            <v>N/A</v>
          </cell>
          <cell r="CF662" t="str">
            <v>N/A</v>
          </cell>
          <cell r="CG662">
            <v>125</v>
          </cell>
          <cell r="CH662">
            <v>250</v>
          </cell>
          <cell r="CI662" t="str">
            <v>N/A</v>
          </cell>
          <cell r="CJ662" t="str">
            <v>$1,000 / $2,000</v>
          </cell>
          <cell r="CK662">
            <v>0.8</v>
          </cell>
          <cell r="CL662" t="str">
            <v>$3,000 / $6,000</v>
          </cell>
          <cell r="CM662" t="str">
            <v>$2,000 / $4,000</v>
          </cell>
          <cell r="CN662">
            <v>0.6</v>
          </cell>
          <cell r="CO662" t="str">
            <v>$3,000 / $6,000</v>
          </cell>
          <cell r="CP662" t="str">
            <v>Emb</v>
          </cell>
          <cell r="CS662" t="str">
            <v>INS</v>
          </cell>
          <cell r="CT662" t="str">
            <v>Choice +</v>
          </cell>
          <cell r="CU662">
            <v>0.76910000000000001</v>
          </cell>
          <cell r="CW662" t="str">
            <v>CP14W</v>
          </cell>
          <cell r="CX662">
            <v>0.64290000000000003</v>
          </cell>
        </row>
        <row r="663">
          <cell r="CA663" t="str">
            <v>1323A</v>
          </cell>
          <cell r="CB663" t="str">
            <v>Choice Plus</v>
          </cell>
          <cell r="CC663">
            <v>30</v>
          </cell>
          <cell r="CD663">
            <v>50</v>
          </cell>
          <cell r="CE663" t="str">
            <v>N/A</v>
          </cell>
          <cell r="CF663" t="str">
            <v>N/A</v>
          </cell>
          <cell r="CG663">
            <v>125</v>
          </cell>
          <cell r="CH663">
            <v>250</v>
          </cell>
          <cell r="CI663" t="str">
            <v>N/A</v>
          </cell>
          <cell r="CJ663" t="str">
            <v>$1,000 / $2,000</v>
          </cell>
          <cell r="CK663">
            <v>0.8</v>
          </cell>
          <cell r="CL663" t="str">
            <v>$3,000 / $6,000</v>
          </cell>
          <cell r="CM663" t="str">
            <v>$2,000 / $4,000</v>
          </cell>
          <cell r="CN663">
            <v>0.6</v>
          </cell>
          <cell r="CO663" t="str">
            <v>$6,000 / $12,000</v>
          </cell>
          <cell r="CP663" t="str">
            <v>Emb</v>
          </cell>
          <cell r="CS663" t="str">
            <v>INS</v>
          </cell>
          <cell r="CT663" t="str">
            <v>Choice +</v>
          </cell>
          <cell r="CU663">
            <v>0.75700000000000001</v>
          </cell>
          <cell r="CW663" t="str">
            <v>CP14W</v>
          </cell>
          <cell r="CX663">
            <v>0.63070000000000004</v>
          </cell>
        </row>
        <row r="664">
          <cell r="CA664" t="str">
            <v>1326A</v>
          </cell>
          <cell r="CB664" t="str">
            <v>Choice Plus</v>
          </cell>
          <cell r="CC664">
            <v>25</v>
          </cell>
          <cell r="CD664">
            <v>40</v>
          </cell>
          <cell r="CE664" t="str">
            <v>N/A</v>
          </cell>
          <cell r="CF664" t="str">
            <v>N/A</v>
          </cell>
          <cell r="CG664">
            <v>125</v>
          </cell>
          <cell r="CH664">
            <v>250</v>
          </cell>
          <cell r="CI664" t="str">
            <v>N/A</v>
          </cell>
          <cell r="CJ664" t="str">
            <v>$2,000 / $4,000</v>
          </cell>
          <cell r="CK664">
            <v>0.8</v>
          </cell>
          <cell r="CL664" t="str">
            <v>$5,000 / $10,000</v>
          </cell>
          <cell r="CM664" t="str">
            <v>$4,000 / $8,000</v>
          </cell>
          <cell r="CN664">
            <v>0.5</v>
          </cell>
          <cell r="CO664" t="str">
            <v>$10,000 / $20,000</v>
          </cell>
          <cell r="CP664" t="str">
            <v>Emb</v>
          </cell>
          <cell r="CS664" t="str">
            <v>INS</v>
          </cell>
          <cell r="CT664" t="str">
            <v>Choice +</v>
          </cell>
          <cell r="CU664">
            <v>0.69479999999999997</v>
          </cell>
          <cell r="CW664" t="str">
            <v>CP14W</v>
          </cell>
          <cell r="CX664">
            <v>0.60170000000000001</v>
          </cell>
        </row>
        <row r="665">
          <cell r="CA665" t="str">
            <v>1327A</v>
          </cell>
          <cell r="CB665" t="str">
            <v>Choice Plus</v>
          </cell>
          <cell r="CC665">
            <v>20</v>
          </cell>
          <cell r="CD665">
            <v>40</v>
          </cell>
          <cell r="CE665" t="str">
            <v>N/A</v>
          </cell>
          <cell r="CF665" t="str">
            <v>N/A</v>
          </cell>
          <cell r="CG665">
            <v>125</v>
          </cell>
          <cell r="CH665">
            <v>250</v>
          </cell>
          <cell r="CI665" t="str">
            <v>N/A</v>
          </cell>
          <cell r="CJ665" t="str">
            <v>$2,500 / $5,000</v>
          </cell>
          <cell r="CK665">
            <v>0.8</v>
          </cell>
          <cell r="CL665" t="str">
            <v>$5,000 / $10,000</v>
          </cell>
          <cell r="CM665" t="str">
            <v>$4,500 / $9,000</v>
          </cell>
          <cell r="CN665">
            <v>0.5</v>
          </cell>
          <cell r="CO665" t="str">
            <v>$10,000 / $20,000</v>
          </cell>
          <cell r="CP665" t="str">
            <v>Emb</v>
          </cell>
          <cell r="CS665" t="str">
            <v>INS</v>
          </cell>
          <cell r="CT665" t="str">
            <v>Choice +</v>
          </cell>
          <cell r="CU665">
            <v>0.68759999999999999</v>
          </cell>
          <cell r="CW665" t="str">
            <v>CP14W</v>
          </cell>
          <cell r="CX665">
            <v>0.59850000000000003</v>
          </cell>
        </row>
        <row r="666">
          <cell r="CA666" t="str">
            <v>1328A</v>
          </cell>
          <cell r="CB666" t="str">
            <v>Choice Plus</v>
          </cell>
          <cell r="CC666">
            <v>25</v>
          </cell>
          <cell r="CD666">
            <v>50</v>
          </cell>
          <cell r="CE666" t="str">
            <v>N/A</v>
          </cell>
          <cell r="CF666" t="str">
            <v>N/A</v>
          </cell>
          <cell r="CG666">
            <v>125</v>
          </cell>
          <cell r="CH666">
            <v>250</v>
          </cell>
          <cell r="CI666" t="str">
            <v>N/A</v>
          </cell>
          <cell r="CJ666" t="str">
            <v>$3,000 / $6,000</v>
          </cell>
          <cell r="CK666">
            <v>0.7</v>
          </cell>
          <cell r="CL666" t="str">
            <v>$5,000 / $10,000</v>
          </cell>
          <cell r="CM666" t="str">
            <v>$6,000 / $12,000</v>
          </cell>
          <cell r="CN666">
            <v>0.5</v>
          </cell>
          <cell r="CO666" t="str">
            <v>$10,000 / $20,000</v>
          </cell>
          <cell r="CP666" t="str">
            <v>Emb</v>
          </cell>
          <cell r="CS666" t="str">
            <v>INS</v>
          </cell>
          <cell r="CT666" t="str">
            <v>Choice +</v>
          </cell>
          <cell r="CU666">
            <v>0.67059999999999997</v>
          </cell>
          <cell r="CW666" t="str">
            <v>CP14W</v>
          </cell>
          <cell r="CX666">
            <v>0.58740000000000003</v>
          </cell>
        </row>
        <row r="667">
          <cell r="CA667">
            <v>473</v>
          </cell>
          <cell r="CB667" t="str">
            <v>Choice Plus</v>
          </cell>
          <cell r="CC667">
            <v>10</v>
          </cell>
          <cell r="CD667">
            <v>10</v>
          </cell>
          <cell r="CE667">
            <v>0</v>
          </cell>
          <cell r="CF667">
            <v>0</v>
          </cell>
          <cell r="CG667">
            <v>35</v>
          </cell>
          <cell r="CH667">
            <v>75</v>
          </cell>
          <cell r="CI667">
            <v>0</v>
          </cell>
          <cell r="CJ667" t="str">
            <v>$0 / $0</v>
          </cell>
          <cell r="CK667">
            <v>1</v>
          </cell>
          <cell r="CL667" t="str">
            <v>$2,000 / $4,000</v>
          </cell>
          <cell r="CM667" t="str">
            <v>$300 / $600</v>
          </cell>
          <cell r="CN667">
            <v>0.8</v>
          </cell>
          <cell r="CO667" t="str">
            <v>$2,000 / $4,000</v>
          </cell>
          <cell r="CP667" t="str">
            <v>Emb</v>
          </cell>
          <cell r="CS667" t="str">
            <v>INS</v>
          </cell>
          <cell r="CT667" t="str">
            <v>Choice +</v>
          </cell>
          <cell r="CU667">
            <v>0.96879999999999999</v>
          </cell>
          <cell r="CW667" t="str">
            <v>CP14W</v>
          </cell>
          <cell r="CX667">
            <v>0.747</v>
          </cell>
        </row>
        <row r="668">
          <cell r="CA668">
            <v>474</v>
          </cell>
          <cell r="CB668" t="str">
            <v>Choice Plus</v>
          </cell>
          <cell r="CC668">
            <v>15</v>
          </cell>
          <cell r="CD668">
            <v>15</v>
          </cell>
          <cell r="CE668">
            <v>0</v>
          </cell>
          <cell r="CF668">
            <v>250</v>
          </cell>
          <cell r="CG668">
            <v>35</v>
          </cell>
          <cell r="CH668">
            <v>75</v>
          </cell>
          <cell r="CI668">
            <v>0</v>
          </cell>
          <cell r="CJ668" t="str">
            <v>$0 / $0</v>
          </cell>
          <cell r="CK668">
            <v>1</v>
          </cell>
          <cell r="CL668" t="str">
            <v>$2,500 / $5,000</v>
          </cell>
          <cell r="CM668" t="str">
            <v>$2,000 / $4,000</v>
          </cell>
          <cell r="CN668">
            <v>0.7</v>
          </cell>
          <cell r="CO668" t="str">
            <v>$6,000 / $12,000</v>
          </cell>
          <cell r="CP668" t="str">
            <v>Emb</v>
          </cell>
          <cell r="CS668" t="str">
            <v>INS</v>
          </cell>
          <cell r="CT668" t="str">
            <v>Choice +</v>
          </cell>
          <cell r="CU668">
            <v>0.94899999999999995</v>
          </cell>
          <cell r="CW668" t="str">
            <v>CP14W</v>
          </cell>
          <cell r="CX668">
            <v>0.73750000000000004</v>
          </cell>
        </row>
        <row r="669">
          <cell r="CA669">
            <v>476</v>
          </cell>
          <cell r="CB669" t="str">
            <v>Choice Plus</v>
          </cell>
          <cell r="CC669">
            <v>20</v>
          </cell>
          <cell r="CD669">
            <v>20</v>
          </cell>
          <cell r="CE669">
            <v>0</v>
          </cell>
          <cell r="CF669">
            <v>250</v>
          </cell>
          <cell r="CG669">
            <v>50</v>
          </cell>
          <cell r="CH669">
            <v>100</v>
          </cell>
          <cell r="CI669">
            <v>0</v>
          </cell>
          <cell r="CJ669" t="str">
            <v>$0 / $0</v>
          </cell>
          <cell r="CK669">
            <v>1</v>
          </cell>
          <cell r="CL669" t="str">
            <v>$2,500 / $5,000</v>
          </cell>
          <cell r="CM669" t="str">
            <v>$2,500 / $5,000</v>
          </cell>
          <cell r="CN669">
            <v>0.8</v>
          </cell>
          <cell r="CO669" t="str">
            <v>$7,500 / $15,000</v>
          </cell>
          <cell r="CP669" t="str">
            <v>Emb</v>
          </cell>
          <cell r="CS669" t="str">
            <v>INS</v>
          </cell>
          <cell r="CT669" t="str">
            <v>Choice +</v>
          </cell>
          <cell r="CU669">
            <v>0.93759999999999999</v>
          </cell>
          <cell r="CW669" t="str">
            <v>CP14W</v>
          </cell>
          <cell r="CX669">
            <v>0.7298</v>
          </cell>
        </row>
        <row r="670">
          <cell r="CA670">
            <v>478</v>
          </cell>
          <cell r="CB670" t="str">
            <v>Choice Plus</v>
          </cell>
          <cell r="CC670">
            <v>15</v>
          </cell>
          <cell r="CD670">
            <v>15</v>
          </cell>
          <cell r="CE670">
            <v>0</v>
          </cell>
          <cell r="CF670">
            <v>0</v>
          </cell>
          <cell r="CG670">
            <v>50</v>
          </cell>
          <cell r="CH670">
            <v>100</v>
          </cell>
          <cell r="CI670">
            <v>0</v>
          </cell>
          <cell r="CJ670" t="str">
            <v>$0 / $0</v>
          </cell>
          <cell r="CK670">
            <v>0.9</v>
          </cell>
          <cell r="CL670" t="str">
            <v>$2,000 / $4,000</v>
          </cell>
          <cell r="CM670" t="str">
            <v>$1,500 / $3,000</v>
          </cell>
          <cell r="CN670">
            <v>0.5</v>
          </cell>
          <cell r="CO670" t="str">
            <v>$6,500 / $13,000</v>
          </cell>
          <cell r="CP670" t="str">
            <v>Emb</v>
          </cell>
          <cell r="CS670" t="str">
            <v>INS</v>
          </cell>
          <cell r="CT670" t="str">
            <v>Choice +</v>
          </cell>
          <cell r="CU670">
            <v>0.90269999999999995</v>
          </cell>
          <cell r="CW670" t="str">
            <v>CP14W</v>
          </cell>
          <cell r="CX670">
            <v>0.73319999999999996</v>
          </cell>
        </row>
        <row r="671">
          <cell r="CA671">
            <v>479</v>
          </cell>
          <cell r="CB671" t="str">
            <v>Choice Plus</v>
          </cell>
          <cell r="CC671">
            <v>15</v>
          </cell>
          <cell r="CD671">
            <v>15</v>
          </cell>
          <cell r="CE671" t="str">
            <v>N/A</v>
          </cell>
          <cell r="CF671" t="str">
            <v>N/A</v>
          </cell>
          <cell r="CG671">
            <v>35</v>
          </cell>
          <cell r="CH671">
            <v>100</v>
          </cell>
          <cell r="CI671" t="str">
            <v>N/A</v>
          </cell>
          <cell r="CJ671" t="str">
            <v>$250 / $500</v>
          </cell>
          <cell r="CK671">
            <v>1</v>
          </cell>
          <cell r="CL671" t="str">
            <v>$250 / $500</v>
          </cell>
          <cell r="CM671" t="str">
            <v>$500 / $1,000</v>
          </cell>
          <cell r="CN671">
            <v>0.8</v>
          </cell>
          <cell r="CO671" t="str">
            <v>$3,000 / $6,000</v>
          </cell>
          <cell r="CP671" t="str">
            <v>Emb</v>
          </cell>
          <cell r="CS671" t="str">
            <v>INS</v>
          </cell>
          <cell r="CT671" t="str">
            <v>Choice +</v>
          </cell>
          <cell r="CU671">
            <v>1.0133000000000001</v>
          </cell>
          <cell r="CW671" t="str">
            <v>CP14W</v>
          </cell>
          <cell r="CX671">
            <v>0.71430000000000005</v>
          </cell>
        </row>
        <row r="672">
          <cell r="CA672">
            <v>480</v>
          </cell>
          <cell r="CB672" t="str">
            <v>Choice Plus</v>
          </cell>
          <cell r="CC672">
            <v>10</v>
          </cell>
          <cell r="CD672">
            <v>10</v>
          </cell>
          <cell r="CE672" t="str">
            <v>N/A</v>
          </cell>
          <cell r="CF672" t="str">
            <v>N/A</v>
          </cell>
          <cell r="CG672">
            <v>50</v>
          </cell>
          <cell r="CH672">
            <v>100</v>
          </cell>
          <cell r="CI672" t="str">
            <v>N/A</v>
          </cell>
          <cell r="CJ672" t="str">
            <v>$250 / $500</v>
          </cell>
          <cell r="CK672">
            <v>0.9</v>
          </cell>
          <cell r="CL672" t="str">
            <v>$1,250 / $2,500</v>
          </cell>
          <cell r="CM672" t="str">
            <v>$500 / $1,000</v>
          </cell>
          <cell r="CN672">
            <v>0.7</v>
          </cell>
          <cell r="CO672" t="str">
            <v>$2,500 / $5,000</v>
          </cell>
          <cell r="CP672" t="str">
            <v>Emb</v>
          </cell>
          <cell r="CS672" t="str">
            <v>INS</v>
          </cell>
          <cell r="CT672" t="str">
            <v>Choice +</v>
          </cell>
          <cell r="CU672">
            <v>0.91669999999999996</v>
          </cell>
          <cell r="CW672" t="str">
            <v>CP14W</v>
          </cell>
          <cell r="CX672">
            <v>0.71709999999999996</v>
          </cell>
        </row>
        <row r="673">
          <cell r="CA673">
            <v>481</v>
          </cell>
          <cell r="CB673" t="str">
            <v>Choice Plus</v>
          </cell>
          <cell r="CC673">
            <v>15</v>
          </cell>
          <cell r="CD673">
            <v>15</v>
          </cell>
          <cell r="CE673" t="str">
            <v>N/A</v>
          </cell>
          <cell r="CF673" t="str">
            <v>N/A</v>
          </cell>
          <cell r="CG673">
            <v>50</v>
          </cell>
          <cell r="CH673">
            <v>100</v>
          </cell>
          <cell r="CI673" t="str">
            <v>N/A</v>
          </cell>
          <cell r="CJ673" t="str">
            <v>$250 / $500</v>
          </cell>
          <cell r="CK673">
            <v>0.9</v>
          </cell>
          <cell r="CL673" t="str">
            <v>$1,250 / $2,500</v>
          </cell>
          <cell r="CM673" t="str">
            <v>$500 / $1,000</v>
          </cell>
          <cell r="CN673">
            <v>0.7</v>
          </cell>
          <cell r="CO673" t="str">
            <v>$2,500 / $5,000</v>
          </cell>
          <cell r="CP673" t="str">
            <v>Emb</v>
          </cell>
          <cell r="CS673" t="str">
            <v>INS</v>
          </cell>
          <cell r="CT673" t="str">
            <v>Choice +</v>
          </cell>
          <cell r="CU673">
            <v>0.91069999999999995</v>
          </cell>
          <cell r="CW673" t="str">
            <v>CP14W</v>
          </cell>
          <cell r="CX673">
            <v>0.71150000000000002</v>
          </cell>
        </row>
        <row r="674">
          <cell r="CA674">
            <v>482</v>
          </cell>
          <cell r="CB674" t="str">
            <v>Choice Plus</v>
          </cell>
          <cell r="CC674">
            <v>10</v>
          </cell>
          <cell r="CD674">
            <v>10</v>
          </cell>
          <cell r="CE674" t="str">
            <v>N/A</v>
          </cell>
          <cell r="CF674" t="str">
            <v>N/A</v>
          </cell>
          <cell r="CG674">
            <v>50</v>
          </cell>
          <cell r="CH674">
            <v>100</v>
          </cell>
          <cell r="CI674" t="str">
            <v>N/A</v>
          </cell>
          <cell r="CJ674" t="str">
            <v>$250 / $500</v>
          </cell>
          <cell r="CK674">
            <v>0.9</v>
          </cell>
          <cell r="CL674" t="str">
            <v>$2,250 / $4,500</v>
          </cell>
          <cell r="CM674" t="str">
            <v>$500 / $1,000</v>
          </cell>
          <cell r="CN674">
            <v>0.7</v>
          </cell>
          <cell r="CO674" t="str">
            <v>$4,500 / $9,000</v>
          </cell>
          <cell r="CP674" t="str">
            <v>Emb</v>
          </cell>
          <cell r="CS674" t="str">
            <v>INS</v>
          </cell>
          <cell r="CT674" t="str">
            <v>Choice +</v>
          </cell>
          <cell r="CU674">
            <v>0.88380000000000003</v>
          </cell>
          <cell r="CW674" t="str">
            <v>CP14W</v>
          </cell>
          <cell r="CX674">
            <v>0.70730000000000004</v>
          </cell>
        </row>
        <row r="675">
          <cell r="CA675">
            <v>483</v>
          </cell>
          <cell r="CB675" t="str">
            <v>Choice Plus</v>
          </cell>
          <cell r="CC675">
            <v>15</v>
          </cell>
          <cell r="CD675">
            <v>15</v>
          </cell>
          <cell r="CE675" t="str">
            <v>N/A</v>
          </cell>
          <cell r="CF675" t="str">
            <v>N/A</v>
          </cell>
          <cell r="CG675">
            <v>50</v>
          </cell>
          <cell r="CH675">
            <v>100</v>
          </cell>
          <cell r="CI675" t="str">
            <v>N/A</v>
          </cell>
          <cell r="CJ675" t="str">
            <v>$250 / $500</v>
          </cell>
          <cell r="CK675">
            <v>0.9</v>
          </cell>
          <cell r="CL675" t="str">
            <v>$2,250 / $4,500</v>
          </cell>
          <cell r="CM675" t="str">
            <v>$500 / $1,000</v>
          </cell>
          <cell r="CN675">
            <v>0.7</v>
          </cell>
          <cell r="CO675" t="str">
            <v>$4,500 / $9,000</v>
          </cell>
          <cell r="CP675" t="str">
            <v>Emb</v>
          </cell>
          <cell r="CS675" t="str">
            <v>INS</v>
          </cell>
          <cell r="CT675" t="str">
            <v>Choice +</v>
          </cell>
          <cell r="CU675">
            <v>0.87680000000000002</v>
          </cell>
          <cell r="CW675" t="str">
            <v>CP14W</v>
          </cell>
          <cell r="CX675">
            <v>0.70099999999999996</v>
          </cell>
        </row>
        <row r="676">
          <cell r="CA676">
            <v>484</v>
          </cell>
          <cell r="CB676" t="str">
            <v>Choice Plus</v>
          </cell>
          <cell r="CC676">
            <v>10</v>
          </cell>
          <cell r="CD676">
            <v>10</v>
          </cell>
          <cell r="CE676" t="str">
            <v>N/A</v>
          </cell>
          <cell r="CF676" t="str">
            <v>N/A</v>
          </cell>
          <cell r="CG676">
            <v>50</v>
          </cell>
          <cell r="CH676">
            <v>100</v>
          </cell>
          <cell r="CI676" t="str">
            <v>N/A</v>
          </cell>
          <cell r="CJ676" t="str">
            <v>$500 / $1,000</v>
          </cell>
          <cell r="CK676">
            <v>0.9</v>
          </cell>
          <cell r="CL676" t="str">
            <v>$1,500 / $3,000</v>
          </cell>
          <cell r="CM676" t="str">
            <v>$1,000 / $2,000</v>
          </cell>
          <cell r="CN676">
            <v>0.7</v>
          </cell>
          <cell r="CO676" t="str">
            <v>$4,000 / $8,000</v>
          </cell>
          <cell r="CP676" t="str">
            <v>Emb</v>
          </cell>
          <cell r="CS676" t="str">
            <v>INS</v>
          </cell>
          <cell r="CT676" t="str">
            <v>Choice +</v>
          </cell>
          <cell r="CU676">
            <v>0.89190000000000003</v>
          </cell>
          <cell r="CW676" t="str">
            <v>CP14W</v>
          </cell>
          <cell r="CX676">
            <v>0.70369999999999999</v>
          </cell>
        </row>
        <row r="677">
          <cell r="CA677">
            <v>485</v>
          </cell>
          <cell r="CB677" t="str">
            <v>Choice Plus</v>
          </cell>
          <cell r="CC677">
            <v>20</v>
          </cell>
          <cell r="CD677">
            <v>20</v>
          </cell>
          <cell r="CE677" t="str">
            <v>N/A</v>
          </cell>
          <cell r="CF677" t="str">
            <v>N/A</v>
          </cell>
          <cell r="CG677">
            <v>50</v>
          </cell>
          <cell r="CH677">
            <v>75</v>
          </cell>
          <cell r="CI677" t="str">
            <v>N/A</v>
          </cell>
          <cell r="CJ677" t="str">
            <v>$250 / $500</v>
          </cell>
          <cell r="CK677">
            <v>0.9</v>
          </cell>
          <cell r="CL677" t="str">
            <v>$2,000 / $4,000</v>
          </cell>
          <cell r="CM677" t="str">
            <v>$1,000 / $2,000</v>
          </cell>
          <cell r="CN677">
            <v>0.6</v>
          </cell>
          <cell r="CO677" t="str">
            <v>$4,000 / $8,000</v>
          </cell>
          <cell r="CP677" t="str">
            <v>Emb</v>
          </cell>
          <cell r="CS677" t="str">
            <v>INS</v>
          </cell>
          <cell r="CT677" t="str">
            <v>Choice +</v>
          </cell>
          <cell r="CU677">
            <v>0.87629999999999997</v>
          </cell>
          <cell r="CW677" t="str">
            <v>CP14W</v>
          </cell>
          <cell r="CX677">
            <v>0.69720000000000004</v>
          </cell>
        </row>
        <row r="678">
          <cell r="CA678">
            <v>486</v>
          </cell>
          <cell r="CB678" t="str">
            <v>Choice Plus</v>
          </cell>
          <cell r="CC678">
            <v>15</v>
          </cell>
          <cell r="CD678">
            <v>15</v>
          </cell>
          <cell r="CE678" t="str">
            <v>N/A</v>
          </cell>
          <cell r="CF678" t="str">
            <v>N/A</v>
          </cell>
          <cell r="CG678">
            <v>50</v>
          </cell>
          <cell r="CH678">
            <v>100</v>
          </cell>
          <cell r="CI678" t="str">
            <v>N/A</v>
          </cell>
          <cell r="CJ678" t="str">
            <v>$500 / $1,000</v>
          </cell>
          <cell r="CK678">
            <v>0.8</v>
          </cell>
          <cell r="CL678" t="str">
            <v>$1,500 / $3,000</v>
          </cell>
          <cell r="CM678" t="str">
            <v>$1,000 / $2,000</v>
          </cell>
          <cell r="CN678">
            <v>0.6</v>
          </cell>
          <cell r="CO678" t="str">
            <v>$5,000 / $10,000</v>
          </cell>
          <cell r="CP678" t="str">
            <v>Emb</v>
          </cell>
          <cell r="CS678" t="str">
            <v>INS</v>
          </cell>
          <cell r="CT678" t="str">
            <v>Choice +</v>
          </cell>
          <cell r="CU678">
            <v>0.88009999999999999</v>
          </cell>
          <cell r="CW678" t="str">
            <v>CP14W</v>
          </cell>
          <cell r="CX678">
            <v>0.69899999999999995</v>
          </cell>
        </row>
        <row r="679">
          <cell r="CA679">
            <v>487</v>
          </cell>
          <cell r="CB679" t="str">
            <v>Choice Plus</v>
          </cell>
          <cell r="CC679">
            <v>15</v>
          </cell>
          <cell r="CD679">
            <v>15</v>
          </cell>
          <cell r="CE679" t="str">
            <v>N/A</v>
          </cell>
          <cell r="CF679" t="str">
            <v>N/A</v>
          </cell>
          <cell r="CG679">
            <v>50</v>
          </cell>
          <cell r="CH679">
            <v>100</v>
          </cell>
          <cell r="CI679" t="str">
            <v>N/A</v>
          </cell>
          <cell r="CJ679" t="str">
            <v>$500 / $1,000</v>
          </cell>
          <cell r="CK679">
            <v>0.9</v>
          </cell>
          <cell r="CL679" t="str">
            <v>$2,500 / $5,000</v>
          </cell>
          <cell r="CM679" t="str">
            <v>$1,000 / $2,000</v>
          </cell>
          <cell r="CN679">
            <v>0.7</v>
          </cell>
          <cell r="CO679" t="str">
            <v>$5,000 / $10,000</v>
          </cell>
          <cell r="CP679" t="str">
            <v>Emb</v>
          </cell>
          <cell r="CS679" t="str">
            <v>INS</v>
          </cell>
          <cell r="CT679" t="str">
            <v>Choice +</v>
          </cell>
          <cell r="CU679">
            <v>0.85299999999999998</v>
          </cell>
          <cell r="CW679" t="str">
            <v>CP14W</v>
          </cell>
          <cell r="CX679">
            <v>0.68759999999999999</v>
          </cell>
        </row>
        <row r="680">
          <cell r="CA680">
            <v>488</v>
          </cell>
          <cell r="CB680" t="str">
            <v>Choice Plus</v>
          </cell>
          <cell r="CC680">
            <v>15</v>
          </cell>
          <cell r="CD680">
            <v>15</v>
          </cell>
          <cell r="CE680" t="str">
            <v>N/A</v>
          </cell>
          <cell r="CF680" t="str">
            <v>N/A</v>
          </cell>
          <cell r="CG680">
            <v>50</v>
          </cell>
          <cell r="CH680">
            <v>100</v>
          </cell>
          <cell r="CI680" t="str">
            <v>N/A</v>
          </cell>
          <cell r="CJ680" t="str">
            <v>$250 / $500</v>
          </cell>
          <cell r="CK680">
            <v>0.8</v>
          </cell>
          <cell r="CL680" t="str">
            <v>$2,250 / $4,500</v>
          </cell>
          <cell r="CM680" t="str">
            <v>$500 / $1,000</v>
          </cell>
          <cell r="CN680">
            <v>0.6</v>
          </cell>
          <cell r="CO680" t="str">
            <v>$4,500 / $9,000</v>
          </cell>
          <cell r="CP680" t="str">
            <v>Emb</v>
          </cell>
          <cell r="CS680" t="str">
            <v>INS</v>
          </cell>
          <cell r="CT680" t="str">
            <v>Choice +</v>
          </cell>
          <cell r="CU680">
            <v>0.85340000000000005</v>
          </cell>
          <cell r="CW680" t="str">
            <v>CP14W</v>
          </cell>
          <cell r="CX680">
            <v>0.69540000000000002</v>
          </cell>
        </row>
        <row r="681">
          <cell r="CA681">
            <v>489</v>
          </cell>
          <cell r="CB681" t="str">
            <v>Choice Plus</v>
          </cell>
          <cell r="CC681">
            <v>20</v>
          </cell>
          <cell r="CD681">
            <v>20</v>
          </cell>
          <cell r="CE681" t="str">
            <v>N/A</v>
          </cell>
          <cell r="CF681" t="str">
            <v>N/A</v>
          </cell>
          <cell r="CG681">
            <v>50</v>
          </cell>
          <cell r="CH681">
            <v>100</v>
          </cell>
          <cell r="CI681" t="str">
            <v>N/A</v>
          </cell>
          <cell r="CJ681" t="str">
            <v>$500 / $1,000</v>
          </cell>
          <cell r="CK681">
            <v>0.9</v>
          </cell>
          <cell r="CL681" t="str">
            <v>$2,000 / $4,000</v>
          </cell>
          <cell r="CM681" t="str">
            <v>$1,000 / $2,000</v>
          </cell>
          <cell r="CN681">
            <v>0.6</v>
          </cell>
          <cell r="CO681" t="str">
            <v>$4,000 / $8,000</v>
          </cell>
          <cell r="CP681" t="str">
            <v>Emb</v>
          </cell>
          <cell r="CS681" t="str">
            <v>INS</v>
          </cell>
          <cell r="CT681" t="str">
            <v>Choice +</v>
          </cell>
          <cell r="CU681">
            <v>0.85870000000000002</v>
          </cell>
          <cell r="CW681" t="str">
            <v>CP14W</v>
          </cell>
          <cell r="CX681">
            <v>0.68510000000000004</v>
          </cell>
        </row>
        <row r="682">
          <cell r="CA682">
            <v>490</v>
          </cell>
          <cell r="CB682" t="str">
            <v>Choice Plus</v>
          </cell>
          <cell r="CC682">
            <v>20</v>
          </cell>
          <cell r="CD682">
            <v>20</v>
          </cell>
          <cell r="CE682" t="str">
            <v>N/A</v>
          </cell>
          <cell r="CF682" t="str">
            <v>$250 POD</v>
          </cell>
          <cell r="CG682">
            <v>125</v>
          </cell>
          <cell r="CH682">
            <v>250</v>
          </cell>
          <cell r="CI682" t="str">
            <v>N/A</v>
          </cell>
          <cell r="CJ682" t="str">
            <v>$250 / $500</v>
          </cell>
          <cell r="CK682">
            <v>0.9</v>
          </cell>
          <cell r="CL682" t="str">
            <v>$2,500 / $5,000</v>
          </cell>
          <cell r="CM682" t="str">
            <v>$250 / $500</v>
          </cell>
          <cell r="CN682">
            <v>0.7</v>
          </cell>
          <cell r="CO682" t="str">
            <v>$10,000 / $20,000</v>
          </cell>
          <cell r="CP682" t="str">
            <v>Emb</v>
          </cell>
          <cell r="CS682" t="str">
            <v>INS</v>
          </cell>
          <cell r="CT682" t="str">
            <v>Choice +</v>
          </cell>
          <cell r="CU682">
            <v>0.85240000000000005</v>
          </cell>
          <cell r="CW682" t="str">
            <v>CP14W</v>
          </cell>
          <cell r="CX682">
            <v>0.68910000000000005</v>
          </cell>
        </row>
        <row r="683">
          <cell r="CA683">
            <v>491</v>
          </cell>
          <cell r="CB683" t="str">
            <v>Choice Plus</v>
          </cell>
          <cell r="CC683">
            <v>20</v>
          </cell>
          <cell r="CD683">
            <v>20</v>
          </cell>
          <cell r="CE683" t="str">
            <v>N/A</v>
          </cell>
          <cell r="CF683" t="str">
            <v>N/A</v>
          </cell>
          <cell r="CG683">
            <v>50</v>
          </cell>
          <cell r="CH683">
            <v>100</v>
          </cell>
          <cell r="CI683" t="str">
            <v>N/A</v>
          </cell>
          <cell r="CJ683" t="str">
            <v>$250 / $500</v>
          </cell>
          <cell r="CK683">
            <v>0.8</v>
          </cell>
          <cell r="CL683" t="str">
            <v>$2,250 / $4,500</v>
          </cell>
          <cell r="CM683" t="str">
            <v>$500 / $1,000</v>
          </cell>
          <cell r="CN683">
            <v>0.6</v>
          </cell>
          <cell r="CO683" t="str">
            <v>$4,500 / $9,000</v>
          </cell>
          <cell r="CP683" t="str">
            <v>Emb</v>
          </cell>
          <cell r="CS683" t="str">
            <v>INS</v>
          </cell>
          <cell r="CT683" t="str">
            <v>Choice +</v>
          </cell>
          <cell r="CU683">
            <v>0.8468</v>
          </cell>
          <cell r="CW683" t="str">
            <v>CP14W</v>
          </cell>
          <cell r="CX683">
            <v>0.68979999999999997</v>
          </cell>
        </row>
        <row r="684">
          <cell r="CA684">
            <v>492</v>
          </cell>
          <cell r="CB684" t="str">
            <v>Choice Plus</v>
          </cell>
          <cell r="CC684">
            <v>20</v>
          </cell>
          <cell r="CD684">
            <v>20</v>
          </cell>
          <cell r="CE684" t="str">
            <v>N/A</v>
          </cell>
          <cell r="CF684" t="str">
            <v>N/A</v>
          </cell>
          <cell r="CG684">
            <v>50</v>
          </cell>
          <cell r="CH684">
            <v>100</v>
          </cell>
          <cell r="CI684" t="str">
            <v>N/A</v>
          </cell>
          <cell r="CJ684" t="str">
            <v>$500 / $1,000</v>
          </cell>
          <cell r="CK684">
            <v>0.9</v>
          </cell>
          <cell r="CL684" t="str">
            <v>$3,000 / $6,000</v>
          </cell>
          <cell r="CM684" t="str">
            <v>$1,000 / $2,000</v>
          </cell>
          <cell r="CN684">
            <v>0.7</v>
          </cell>
          <cell r="CO684" t="str">
            <v>$6,000 / $12,000</v>
          </cell>
          <cell r="CP684" t="str">
            <v>Emb</v>
          </cell>
          <cell r="CS684" t="str">
            <v>INS</v>
          </cell>
          <cell r="CT684" t="str">
            <v>Choice +</v>
          </cell>
          <cell r="CU684">
            <v>0.83679999999999999</v>
          </cell>
          <cell r="CW684" t="str">
            <v>CP14W</v>
          </cell>
          <cell r="CX684">
            <v>0.67879999999999996</v>
          </cell>
        </row>
        <row r="685">
          <cell r="CA685">
            <v>493</v>
          </cell>
          <cell r="CB685" t="str">
            <v>Choice Plus</v>
          </cell>
          <cell r="CC685">
            <v>25</v>
          </cell>
          <cell r="CD685">
            <v>25</v>
          </cell>
          <cell r="CE685" t="str">
            <v>N/A</v>
          </cell>
          <cell r="CF685" t="str">
            <v>N/A</v>
          </cell>
          <cell r="CG685">
            <v>50</v>
          </cell>
          <cell r="CH685">
            <v>100</v>
          </cell>
          <cell r="CI685" t="str">
            <v>N/A</v>
          </cell>
          <cell r="CJ685" t="str">
            <v>$250 / $500</v>
          </cell>
          <cell r="CK685">
            <v>0.8</v>
          </cell>
          <cell r="CL685" t="str">
            <v>$2,250 / $4,500</v>
          </cell>
          <cell r="CM685" t="str">
            <v>$500 / $1,000</v>
          </cell>
          <cell r="CN685">
            <v>0.6</v>
          </cell>
          <cell r="CO685" t="str">
            <v>$4,500 / $9,000</v>
          </cell>
          <cell r="CP685" t="str">
            <v>Emb</v>
          </cell>
          <cell r="CS685" t="str">
            <v>INS</v>
          </cell>
          <cell r="CT685" t="str">
            <v>Choice +</v>
          </cell>
          <cell r="CU685">
            <v>0.84060000000000001</v>
          </cell>
          <cell r="CW685" t="str">
            <v>CP14W</v>
          </cell>
          <cell r="CX685">
            <v>0.68420000000000003</v>
          </cell>
        </row>
        <row r="686">
          <cell r="CA686">
            <v>494</v>
          </cell>
          <cell r="CB686" t="str">
            <v>Choice Plus</v>
          </cell>
          <cell r="CC686">
            <v>20</v>
          </cell>
          <cell r="CD686">
            <v>20</v>
          </cell>
          <cell r="CE686" t="str">
            <v>N/A</v>
          </cell>
          <cell r="CF686" t="str">
            <v>N/A</v>
          </cell>
          <cell r="CG686">
            <v>50</v>
          </cell>
          <cell r="CH686">
            <v>100</v>
          </cell>
          <cell r="CI686" t="str">
            <v>N/A</v>
          </cell>
          <cell r="CJ686" t="str">
            <v>$500 / $1,000</v>
          </cell>
          <cell r="CK686">
            <v>0.8</v>
          </cell>
          <cell r="CL686" t="str">
            <v>$2,500 / $5,000</v>
          </cell>
          <cell r="CM686" t="str">
            <v>$1,000 / $2,000</v>
          </cell>
          <cell r="CN686">
            <v>0.6</v>
          </cell>
          <cell r="CO686" t="str">
            <v>$5,000 / $10,000</v>
          </cell>
          <cell r="CP686" t="str">
            <v>Emb</v>
          </cell>
          <cell r="CS686" t="str">
            <v>INS</v>
          </cell>
          <cell r="CT686" t="str">
            <v>Choice +</v>
          </cell>
          <cell r="CU686">
            <v>0.82520000000000004</v>
          </cell>
          <cell r="CW686" t="str">
            <v>CP14W</v>
          </cell>
          <cell r="CX686">
            <v>0.6774</v>
          </cell>
        </row>
        <row r="687">
          <cell r="CA687">
            <v>495</v>
          </cell>
          <cell r="CB687" t="str">
            <v>Choice Plus</v>
          </cell>
          <cell r="CC687">
            <v>30</v>
          </cell>
          <cell r="CD687">
            <v>30</v>
          </cell>
          <cell r="CE687" t="str">
            <v>N/A</v>
          </cell>
          <cell r="CF687" t="str">
            <v>$500 POD</v>
          </cell>
          <cell r="CG687">
            <v>125</v>
          </cell>
          <cell r="CH687">
            <v>250</v>
          </cell>
          <cell r="CI687" t="str">
            <v>N/A</v>
          </cell>
          <cell r="CJ687" t="str">
            <v>$250 / $500</v>
          </cell>
          <cell r="CK687">
            <v>0.9</v>
          </cell>
          <cell r="CL687" t="str">
            <v>$3,500 / $7,000</v>
          </cell>
          <cell r="CM687" t="str">
            <v>$500 / $1,000</v>
          </cell>
          <cell r="CN687">
            <v>0.7</v>
          </cell>
          <cell r="CO687" t="str">
            <v>$7,000 / $14,000</v>
          </cell>
          <cell r="CP687" t="str">
            <v>Emb</v>
          </cell>
          <cell r="CS687" t="str">
            <v>INS</v>
          </cell>
          <cell r="CT687" t="str">
            <v>Choice +</v>
          </cell>
          <cell r="CU687">
            <v>0.82220000000000004</v>
          </cell>
          <cell r="CW687" t="str">
            <v>CP14W</v>
          </cell>
          <cell r="CX687">
            <v>0.67200000000000004</v>
          </cell>
        </row>
        <row r="688">
          <cell r="CA688">
            <v>496</v>
          </cell>
          <cell r="CB688" t="str">
            <v>Choice Plus</v>
          </cell>
          <cell r="CC688">
            <v>20</v>
          </cell>
          <cell r="CD688">
            <v>20</v>
          </cell>
          <cell r="CE688" t="str">
            <v>N/A</v>
          </cell>
          <cell r="CF688" t="str">
            <v>N/A</v>
          </cell>
          <cell r="CG688">
            <v>50</v>
          </cell>
          <cell r="CH688">
            <v>100</v>
          </cell>
          <cell r="CI688" t="str">
            <v>N/A</v>
          </cell>
          <cell r="CJ688" t="str">
            <v>$500 / $1,000</v>
          </cell>
          <cell r="CK688">
            <v>0.8</v>
          </cell>
          <cell r="CL688" t="str">
            <v>$3,500 / $7,000</v>
          </cell>
          <cell r="CM688" t="str">
            <v>$1,000 / $2,000</v>
          </cell>
          <cell r="CN688">
            <v>0.6</v>
          </cell>
          <cell r="CO688" t="str">
            <v>$7,000 / $14,000</v>
          </cell>
          <cell r="CP688" t="str">
            <v>Emb</v>
          </cell>
          <cell r="CS688" t="str">
            <v>INS</v>
          </cell>
          <cell r="CT688" t="str">
            <v>Choice +</v>
          </cell>
          <cell r="CU688">
            <v>0.79800000000000004</v>
          </cell>
          <cell r="CW688" t="str">
            <v>CP14W</v>
          </cell>
          <cell r="CX688">
            <v>0.66839999999999999</v>
          </cell>
        </row>
        <row r="689">
          <cell r="CA689">
            <v>498</v>
          </cell>
          <cell r="CB689" t="str">
            <v>Choice Plus</v>
          </cell>
          <cell r="CC689">
            <v>20</v>
          </cell>
          <cell r="CD689">
            <v>20</v>
          </cell>
          <cell r="CE689" t="str">
            <v>N/A</v>
          </cell>
          <cell r="CF689" t="str">
            <v>$500 POD</v>
          </cell>
          <cell r="CG689">
            <v>125</v>
          </cell>
          <cell r="CH689">
            <v>250</v>
          </cell>
          <cell r="CI689" t="str">
            <v>N/A</v>
          </cell>
          <cell r="CJ689" t="str">
            <v>$500 / $1,000</v>
          </cell>
          <cell r="CK689">
            <v>0.8</v>
          </cell>
          <cell r="CL689" t="str">
            <v>$4,500 / $9,000</v>
          </cell>
          <cell r="CM689" t="str">
            <v>$1,000 / $2,000</v>
          </cell>
          <cell r="CN689">
            <v>0.6</v>
          </cell>
          <cell r="CO689" t="str">
            <v>$9,000 / $18,000</v>
          </cell>
          <cell r="CP689" t="str">
            <v>Emb</v>
          </cell>
          <cell r="CS689" t="str">
            <v>INS</v>
          </cell>
          <cell r="CT689" t="str">
            <v>Choice +</v>
          </cell>
          <cell r="CU689">
            <v>0.76649999999999996</v>
          </cell>
          <cell r="CW689" t="str">
            <v>CP14W</v>
          </cell>
          <cell r="CX689">
            <v>0.65920000000000001</v>
          </cell>
        </row>
        <row r="690">
          <cell r="CA690">
            <v>500</v>
          </cell>
          <cell r="CB690" t="str">
            <v>Choice Plus</v>
          </cell>
          <cell r="CC690">
            <v>30</v>
          </cell>
          <cell r="CD690">
            <v>30</v>
          </cell>
          <cell r="CE690" t="str">
            <v>N/A</v>
          </cell>
          <cell r="CF690" t="str">
            <v>$500 POD</v>
          </cell>
          <cell r="CG690">
            <v>125</v>
          </cell>
          <cell r="CH690">
            <v>250</v>
          </cell>
          <cell r="CI690" t="str">
            <v>N/A</v>
          </cell>
          <cell r="CJ690" t="str">
            <v>$500 / $1,000</v>
          </cell>
          <cell r="CK690">
            <v>0.8</v>
          </cell>
          <cell r="CL690" t="str">
            <v>$5,000 / $10,000</v>
          </cell>
          <cell r="CM690" t="str">
            <v>$500 / $1,000</v>
          </cell>
          <cell r="CN690">
            <v>0.6</v>
          </cell>
          <cell r="CO690" t="str">
            <v>$10,000 / $20,000</v>
          </cell>
          <cell r="CP690" t="str">
            <v>Emb</v>
          </cell>
          <cell r="CS690" t="str">
            <v>INS</v>
          </cell>
          <cell r="CT690" t="str">
            <v>Choice +</v>
          </cell>
          <cell r="CU690">
            <v>0.74629999999999996</v>
          </cell>
          <cell r="CW690" t="str">
            <v>CP14W</v>
          </cell>
          <cell r="CX690">
            <v>0.64429999999999998</v>
          </cell>
        </row>
        <row r="691">
          <cell r="CA691">
            <v>520</v>
          </cell>
          <cell r="CB691" t="str">
            <v>Choice Plus</v>
          </cell>
          <cell r="CC691">
            <v>20</v>
          </cell>
          <cell r="CD691">
            <v>20</v>
          </cell>
          <cell r="CE691" t="str">
            <v>N/A</v>
          </cell>
          <cell r="CF691" t="str">
            <v>$250 POD</v>
          </cell>
          <cell r="CG691">
            <v>125</v>
          </cell>
          <cell r="CH691">
            <v>250</v>
          </cell>
          <cell r="CI691" t="str">
            <v>N/A</v>
          </cell>
          <cell r="CJ691" t="str">
            <v>$500 / $1,000</v>
          </cell>
          <cell r="CK691">
            <v>0.7</v>
          </cell>
          <cell r="CL691" t="str">
            <v>$4,500 / $9,000</v>
          </cell>
          <cell r="CM691" t="str">
            <v>$1,000 / $2,000</v>
          </cell>
          <cell r="CN691">
            <v>0.5</v>
          </cell>
          <cell r="CO691" t="str">
            <v>$9,000 / $18,000</v>
          </cell>
          <cell r="CP691" t="str">
            <v>Emb</v>
          </cell>
          <cell r="CS691" t="str">
            <v>INS</v>
          </cell>
          <cell r="CT691" t="str">
            <v>Choice +</v>
          </cell>
          <cell r="CU691">
            <v>0.74180000000000001</v>
          </cell>
          <cell r="CW691" t="str">
            <v>CP14W</v>
          </cell>
          <cell r="CX691">
            <v>0.65110000000000001</v>
          </cell>
        </row>
        <row r="692">
          <cell r="CA692">
            <v>521</v>
          </cell>
          <cell r="CB692" t="str">
            <v>Choice Plus</v>
          </cell>
          <cell r="CC692">
            <v>15</v>
          </cell>
          <cell r="CD692">
            <v>15</v>
          </cell>
          <cell r="CE692" t="str">
            <v>N/A</v>
          </cell>
          <cell r="CF692" t="str">
            <v>N/A</v>
          </cell>
          <cell r="CG692">
            <v>50</v>
          </cell>
          <cell r="CH692">
            <v>100</v>
          </cell>
          <cell r="CI692" t="str">
            <v>N/A</v>
          </cell>
          <cell r="CJ692" t="str">
            <v>$1,000 / $2,000</v>
          </cell>
          <cell r="CK692">
            <v>0.9</v>
          </cell>
          <cell r="CL692" t="str">
            <v>$3,000 / $6,000</v>
          </cell>
          <cell r="CM692" t="str">
            <v>$2,000 / $4,000</v>
          </cell>
          <cell r="CN692">
            <v>0.7</v>
          </cell>
          <cell r="CO692" t="str">
            <v>$6,000 / $12,000</v>
          </cell>
          <cell r="CP692" t="str">
            <v>Emb</v>
          </cell>
          <cell r="CS692" t="str">
            <v>INS</v>
          </cell>
          <cell r="CT692" t="str">
            <v>Choice +</v>
          </cell>
          <cell r="CU692">
            <v>0.81320000000000003</v>
          </cell>
          <cell r="CW692" t="str">
            <v>CP14W</v>
          </cell>
          <cell r="CX692">
            <v>0.66749999999999998</v>
          </cell>
        </row>
        <row r="693">
          <cell r="CA693">
            <v>522</v>
          </cell>
          <cell r="CB693" t="str">
            <v>Choice Plus</v>
          </cell>
          <cell r="CC693">
            <v>25</v>
          </cell>
          <cell r="CD693">
            <v>25</v>
          </cell>
          <cell r="CE693" t="str">
            <v>N/A</v>
          </cell>
          <cell r="CF693" t="str">
            <v>N/A</v>
          </cell>
          <cell r="CG693">
            <v>125</v>
          </cell>
          <cell r="CH693">
            <v>250</v>
          </cell>
          <cell r="CI693" t="str">
            <v>N/A</v>
          </cell>
          <cell r="CJ693" t="str">
            <v>$1,000 / $2,000</v>
          </cell>
          <cell r="CK693">
            <v>0.9</v>
          </cell>
          <cell r="CL693" t="str">
            <v>$2,000 / $4,000</v>
          </cell>
          <cell r="CM693" t="str">
            <v>$2,000 / $4,000</v>
          </cell>
          <cell r="CN693">
            <v>0.6</v>
          </cell>
          <cell r="CO693" t="str">
            <v>$4,000 / $8,000</v>
          </cell>
          <cell r="CP693" t="str">
            <v>Emb</v>
          </cell>
          <cell r="CS693" t="str">
            <v>INS</v>
          </cell>
          <cell r="CT693" t="str">
            <v>Choice +</v>
          </cell>
          <cell r="CU693">
            <v>0.82399999999999995</v>
          </cell>
          <cell r="CW693" t="str">
            <v>CP14W</v>
          </cell>
          <cell r="CX693">
            <v>0.66259999999999997</v>
          </cell>
        </row>
        <row r="694">
          <cell r="CA694">
            <v>523</v>
          </cell>
          <cell r="CB694" t="str">
            <v>Choice Plus</v>
          </cell>
          <cell r="CC694">
            <v>15</v>
          </cell>
          <cell r="CD694">
            <v>15</v>
          </cell>
          <cell r="CE694" t="str">
            <v>N/A</v>
          </cell>
          <cell r="CF694" t="str">
            <v>N/A</v>
          </cell>
          <cell r="CG694">
            <v>50</v>
          </cell>
          <cell r="CH694">
            <v>100</v>
          </cell>
          <cell r="CI694" t="str">
            <v>N/A</v>
          </cell>
          <cell r="CJ694" t="str">
            <v>$1,500 / $3,000</v>
          </cell>
          <cell r="CK694">
            <v>0.9</v>
          </cell>
          <cell r="CL694" t="str">
            <v>$3,500 / $7,000</v>
          </cell>
          <cell r="CM694" t="str">
            <v>$3,000 / $6,000</v>
          </cell>
          <cell r="CN694">
            <v>0.7</v>
          </cell>
          <cell r="CO694" t="str">
            <v>$7,000 / $14,000</v>
          </cell>
          <cell r="CP694" t="str">
            <v>Emb</v>
          </cell>
          <cell r="CS694" t="str">
            <v>INS</v>
          </cell>
          <cell r="CT694" t="str">
            <v>Choice +</v>
          </cell>
          <cell r="CU694">
            <v>0.7792</v>
          </cell>
          <cell r="CW694" t="str">
            <v>CP14W</v>
          </cell>
          <cell r="CX694">
            <v>0.65169999999999995</v>
          </cell>
        </row>
        <row r="695">
          <cell r="CA695">
            <v>525</v>
          </cell>
          <cell r="CB695" t="str">
            <v>Choice Plus</v>
          </cell>
          <cell r="CC695">
            <v>25</v>
          </cell>
          <cell r="CD695">
            <v>25</v>
          </cell>
          <cell r="CE695" t="str">
            <v>N/A</v>
          </cell>
          <cell r="CF695" t="str">
            <v>N/A</v>
          </cell>
          <cell r="CG695">
            <v>50</v>
          </cell>
          <cell r="CH695">
            <v>100</v>
          </cell>
          <cell r="CI695" t="str">
            <v>N/A</v>
          </cell>
          <cell r="CJ695" t="str">
            <v>$1,000 / $2,000</v>
          </cell>
          <cell r="CK695">
            <v>0.8</v>
          </cell>
          <cell r="CL695" t="str">
            <v>$3,000 / $6,000</v>
          </cell>
          <cell r="CM695" t="str">
            <v>$2,000 / $4,000</v>
          </cell>
          <cell r="CN695">
            <v>0.6</v>
          </cell>
          <cell r="CO695" t="str">
            <v>$10,000 / $20,000</v>
          </cell>
          <cell r="CP695" t="str">
            <v>Emb</v>
          </cell>
          <cell r="CS695" t="str">
            <v>INS</v>
          </cell>
          <cell r="CT695" t="str">
            <v>Choice +</v>
          </cell>
          <cell r="CU695">
            <v>0.78049999999999997</v>
          </cell>
          <cell r="CW695" t="str">
            <v>CP14W</v>
          </cell>
          <cell r="CX695">
            <v>0.65259999999999996</v>
          </cell>
        </row>
        <row r="696">
          <cell r="CA696">
            <v>526</v>
          </cell>
          <cell r="CB696" t="str">
            <v>Choice Plus</v>
          </cell>
          <cell r="CC696">
            <v>35</v>
          </cell>
          <cell r="CD696">
            <v>35</v>
          </cell>
          <cell r="CE696" t="str">
            <v>N/A</v>
          </cell>
          <cell r="CF696" t="str">
            <v>N/A</v>
          </cell>
          <cell r="CG696">
            <v>125</v>
          </cell>
          <cell r="CH696">
            <v>250</v>
          </cell>
          <cell r="CI696" t="str">
            <v>N/A</v>
          </cell>
          <cell r="CJ696" t="str">
            <v>$750 / $1,500</v>
          </cell>
          <cell r="CK696">
            <v>0.8</v>
          </cell>
          <cell r="CL696" t="str">
            <v>$2,500 / $5,000</v>
          </cell>
          <cell r="CM696" t="str">
            <v>$1,500 / $3,000</v>
          </cell>
          <cell r="CN696">
            <v>0.6</v>
          </cell>
          <cell r="CO696" t="str">
            <v>$5,000 / $10,000</v>
          </cell>
          <cell r="CP696" t="str">
            <v>Emb</v>
          </cell>
          <cell r="CS696" t="str">
            <v>INS</v>
          </cell>
          <cell r="CT696" t="str">
            <v>Choice +</v>
          </cell>
          <cell r="CU696">
            <v>0.78859999999999997</v>
          </cell>
          <cell r="CW696" t="str">
            <v>CP14W</v>
          </cell>
          <cell r="CX696">
            <v>0.65049999999999997</v>
          </cell>
        </row>
        <row r="697">
          <cell r="CA697">
            <v>528</v>
          </cell>
          <cell r="CB697" t="str">
            <v>Choice Plus</v>
          </cell>
          <cell r="CC697">
            <v>30</v>
          </cell>
          <cell r="CD697">
            <v>30</v>
          </cell>
          <cell r="CE697" t="str">
            <v>N/A</v>
          </cell>
          <cell r="CF697" t="str">
            <v>N/A</v>
          </cell>
          <cell r="CG697">
            <v>50</v>
          </cell>
          <cell r="CH697">
            <v>150</v>
          </cell>
          <cell r="CI697" t="str">
            <v>N/A</v>
          </cell>
          <cell r="CJ697" t="str">
            <v>$1,000 / $2,000</v>
          </cell>
          <cell r="CK697">
            <v>0.8</v>
          </cell>
          <cell r="CL697" t="str">
            <v>$4,000 / $8,000</v>
          </cell>
          <cell r="CM697" t="str">
            <v>$2,000 / $4,000</v>
          </cell>
          <cell r="CN697">
            <v>0.6</v>
          </cell>
          <cell r="CO697" t="str">
            <v>$10,000 / $20,000</v>
          </cell>
          <cell r="CP697" t="str">
            <v>Emb</v>
          </cell>
          <cell r="CS697" t="str">
            <v>INS</v>
          </cell>
          <cell r="CT697" t="str">
            <v>Choice +</v>
          </cell>
          <cell r="CU697">
            <v>0.74490000000000001</v>
          </cell>
          <cell r="CW697" t="str">
            <v>CP14W</v>
          </cell>
          <cell r="CX697">
            <v>0.63580000000000003</v>
          </cell>
        </row>
        <row r="698">
          <cell r="CA698">
            <v>529</v>
          </cell>
          <cell r="CB698" t="str">
            <v>Choice Plus</v>
          </cell>
          <cell r="CC698">
            <v>20</v>
          </cell>
          <cell r="CD698">
            <v>20</v>
          </cell>
          <cell r="CE698" t="str">
            <v>N/A</v>
          </cell>
          <cell r="CF698" t="str">
            <v>N/A</v>
          </cell>
          <cell r="CG698">
            <v>50</v>
          </cell>
          <cell r="CH698">
            <v>100</v>
          </cell>
          <cell r="CI698" t="str">
            <v>N/A</v>
          </cell>
          <cell r="CJ698" t="str">
            <v>$1,500 / $3,500</v>
          </cell>
          <cell r="CK698">
            <v>0.8</v>
          </cell>
          <cell r="CL698" t="str">
            <v>$4,500 / $9,000</v>
          </cell>
          <cell r="CM698" t="str">
            <v>$3,000 / $6,000</v>
          </cell>
          <cell r="CN698">
            <v>0.6</v>
          </cell>
          <cell r="CO698" t="str">
            <v>$9,000 / $18,000</v>
          </cell>
          <cell r="CP698" t="str">
            <v>Emb</v>
          </cell>
          <cell r="CS698" t="str">
            <v>INS</v>
          </cell>
          <cell r="CT698" t="str">
            <v>Choice +</v>
          </cell>
          <cell r="CU698">
            <v>0.73429999999999995</v>
          </cell>
          <cell r="CW698" t="str">
            <v>CP14W</v>
          </cell>
          <cell r="CX698">
            <v>0.63519999999999999</v>
          </cell>
        </row>
        <row r="699">
          <cell r="CA699">
            <v>531</v>
          </cell>
          <cell r="CB699" t="str">
            <v>Choice Plus</v>
          </cell>
          <cell r="CC699">
            <v>25</v>
          </cell>
          <cell r="CD699">
            <v>25</v>
          </cell>
          <cell r="CE699" t="str">
            <v>N/A</v>
          </cell>
          <cell r="CF699" t="str">
            <v>N/A</v>
          </cell>
          <cell r="CG699">
            <v>125</v>
          </cell>
          <cell r="CH699">
            <v>250</v>
          </cell>
          <cell r="CI699" t="str">
            <v>N/A</v>
          </cell>
          <cell r="CJ699" t="str">
            <v>$1,000 / $2,000</v>
          </cell>
          <cell r="CK699">
            <v>0.7</v>
          </cell>
          <cell r="CL699" t="str">
            <v>$4,000 / $8,000</v>
          </cell>
          <cell r="CM699" t="str">
            <v>$2,000 / $4,000</v>
          </cell>
          <cell r="CN699">
            <v>0.5</v>
          </cell>
          <cell r="CO699" t="str">
            <v>$10,000 / $20,000</v>
          </cell>
          <cell r="CP699" t="str">
            <v>Emb</v>
          </cell>
          <cell r="CS699" t="str">
            <v>INS</v>
          </cell>
          <cell r="CT699" t="str">
            <v>Choice +</v>
          </cell>
          <cell r="CU699">
            <v>0.73129999999999995</v>
          </cell>
          <cell r="CW699" t="str">
            <v>CP14W</v>
          </cell>
          <cell r="CX699">
            <v>0.63619999999999999</v>
          </cell>
        </row>
        <row r="700">
          <cell r="CA700">
            <v>532</v>
          </cell>
          <cell r="CB700" t="str">
            <v>Choice Plus</v>
          </cell>
          <cell r="CC700">
            <v>30</v>
          </cell>
          <cell r="CD700">
            <v>30</v>
          </cell>
          <cell r="CE700" t="str">
            <v>N/A</v>
          </cell>
          <cell r="CF700" t="str">
            <v>N/A</v>
          </cell>
          <cell r="CG700">
            <v>125</v>
          </cell>
          <cell r="CH700">
            <v>250</v>
          </cell>
          <cell r="CI700" t="str">
            <v>N/A</v>
          </cell>
          <cell r="CJ700" t="str">
            <v>$1,500 / $3,000</v>
          </cell>
          <cell r="CK700">
            <v>0.8</v>
          </cell>
          <cell r="CL700" t="str">
            <v>$4,000 / $8,000</v>
          </cell>
          <cell r="CM700" t="str">
            <v>$3,000 / $6,000</v>
          </cell>
          <cell r="CN700">
            <v>0.5</v>
          </cell>
          <cell r="CO700" t="str">
            <v>$8,000 / $16,000</v>
          </cell>
          <cell r="CP700" t="str">
            <v>Emb</v>
          </cell>
          <cell r="CS700" t="str">
            <v>INS</v>
          </cell>
          <cell r="CT700" t="str">
            <v>Choice +</v>
          </cell>
          <cell r="CU700">
            <v>0.72489999999999999</v>
          </cell>
          <cell r="CW700" t="str">
            <v>CP14W</v>
          </cell>
          <cell r="CX700">
            <v>0.62260000000000004</v>
          </cell>
        </row>
        <row r="701">
          <cell r="CA701">
            <v>536</v>
          </cell>
          <cell r="CB701" t="str">
            <v>Choice Plus HRA</v>
          </cell>
          <cell r="CC701" t="str">
            <v>N/A</v>
          </cell>
          <cell r="CD701" t="str">
            <v>N/A</v>
          </cell>
          <cell r="CE701" t="str">
            <v>N/A</v>
          </cell>
          <cell r="CF701" t="str">
            <v>N/A</v>
          </cell>
          <cell r="CG701" t="str">
            <v>N/A</v>
          </cell>
          <cell r="CH701" t="str">
            <v>N/A</v>
          </cell>
          <cell r="CI701" t="str">
            <v>N/A</v>
          </cell>
          <cell r="CJ701" t="str">
            <v>$1,500 / $3,000</v>
          </cell>
          <cell r="CK701">
            <v>1</v>
          </cell>
          <cell r="CL701" t="str">
            <v>$2,500 / $5,000</v>
          </cell>
          <cell r="CM701" t="str">
            <v>$3,500 / $7,000</v>
          </cell>
          <cell r="CN701">
            <v>0.8</v>
          </cell>
          <cell r="CO701" t="str">
            <v>$4,500 / $9,000</v>
          </cell>
          <cell r="CP701" t="str">
            <v>Emb</v>
          </cell>
          <cell r="CS701" t="str">
            <v>INS</v>
          </cell>
          <cell r="CT701" t="str">
            <v>Choice +</v>
          </cell>
          <cell r="CU701">
            <v>0.91849999999999998</v>
          </cell>
          <cell r="CV701" t="str">
            <v>H9-HRA</v>
          </cell>
          <cell r="CW701" t="str">
            <v>CPHRA14W</v>
          </cell>
          <cell r="CX701">
            <v>0.8125</v>
          </cell>
        </row>
        <row r="702">
          <cell r="CA702">
            <v>537</v>
          </cell>
          <cell r="CB702" t="str">
            <v>Choice Plus HRA</v>
          </cell>
          <cell r="CC702" t="str">
            <v>N/A</v>
          </cell>
          <cell r="CD702" t="str">
            <v>N/A</v>
          </cell>
          <cell r="CE702" t="str">
            <v>N/A</v>
          </cell>
          <cell r="CF702" t="str">
            <v>N/A</v>
          </cell>
          <cell r="CG702" t="str">
            <v>N/A</v>
          </cell>
          <cell r="CH702" t="str">
            <v>N/A</v>
          </cell>
          <cell r="CI702" t="str">
            <v>N/A</v>
          </cell>
          <cell r="CJ702" t="str">
            <v>$1,000 / $2,000</v>
          </cell>
          <cell r="CK702">
            <v>0.8</v>
          </cell>
          <cell r="CL702" t="str">
            <v>$2,000 / $4,000</v>
          </cell>
          <cell r="CM702" t="str">
            <v>$2,000 / $4,000</v>
          </cell>
          <cell r="CN702">
            <v>0.6</v>
          </cell>
          <cell r="CO702" t="str">
            <v>$4,000 / $8,000</v>
          </cell>
          <cell r="CP702" t="str">
            <v>Emb</v>
          </cell>
          <cell r="CS702" t="str">
            <v>INS</v>
          </cell>
          <cell r="CT702" t="str">
            <v>Choice +</v>
          </cell>
          <cell r="CU702">
            <v>0.86260000000000003</v>
          </cell>
          <cell r="CV702" t="str">
            <v>H9-HRA</v>
          </cell>
          <cell r="CW702" t="str">
            <v>CPHRA14W</v>
          </cell>
          <cell r="CX702">
            <v>0.83130000000000004</v>
          </cell>
        </row>
        <row r="703">
          <cell r="CA703">
            <v>538</v>
          </cell>
          <cell r="CB703" t="str">
            <v>Choice Plus HRA</v>
          </cell>
          <cell r="CC703" t="str">
            <v>N/A</v>
          </cell>
          <cell r="CD703" t="str">
            <v>N/A</v>
          </cell>
          <cell r="CE703" t="str">
            <v>N/A</v>
          </cell>
          <cell r="CF703" t="str">
            <v>N/A</v>
          </cell>
          <cell r="CG703" t="str">
            <v>N/A</v>
          </cell>
          <cell r="CH703" t="str">
            <v>N/A</v>
          </cell>
          <cell r="CI703" t="str">
            <v>N/A</v>
          </cell>
          <cell r="CJ703" t="str">
            <v>$3,000 / $6,000</v>
          </cell>
          <cell r="CK703">
            <v>1</v>
          </cell>
          <cell r="CL703" t="str">
            <v>$4,000 / $8,000</v>
          </cell>
          <cell r="CM703" t="str">
            <v>$5,000 / $10,000</v>
          </cell>
          <cell r="CN703">
            <v>0.8</v>
          </cell>
          <cell r="CO703" t="str">
            <v>$6,000 / $12,000</v>
          </cell>
          <cell r="CP703" t="str">
            <v>Emb</v>
          </cell>
          <cell r="CS703" t="str">
            <v>INS</v>
          </cell>
          <cell r="CT703" t="str">
            <v>Choice +</v>
          </cell>
          <cell r="CU703">
            <v>0.76239999999999997</v>
          </cell>
          <cell r="CV703" t="str">
            <v>H9-HRA</v>
          </cell>
          <cell r="CW703" t="str">
            <v>CPHRA14W</v>
          </cell>
          <cell r="CX703">
            <v>0.71699999999999997</v>
          </cell>
        </row>
        <row r="704">
          <cell r="CA704">
            <v>539</v>
          </cell>
          <cell r="CB704" t="str">
            <v>Choice Plus HRA</v>
          </cell>
          <cell r="CC704" t="str">
            <v>N/A</v>
          </cell>
          <cell r="CD704" t="str">
            <v>N/A</v>
          </cell>
          <cell r="CE704" t="str">
            <v>N/A</v>
          </cell>
          <cell r="CF704" t="str">
            <v>N/A</v>
          </cell>
          <cell r="CG704" t="str">
            <v>N/A</v>
          </cell>
          <cell r="CH704" t="str">
            <v>N/A</v>
          </cell>
          <cell r="CI704" t="str">
            <v>N/A</v>
          </cell>
          <cell r="CJ704" t="str">
            <v>$1,500 / $3,000</v>
          </cell>
          <cell r="CK704">
            <v>0.9</v>
          </cell>
          <cell r="CL704" t="str">
            <v>$2,500 / $5,000</v>
          </cell>
          <cell r="CM704" t="str">
            <v>$3,000 / $6,000</v>
          </cell>
          <cell r="CN704">
            <v>0.7</v>
          </cell>
          <cell r="CO704" t="str">
            <v>$5,000 / $10,000</v>
          </cell>
          <cell r="CP704" t="str">
            <v>Emb</v>
          </cell>
          <cell r="CS704" t="str">
            <v>INS</v>
          </cell>
          <cell r="CT704" t="str">
            <v>Choice +</v>
          </cell>
          <cell r="CU704">
            <v>0.68869999999999998</v>
          </cell>
          <cell r="CW704" t="str">
            <v>CPNHRA14W</v>
          </cell>
          <cell r="CX704">
            <v>0.61880000000000002</v>
          </cell>
        </row>
        <row r="705">
          <cell r="CA705">
            <v>540</v>
          </cell>
          <cell r="CB705" t="str">
            <v>Choice Plus HRA</v>
          </cell>
          <cell r="CC705" t="str">
            <v>N/A</v>
          </cell>
          <cell r="CD705" t="str">
            <v>N/A</v>
          </cell>
          <cell r="CE705" t="str">
            <v>N/A</v>
          </cell>
          <cell r="CF705" t="str">
            <v>N/A</v>
          </cell>
          <cell r="CG705" t="str">
            <v>N/A</v>
          </cell>
          <cell r="CH705" t="str">
            <v>N/A</v>
          </cell>
          <cell r="CI705" t="str">
            <v>N/A</v>
          </cell>
          <cell r="CJ705" t="str">
            <v>$2,000 / $4,000</v>
          </cell>
          <cell r="CK705">
            <v>1</v>
          </cell>
          <cell r="CL705" t="str">
            <v>$2,000 / $4,000</v>
          </cell>
          <cell r="CM705" t="str">
            <v>$5,000 / $10,000</v>
          </cell>
          <cell r="CN705">
            <v>0.8</v>
          </cell>
          <cell r="CO705" t="str">
            <v>$10,000 / $20,000</v>
          </cell>
          <cell r="CP705" t="str">
            <v>Emb</v>
          </cell>
          <cell r="CS705" t="str">
            <v>INS</v>
          </cell>
          <cell r="CT705" t="str">
            <v>Choice +</v>
          </cell>
          <cell r="CU705">
            <v>0.72319999999999995</v>
          </cell>
          <cell r="CW705" t="str">
            <v>CPNHRA14W</v>
          </cell>
          <cell r="CX705">
            <v>0.61</v>
          </cell>
        </row>
        <row r="706">
          <cell r="CA706">
            <v>541</v>
          </cell>
          <cell r="CB706" t="str">
            <v>Choice Plus HRA</v>
          </cell>
          <cell r="CC706" t="str">
            <v>N/A</v>
          </cell>
          <cell r="CD706" t="str">
            <v>N/A</v>
          </cell>
          <cell r="CE706" t="str">
            <v>N/A</v>
          </cell>
          <cell r="CF706" t="str">
            <v>N/A</v>
          </cell>
          <cell r="CG706" t="str">
            <v>N/A</v>
          </cell>
          <cell r="CH706" t="str">
            <v>N/A</v>
          </cell>
          <cell r="CI706" t="str">
            <v>N/A</v>
          </cell>
          <cell r="CJ706" t="str">
            <v>$1,500 / $3,000</v>
          </cell>
          <cell r="CK706">
            <v>0.8</v>
          </cell>
          <cell r="CL706" t="str">
            <v>$2,500 / $5,000</v>
          </cell>
          <cell r="CM706" t="str">
            <v>$3,000 / $6,000</v>
          </cell>
          <cell r="CN706">
            <v>0.6</v>
          </cell>
          <cell r="CO706" t="str">
            <v>$5,000 / $10,000</v>
          </cell>
          <cell r="CP706" t="str">
            <v>Emb</v>
          </cell>
          <cell r="CS706" t="str">
            <v>INS</v>
          </cell>
          <cell r="CT706" t="str">
            <v>Choice +</v>
          </cell>
          <cell r="CU706">
            <v>0.68049999999999999</v>
          </cell>
          <cell r="CW706" t="str">
            <v>CPNHRA14W</v>
          </cell>
          <cell r="CX706">
            <v>0.61380000000000001</v>
          </cell>
        </row>
        <row r="707">
          <cell r="CA707">
            <v>542</v>
          </cell>
          <cell r="CB707" t="str">
            <v>Choice Plus HRA</v>
          </cell>
          <cell r="CC707" t="str">
            <v>N/A</v>
          </cell>
          <cell r="CD707" t="str">
            <v>N/A</v>
          </cell>
          <cell r="CE707" t="str">
            <v>N/A</v>
          </cell>
          <cell r="CF707" t="str">
            <v>N/A</v>
          </cell>
          <cell r="CG707" t="str">
            <v>N/A</v>
          </cell>
          <cell r="CH707" t="str">
            <v>N/A</v>
          </cell>
          <cell r="CI707" t="str">
            <v>N/A</v>
          </cell>
          <cell r="CJ707" t="str">
            <v>$5,000 / $10,000</v>
          </cell>
          <cell r="CK707">
            <v>1</v>
          </cell>
          <cell r="CL707" t="str">
            <v>$5,000 / $10,000</v>
          </cell>
          <cell r="CM707" t="str">
            <v>$10,000 / $20,000</v>
          </cell>
          <cell r="CN707">
            <v>0.7</v>
          </cell>
          <cell r="CO707" t="str">
            <v>$20,000 / $40,000</v>
          </cell>
          <cell r="CP707" t="str">
            <v>Emb</v>
          </cell>
          <cell r="CS707" t="str">
            <v>INS</v>
          </cell>
          <cell r="CT707" t="str">
            <v>Choice +</v>
          </cell>
          <cell r="CU707">
            <v>0.62009999999999998</v>
          </cell>
          <cell r="CV707" t="str">
            <v>H9-HRA</v>
          </cell>
          <cell r="CW707" t="str">
            <v>CPHRA14W</v>
          </cell>
          <cell r="CX707">
            <v>0.64239999999999997</v>
          </cell>
        </row>
        <row r="708">
          <cell r="CA708">
            <v>543</v>
          </cell>
          <cell r="CB708" t="str">
            <v>Choice Plus HRA</v>
          </cell>
          <cell r="CC708" t="str">
            <v>N/A</v>
          </cell>
          <cell r="CD708" t="str">
            <v>N/A</v>
          </cell>
          <cell r="CE708" t="str">
            <v>N/A</v>
          </cell>
          <cell r="CF708" t="str">
            <v>N/A</v>
          </cell>
          <cell r="CG708" t="str">
            <v>N/A</v>
          </cell>
          <cell r="CH708" t="str">
            <v>N/A</v>
          </cell>
          <cell r="CI708" t="str">
            <v>N/A</v>
          </cell>
          <cell r="CJ708" t="str">
            <v>$3,000 / $6,000</v>
          </cell>
          <cell r="CK708">
            <v>0.9</v>
          </cell>
          <cell r="CL708" t="str">
            <v>$4,000 / $8,000</v>
          </cell>
          <cell r="CM708" t="str">
            <v>$5,000 / $10,000</v>
          </cell>
          <cell r="CN708">
            <v>0.7</v>
          </cell>
          <cell r="CO708" t="str">
            <v>$6,000 / $12,000</v>
          </cell>
          <cell r="CP708" t="str">
            <v>Emb</v>
          </cell>
          <cell r="CS708" t="str">
            <v>INS</v>
          </cell>
          <cell r="CT708" t="str">
            <v>Choice +</v>
          </cell>
          <cell r="CU708">
            <v>0.67879999999999996</v>
          </cell>
          <cell r="CV708" t="str">
            <v>H9-HRA</v>
          </cell>
          <cell r="CW708" t="str">
            <v>CPHRA14W</v>
          </cell>
          <cell r="CX708">
            <v>0.70779999999999998</v>
          </cell>
        </row>
        <row r="709">
          <cell r="CA709">
            <v>544</v>
          </cell>
          <cell r="CB709" t="str">
            <v>Choice Plus HRA</v>
          </cell>
          <cell r="CC709" t="str">
            <v>N/A</v>
          </cell>
          <cell r="CD709" t="str">
            <v>N/A</v>
          </cell>
          <cell r="CE709" t="str">
            <v>N/A</v>
          </cell>
          <cell r="CF709" t="str">
            <v>N/A</v>
          </cell>
          <cell r="CG709" t="str">
            <v>N/A</v>
          </cell>
          <cell r="CH709" t="str">
            <v>N/A</v>
          </cell>
          <cell r="CI709" t="str">
            <v>N/A</v>
          </cell>
          <cell r="CJ709" t="str">
            <v>$2,000 / $4,000</v>
          </cell>
          <cell r="CK709">
            <v>0.8</v>
          </cell>
          <cell r="CL709" t="str">
            <v>$4,000 / $8,000</v>
          </cell>
          <cell r="CM709" t="str">
            <v>$4,000 / $8,000</v>
          </cell>
          <cell r="CN709">
            <v>0.6</v>
          </cell>
          <cell r="CO709" t="str">
            <v>$9,000 / $18,000</v>
          </cell>
          <cell r="CP709" t="str">
            <v>Emb</v>
          </cell>
          <cell r="CS709" t="str">
            <v>INS</v>
          </cell>
          <cell r="CT709" t="str">
            <v>Choice +</v>
          </cell>
          <cell r="CU709">
            <v>0.71609999999999996</v>
          </cell>
          <cell r="CV709" t="str">
            <v>H9-HRA</v>
          </cell>
          <cell r="CW709" t="str">
            <v>CPHRA14W</v>
          </cell>
          <cell r="CX709">
            <v>0.73860000000000003</v>
          </cell>
        </row>
        <row r="710">
          <cell r="CA710">
            <v>545</v>
          </cell>
          <cell r="CB710" t="str">
            <v>Choice Plus HRA</v>
          </cell>
          <cell r="CC710" t="str">
            <v>N/A</v>
          </cell>
          <cell r="CD710" t="str">
            <v>N/A</v>
          </cell>
          <cell r="CE710" t="str">
            <v>N/A</v>
          </cell>
          <cell r="CF710" t="str">
            <v>N/A</v>
          </cell>
          <cell r="CG710" t="str">
            <v>N/A</v>
          </cell>
          <cell r="CH710" t="str">
            <v>N/A</v>
          </cell>
          <cell r="CI710" t="str">
            <v>N/A</v>
          </cell>
          <cell r="CJ710" t="str">
            <v>$2,000 / $4,000</v>
          </cell>
          <cell r="CK710">
            <v>0.9</v>
          </cell>
          <cell r="CL710" t="str">
            <v>$4,000 / $8,000</v>
          </cell>
          <cell r="CM710" t="str">
            <v>$4,000 / $8,000</v>
          </cell>
          <cell r="CN710">
            <v>0.7</v>
          </cell>
          <cell r="CO710" t="str">
            <v>$8,000 / $16,000</v>
          </cell>
          <cell r="CP710" t="str">
            <v>Emb</v>
          </cell>
          <cell r="CS710" t="str">
            <v>INS</v>
          </cell>
          <cell r="CT710" t="str">
            <v>Choice +</v>
          </cell>
          <cell r="CU710">
            <v>0.62519999999999998</v>
          </cell>
          <cell r="CW710" t="str">
            <v>CPNHRA14W</v>
          </cell>
          <cell r="CX710">
            <v>0.58050000000000002</v>
          </cell>
        </row>
        <row r="711">
          <cell r="CA711">
            <v>546</v>
          </cell>
          <cell r="CB711" t="str">
            <v>Choice Plus HRA</v>
          </cell>
          <cell r="CC711" t="str">
            <v>N/A</v>
          </cell>
          <cell r="CD711" t="str">
            <v>N/A</v>
          </cell>
          <cell r="CE711" t="str">
            <v>N/A</v>
          </cell>
          <cell r="CF711" t="str">
            <v>N/A</v>
          </cell>
          <cell r="CG711" t="str">
            <v>N/A</v>
          </cell>
          <cell r="CH711" t="str">
            <v>N/A</v>
          </cell>
          <cell r="CI711" t="str">
            <v>N/A</v>
          </cell>
          <cell r="CJ711" t="str">
            <v>$3,000 / $6,000</v>
          </cell>
          <cell r="CK711">
            <v>0.8</v>
          </cell>
          <cell r="CL711" t="str">
            <v>$4,000 / $8,000</v>
          </cell>
          <cell r="CM711" t="str">
            <v>$5,000 / $10,000</v>
          </cell>
          <cell r="CN711">
            <v>0.6</v>
          </cell>
          <cell r="CO711" t="str">
            <v>$6,000 / $12,000</v>
          </cell>
          <cell r="CP711" t="str">
            <v>Emb</v>
          </cell>
          <cell r="CS711" t="str">
            <v>INS</v>
          </cell>
          <cell r="CT711" t="str">
            <v>Choice +</v>
          </cell>
          <cell r="CU711">
            <v>0.67169999999999996</v>
          </cell>
          <cell r="CV711" t="str">
            <v>H9-HRA</v>
          </cell>
          <cell r="CW711" t="str">
            <v>CPHRA14W</v>
          </cell>
          <cell r="CX711">
            <v>0.70379999999999998</v>
          </cell>
        </row>
        <row r="712">
          <cell r="CA712">
            <v>547</v>
          </cell>
          <cell r="CB712" t="str">
            <v>Choice Plus HRA</v>
          </cell>
          <cell r="CC712" t="str">
            <v>N/A</v>
          </cell>
          <cell r="CD712" t="str">
            <v>N/A</v>
          </cell>
          <cell r="CE712" t="str">
            <v>N/A</v>
          </cell>
          <cell r="CF712" t="str">
            <v>N/A</v>
          </cell>
          <cell r="CG712" t="str">
            <v>N/A</v>
          </cell>
          <cell r="CH712" t="str">
            <v>N/A</v>
          </cell>
          <cell r="CI712" t="str">
            <v>N/A</v>
          </cell>
          <cell r="CJ712" t="str">
            <v>$2,500 / $5,000</v>
          </cell>
          <cell r="CK712">
            <v>0.8</v>
          </cell>
          <cell r="CL712" t="str">
            <v>$5,000 / $10,000</v>
          </cell>
          <cell r="CM712" t="str">
            <v>$6,000 / $12,000</v>
          </cell>
          <cell r="CN712">
            <v>0.6</v>
          </cell>
          <cell r="CO712" t="str">
            <v>$10,000 / $20,000</v>
          </cell>
          <cell r="CP712" t="str">
            <v>Emb</v>
          </cell>
          <cell r="CS712" t="str">
            <v>INS</v>
          </cell>
          <cell r="CT712" t="str">
            <v>Choice +</v>
          </cell>
          <cell r="CU712">
            <v>0.66190000000000004</v>
          </cell>
          <cell r="CV712" t="str">
            <v>H9-HRA</v>
          </cell>
          <cell r="CW712" t="str">
            <v>CPHRA14W</v>
          </cell>
          <cell r="CX712">
            <v>0.70230000000000004</v>
          </cell>
        </row>
        <row r="713">
          <cell r="CA713">
            <v>548</v>
          </cell>
          <cell r="CB713" t="str">
            <v>Choice Plus HRA</v>
          </cell>
          <cell r="CC713" t="str">
            <v>N/A</v>
          </cell>
          <cell r="CD713" t="str">
            <v>N/A</v>
          </cell>
          <cell r="CE713" t="str">
            <v>N/A</v>
          </cell>
          <cell r="CF713" t="str">
            <v>N/A</v>
          </cell>
          <cell r="CG713" t="str">
            <v>N/A</v>
          </cell>
          <cell r="CH713" t="str">
            <v>N/A</v>
          </cell>
          <cell r="CI713" t="str">
            <v>N/A</v>
          </cell>
          <cell r="CJ713" t="str">
            <v>$3,000 / $6,000</v>
          </cell>
          <cell r="CK713">
            <v>0.9</v>
          </cell>
          <cell r="CL713" t="str">
            <v>$5,000 / $10,000</v>
          </cell>
          <cell r="CM713" t="str">
            <v>$5,000 / $10,000</v>
          </cell>
          <cell r="CN713">
            <v>0.7</v>
          </cell>
          <cell r="CO713" t="str">
            <v>$10,000 / $20,000</v>
          </cell>
          <cell r="CP713" t="str">
            <v>Emb</v>
          </cell>
          <cell r="CS713" t="str">
            <v>INS</v>
          </cell>
          <cell r="CT713" t="str">
            <v>Choice +</v>
          </cell>
          <cell r="CU713">
            <v>0.65710000000000002</v>
          </cell>
          <cell r="CV713" t="str">
            <v>H9-HRA</v>
          </cell>
          <cell r="CW713" t="str">
            <v>CPHRA14W</v>
          </cell>
          <cell r="CX713">
            <v>0.69389999999999996</v>
          </cell>
        </row>
        <row r="714">
          <cell r="CA714">
            <v>552</v>
          </cell>
          <cell r="CB714" t="str">
            <v>Choice Plus HSA</v>
          </cell>
          <cell r="CC714" t="str">
            <v>N/A</v>
          </cell>
          <cell r="CD714" t="str">
            <v>N/A</v>
          </cell>
          <cell r="CE714" t="str">
            <v>N/A</v>
          </cell>
          <cell r="CF714" t="str">
            <v>N/A</v>
          </cell>
          <cell r="CG714" t="str">
            <v>N/A</v>
          </cell>
          <cell r="CH714" t="str">
            <v>N/A</v>
          </cell>
          <cell r="CI714" t="str">
            <v>N/A</v>
          </cell>
          <cell r="CJ714" t="str">
            <v>$3,000 / $6,000</v>
          </cell>
          <cell r="CK714">
            <v>1</v>
          </cell>
          <cell r="CL714" t="str">
            <v>$4,000 / $8,000</v>
          </cell>
          <cell r="CM714" t="str">
            <v>$5,000 / $10,000</v>
          </cell>
          <cell r="CN714">
            <v>0.8</v>
          </cell>
          <cell r="CO714" t="str">
            <v>$6,000 / $12,000</v>
          </cell>
          <cell r="CP714" t="str">
            <v>Emb</v>
          </cell>
          <cell r="CS714" t="str">
            <v>INS</v>
          </cell>
          <cell r="CT714" t="str">
            <v>Choice +</v>
          </cell>
          <cell r="CU714">
            <v>0.73309999999999997</v>
          </cell>
          <cell r="CV714" t="str">
            <v>H9-HSA</v>
          </cell>
          <cell r="CW714" t="str">
            <v>CPHSA14W</v>
          </cell>
          <cell r="CX714">
            <v>0.71699999999999997</v>
          </cell>
        </row>
        <row r="715">
          <cell r="CA715">
            <v>557</v>
          </cell>
          <cell r="CB715" t="str">
            <v>Choice Plus HSA</v>
          </cell>
          <cell r="CC715" t="str">
            <v>N/A</v>
          </cell>
          <cell r="CD715" t="str">
            <v>N/A</v>
          </cell>
          <cell r="CE715" t="str">
            <v>N/A</v>
          </cell>
          <cell r="CF715" t="str">
            <v>N/A</v>
          </cell>
          <cell r="CG715" t="str">
            <v>N/A</v>
          </cell>
          <cell r="CH715" t="str">
            <v>N/A</v>
          </cell>
          <cell r="CI715" t="str">
            <v>N/A</v>
          </cell>
          <cell r="CJ715" t="str">
            <v>$3,000 / $6,000</v>
          </cell>
          <cell r="CK715">
            <v>0.9</v>
          </cell>
          <cell r="CL715" t="str">
            <v>$4,000 / $8,000</v>
          </cell>
          <cell r="CM715" t="str">
            <v>$5,000 / $10,000</v>
          </cell>
          <cell r="CN715">
            <v>0.7</v>
          </cell>
          <cell r="CO715" t="str">
            <v>$6,000 / $12,000</v>
          </cell>
          <cell r="CP715" t="str">
            <v>Emb</v>
          </cell>
          <cell r="CS715" t="str">
            <v>INS</v>
          </cell>
          <cell r="CT715" t="str">
            <v>Choice +</v>
          </cell>
          <cell r="CU715">
            <v>0.66549999999999998</v>
          </cell>
          <cell r="CV715" t="str">
            <v>H9-HSA</v>
          </cell>
          <cell r="CW715" t="str">
            <v>CPHSA14W</v>
          </cell>
          <cell r="CX715">
            <v>0.70779999999999998</v>
          </cell>
        </row>
        <row r="716">
          <cell r="CA716">
            <v>560</v>
          </cell>
          <cell r="CB716" t="str">
            <v>Choice Plus HSA</v>
          </cell>
          <cell r="CC716" t="str">
            <v>N/A</v>
          </cell>
          <cell r="CD716" t="str">
            <v>N/A</v>
          </cell>
          <cell r="CE716" t="str">
            <v>N/A</v>
          </cell>
          <cell r="CF716" t="str">
            <v>N/A</v>
          </cell>
          <cell r="CG716" t="str">
            <v>N/A</v>
          </cell>
          <cell r="CH716" t="str">
            <v>N/A</v>
          </cell>
          <cell r="CI716" t="str">
            <v>N/A</v>
          </cell>
          <cell r="CJ716" t="str">
            <v>$3,000 / $6,000</v>
          </cell>
          <cell r="CK716">
            <v>0.9</v>
          </cell>
          <cell r="CL716" t="str">
            <v>$5,000 / $10,000</v>
          </cell>
          <cell r="CM716" t="str">
            <v>$5,000 / $10,000</v>
          </cell>
          <cell r="CN716">
            <v>0.7</v>
          </cell>
          <cell r="CO716" t="str">
            <v>$10,000 / $20,000</v>
          </cell>
          <cell r="CP716" t="str">
            <v>Emb</v>
          </cell>
          <cell r="CS716" t="str">
            <v>INS</v>
          </cell>
          <cell r="CT716" t="str">
            <v>Choice +</v>
          </cell>
          <cell r="CU716">
            <v>0.64419999999999999</v>
          </cell>
          <cell r="CV716" t="str">
            <v>H9-HSA</v>
          </cell>
          <cell r="CW716" t="str">
            <v>CPHSA14W</v>
          </cell>
          <cell r="CX716">
            <v>0.69389999999999996</v>
          </cell>
        </row>
        <row r="717">
          <cell r="CA717">
            <v>563</v>
          </cell>
          <cell r="CB717" t="str">
            <v>Choice Plus HSA</v>
          </cell>
          <cell r="CC717" t="str">
            <v>N/A</v>
          </cell>
          <cell r="CD717" t="str">
            <v>N/A</v>
          </cell>
          <cell r="CE717" t="str">
            <v>N/A</v>
          </cell>
          <cell r="CF717" t="str">
            <v>N/A</v>
          </cell>
          <cell r="CG717" t="str">
            <v>N/A</v>
          </cell>
          <cell r="CH717" t="str">
            <v>N/A</v>
          </cell>
          <cell r="CI717" t="str">
            <v>N/A</v>
          </cell>
          <cell r="CJ717" t="str">
            <v>$3,000 / $6,000</v>
          </cell>
          <cell r="CK717">
            <v>0.8</v>
          </cell>
          <cell r="CL717" t="str">
            <v>$5,000 / $10,000</v>
          </cell>
          <cell r="CM717" t="str">
            <v>$6,000 / $12,000</v>
          </cell>
          <cell r="CN717">
            <v>0.6</v>
          </cell>
          <cell r="CO717" t="str">
            <v>$10,000 / $20,000</v>
          </cell>
          <cell r="CP717" t="str">
            <v>Emb</v>
          </cell>
          <cell r="CS717" t="str">
            <v>INS</v>
          </cell>
          <cell r="CT717" t="str">
            <v>Choice +</v>
          </cell>
          <cell r="CU717">
            <v>0.62339999999999995</v>
          </cell>
          <cell r="CV717" t="str">
            <v>H9-HSA</v>
          </cell>
          <cell r="CW717" t="str">
            <v>CPHSA14W</v>
          </cell>
          <cell r="CX717">
            <v>0.68410000000000004</v>
          </cell>
        </row>
        <row r="718">
          <cell r="CA718">
            <v>564</v>
          </cell>
          <cell r="CB718" t="str">
            <v>Choice Plus HSA</v>
          </cell>
          <cell r="CC718" t="str">
            <v>N/A</v>
          </cell>
          <cell r="CD718" t="str">
            <v>N/A</v>
          </cell>
          <cell r="CE718" t="str">
            <v>N/A</v>
          </cell>
          <cell r="CF718" t="str">
            <v>N/A</v>
          </cell>
          <cell r="CG718" t="str">
            <v>N/A</v>
          </cell>
          <cell r="CH718" t="str">
            <v>N/A</v>
          </cell>
          <cell r="CI718" t="str">
            <v>N/A</v>
          </cell>
          <cell r="CJ718" t="str">
            <v>$5,000 / $10,000</v>
          </cell>
          <cell r="CK718">
            <v>0.7</v>
          </cell>
          <cell r="CL718" t="str">
            <v>$6,350 / $12,700</v>
          </cell>
          <cell r="CM718" t="str">
            <v>$10,000 / $20,000</v>
          </cell>
          <cell r="CN718">
            <v>0.5</v>
          </cell>
          <cell r="CO718" t="str">
            <v>$12,700 / $25,400</v>
          </cell>
          <cell r="CP718" t="str">
            <v>Emb</v>
          </cell>
          <cell r="CS718" t="str">
            <v>INS</v>
          </cell>
          <cell r="CT718" t="str">
            <v>Choice +</v>
          </cell>
          <cell r="CU718">
            <v>0.56059999999999999</v>
          </cell>
          <cell r="CV718" t="str">
            <v>H9-HSA</v>
          </cell>
          <cell r="CW718" t="str">
            <v>CPHSA14W</v>
          </cell>
          <cell r="CX718">
            <v>0.61019999999999996</v>
          </cell>
        </row>
        <row r="719">
          <cell r="CA719">
            <v>565</v>
          </cell>
          <cell r="CB719" t="str">
            <v>Choice Plus HSA</v>
          </cell>
          <cell r="CC719" t="str">
            <v>N/A</v>
          </cell>
          <cell r="CD719" t="str">
            <v>N/A</v>
          </cell>
          <cell r="CE719" t="str">
            <v>N/A</v>
          </cell>
          <cell r="CF719" t="str">
            <v>N/A</v>
          </cell>
          <cell r="CG719" t="str">
            <v>N/A</v>
          </cell>
          <cell r="CH719" t="str">
            <v>N/A</v>
          </cell>
          <cell r="CI719" t="str">
            <v>N/A</v>
          </cell>
          <cell r="CJ719" t="str">
            <v>$5,500 / $11,000</v>
          </cell>
          <cell r="CK719">
            <v>0.7</v>
          </cell>
          <cell r="CL719" t="str">
            <v>$6,350 / $12,700</v>
          </cell>
          <cell r="CM719" t="str">
            <v>$11,000 / $22,000</v>
          </cell>
          <cell r="CN719">
            <v>0.5</v>
          </cell>
          <cell r="CO719" t="str">
            <v>$12,700 / $25,400</v>
          </cell>
          <cell r="CP719" t="str">
            <v>Emb</v>
          </cell>
          <cell r="CS719" t="str">
            <v>INS</v>
          </cell>
          <cell r="CT719" t="str">
            <v>Choice +</v>
          </cell>
          <cell r="CU719">
            <v>0.55659999999999998</v>
          </cell>
          <cell r="CV719" t="str">
            <v>H9-HSA</v>
          </cell>
          <cell r="CW719" t="str">
            <v>CPHSA14W</v>
          </cell>
          <cell r="CX719">
            <v>0.60470000000000002</v>
          </cell>
        </row>
        <row r="720">
          <cell r="CA720">
            <v>566</v>
          </cell>
          <cell r="CB720" t="str">
            <v>Choice Plus HSA</v>
          </cell>
          <cell r="CC720" t="str">
            <v>N/A</v>
          </cell>
          <cell r="CD720" t="str">
            <v>N/A</v>
          </cell>
          <cell r="CE720" t="str">
            <v>N/A</v>
          </cell>
          <cell r="CF720" t="str">
            <v>N/A</v>
          </cell>
          <cell r="CG720" t="str">
            <v>N/A</v>
          </cell>
          <cell r="CH720" t="str">
            <v>N/A</v>
          </cell>
          <cell r="CI720" t="str">
            <v>N/A</v>
          </cell>
          <cell r="CJ720" t="str">
            <v>$6,000 / $12,000</v>
          </cell>
          <cell r="CK720">
            <v>0.65</v>
          </cell>
          <cell r="CL720" t="str">
            <v>$6,350 / $12,700</v>
          </cell>
          <cell r="CM720" t="str">
            <v>$12,000 / $24,000</v>
          </cell>
          <cell r="CN720">
            <v>0.5</v>
          </cell>
          <cell r="CO720" t="str">
            <v>$12,700 / $25,400</v>
          </cell>
          <cell r="CP720" t="str">
            <v>Emb</v>
          </cell>
          <cell r="CS720" t="str">
            <v>INS</v>
          </cell>
          <cell r="CT720" t="str">
            <v>Choice +</v>
          </cell>
          <cell r="CU720">
            <v>0.55420000000000003</v>
          </cell>
          <cell r="CV720" t="str">
            <v>H9-HSA</v>
          </cell>
          <cell r="CW720" t="str">
            <v>CPHSA14W</v>
          </cell>
          <cell r="CX720">
            <v>0.60109999999999997</v>
          </cell>
        </row>
        <row r="721">
          <cell r="CA721">
            <v>567</v>
          </cell>
          <cell r="CB721" t="str">
            <v>Choice Plus HSA</v>
          </cell>
          <cell r="CC721" t="str">
            <v>N/A</v>
          </cell>
          <cell r="CD721" t="str">
            <v>N/A</v>
          </cell>
          <cell r="CE721" t="str">
            <v>N/A</v>
          </cell>
          <cell r="CF721" t="str">
            <v>N/A</v>
          </cell>
          <cell r="CG721" t="str">
            <v>N/A</v>
          </cell>
          <cell r="CH721" t="str">
            <v>N/A</v>
          </cell>
          <cell r="CI721" t="str">
            <v>N/A</v>
          </cell>
          <cell r="CJ721" t="str">
            <v>$6,250 / $12,500</v>
          </cell>
          <cell r="CK721">
            <v>0.6</v>
          </cell>
          <cell r="CL721" t="str">
            <v>$6,350 / $12,700</v>
          </cell>
          <cell r="CM721" t="str">
            <v>$12,500 / $25,000</v>
          </cell>
          <cell r="CN721">
            <v>0.5</v>
          </cell>
          <cell r="CO721" t="str">
            <v>$12,700 / $25,400</v>
          </cell>
          <cell r="CP721" t="str">
            <v>Emb</v>
          </cell>
          <cell r="CS721" t="str">
            <v>INS</v>
          </cell>
          <cell r="CT721" t="str">
            <v>Choice +</v>
          </cell>
          <cell r="CU721">
            <v>0.55389999999999995</v>
          </cell>
          <cell r="CV721" t="str">
            <v>H9-HSA</v>
          </cell>
          <cell r="CW721" t="str">
            <v>CPHSA14W</v>
          </cell>
          <cell r="CX721">
            <v>0.60050000000000003</v>
          </cell>
        </row>
        <row r="722">
          <cell r="CA722" t="str">
            <v>AM8R</v>
          </cell>
          <cell r="CB722" t="str">
            <v>Choice Plus</v>
          </cell>
          <cell r="CC722">
            <v>20</v>
          </cell>
          <cell r="CD722">
            <v>20</v>
          </cell>
          <cell r="CE722" t="str">
            <v>N/A</v>
          </cell>
          <cell r="CF722">
            <v>250</v>
          </cell>
          <cell r="CG722">
            <v>50</v>
          </cell>
          <cell r="CH722">
            <v>100</v>
          </cell>
          <cell r="CI722" t="str">
            <v>N/A</v>
          </cell>
          <cell r="CJ722" t="str">
            <v>$0 / $0</v>
          </cell>
          <cell r="CK722">
            <v>1</v>
          </cell>
          <cell r="CL722" t="str">
            <v>$2,500 / $5,000</v>
          </cell>
          <cell r="CM722" t="str">
            <v>$5,000 / $10,000</v>
          </cell>
          <cell r="CN722">
            <v>0.5</v>
          </cell>
          <cell r="CO722" t="str">
            <v>$10,000 / $20,000</v>
          </cell>
          <cell r="CP722" t="str">
            <v>Emb</v>
          </cell>
          <cell r="CS722" t="str">
            <v>INS</v>
          </cell>
          <cell r="CT722" t="str">
            <v>Choice +</v>
          </cell>
          <cell r="CU722">
            <v>0.93479999999999996</v>
          </cell>
          <cell r="CW722" t="str">
            <v>CP14W</v>
          </cell>
          <cell r="CX722">
            <v>0.96909999999999996</v>
          </cell>
        </row>
        <row r="723">
          <cell r="CA723" t="str">
            <v>AOPS</v>
          </cell>
          <cell r="CB723" t="str">
            <v>Choice Plus</v>
          </cell>
          <cell r="CC723">
            <v>0.01</v>
          </cell>
          <cell r="CD723">
            <v>100</v>
          </cell>
          <cell r="CE723" t="str">
            <v>N/A</v>
          </cell>
          <cell r="CF723" t="str">
            <v>N/A</v>
          </cell>
          <cell r="CG723">
            <v>50</v>
          </cell>
          <cell r="CH723" t="str">
            <v>N/A</v>
          </cell>
          <cell r="CI723" t="str">
            <v>N/A</v>
          </cell>
          <cell r="CJ723" t="str">
            <v>$2,000 / $4,000</v>
          </cell>
          <cell r="CK723">
            <v>0.8</v>
          </cell>
          <cell r="CL723" t="str">
            <v>$6,500 / $13,000</v>
          </cell>
          <cell r="CM723" t="str">
            <v>$4,000 / $8,000</v>
          </cell>
          <cell r="CN723">
            <v>0.5</v>
          </cell>
          <cell r="CO723" t="str">
            <v>$13,000 / $26,000</v>
          </cell>
          <cell r="CP723" t="str">
            <v>Emb</v>
          </cell>
          <cell r="CS723" t="str">
            <v>INS</v>
          </cell>
          <cell r="CT723" t="str">
            <v>Choice +</v>
          </cell>
          <cell r="CU723">
            <v>0.63119999999999998</v>
          </cell>
          <cell r="CW723" t="str">
            <v>CP17</v>
          </cell>
          <cell r="CX723">
            <v>0.79359999999999997</v>
          </cell>
        </row>
        <row r="724">
          <cell r="CA724" t="str">
            <v>AOPT</v>
          </cell>
          <cell r="CB724" t="str">
            <v>Choice Plus</v>
          </cell>
          <cell r="CC724">
            <v>0.01</v>
          </cell>
          <cell r="CD724">
            <v>100</v>
          </cell>
          <cell r="CE724" t="str">
            <v>N/A</v>
          </cell>
          <cell r="CF724" t="str">
            <v>N/A</v>
          </cell>
          <cell r="CG724">
            <v>50</v>
          </cell>
          <cell r="CH724" t="str">
            <v>N/A</v>
          </cell>
          <cell r="CI724" t="str">
            <v>N/A</v>
          </cell>
          <cell r="CJ724" t="str">
            <v>$2,500 / $5,000</v>
          </cell>
          <cell r="CK724">
            <v>0.8</v>
          </cell>
          <cell r="CL724" t="str">
            <v>$6,500 / $13,000</v>
          </cell>
          <cell r="CM724" t="str">
            <v>$5,000 / $1,0000</v>
          </cell>
          <cell r="CN724">
            <v>0.5</v>
          </cell>
          <cell r="CO724" t="str">
            <v>$13,000 / $26,000</v>
          </cell>
          <cell r="CP724" t="str">
            <v>Emb</v>
          </cell>
          <cell r="CS724" t="str">
            <v>INS</v>
          </cell>
          <cell r="CT724" t="str">
            <v>Choice +</v>
          </cell>
          <cell r="CU724">
            <v>0.61539999999999995</v>
          </cell>
          <cell r="CW724" t="str">
            <v>CP17</v>
          </cell>
          <cell r="CX724">
            <v>0.78569999999999995</v>
          </cell>
        </row>
        <row r="725">
          <cell r="CA725" t="str">
            <v>AOPU</v>
          </cell>
          <cell r="CB725" t="str">
            <v>Choice Plus</v>
          </cell>
          <cell r="CC725">
            <v>0.01</v>
          </cell>
          <cell r="CD725">
            <v>100</v>
          </cell>
          <cell r="CE725" t="str">
            <v>N/A</v>
          </cell>
          <cell r="CF725" t="str">
            <v>N/A</v>
          </cell>
          <cell r="CG725">
            <v>50</v>
          </cell>
          <cell r="CH725" t="str">
            <v>N/A</v>
          </cell>
          <cell r="CI725" t="str">
            <v>N/A</v>
          </cell>
          <cell r="CJ725" t="str">
            <v>$3,000 / $6,000</v>
          </cell>
          <cell r="CK725">
            <v>0.8</v>
          </cell>
          <cell r="CL725" t="str">
            <v>$6,500 / $13,000</v>
          </cell>
          <cell r="CM725" t="str">
            <v>$6,000 / $12,000</v>
          </cell>
          <cell r="CN725">
            <v>0.5</v>
          </cell>
          <cell r="CO725" t="str">
            <v>$13,000 / $26,000</v>
          </cell>
          <cell r="CP725" t="str">
            <v>Emb</v>
          </cell>
          <cell r="CS725" t="str">
            <v>INS</v>
          </cell>
          <cell r="CT725" t="str">
            <v>Choice +</v>
          </cell>
          <cell r="CU725">
            <v>0.60270000000000001</v>
          </cell>
          <cell r="CW725" t="str">
            <v>CP17</v>
          </cell>
          <cell r="CX725">
            <v>0.77969999999999995</v>
          </cell>
        </row>
        <row r="726">
          <cell r="CA726" t="str">
            <v>AOPV</v>
          </cell>
          <cell r="CB726" t="str">
            <v>Choice Plus</v>
          </cell>
          <cell r="CC726">
            <v>0.01</v>
          </cell>
          <cell r="CD726">
            <v>100</v>
          </cell>
          <cell r="CE726" t="str">
            <v>N/A</v>
          </cell>
          <cell r="CF726" t="str">
            <v>N/A</v>
          </cell>
          <cell r="CG726">
            <v>50</v>
          </cell>
          <cell r="CH726" t="str">
            <v>N/A</v>
          </cell>
          <cell r="CI726" t="str">
            <v>N/A</v>
          </cell>
          <cell r="CJ726" t="str">
            <v>$4,000 / $8,000</v>
          </cell>
          <cell r="CK726">
            <v>0.8</v>
          </cell>
          <cell r="CL726" t="str">
            <v>$6,500 / $13,000</v>
          </cell>
          <cell r="CM726" t="str">
            <v>$8,000 / $16,000</v>
          </cell>
          <cell r="CN726">
            <v>0.5</v>
          </cell>
          <cell r="CO726" t="str">
            <v>$13,000 / $26,000</v>
          </cell>
          <cell r="CP726" t="str">
            <v>Emb</v>
          </cell>
          <cell r="CS726" t="str">
            <v>INS</v>
          </cell>
          <cell r="CT726" t="str">
            <v>Choice +</v>
          </cell>
          <cell r="CU726">
            <v>0.58440000000000003</v>
          </cell>
          <cell r="CW726" t="str">
            <v>CP17</v>
          </cell>
          <cell r="CX726">
            <v>0.77239999999999998</v>
          </cell>
        </row>
        <row r="727">
          <cell r="CA727" t="str">
            <v>AOPW</v>
          </cell>
          <cell r="CB727" t="str">
            <v>Choice Plus</v>
          </cell>
          <cell r="CC727">
            <v>0.01</v>
          </cell>
          <cell r="CD727">
            <v>100</v>
          </cell>
          <cell r="CE727" t="str">
            <v>N/A</v>
          </cell>
          <cell r="CF727" t="str">
            <v>N/A</v>
          </cell>
          <cell r="CG727">
            <v>50</v>
          </cell>
          <cell r="CH727" t="str">
            <v>N/A</v>
          </cell>
          <cell r="CI727" t="str">
            <v>N/A</v>
          </cell>
          <cell r="CJ727" t="str">
            <v>$5,000 / $10,000</v>
          </cell>
          <cell r="CK727">
            <v>0.8</v>
          </cell>
          <cell r="CL727" t="str">
            <v>$6,500 / $13,000</v>
          </cell>
          <cell r="CM727" t="str">
            <v>$1,0000 / $20,000</v>
          </cell>
          <cell r="CN727">
            <v>0.5</v>
          </cell>
          <cell r="CO727" t="str">
            <v>$13,000 / $26,000</v>
          </cell>
          <cell r="CP727" t="str">
            <v>Emb</v>
          </cell>
          <cell r="CS727" t="str">
            <v>INS</v>
          </cell>
          <cell r="CT727" t="str">
            <v>Choice +</v>
          </cell>
          <cell r="CU727">
            <v>0.57469999999999999</v>
          </cell>
          <cell r="CW727" t="str">
            <v>CP17</v>
          </cell>
          <cell r="CX727">
            <v>0.77029999999999998</v>
          </cell>
        </row>
        <row r="730">
          <cell r="CA730" t="str">
            <v>AXEP</v>
          </cell>
          <cell r="CB730" t="str">
            <v>Choice Plus HSA</v>
          </cell>
          <cell r="CC730" t="str">
            <v>N/A</v>
          </cell>
          <cell r="CD730" t="str">
            <v>N/A</v>
          </cell>
          <cell r="CE730" t="str">
            <v>N/A</v>
          </cell>
          <cell r="CF730" t="str">
            <v>N/A</v>
          </cell>
          <cell r="CG730" t="str">
            <v>N/A</v>
          </cell>
          <cell r="CH730" t="str">
            <v>N/A</v>
          </cell>
          <cell r="CI730" t="str">
            <v>N/A</v>
          </cell>
          <cell r="CJ730" t="str">
            <v>$1,350 / $2,700</v>
          </cell>
          <cell r="CK730">
            <v>0.9</v>
          </cell>
          <cell r="CL730" t="str">
            <v>$6,650 / $13,300</v>
          </cell>
          <cell r="CM730" t="str">
            <v>$2,700 / $5,400</v>
          </cell>
          <cell r="CN730">
            <v>0.7</v>
          </cell>
          <cell r="CO730" t="str">
            <v>$13,300 / $26,600</v>
          </cell>
          <cell r="CP730" t="str">
            <v>NonEmb</v>
          </cell>
          <cell r="CS730" t="str">
            <v>INS</v>
          </cell>
          <cell r="CT730" t="str">
            <v>Choice +</v>
          </cell>
          <cell r="CU730">
            <v>0.75180000000000002</v>
          </cell>
          <cell r="CV730" t="str">
            <v>H9-HSA</v>
          </cell>
          <cell r="CW730" t="str">
            <v>CPHSA18</v>
          </cell>
          <cell r="CX730">
            <v>0.83040000000000003</v>
          </cell>
        </row>
        <row r="731">
          <cell r="CA731" t="str">
            <v>AXEQ</v>
          </cell>
          <cell r="CB731" t="str">
            <v>Choice Plus HSA</v>
          </cell>
          <cell r="CC731" t="str">
            <v>N/A</v>
          </cell>
          <cell r="CD731" t="str">
            <v>N/A</v>
          </cell>
          <cell r="CE731" t="str">
            <v>N/A</v>
          </cell>
          <cell r="CF731" t="str">
            <v>N/A</v>
          </cell>
          <cell r="CG731" t="str">
            <v>N/A</v>
          </cell>
          <cell r="CH731" t="str">
            <v>N/A</v>
          </cell>
          <cell r="CI731" t="str">
            <v>N/A</v>
          </cell>
          <cell r="CJ731" t="str">
            <v>$1,500 / $2,700</v>
          </cell>
          <cell r="CK731">
            <v>0.9</v>
          </cell>
          <cell r="CL731" t="str">
            <v>$6,000 / $12,000</v>
          </cell>
          <cell r="CM731" t="str">
            <v>$3,000 / $6,000</v>
          </cell>
          <cell r="CN731">
            <v>0.7</v>
          </cell>
          <cell r="CO731" t="str">
            <v>$12,000 / $24,000</v>
          </cell>
          <cell r="CP731" t="str">
            <v>NonEmb</v>
          </cell>
          <cell r="CS731" t="str">
            <v>INS</v>
          </cell>
          <cell r="CT731" t="str">
            <v>Choice +</v>
          </cell>
          <cell r="CU731">
            <v>0.75090000000000001</v>
          </cell>
          <cell r="CV731" t="str">
            <v>H9-HSA</v>
          </cell>
          <cell r="CW731" t="str">
            <v>CPHSA18</v>
          </cell>
          <cell r="CX731">
            <v>0.79490000000000005</v>
          </cell>
        </row>
        <row r="732">
          <cell r="CA732" t="str">
            <v>AXER</v>
          </cell>
          <cell r="CB732" t="str">
            <v>Choice Plus HSA</v>
          </cell>
          <cell r="CC732" t="str">
            <v>N/A</v>
          </cell>
          <cell r="CD732" t="str">
            <v>N/A</v>
          </cell>
          <cell r="CE732" t="str">
            <v>N/A</v>
          </cell>
          <cell r="CF732" t="str">
            <v>N/A</v>
          </cell>
          <cell r="CG732" t="str">
            <v>N/A</v>
          </cell>
          <cell r="CH732" t="str">
            <v>N/A</v>
          </cell>
          <cell r="CI732" t="str">
            <v>N/A</v>
          </cell>
          <cell r="CJ732" t="str">
            <v>$1,350 / $2,700</v>
          </cell>
          <cell r="CK732">
            <v>0.8</v>
          </cell>
          <cell r="CL732" t="str">
            <v>$6,650 / $13,300</v>
          </cell>
          <cell r="CM732" t="str">
            <v>$2,700 / $5,400</v>
          </cell>
          <cell r="CN732">
            <v>0.6</v>
          </cell>
          <cell r="CO732" t="str">
            <v>$13,300 / $26,600</v>
          </cell>
          <cell r="CP732" t="str">
            <v>NonEmb</v>
          </cell>
          <cell r="CS732" t="str">
            <v>INS</v>
          </cell>
          <cell r="CT732" t="str">
            <v>Choice +</v>
          </cell>
          <cell r="CU732">
            <v>0.70099999999999996</v>
          </cell>
          <cell r="CV732" t="str">
            <v>H9-HSA</v>
          </cell>
          <cell r="CW732" t="str">
            <v>CPHSA18</v>
          </cell>
          <cell r="CX732">
            <v>0.77180000000000004</v>
          </cell>
        </row>
        <row r="733">
          <cell r="CA733" t="str">
            <v>AXES</v>
          </cell>
          <cell r="CB733" t="str">
            <v>Choice Plus HSA</v>
          </cell>
          <cell r="CC733" t="str">
            <v>N/A</v>
          </cell>
          <cell r="CD733" t="str">
            <v>N/A</v>
          </cell>
          <cell r="CE733" t="str">
            <v>N/A</v>
          </cell>
          <cell r="CF733" t="str">
            <v>N/A</v>
          </cell>
          <cell r="CG733" t="str">
            <v>N/A</v>
          </cell>
          <cell r="CH733" t="str">
            <v>N/A</v>
          </cell>
          <cell r="CI733" t="str">
            <v>N/A</v>
          </cell>
          <cell r="CJ733" t="str">
            <v>$1,500 / $2,700</v>
          </cell>
          <cell r="CK733">
            <v>0.8</v>
          </cell>
          <cell r="CL733" t="str">
            <v>$6,000 / $12,000</v>
          </cell>
          <cell r="CM733" t="str">
            <v>$3,000 / $6,000</v>
          </cell>
          <cell r="CN733">
            <v>0.6</v>
          </cell>
          <cell r="CO733" t="str">
            <v>$12,000 / $24,000</v>
          </cell>
          <cell r="CP733" t="str">
            <v>NonEmb</v>
          </cell>
          <cell r="CS733" t="str">
            <v>INS</v>
          </cell>
          <cell r="CT733" t="str">
            <v>Choice +</v>
          </cell>
          <cell r="CU733">
            <v>0.70409999999999995</v>
          </cell>
          <cell r="CV733" t="str">
            <v>H9-HSA</v>
          </cell>
          <cell r="CW733" t="str">
            <v>CPHSA18</v>
          </cell>
          <cell r="CX733">
            <v>0.76890000000000003</v>
          </cell>
        </row>
        <row r="734">
          <cell r="CA734" t="str">
            <v>AXET</v>
          </cell>
          <cell r="CB734" t="str">
            <v>Choice Plus HSA</v>
          </cell>
          <cell r="CC734" t="str">
            <v>N/A</v>
          </cell>
          <cell r="CD734" t="str">
            <v>N/A</v>
          </cell>
          <cell r="CE734" t="str">
            <v>N/A</v>
          </cell>
          <cell r="CF734" t="str">
            <v>N/A</v>
          </cell>
          <cell r="CG734" t="str">
            <v>N/A</v>
          </cell>
          <cell r="CH734" t="str">
            <v>N/A</v>
          </cell>
          <cell r="CI734" t="str">
            <v>N/A</v>
          </cell>
          <cell r="CJ734" t="str">
            <v>$2,000 / $2,700</v>
          </cell>
          <cell r="CK734">
            <v>0.8</v>
          </cell>
          <cell r="CL734" t="str">
            <v>$4,000 / $8,000</v>
          </cell>
          <cell r="CM734" t="str">
            <v>$5,400 / $10,800</v>
          </cell>
          <cell r="CN734">
            <v>0.6</v>
          </cell>
          <cell r="CO734" t="str">
            <v>$8,000 / $16,000</v>
          </cell>
          <cell r="CP734" t="str">
            <v>NonEmb</v>
          </cell>
          <cell r="CS734" t="str">
            <v>INS</v>
          </cell>
          <cell r="CT734" t="str">
            <v>Choice +</v>
          </cell>
          <cell r="CU734">
            <v>0.72589999999999999</v>
          </cell>
          <cell r="CV734" t="str">
            <v>H9-HSA</v>
          </cell>
          <cell r="CW734" t="str">
            <v>CPHSA18</v>
          </cell>
          <cell r="CX734">
            <v>0.77229999999999999</v>
          </cell>
        </row>
        <row r="735">
          <cell r="CA735" t="str">
            <v>AXEZ</v>
          </cell>
          <cell r="CB735" t="str">
            <v>Choice Plus HSA</v>
          </cell>
          <cell r="CC735" t="str">
            <v>N/A</v>
          </cell>
          <cell r="CD735" t="str">
            <v>N/A</v>
          </cell>
          <cell r="CE735" t="str">
            <v>N/A</v>
          </cell>
          <cell r="CF735" t="str">
            <v>N/A</v>
          </cell>
          <cell r="CG735" t="str">
            <v>N/A</v>
          </cell>
          <cell r="CH735" t="str">
            <v>N/A</v>
          </cell>
          <cell r="CI735" t="str">
            <v>N/A</v>
          </cell>
          <cell r="CJ735" t="str">
            <v>$1,350 / $2,700</v>
          </cell>
          <cell r="CK735">
            <v>0.9</v>
          </cell>
          <cell r="CL735" t="str">
            <v>$6,650 / $6,650</v>
          </cell>
          <cell r="CM735" t="str">
            <v>$2,700 / $5,400</v>
          </cell>
          <cell r="CN735">
            <v>0.7</v>
          </cell>
          <cell r="CO735" t="str">
            <v>$13,300 / $26,600</v>
          </cell>
          <cell r="CP735" t="str">
            <v>NonEmb</v>
          </cell>
          <cell r="CS735" t="str">
            <v>INS</v>
          </cell>
          <cell r="CT735" t="str">
            <v>Choice +</v>
          </cell>
          <cell r="CU735">
            <v>0.75939999999999996</v>
          </cell>
          <cell r="CV735" t="str">
            <v>H9-HSA</v>
          </cell>
          <cell r="CW735" t="str">
            <v>CPHSA18</v>
          </cell>
          <cell r="CX735">
            <v>0.80089999999999995</v>
          </cell>
        </row>
        <row r="736">
          <cell r="CA736" t="str">
            <v>AXE1</v>
          </cell>
          <cell r="CB736" t="str">
            <v>Choice Plus HSA</v>
          </cell>
          <cell r="CC736" t="str">
            <v>N/A</v>
          </cell>
          <cell r="CD736" t="str">
            <v>N/A</v>
          </cell>
          <cell r="CE736" t="str">
            <v>N/A</v>
          </cell>
          <cell r="CF736" t="str">
            <v>N/A</v>
          </cell>
          <cell r="CG736" t="str">
            <v>N/A</v>
          </cell>
          <cell r="CH736" t="str">
            <v>N/A</v>
          </cell>
          <cell r="CI736" t="str">
            <v>N/A</v>
          </cell>
          <cell r="CJ736" t="str">
            <v>$1,500 / $2,700</v>
          </cell>
          <cell r="CK736">
            <v>0.9</v>
          </cell>
          <cell r="CL736" t="str">
            <v>$6,000 / $6,000</v>
          </cell>
          <cell r="CM736" t="str">
            <v>$3,000 / $6,000</v>
          </cell>
          <cell r="CN736">
            <v>0.7</v>
          </cell>
          <cell r="CO736" t="str">
            <v>$6,000 / $12,000</v>
          </cell>
          <cell r="CP736" t="str">
            <v>NonEmb</v>
          </cell>
          <cell r="CS736" t="str">
            <v>INS</v>
          </cell>
          <cell r="CT736" t="str">
            <v>Choice +</v>
          </cell>
          <cell r="CU736">
            <v>0.76180000000000003</v>
          </cell>
          <cell r="CV736" t="str">
            <v>H9-HSA</v>
          </cell>
          <cell r="CW736" t="str">
            <v>CPHSA18</v>
          </cell>
          <cell r="CX736">
            <v>0.79490000000000005</v>
          </cell>
        </row>
        <row r="737">
          <cell r="CA737" t="str">
            <v>AXE2</v>
          </cell>
          <cell r="CB737" t="str">
            <v>Choice Plus HSA</v>
          </cell>
          <cell r="CC737" t="str">
            <v>N/A</v>
          </cell>
          <cell r="CD737" t="str">
            <v>N/A</v>
          </cell>
          <cell r="CE737" t="str">
            <v>N/A</v>
          </cell>
          <cell r="CF737" t="str">
            <v>N/A</v>
          </cell>
          <cell r="CG737" t="str">
            <v>N/A</v>
          </cell>
          <cell r="CH737" t="str">
            <v>N/A</v>
          </cell>
          <cell r="CI737" t="str">
            <v>N/A</v>
          </cell>
          <cell r="CJ737" t="str">
            <v>$1,500 / $2,700</v>
          </cell>
          <cell r="CK737">
            <v>0.8</v>
          </cell>
          <cell r="CL737" t="str">
            <v>$6,000 / $6,000</v>
          </cell>
          <cell r="CM737" t="str">
            <v>$3,000 / $6,000</v>
          </cell>
          <cell r="CN737">
            <v>0.6</v>
          </cell>
          <cell r="CO737" t="str">
            <v>$6,650 / $13,300</v>
          </cell>
          <cell r="CP737" t="str">
            <v>NonEmb</v>
          </cell>
          <cell r="CS737" t="str">
            <v>INS</v>
          </cell>
          <cell r="CT737" t="str">
            <v>Choice +</v>
          </cell>
          <cell r="CU737">
            <v>0.72729999999999995</v>
          </cell>
          <cell r="CV737" t="str">
            <v>H9-HSA</v>
          </cell>
          <cell r="CW737" t="str">
            <v>CPHSA18</v>
          </cell>
          <cell r="CX737">
            <v>0.76890000000000003</v>
          </cell>
        </row>
        <row r="738">
          <cell r="CA738" t="str">
            <v>AXE3</v>
          </cell>
          <cell r="CB738" t="str">
            <v>Choice Plus HSA</v>
          </cell>
          <cell r="CC738" t="str">
            <v>N/A</v>
          </cell>
          <cell r="CD738" t="str">
            <v>N/A</v>
          </cell>
          <cell r="CE738" t="str">
            <v>N/A</v>
          </cell>
          <cell r="CF738" t="str">
            <v>N/A</v>
          </cell>
          <cell r="CG738" t="str">
            <v>N/A</v>
          </cell>
          <cell r="CH738" t="str">
            <v>N/A</v>
          </cell>
          <cell r="CI738" t="str">
            <v>N/A</v>
          </cell>
          <cell r="CJ738" t="str">
            <v>$2,000 / $2,700</v>
          </cell>
          <cell r="CK738">
            <v>0.8</v>
          </cell>
          <cell r="CL738" t="str">
            <v>$4,000 / $4,000</v>
          </cell>
          <cell r="CM738" t="str">
            <v>$4,000 / $8,000</v>
          </cell>
          <cell r="CN738">
            <v>0.6</v>
          </cell>
          <cell r="CO738" t="str">
            <v>$6,650 / $13,300</v>
          </cell>
          <cell r="CP738" t="str">
            <v>NonEmb</v>
          </cell>
          <cell r="CS738" t="str">
            <v>INS</v>
          </cell>
          <cell r="CT738" t="str">
            <v>Choice +</v>
          </cell>
          <cell r="CU738">
            <v>0.76549999999999996</v>
          </cell>
          <cell r="CV738" t="str">
            <v>H9-HSA</v>
          </cell>
          <cell r="CW738" t="str">
            <v>CPHSA18</v>
          </cell>
          <cell r="CX738">
            <v>0.77229999999999999</v>
          </cell>
        </row>
        <row r="739">
          <cell r="CA739" t="str">
            <v>AXE4</v>
          </cell>
          <cell r="CB739" t="str">
            <v>Choice Plus HSA</v>
          </cell>
          <cell r="CC739" t="str">
            <v>N/A</v>
          </cell>
          <cell r="CD739" t="str">
            <v>N/A</v>
          </cell>
          <cell r="CE739" t="str">
            <v>N/A</v>
          </cell>
          <cell r="CF739" t="str">
            <v>N/A</v>
          </cell>
          <cell r="CG739" t="str">
            <v>N/A</v>
          </cell>
          <cell r="CH739" t="str">
            <v>N/A</v>
          </cell>
          <cell r="CI739" t="str">
            <v>N/A</v>
          </cell>
          <cell r="CJ739" t="str">
            <v>$1,350 / $2,700</v>
          </cell>
          <cell r="CK739">
            <v>0.8</v>
          </cell>
          <cell r="CL739" t="str">
            <v>$6,650 / $6,650</v>
          </cell>
          <cell r="CM739" t="str">
            <v>$2,700 / $5,400</v>
          </cell>
          <cell r="CN739">
            <v>0.6</v>
          </cell>
          <cell r="CO739" t="str">
            <v>$6,650 / $13,300</v>
          </cell>
          <cell r="CP739" t="str">
            <v>NonEmb</v>
          </cell>
          <cell r="CS739" t="str">
            <v>INS</v>
          </cell>
          <cell r="CT739" t="str">
            <v>Choice +</v>
          </cell>
          <cell r="CU739">
            <v>0.72189999999999999</v>
          </cell>
          <cell r="CV739" t="str">
            <v>H9-HSA</v>
          </cell>
          <cell r="CW739" t="str">
            <v>CPHSA18</v>
          </cell>
          <cell r="CX739">
            <v>0.77180000000000004</v>
          </cell>
        </row>
        <row r="740">
          <cell r="CA740" t="str">
            <v>AXFA</v>
          </cell>
          <cell r="CB740" t="str">
            <v>Choice Plus HSA</v>
          </cell>
          <cell r="CC740" t="str">
            <v>N/A</v>
          </cell>
          <cell r="CD740" t="str">
            <v>N/A</v>
          </cell>
          <cell r="CE740" t="str">
            <v>N/A</v>
          </cell>
          <cell r="CF740" t="str">
            <v>N/A</v>
          </cell>
          <cell r="CG740" t="str">
            <v>N/A</v>
          </cell>
          <cell r="CH740" t="str">
            <v>N/A</v>
          </cell>
          <cell r="CI740" t="str">
            <v>N/A</v>
          </cell>
          <cell r="CJ740" t="str">
            <v>$2,700 / $5,400</v>
          </cell>
          <cell r="CK740">
            <v>0.8</v>
          </cell>
          <cell r="CL740" t="str">
            <v>$5,000 / $10,000</v>
          </cell>
          <cell r="CM740" t="str">
            <v>$6,000 / $12,000</v>
          </cell>
          <cell r="CN740">
            <v>0.6</v>
          </cell>
          <cell r="CO740" t="str">
            <v>$10,000 / $20,000</v>
          </cell>
          <cell r="CP740" t="str">
            <v>Emb</v>
          </cell>
          <cell r="CS740" t="str">
            <v>INS</v>
          </cell>
          <cell r="CT740" t="str">
            <v>Choice +</v>
          </cell>
          <cell r="CU740">
            <v>0.63839999999999997</v>
          </cell>
          <cell r="CV740" t="str">
            <v>H9-HSA</v>
          </cell>
          <cell r="CW740" t="str">
            <v>CPHSA18</v>
          </cell>
          <cell r="CX740">
            <v>0.73950000000000005</v>
          </cell>
        </row>
        <row r="741">
          <cell r="CA741" t="str">
            <v>AXFB</v>
          </cell>
          <cell r="CB741" t="str">
            <v>Choice Plus HSA</v>
          </cell>
          <cell r="CC741" t="str">
            <v>N/A</v>
          </cell>
          <cell r="CD741" t="str">
            <v>N/A</v>
          </cell>
          <cell r="CE741" t="str">
            <v>N/A</v>
          </cell>
          <cell r="CF741" t="str">
            <v>N/A</v>
          </cell>
          <cell r="CG741" t="str">
            <v>N/A</v>
          </cell>
          <cell r="CH741" t="str">
            <v>N/A</v>
          </cell>
          <cell r="CI741" t="str">
            <v>N/A</v>
          </cell>
          <cell r="CJ741" t="str">
            <v>$2,700 / $5,400</v>
          </cell>
          <cell r="CK741">
            <v>1</v>
          </cell>
          <cell r="CL741" t="str">
            <v>$3,700 / $7,400</v>
          </cell>
          <cell r="CM741" t="str">
            <v>$3,700 / $7,400</v>
          </cell>
          <cell r="CN741">
            <v>0.8</v>
          </cell>
          <cell r="CO741" t="str">
            <v>$7,400 / $14,800</v>
          </cell>
          <cell r="CP741" t="str">
            <v>Emb</v>
          </cell>
          <cell r="CS741" t="str">
            <v>INS</v>
          </cell>
          <cell r="CT741" t="str">
            <v>Choice +</v>
          </cell>
          <cell r="CU741">
            <v>0.7591</v>
          </cell>
          <cell r="CV741" t="str">
            <v>H9-HSA</v>
          </cell>
          <cell r="CW741" t="str">
            <v>CPHSA18</v>
          </cell>
          <cell r="CX741">
            <v>0.78190000000000004</v>
          </cell>
        </row>
        <row r="742">
          <cell r="CA742" t="str">
            <v>AXFC</v>
          </cell>
          <cell r="CB742" t="str">
            <v>Choice Plus HSA</v>
          </cell>
          <cell r="CC742" t="str">
            <v>N/A</v>
          </cell>
          <cell r="CD742" t="str">
            <v>N/A</v>
          </cell>
          <cell r="CE742" t="str">
            <v>N/A</v>
          </cell>
          <cell r="CF742" t="str">
            <v>N/A</v>
          </cell>
          <cell r="CG742" t="str">
            <v>N/A</v>
          </cell>
          <cell r="CH742" t="str">
            <v>N/A</v>
          </cell>
          <cell r="CI742" t="str">
            <v>N/A</v>
          </cell>
          <cell r="CJ742" t="str">
            <v>$2,700 / $5,400</v>
          </cell>
          <cell r="CK742">
            <v>0.9</v>
          </cell>
          <cell r="CL742" t="str">
            <v>$3,700 / $7,400</v>
          </cell>
          <cell r="CM742" t="str">
            <v>$5,400 / $10,800</v>
          </cell>
          <cell r="CN742">
            <v>0.7</v>
          </cell>
          <cell r="CO742" t="str">
            <v>$13,300 / $26,600</v>
          </cell>
          <cell r="CP742" t="str">
            <v>Emb</v>
          </cell>
          <cell r="CS742" t="str">
            <v>INS</v>
          </cell>
          <cell r="CT742" t="str">
            <v>Choice +</v>
          </cell>
          <cell r="CU742">
            <v>0.68589999999999995</v>
          </cell>
          <cell r="CV742" t="str">
            <v>H9-HSA</v>
          </cell>
          <cell r="CW742" t="str">
            <v>CPHSA18</v>
          </cell>
          <cell r="CX742">
            <v>0.76790000000000003</v>
          </cell>
        </row>
        <row r="743">
          <cell r="CA743" t="str">
            <v>AXFD</v>
          </cell>
          <cell r="CB743" t="str">
            <v>Choice Plus HSA</v>
          </cell>
          <cell r="CC743" t="str">
            <v>N/A</v>
          </cell>
          <cell r="CD743" t="str">
            <v>N/A</v>
          </cell>
          <cell r="CE743" t="str">
            <v>N/A</v>
          </cell>
          <cell r="CF743" t="str">
            <v>N/A</v>
          </cell>
          <cell r="CG743" t="str">
            <v>N/A</v>
          </cell>
          <cell r="CH743" t="str">
            <v>N/A</v>
          </cell>
          <cell r="CI743" t="str">
            <v>N/A</v>
          </cell>
          <cell r="CJ743" t="str">
            <v>$2,700 / $5,400</v>
          </cell>
          <cell r="CK743">
            <v>0.8</v>
          </cell>
          <cell r="CL743" t="str">
            <v>$4,700 / $9,400</v>
          </cell>
          <cell r="CM743" t="str">
            <v>$4,700 / $9,400</v>
          </cell>
          <cell r="CN743">
            <v>0.6</v>
          </cell>
          <cell r="CO743" t="str">
            <v>$9,400 / $18,800</v>
          </cell>
          <cell r="CP743" t="str">
            <v>Emb</v>
          </cell>
          <cell r="CS743" t="str">
            <v>INS</v>
          </cell>
          <cell r="CT743" t="str">
            <v>Choice +</v>
          </cell>
          <cell r="CU743">
            <v>0.64580000000000004</v>
          </cell>
          <cell r="CV743" t="str">
            <v>H9-HSA</v>
          </cell>
          <cell r="CW743" t="str">
            <v>CPHSA18</v>
          </cell>
          <cell r="CX743">
            <v>0.74439999999999995</v>
          </cell>
        </row>
        <row r="744">
          <cell r="CA744" t="str">
            <v>AXFE</v>
          </cell>
          <cell r="CB744" t="str">
            <v>Choice Plus HSA</v>
          </cell>
          <cell r="CC744" t="str">
            <v>N/A</v>
          </cell>
          <cell r="CD744" t="str">
            <v>N/A</v>
          </cell>
          <cell r="CE744" t="str">
            <v>N/A</v>
          </cell>
          <cell r="CF744" t="str">
            <v>N/A</v>
          </cell>
          <cell r="CG744" t="str">
            <v>N/A</v>
          </cell>
          <cell r="CH744" t="str">
            <v>N/A</v>
          </cell>
          <cell r="CI744" t="str">
            <v>N/A</v>
          </cell>
          <cell r="CJ744" t="str">
            <v>$2,700 / $5,400</v>
          </cell>
          <cell r="CK744">
            <v>0.9</v>
          </cell>
          <cell r="CL744" t="str">
            <v>$6,650 / $13,300</v>
          </cell>
          <cell r="CM744" t="str">
            <v>$5,400 / $10,800</v>
          </cell>
          <cell r="CN744">
            <v>0.7</v>
          </cell>
          <cell r="CO744" t="str">
            <v>$13,300 / $26,600</v>
          </cell>
          <cell r="CP744" t="str">
            <v>Emb</v>
          </cell>
          <cell r="CS744" t="str">
            <v>INS</v>
          </cell>
          <cell r="CT744" t="str">
            <v>Choice +</v>
          </cell>
          <cell r="CU744">
            <v>0.64700000000000002</v>
          </cell>
          <cell r="CV744" t="str">
            <v>H9-HSA</v>
          </cell>
          <cell r="CW744" t="str">
            <v>CPHSA18</v>
          </cell>
          <cell r="CX744">
            <v>0.7429</v>
          </cell>
        </row>
        <row r="751">
          <cell r="CA751" t="str">
            <v>MMX17 01 (1347A)</v>
          </cell>
          <cell r="CB751" t="str">
            <v>Traditional</v>
          </cell>
          <cell r="CC751">
            <v>20</v>
          </cell>
          <cell r="CD751">
            <v>30</v>
          </cell>
          <cell r="CE751">
            <v>100</v>
          </cell>
          <cell r="CF751" t="str">
            <v>N/A</v>
          </cell>
          <cell r="CG751">
            <v>100</v>
          </cell>
          <cell r="CH751">
            <v>150</v>
          </cell>
          <cell r="CI751" t="str">
            <v>N/A</v>
          </cell>
          <cell r="CJ751" t="str">
            <v>$N/A / $N/A</v>
          </cell>
          <cell r="CK751">
            <v>1</v>
          </cell>
          <cell r="CL751" t="str">
            <v>$1,500 / $3,000</v>
          </cell>
          <cell r="CM751" t="str">
            <v>$1,500 / $3,000</v>
          </cell>
          <cell r="CN751">
            <v>0.7</v>
          </cell>
          <cell r="CO751" t="str">
            <v>$3,000 / $6,000</v>
          </cell>
          <cell r="CP751" t="str">
            <v>Emb</v>
          </cell>
          <cell r="CQ751" t="str">
            <v>Gender Dysphoria, Orthotics (100% IN After Copay), Wigs ($300 IN Per Year), Acupuncture (12 Treatments Per Year)</v>
          </cell>
          <cell r="CS751" t="str">
            <v>INS</v>
          </cell>
          <cell r="CT751" t="str">
            <v>Choice +</v>
          </cell>
          <cell r="CU751">
            <v>0.95350000000000001</v>
          </cell>
          <cell r="CV751" t="str">
            <v>MMX17 RX 01 (1039A)</v>
          </cell>
          <cell r="CX751">
            <v>0.9365</v>
          </cell>
        </row>
        <row r="752">
          <cell r="CA752" t="str">
            <v>MMX17 02 (1348A)</v>
          </cell>
          <cell r="CB752" t="str">
            <v>Traditional with Deductible</v>
          </cell>
          <cell r="CC752">
            <v>20</v>
          </cell>
          <cell r="CD752">
            <v>40</v>
          </cell>
          <cell r="CE752" t="str">
            <v>N/A</v>
          </cell>
          <cell r="CF752" t="str">
            <v>N/A</v>
          </cell>
          <cell r="CG752">
            <v>100</v>
          </cell>
          <cell r="CH752">
            <v>200</v>
          </cell>
          <cell r="CI752" t="str">
            <v>N/A</v>
          </cell>
          <cell r="CJ752" t="str">
            <v>$400 / $800</v>
          </cell>
          <cell r="CK752">
            <v>0.8</v>
          </cell>
          <cell r="CL752" t="str">
            <v>$2,200 / $4,400</v>
          </cell>
          <cell r="CM752" t="str">
            <v>$2,500 / $5,000</v>
          </cell>
          <cell r="CN752">
            <v>0.6</v>
          </cell>
          <cell r="CO752" t="str">
            <v>$4,400 / $8,800</v>
          </cell>
          <cell r="CP752" t="str">
            <v>Emb</v>
          </cell>
          <cell r="CQ752" t="str">
            <v>Gender Dysphoria, Orthotics (100% IN After Copay), Wigs ($300 IN Per Year), Acupuncture (12 Treatments Per Year)</v>
          </cell>
          <cell r="CS752" t="str">
            <v>INS</v>
          </cell>
          <cell r="CT752" t="str">
            <v>Choice +</v>
          </cell>
          <cell r="CU752">
            <v>0.81850000000000001</v>
          </cell>
          <cell r="CV752" t="str">
            <v>MMX17 RX 02 (1040A)</v>
          </cell>
          <cell r="CX752">
            <v>0.86870000000000003</v>
          </cell>
        </row>
        <row r="753">
          <cell r="CA753" t="str">
            <v>MMX17 03 (1349A)</v>
          </cell>
          <cell r="CB753" t="str">
            <v>Consumer</v>
          </cell>
          <cell r="CC753" t="str">
            <v>N/A</v>
          </cell>
          <cell r="CD753" t="str">
            <v>N/A</v>
          </cell>
          <cell r="CE753" t="str">
            <v>N/A</v>
          </cell>
          <cell r="CF753" t="str">
            <v>N/A</v>
          </cell>
          <cell r="CG753" t="str">
            <v>N/A</v>
          </cell>
          <cell r="CH753" t="str">
            <v>N/A</v>
          </cell>
          <cell r="CI753" t="str">
            <v>N/A</v>
          </cell>
          <cell r="CJ753" t="str">
            <v>$900 / $1,800</v>
          </cell>
          <cell r="CK753">
            <v>0.8</v>
          </cell>
          <cell r="CL753" t="str">
            <v>$3,000 / $6,000</v>
          </cell>
          <cell r="CM753" t="str">
            <v>$3,000 / $6,000</v>
          </cell>
          <cell r="CN753">
            <v>0.6</v>
          </cell>
          <cell r="CO753" t="str">
            <v>$6,000 / $12,000</v>
          </cell>
          <cell r="CP753" t="str">
            <v>Emb</v>
          </cell>
          <cell r="CQ753" t="str">
            <v>Gender Dysphoria, Orthotics (100% IN After Copay), Wigs ($300 IN Per Year), Acupuncture (12 Treatments Per Year)</v>
          </cell>
          <cell r="CS753" t="str">
            <v>INS</v>
          </cell>
          <cell r="CT753" t="str">
            <v>Choice +</v>
          </cell>
          <cell r="CU753">
            <v>0.69169999999999998</v>
          </cell>
          <cell r="CV753" t="str">
            <v>MMX17 RX 03 (1033A)</v>
          </cell>
          <cell r="CX753">
            <v>0.80979999999999996</v>
          </cell>
        </row>
        <row r="754">
          <cell r="CA754" t="str">
            <v>MMX17 04 (1350A)</v>
          </cell>
          <cell r="CB754" t="str">
            <v>Consumer</v>
          </cell>
          <cell r="CC754" t="str">
            <v>N/A</v>
          </cell>
          <cell r="CD754" t="str">
            <v>N/A</v>
          </cell>
          <cell r="CE754" t="str">
            <v>N/A</v>
          </cell>
          <cell r="CF754" t="str">
            <v>N/A</v>
          </cell>
          <cell r="CG754" t="str">
            <v>N/A</v>
          </cell>
          <cell r="CH754" t="str">
            <v>N/A</v>
          </cell>
          <cell r="CI754" t="str">
            <v>N/A</v>
          </cell>
          <cell r="CJ754" t="str">
            <v>$900 / $1,800</v>
          </cell>
          <cell r="CK754">
            <v>0.8</v>
          </cell>
          <cell r="CL754" t="str">
            <v>$4,800 / $9,600</v>
          </cell>
          <cell r="CM754" t="str">
            <v>$3,000 / $6,000</v>
          </cell>
          <cell r="CN754">
            <v>0.6</v>
          </cell>
          <cell r="CO754" t="str">
            <v>$9,600 / $19,200</v>
          </cell>
          <cell r="CP754" t="str">
            <v>Emb</v>
          </cell>
          <cell r="CQ754" t="str">
            <v>Gender Dysphoria, Orthotics (100% IN After Copay), Wigs ($300 IN Per Year), Acupuncture (12 Treatments Per Year)</v>
          </cell>
          <cell r="CS754" t="str">
            <v>INS</v>
          </cell>
          <cell r="CT754" t="str">
            <v>Choice +</v>
          </cell>
          <cell r="CU754">
            <v>0.65569999999999995</v>
          </cell>
          <cell r="CV754" t="str">
            <v>MMX17 RX 04 (1033A)</v>
          </cell>
          <cell r="CX754">
            <v>0.78190000000000004</v>
          </cell>
        </row>
        <row r="755">
          <cell r="CA755" t="str">
            <v>MMX17 05 (1351A)</v>
          </cell>
          <cell r="CB755" t="str">
            <v>Traditional with Deductible</v>
          </cell>
          <cell r="CC755">
            <v>40</v>
          </cell>
          <cell r="CD755">
            <v>80</v>
          </cell>
          <cell r="CE755" t="str">
            <v>N/A</v>
          </cell>
          <cell r="CF755" t="str">
            <v>N/A</v>
          </cell>
          <cell r="CG755" t="str">
            <v>N/A</v>
          </cell>
          <cell r="CH755" t="str">
            <v>N/A</v>
          </cell>
          <cell r="CI755" t="str">
            <v>N/A</v>
          </cell>
          <cell r="CJ755" t="str">
            <v>$900 / $1,800</v>
          </cell>
          <cell r="CK755">
            <v>0.8</v>
          </cell>
          <cell r="CL755" t="str">
            <v>$3,000 / $6,000</v>
          </cell>
          <cell r="CM755" t="str">
            <v>$3,000 / $6,000</v>
          </cell>
          <cell r="CN755">
            <v>0.6</v>
          </cell>
          <cell r="CO755" t="str">
            <v>$6,000 / $12,000</v>
          </cell>
          <cell r="CP755" t="str">
            <v>Emb</v>
          </cell>
          <cell r="CQ755" t="str">
            <v>Gender Dysphoria, Orthotics (100% IN After Copay), Wigs ($300 IN Per Year), Acupuncture (12 Treatments Per Year)</v>
          </cell>
          <cell r="CS755" t="str">
            <v>INS</v>
          </cell>
          <cell r="CT755" t="str">
            <v>Choice +</v>
          </cell>
          <cell r="CU755">
            <v>0.72989999999999999</v>
          </cell>
          <cell r="CV755" t="str">
            <v>MMX17 RX 05 (1147A)</v>
          </cell>
          <cell r="CX755">
            <v>0.79500000000000004</v>
          </cell>
        </row>
        <row r="756">
          <cell r="CA756" t="str">
            <v>MMX17 06 (1335A)</v>
          </cell>
          <cell r="CB756" t="str">
            <v>Consumer</v>
          </cell>
          <cell r="CC756" t="str">
            <v>N/A</v>
          </cell>
          <cell r="CD756" t="str">
            <v>N/A</v>
          </cell>
          <cell r="CE756" t="str">
            <v>N/A</v>
          </cell>
          <cell r="CF756" t="str">
            <v>N/A</v>
          </cell>
          <cell r="CG756" t="str">
            <v>N/A</v>
          </cell>
          <cell r="CH756" t="str">
            <v>N/A</v>
          </cell>
          <cell r="CI756" t="str">
            <v>N/A</v>
          </cell>
          <cell r="CJ756" t="str">
            <v>$1,500 / $3,000</v>
          </cell>
          <cell r="CK756">
            <v>0.8</v>
          </cell>
          <cell r="CL756" t="str">
            <v>$3,000 / $6,000</v>
          </cell>
          <cell r="CM756" t="str">
            <v>$3,000 / $6,000</v>
          </cell>
          <cell r="CN756">
            <v>0.6</v>
          </cell>
          <cell r="CO756" t="str">
            <v>$6,000 / $12,000</v>
          </cell>
          <cell r="CP756" t="str">
            <v>Emb</v>
          </cell>
          <cell r="CQ756" t="str">
            <v>Gender Dysphoria, Orthotics (100% IN After Copay), Wigs ($300 IN Per Year), Acupuncture (12 Treatments Per Year)</v>
          </cell>
          <cell r="CS756" t="str">
            <v>INS</v>
          </cell>
          <cell r="CT756" t="str">
            <v>Choice +</v>
          </cell>
          <cell r="CU756">
            <v>0.6552</v>
          </cell>
          <cell r="CV756" t="str">
            <v>MMX17 RX 06 (1549A)</v>
          </cell>
          <cell r="CX756">
            <v>0.80579999999999996</v>
          </cell>
        </row>
        <row r="757">
          <cell r="CA757" t="str">
            <v>MMX17 07 (1336A)</v>
          </cell>
          <cell r="CB757" t="str">
            <v>Consumer</v>
          </cell>
          <cell r="CC757" t="str">
            <v>N/A</v>
          </cell>
          <cell r="CD757" t="str">
            <v>N/A</v>
          </cell>
          <cell r="CE757" t="str">
            <v>N/A</v>
          </cell>
          <cell r="CF757" t="str">
            <v>N/A</v>
          </cell>
          <cell r="CG757" t="str">
            <v>N/A</v>
          </cell>
          <cell r="CH757" t="str">
            <v>N/A</v>
          </cell>
          <cell r="CI757" t="str">
            <v>N/A</v>
          </cell>
          <cell r="CJ757" t="str">
            <v>$1,500 / $3,000</v>
          </cell>
          <cell r="CK757">
            <v>0.8</v>
          </cell>
          <cell r="CL757" t="str">
            <v>$5,200 / $10,400</v>
          </cell>
          <cell r="CM757" t="str">
            <v>$3,000 / $6,000</v>
          </cell>
          <cell r="CN757">
            <v>0.6</v>
          </cell>
          <cell r="CO757" t="str">
            <v>$10,400 / $20,800</v>
          </cell>
          <cell r="CP757" t="str">
            <v>Emb</v>
          </cell>
          <cell r="CQ757" t="str">
            <v>Gender Dysphoria, Orthotics (100% IN After Copay), Wigs ($300 IN Per Year), Acupuncture (12 Treatments Per Year)</v>
          </cell>
          <cell r="CS757" t="str">
            <v>INS</v>
          </cell>
          <cell r="CT757" t="str">
            <v>Choice +</v>
          </cell>
          <cell r="CU757">
            <v>0.60550000000000004</v>
          </cell>
          <cell r="CV757" t="str">
            <v>MMX17 RX 07 (1549A)</v>
          </cell>
          <cell r="CX757">
            <v>0.77380000000000004</v>
          </cell>
        </row>
        <row r="758">
          <cell r="CA758" t="str">
            <v>MMX17 08 (1353A)</v>
          </cell>
          <cell r="CB758" t="str">
            <v>Consumer</v>
          </cell>
          <cell r="CC758" t="str">
            <v>N/A</v>
          </cell>
          <cell r="CD758" t="str">
            <v>N/A</v>
          </cell>
          <cell r="CE758" t="str">
            <v>N/A</v>
          </cell>
          <cell r="CF758" t="str">
            <v>N/A</v>
          </cell>
          <cell r="CG758" t="str">
            <v>N/A</v>
          </cell>
          <cell r="CH758" t="str">
            <v>N/A</v>
          </cell>
          <cell r="CI758" t="str">
            <v>N/A</v>
          </cell>
          <cell r="CJ758" t="str">
            <v>$1,850 / $3,700</v>
          </cell>
          <cell r="CK758">
            <v>0.8</v>
          </cell>
          <cell r="CL758" t="str">
            <v>$3,500 / $6,500</v>
          </cell>
          <cell r="CM758" t="str">
            <v>$3,700 / $7,400</v>
          </cell>
          <cell r="CN758">
            <v>0.6</v>
          </cell>
          <cell r="CO758" t="str">
            <v>$7,000 / $13,000</v>
          </cell>
          <cell r="CP758" t="str">
            <v>Emb</v>
          </cell>
          <cell r="CQ758" t="str">
            <v>Gender Dysphoria, Orthotics (100% IN After Copay), Wigs ($300 IN Per Year), Acupuncture (12 Treatments Per Year)</v>
          </cell>
          <cell r="CS758" t="str">
            <v>INS</v>
          </cell>
          <cell r="CT758" t="str">
            <v>Choice +</v>
          </cell>
          <cell r="CU758">
            <v>0.62219999999999998</v>
          </cell>
          <cell r="CV758" t="str">
            <v>MMX17 RX 08 (1549A)</v>
          </cell>
          <cell r="CX758">
            <v>0.78520000000000001</v>
          </cell>
        </row>
        <row r="759">
          <cell r="CA759" t="str">
            <v>MMX17 09 (1354A)</v>
          </cell>
          <cell r="CB759" t="str">
            <v>Consumer</v>
          </cell>
          <cell r="CC759" t="str">
            <v>N/A</v>
          </cell>
          <cell r="CD759" t="str">
            <v>N/A</v>
          </cell>
          <cell r="CE759" t="str">
            <v>N/A</v>
          </cell>
          <cell r="CF759" t="str">
            <v>N/A</v>
          </cell>
          <cell r="CG759" t="str">
            <v>N/A</v>
          </cell>
          <cell r="CH759" t="str">
            <v>N/A</v>
          </cell>
          <cell r="CI759" t="str">
            <v>N/A</v>
          </cell>
          <cell r="CJ759" t="str">
            <v>$1,850 / $3,700</v>
          </cell>
          <cell r="CK759">
            <v>0.8</v>
          </cell>
          <cell r="CL759" t="str">
            <v>$6,000 / $6,850</v>
          </cell>
          <cell r="CM759" t="str">
            <v>$3,700 / $7,400</v>
          </cell>
          <cell r="CN759">
            <v>0.6</v>
          </cell>
          <cell r="CO759" t="str">
            <v>$12,000 / $13,700</v>
          </cell>
          <cell r="CP759" t="str">
            <v>Emb</v>
          </cell>
          <cell r="CQ759" t="str">
            <v>Gender Dysphoria, Orthotics (100% IN After Copay), Wigs ($300 IN Per Year), Acupuncture (12 Treatments Per Year)</v>
          </cell>
          <cell r="CS759" t="str">
            <v>INS</v>
          </cell>
          <cell r="CT759" t="str">
            <v>Choice +</v>
          </cell>
          <cell r="CU759">
            <v>0.57269999999999999</v>
          </cell>
          <cell r="CV759" t="str">
            <v>MMX17 RX 09 (1549A)</v>
          </cell>
          <cell r="CX759">
            <v>0.75429999999999997</v>
          </cell>
        </row>
        <row r="760">
          <cell r="CA760" t="str">
            <v>MMX17 10 (1337A)</v>
          </cell>
          <cell r="CB760" t="str">
            <v>Consumer</v>
          </cell>
          <cell r="CC760" t="str">
            <v>N/A</v>
          </cell>
          <cell r="CD760" t="str">
            <v>N/A</v>
          </cell>
          <cell r="CE760" t="str">
            <v>N/A</v>
          </cell>
          <cell r="CF760" t="str">
            <v>N/A</v>
          </cell>
          <cell r="CG760" t="str">
            <v>N/A</v>
          </cell>
          <cell r="CH760" t="str">
            <v>N/A</v>
          </cell>
          <cell r="CI760" t="str">
            <v>N/A</v>
          </cell>
          <cell r="CJ760" t="str">
            <v>$2,500 / $5,000</v>
          </cell>
          <cell r="CK760">
            <v>0.7</v>
          </cell>
          <cell r="CL760" t="str">
            <v>$4,500 / $9,000</v>
          </cell>
          <cell r="CM760" t="str">
            <v>$4,500 / $9,000</v>
          </cell>
          <cell r="CN760">
            <v>0.5</v>
          </cell>
          <cell r="CO760" t="str">
            <v>$9,000 / $18,000</v>
          </cell>
          <cell r="CP760" t="str">
            <v>Emb</v>
          </cell>
          <cell r="CQ760" t="str">
            <v>Gender Dysphoria, Orthotics (100% IN After Copay), Wigs ($300 IN Per Year), Acupuncture (12 Treatments Per Year)</v>
          </cell>
          <cell r="CS760" t="str">
            <v>INS</v>
          </cell>
          <cell r="CT760" t="str">
            <v>Choice +</v>
          </cell>
          <cell r="CU760">
            <v>0.55689999999999995</v>
          </cell>
          <cell r="CV760" t="str">
            <v>MMX17 RX 10 (1551A)</v>
          </cell>
          <cell r="CX760">
            <v>0.73570000000000002</v>
          </cell>
        </row>
        <row r="761">
          <cell r="CA761" t="str">
            <v>MMX17 11 (1338A)</v>
          </cell>
          <cell r="CB761" t="str">
            <v>Consumer</v>
          </cell>
          <cell r="CC761" t="str">
            <v>N/A</v>
          </cell>
          <cell r="CD761" t="str">
            <v>N/A</v>
          </cell>
          <cell r="CE761" t="str">
            <v>N/A</v>
          </cell>
          <cell r="CF761" t="str">
            <v>N/A</v>
          </cell>
          <cell r="CG761" t="str">
            <v>N/A</v>
          </cell>
          <cell r="CH761" t="str">
            <v>N/A</v>
          </cell>
          <cell r="CI761" t="str">
            <v>N/A</v>
          </cell>
          <cell r="CJ761" t="str">
            <v>$2,500 / $5,000</v>
          </cell>
          <cell r="CK761">
            <v>0.7</v>
          </cell>
          <cell r="CL761" t="str">
            <v>$6,200 / $12,400</v>
          </cell>
          <cell r="CM761" t="str">
            <v>$4,500 / $9,000</v>
          </cell>
          <cell r="CN761">
            <v>0.5</v>
          </cell>
          <cell r="CO761" t="str">
            <v>$12,400 / $24,800</v>
          </cell>
          <cell r="CP761" t="str">
            <v>Emb</v>
          </cell>
          <cell r="CQ761" t="str">
            <v>Gender Dysphoria, Orthotics (100% IN After Copay), Wigs ($300 IN Per Year), Acupuncture (12 Treatments Per Year)</v>
          </cell>
          <cell r="CS761" t="str">
            <v>INS</v>
          </cell>
          <cell r="CT761" t="str">
            <v>Choice +</v>
          </cell>
          <cell r="CU761">
            <v>0.51739999999999997</v>
          </cell>
          <cell r="CV761" t="str">
            <v>MMX17 RX 11 (1551A)</v>
          </cell>
          <cell r="CX761">
            <v>0.70599999999999996</v>
          </cell>
        </row>
        <row r="762">
          <cell r="CA762" t="str">
            <v>MMX17 12 (1355A)</v>
          </cell>
          <cell r="CB762" t="str">
            <v>Consumer</v>
          </cell>
          <cell r="CC762" t="str">
            <v>N/A</v>
          </cell>
          <cell r="CD762" t="str">
            <v>N/A</v>
          </cell>
          <cell r="CE762" t="str">
            <v>N/A</v>
          </cell>
          <cell r="CF762" t="str">
            <v>N/A</v>
          </cell>
          <cell r="CG762" t="str">
            <v>N/A</v>
          </cell>
          <cell r="CH762" t="str">
            <v>N/A</v>
          </cell>
          <cell r="CI762" t="str">
            <v>N/A</v>
          </cell>
          <cell r="CJ762" t="str">
            <v>$2,850 / $5,700</v>
          </cell>
          <cell r="CK762">
            <v>0.7</v>
          </cell>
          <cell r="CL762" t="str">
            <v>$5,500 / $11,000</v>
          </cell>
          <cell r="CM762" t="str">
            <v>$5,700 / $11,400</v>
          </cell>
          <cell r="CN762">
            <v>0.5</v>
          </cell>
          <cell r="CO762" t="str">
            <v>$11,000 / $22,000</v>
          </cell>
          <cell r="CP762" t="str">
            <v>Emb</v>
          </cell>
          <cell r="CQ762" t="str">
            <v>Gender Dysphoria, Orthotics (100% IN After Copay), Wigs ($300 IN Per Year), Acupuncture (12 Treatments Per Year)</v>
          </cell>
          <cell r="CS762" t="str">
            <v>INS</v>
          </cell>
          <cell r="CT762" t="str">
            <v>Choice +</v>
          </cell>
          <cell r="CU762">
            <v>0.51980000000000004</v>
          </cell>
          <cell r="CV762" t="str">
            <v>MMX17 RX 12 (1551A)</v>
          </cell>
          <cell r="CX762">
            <v>0.71140000000000003</v>
          </cell>
        </row>
        <row r="763">
          <cell r="CA763" t="str">
            <v>MMX17 13 (1356A)</v>
          </cell>
          <cell r="CB763" t="str">
            <v>Consumer</v>
          </cell>
          <cell r="CC763" t="str">
            <v>N/A</v>
          </cell>
          <cell r="CD763" t="str">
            <v>N/A</v>
          </cell>
          <cell r="CE763" t="str">
            <v>N/A</v>
          </cell>
          <cell r="CF763" t="str">
            <v>N/A</v>
          </cell>
          <cell r="CG763" t="str">
            <v>N/A</v>
          </cell>
          <cell r="CH763" t="str">
            <v>N/A</v>
          </cell>
          <cell r="CI763" t="str">
            <v>N/A</v>
          </cell>
          <cell r="CJ763" t="str">
            <v>$2,850 / $5,700</v>
          </cell>
          <cell r="CK763">
            <v>0.7</v>
          </cell>
          <cell r="CL763" t="str">
            <v>$6,550 / $13,100</v>
          </cell>
          <cell r="CM763" t="str">
            <v>$5,700 / $11,400</v>
          </cell>
          <cell r="CN763">
            <v>0.5</v>
          </cell>
          <cell r="CO763" t="str">
            <v>$13,100 / $26,200</v>
          </cell>
          <cell r="CP763" t="str">
            <v>Emb</v>
          </cell>
          <cell r="CQ763" t="str">
            <v>Gender Dysphoria, Orthotics (100% IN After Copay), Wigs ($300 IN Per Year), Acupuncture (12 Treatments Per Year)</v>
          </cell>
          <cell r="CS763" t="str">
            <v>INS</v>
          </cell>
          <cell r="CT763" t="str">
            <v>Choice +</v>
          </cell>
          <cell r="CU763">
            <v>0.50729999999999997</v>
          </cell>
          <cell r="CV763" t="str">
            <v>MMX17 RX 13 (1551A)</v>
          </cell>
          <cell r="CX763">
            <v>0.69450000000000001</v>
          </cell>
        </row>
        <row r="764">
          <cell r="CA764" t="str">
            <v>MMX17 14 (1341A)</v>
          </cell>
          <cell r="CB764" t="str">
            <v>Consumer</v>
          </cell>
          <cell r="CC764" t="str">
            <v>N/A</v>
          </cell>
          <cell r="CD764" t="str">
            <v>N/A</v>
          </cell>
          <cell r="CE764" t="str">
            <v>N/A</v>
          </cell>
          <cell r="CF764" t="str">
            <v>N/A</v>
          </cell>
          <cell r="CG764" t="str">
            <v>N/A</v>
          </cell>
          <cell r="CH764" t="str">
            <v>N/A</v>
          </cell>
          <cell r="CI764" t="str">
            <v>N/A</v>
          </cell>
          <cell r="CJ764" t="str">
            <v>$4,500 / $9,000</v>
          </cell>
          <cell r="CK764">
            <v>0.7</v>
          </cell>
          <cell r="CL764" t="str">
            <v>$6,550 / $13,100</v>
          </cell>
          <cell r="CM764" t="str">
            <v>$9,000 / $18,000</v>
          </cell>
          <cell r="CN764">
            <v>0.5</v>
          </cell>
          <cell r="CO764" t="str">
            <v>$13,100 / $26,200</v>
          </cell>
          <cell r="CP764" t="str">
            <v>Emb</v>
          </cell>
          <cell r="CQ764" t="str">
            <v>Gender Dysphoria, Orthotics (100% IN After Copay), Wigs ($300 IN Per Year), Acupuncture (12 Treatments Per Year)</v>
          </cell>
          <cell r="CS764" t="str">
            <v>INS</v>
          </cell>
          <cell r="CT764" t="str">
            <v>Choice +</v>
          </cell>
          <cell r="CU764">
            <v>0.48730000000000001</v>
          </cell>
          <cell r="CV764" t="str">
            <v>MMX17 RX 14 (1551A)</v>
          </cell>
          <cell r="CX764">
            <v>0.67469999999999997</v>
          </cell>
        </row>
        <row r="765">
          <cell r="CA765" t="str">
            <v>MMX17 15 (1342A)</v>
          </cell>
          <cell r="CB765" t="str">
            <v>Consumer</v>
          </cell>
          <cell r="CC765" t="str">
            <v>N/A</v>
          </cell>
          <cell r="CD765" t="str">
            <v>N/A</v>
          </cell>
          <cell r="CE765" t="str">
            <v>N/A</v>
          </cell>
          <cell r="CF765" t="str">
            <v>N/A</v>
          </cell>
          <cell r="CG765" t="str">
            <v>N/A</v>
          </cell>
          <cell r="CH765" t="str">
            <v>N/A</v>
          </cell>
          <cell r="CI765" t="str">
            <v>N/A</v>
          </cell>
          <cell r="CJ765" t="str">
            <v>$6,550 / $13,100</v>
          </cell>
          <cell r="CK765">
            <v>1</v>
          </cell>
          <cell r="CL765" t="str">
            <v>$6,550 / $13,100</v>
          </cell>
          <cell r="CM765" t="str">
            <v>$13,100 / $26,200</v>
          </cell>
          <cell r="CN765">
            <v>1</v>
          </cell>
          <cell r="CO765" t="str">
            <v>$13,100 / $26,200</v>
          </cell>
          <cell r="CP765" t="str">
            <v>Emb</v>
          </cell>
          <cell r="CQ765" t="str">
            <v>Gender Dysphoria, Orthotics (100% IN After Copay), Wigs ($300 IN Per Year), Acupuncture (12 Treatments Per Year)</v>
          </cell>
          <cell r="CS765" t="str">
            <v>INS</v>
          </cell>
          <cell r="CT765" t="str">
            <v>Choice +</v>
          </cell>
          <cell r="CU765">
            <v>0.48230000000000001</v>
          </cell>
          <cell r="CV765" t="str">
            <v>MMX17 RX 15 (1551A)</v>
          </cell>
          <cell r="CX765">
            <v>0.63770000000000004</v>
          </cell>
        </row>
        <row r="766">
          <cell r="CA766" t="str">
            <v>MMX17 16 (1345A)</v>
          </cell>
          <cell r="CB766" t="str">
            <v>HSA</v>
          </cell>
          <cell r="CC766" t="str">
            <v>N/A</v>
          </cell>
          <cell r="CD766" t="str">
            <v>N/A</v>
          </cell>
          <cell r="CE766" t="str">
            <v>N/A</v>
          </cell>
          <cell r="CF766" t="str">
            <v>N/A</v>
          </cell>
          <cell r="CG766" t="str">
            <v>N/A</v>
          </cell>
          <cell r="CH766" t="str">
            <v>N/A</v>
          </cell>
          <cell r="CI766" t="str">
            <v>N/A</v>
          </cell>
          <cell r="CJ766" t="str">
            <v>$2,850 / $5,700</v>
          </cell>
          <cell r="CK766">
            <v>0.7</v>
          </cell>
          <cell r="CL766" t="str">
            <v>$5,500 / $11,000</v>
          </cell>
          <cell r="CM766" t="str">
            <v>$5,700 / $11,400</v>
          </cell>
          <cell r="CN766">
            <v>0.5</v>
          </cell>
          <cell r="CO766" t="str">
            <v>$11,000 / $22,000</v>
          </cell>
          <cell r="CP766" t="str">
            <v>Emb</v>
          </cell>
          <cell r="CQ766" t="str">
            <v>Gender Dysphoria, Orthotics (100% IN After Copay), Wigs ($300 IN Per Year), Acupuncture (12 Treatments Per Year)</v>
          </cell>
          <cell r="CS766" t="str">
            <v>INS</v>
          </cell>
          <cell r="CT766" t="str">
            <v>Choice +</v>
          </cell>
          <cell r="CU766">
            <v>0.61890000000000001</v>
          </cell>
          <cell r="CV766" t="str">
            <v>MMX17 RX HSA 16 (1550A)</v>
          </cell>
          <cell r="CX766">
            <v>0.66959999999999997</v>
          </cell>
        </row>
        <row r="767">
          <cell r="CA767" t="str">
            <v>MMX17 17 (1346A)</v>
          </cell>
          <cell r="CB767" t="str">
            <v>HSA</v>
          </cell>
          <cell r="CC767" t="str">
            <v>N/A</v>
          </cell>
          <cell r="CD767" t="str">
            <v>N/A</v>
          </cell>
          <cell r="CE767" t="str">
            <v>N/A</v>
          </cell>
          <cell r="CF767" t="str">
            <v>N/A</v>
          </cell>
          <cell r="CG767" t="str">
            <v>N/A</v>
          </cell>
          <cell r="CH767" t="str">
            <v>N/A</v>
          </cell>
          <cell r="CI767" t="str">
            <v>N/A</v>
          </cell>
          <cell r="CJ767" t="str">
            <v>$2,850 / $5,700</v>
          </cell>
          <cell r="CK767">
            <v>0.7</v>
          </cell>
          <cell r="CL767" t="str">
            <v>$6,550 / $13,100</v>
          </cell>
          <cell r="CM767" t="str">
            <v>$5,700 / $11,400</v>
          </cell>
          <cell r="CN767">
            <v>0.5</v>
          </cell>
          <cell r="CO767" t="str">
            <v>$13,100 / $26,200</v>
          </cell>
          <cell r="CP767" t="str">
            <v>Emb</v>
          </cell>
          <cell r="CQ767" t="str">
            <v>Gender Dysphoria, Orthotics (100% IN After Copay), Wigs ($300 IN Per Year), Acupuncture (12 Treatments Per Year)</v>
          </cell>
          <cell r="CS767" t="str">
            <v>INS</v>
          </cell>
          <cell r="CT767" t="str">
            <v>Choice +</v>
          </cell>
          <cell r="CU767">
            <v>0.60399999999999998</v>
          </cell>
          <cell r="CV767" t="str">
            <v>MMX17 RX HSA 17 (1550A)</v>
          </cell>
          <cell r="CX767">
            <v>0.65280000000000005</v>
          </cell>
        </row>
        <row r="768">
          <cell r="CA768" t="str">
            <v>MMX17 18 (1339A)</v>
          </cell>
          <cell r="CB768" t="str">
            <v>HSA</v>
          </cell>
          <cell r="CC768" t="str">
            <v>N/A</v>
          </cell>
          <cell r="CD768" t="str">
            <v>N/A</v>
          </cell>
          <cell r="CE768" t="str">
            <v>N/A</v>
          </cell>
          <cell r="CF768" t="str">
            <v>N/A</v>
          </cell>
          <cell r="CG768" t="str">
            <v>N/A</v>
          </cell>
          <cell r="CH768" t="str">
            <v>N/A</v>
          </cell>
          <cell r="CI768" t="str">
            <v>N/A</v>
          </cell>
          <cell r="CJ768" t="str">
            <v>$4,500 / $9,000</v>
          </cell>
          <cell r="CK768">
            <v>0.7</v>
          </cell>
          <cell r="CL768" t="str">
            <v>$6,550 / $13,100</v>
          </cell>
          <cell r="CM768" t="str">
            <v>$9,000 / $18,000</v>
          </cell>
          <cell r="CN768">
            <v>0.5</v>
          </cell>
          <cell r="CO768" t="str">
            <v>$13,100 / $26,200</v>
          </cell>
          <cell r="CP768" t="str">
            <v>Emb</v>
          </cell>
          <cell r="CQ768" t="str">
            <v>Gender Dysphoria, Orthotics (100% IN After Copay), Wigs ($300 IN Per Year), Acupuncture (12 Treatments Per Year)</v>
          </cell>
          <cell r="CS768" t="str">
            <v>INS</v>
          </cell>
          <cell r="CT768" t="str">
            <v>Choice +</v>
          </cell>
          <cell r="CU768">
            <v>0.57679999999999998</v>
          </cell>
          <cell r="CV768" t="str">
            <v>MMX17 RX HSA 18 (1550A)</v>
          </cell>
          <cell r="CX768">
            <v>0.61360000000000003</v>
          </cell>
        </row>
        <row r="769">
          <cell r="CA769" t="str">
            <v>MMX17 19 (1340A)</v>
          </cell>
          <cell r="CB769" t="str">
            <v>HSA</v>
          </cell>
          <cell r="CC769" t="str">
            <v>N/A</v>
          </cell>
          <cell r="CD769" t="str">
            <v>N/A</v>
          </cell>
          <cell r="CE769" t="str">
            <v>N/A</v>
          </cell>
          <cell r="CF769" t="str">
            <v>N/A</v>
          </cell>
          <cell r="CG769" t="str">
            <v>N/A</v>
          </cell>
          <cell r="CH769" t="str">
            <v>N/A</v>
          </cell>
          <cell r="CI769" t="str">
            <v>N/A</v>
          </cell>
          <cell r="CJ769" t="str">
            <v>$6,550 / $13,100</v>
          </cell>
          <cell r="CK769">
            <v>1</v>
          </cell>
          <cell r="CL769" t="str">
            <v>$6,550 / $13,100</v>
          </cell>
          <cell r="CM769" t="str">
            <v>$13,100 / $26,200</v>
          </cell>
          <cell r="CN769">
            <v>1</v>
          </cell>
          <cell r="CO769" t="str">
            <v>$13,100 / $26,200</v>
          </cell>
          <cell r="CP769" t="str">
            <v>Emb</v>
          </cell>
          <cell r="CQ769" t="str">
            <v>Gender Dysphoria, Orthotics (100% IN After Copay), Wigs ($300 IN Per Year), Acupuncture (12 Treatments Per Year)</v>
          </cell>
          <cell r="CS769" t="str">
            <v>INS</v>
          </cell>
          <cell r="CT769" t="str">
            <v>Choice +</v>
          </cell>
          <cell r="CU769">
            <v>0.57310000000000005</v>
          </cell>
          <cell r="CV769" t="str">
            <v>MMX17 RX HSA 19 (1148A)</v>
          </cell>
          <cell r="CX769">
            <v>0.60240000000000005</v>
          </cell>
        </row>
        <row r="773">
          <cell r="CA773" t="str">
            <v>MMX16 01 (1126A)</v>
          </cell>
          <cell r="CB773" t="str">
            <v>Traditional</v>
          </cell>
          <cell r="CC773">
            <v>15</v>
          </cell>
          <cell r="CD773">
            <v>25</v>
          </cell>
          <cell r="CE773">
            <v>100</v>
          </cell>
          <cell r="CF773">
            <v>200</v>
          </cell>
          <cell r="CG773">
            <v>50</v>
          </cell>
          <cell r="CH773">
            <v>100</v>
          </cell>
          <cell r="CI773">
            <v>0</v>
          </cell>
          <cell r="CJ773" t="str">
            <v>$0 / $0</v>
          </cell>
          <cell r="CK773">
            <v>1</v>
          </cell>
          <cell r="CL773" t="str">
            <v>$1,500 / $3,000</v>
          </cell>
          <cell r="CM773" t="str">
            <v>$1,500 / $3,000</v>
          </cell>
          <cell r="CN773">
            <v>0.7</v>
          </cell>
          <cell r="CO773" t="str">
            <v>$3,000 / $6,000</v>
          </cell>
          <cell r="CP773" t="str">
            <v>Emb</v>
          </cell>
          <cell r="CQ773" t="str">
            <v>ENRP, Acupuncture ( 12 Visits Per Year ), Wig ( $300 Per Year ), Infertility ( $15k Lifetime ), Bariatric Surgery</v>
          </cell>
          <cell r="CS773" t="str">
            <v>INS</v>
          </cell>
          <cell r="CT773" t="str">
            <v>Choice +</v>
          </cell>
          <cell r="CU773">
            <v>0.94669999999999999</v>
          </cell>
          <cell r="CV773" t="str">
            <v>MMX16 Rx 01 (1039A)</v>
          </cell>
          <cell r="CW773" t="str">
            <v>MMX16 01 (1126A)</v>
          </cell>
          <cell r="CX773">
            <v>0.96989999999999998</v>
          </cell>
        </row>
        <row r="774">
          <cell r="CA774" t="str">
            <v>MMX16 02 (1127A)</v>
          </cell>
          <cell r="CB774" t="str">
            <v>Traditional with Deductible</v>
          </cell>
          <cell r="CC774">
            <v>15</v>
          </cell>
          <cell r="CD774">
            <v>30</v>
          </cell>
          <cell r="CE774" t="str">
            <v>80%, after Ded</v>
          </cell>
          <cell r="CF774" t="str">
            <v>80%, after Ded</v>
          </cell>
          <cell r="CG774">
            <v>50</v>
          </cell>
          <cell r="CH774" t="str">
            <v>$100, then 80%</v>
          </cell>
          <cell r="CI774" t="str">
            <v>80%, after Ded</v>
          </cell>
          <cell r="CJ774" t="str">
            <v>$350 / $700</v>
          </cell>
          <cell r="CK774">
            <v>0.8</v>
          </cell>
          <cell r="CL774" t="str">
            <v>$2,000 / $4,000</v>
          </cell>
          <cell r="CM774" t="str">
            <v>$2,000 / $4,000</v>
          </cell>
          <cell r="CN774">
            <v>0.6</v>
          </cell>
          <cell r="CO774" t="str">
            <v>$4,000 / $8,000</v>
          </cell>
          <cell r="CP774" t="str">
            <v>Emb</v>
          </cell>
          <cell r="CQ774" t="str">
            <v>ENRP, Acupuncture ( 12 Visits Per Year ), Wig ( $300 Per Year ), Infertility ( $15k Lifetime ), Bariatric Surgery</v>
          </cell>
          <cell r="CS774" t="str">
            <v>INS</v>
          </cell>
          <cell r="CT774" t="str">
            <v>Choice +</v>
          </cell>
          <cell r="CU774">
            <v>0.84589999999999999</v>
          </cell>
          <cell r="CV774" t="str">
            <v>MMX16 Rx 02 (1040A)</v>
          </cell>
          <cell r="CW774" t="str">
            <v>MMX16 02 (1127A)</v>
          </cell>
          <cell r="CX774">
            <v>0.91849999999999998</v>
          </cell>
        </row>
        <row r="775">
          <cell r="CA775" t="str">
            <v>MMX16 03 (1128A)</v>
          </cell>
          <cell r="CB775" t="str">
            <v>Consumer</v>
          </cell>
          <cell r="CC775" t="str">
            <v>80%, after Ded</v>
          </cell>
          <cell r="CD775" t="str">
            <v>80%, after Ded</v>
          </cell>
          <cell r="CE775" t="str">
            <v>80%, after Ded</v>
          </cell>
          <cell r="CF775" t="str">
            <v>80%, after Ded</v>
          </cell>
          <cell r="CG775" t="str">
            <v>80%, after Ded</v>
          </cell>
          <cell r="CH775" t="str">
            <v>80%, after Ded</v>
          </cell>
          <cell r="CI775" t="str">
            <v>80%, after Ded</v>
          </cell>
          <cell r="CJ775" t="str">
            <v>$800 / $1,600</v>
          </cell>
          <cell r="CK775">
            <v>0.8</v>
          </cell>
          <cell r="CL775" t="str">
            <v>$2,400 / $4,800</v>
          </cell>
          <cell r="CM775" t="str">
            <v>$2,400 / $4,800</v>
          </cell>
          <cell r="CN775">
            <v>0.6</v>
          </cell>
          <cell r="CO775" t="str">
            <v>$4,800 / $9,600</v>
          </cell>
          <cell r="CP775" t="str">
            <v>Emb</v>
          </cell>
          <cell r="CQ775" t="str">
            <v>ENRP, Acupuncture ( 12 Visits Per Year ), Wig ( $300 Per Year ), Infertility ( $15k Lifetime ), Bariatric Surgery</v>
          </cell>
          <cell r="CS775" t="str">
            <v>INS</v>
          </cell>
          <cell r="CT775" t="str">
            <v>Choice +</v>
          </cell>
          <cell r="CU775">
            <v>0.70579999999999998</v>
          </cell>
          <cell r="CV775" t="str">
            <v>MMX16 Rx 03 (1033A)</v>
          </cell>
          <cell r="CW775" t="str">
            <v>MMX16 03 (1128A)</v>
          </cell>
          <cell r="CX775">
            <v>0.87360000000000004</v>
          </cell>
        </row>
        <row r="776">
          <cell r="CA776" t="str">
            <v>MMX16 04 (1129A)</v>
          </cell>
          <cell r="CB776" t="str">
            <v>Consumer</v>
          </cell>
          <cell r="CC776" t="str">
            <v>80%, after Ded</v>
          </cell>
          <cell r="CD776" t="str">
            <v>80%, after Ded</v>
          </cell>
          <cell r="CE776" t="str">
            <v>80%, after Ded</v>
          </cell>
          <cell r="CF776" t="str">
            <v>80%, after Ded</v>
          </cell>
          <cell r="CG776" t="str">
            <v>80%, after Ded</v>
          </cell>
          <cell r="CH776" t="str">
            <v>80%, after Ded</v>
          </cell>
          <cell r="CI776" t="str">
            <v>80%, after Ded</v>
          </cell>
          <cell r="CJ776" t="str">
            <v>$800 / $1,600</v>
          </cell>
          <cell r="CK776">
            <v>0.8</v>
          </cell>
          <cell r="CL776" t="str">
            <v>$3,800 / $7,600</v>
          </cell>
          <cell r="CM776" t="str">
            <v>$2,400 / $4,800</v>
          </cell>
          <cell r="CN776">
            <v>0.6</v>
          </cell>
          <cell r="CO776" t="str">
            <v>$7,600 / $15,200</v>
          </cell>
          <cell r="CP776" t="str">
            <v>Emb</v>
          </cell>
          <cell r="CQ776" t="str">
            <v>ENRP, Acupuncture ( 12 Visits Per Year ), Wig ( $300 Per Year ), Infertility ( $15k Lifetime ), Bariatric Surgery</v>
          </cell>
          <cell r="CS776" t="str">
            <v>INS</v>
          </cell>
          <cell r="CT776" t="str">
            <v>Choice +</v>
          </cell>
          <cell r="CU776">
            <v>0.66800000000000004</v>
          </cell>
          <cell r="CV776" t="str">
            <v>MMX16 Rx 04 (1033A)</v>
          </cell>
          <cell r="CW776" t="str">
            <v>MMX16 04 (1129A)</v>
          </cell>
          <cell r="CX776">
            <v>0.84260000000000002</v>
          </cell>
        </row>
        <row r="777">
          <cell r="CA777" t="str">
            <v>MMX16 05 (1130A)</v>
          </cell>
          <cell r="CB777" t="str">
            <v>HSA</v>
          </cell>
          <cell r="CC777" t="str">
            <v>80%, after Ded</v>
          </cell>
          <cell r="CD777" t="str">
            <v>80%, after Ded</v>
          </cell>
          <cell r="CE777" t="str">
            <v>80%, after Ded</v>
          </cell>
          <cell r="CF777" t="str">
            <v>80%, after Ded</v>
          </cell>
          <cell r="CG777" t="str">
            <v>80%, after Ded</v>
          </cell>
          <cell r="CH777" t="str">
            <v>80%, after Ded</v>
          </cell>
          <cell r="CI777" t="str">
            <v>80%, after Ded</v>
          </cell>
          <cell r="CJ777" t="str">
            <v>$1,500 / $3,000</v>
          </cell>
          <cell r="CK777">
            <v>0.8</v>
          </cell>
          <cell r="CL777" t="str">
            <v>$3,000 / $6,000</v>
          </cell>
          <cell r="CM777" t="str">
            <v>$3,000 / $6,000</v>
          </cell>
          <cell r="CN777">
            <v>0.6</v>
          </cell>
          <cell r="CO777" t="str">
            <v>$6,000 / $12,000</v>
          </cell>
          <cell r="CP777" t="str">
            <v>NonEmb</v>
          </cell>
          <cell r="CQ777" t="str">
            <v>ENRP, Acupuncture ( 12 Visits Per Year ), Wig ( $300 Per Year ), Infertility ( $15k Lifetime ), Bariatric Surgery</v>
          </cell>
          <cell r="CS777" t="str">
            <v>INS</v>
          </cell>
          <cell r="CT777" t="str">
            <v>Choice +</v>
          </cell>
          <cell r="CW777" t="str">
            <v>MMX16 05 (1130A)</v>
          </cell>
        </row>
        <row r="778">
          <cell r="CA778" t="str">
            <v>MMX16 06 (1131A)</v>
          </cell>
          <cell r="CB778" t="str">
            <v>HSA</v>
          </cell>
          <cell r="CC778" t="str">
            <v>80%, after Ded</v>
          </cell>
          <cell r="CD778" t="str">
            <v>80%, after Ded</v>
          </cell>
          <cell r="CE778" t="str">
            <v>80%, after Ded</v>
          </cell>
          <cell r="CF778" t="str">
            <v>80%, after Ded</v>
          </cell>
          <cell r="CG778" t="str">
            <v>80%, after Ded</v>
          </cell>
          <cell r="CH778" t="str">
            <v>80%, after Ded</v>
          </cell>
          <cell r="CI778" t="str">
            <v>80%, after Ded</v>
          </cell>
          <cell r="CJ778" t="str">
            <v>$1,500 / $3,000</v>
          </cell>
          <cell r="CK778">
            <v>0.8</v>
          </cell>
          <cell r="CL778" t="str">
            <v>$5,200 / $6,850</v>
          </cell>
          <cell r="CM778" t="str">
            <v>$3,000 / $6,000</v>
          </cell>
          <cell r="CN778">
            <v>0.6</v>
          </cell>
          <cell r="CO778" t="str">
            <v>$10,400 / $13,700</v>
          </cell>
          <cell r="CP778" t="str">
            <v>NonEmb</v>
          </cell>
          <cell r="CQ778" t="str">
            <v>ENRP, Acupuncture ( 12 Visits Per Year ), Wig ( $300 Per Year ), Infertility ( $15k Lifetime ), Bariatric Surgery</v>
          </cell>
          <cell r="CS778" t="str">
            <v>INS</v>
          </cell>
          <cell r="CT778" t="str">
            <v>Choice +</v>
          </cell>
          <cell r="CW778" t="str">
            <v>MMX16 06 (1131A)</v>
          </cell>
        </row>
        <row r="779">
          <cell r="CA779" t="str">
            <v>MMX16 07 (1132A)</v>
          </cell>
          <cell r="CB779" t="str">
            <v>HSA</v>
          </cell>
          <cell r="CC779" t="str">
            <v>70%, after Ded</v>
          </cell>
          <cell r="CD779" t="str">
            <v>70%, after Ded</v>
          </cell>
          <cell r="CE779" t="str">
            <v>70%, after Ded</v>
          </cell>
          <cell r="CF779" t="str">
            <v>70%, after Ded</v>
          </cell>
          <cell r="CG779" t="str">
            <v>70%, after Ded</v>
          </cell>
          <cell r="CH779" t="str">
            <v>70%, after Ded</v>
          </cell>
          <cell r="CI779" t="str">
            <v>70%, after Ded</v>
          </cell>
          <cell r="CJ779" t="str">
            <v>$2,500 / $5,000</v>
          </cell>
          <cell r="CK779">
            <v>0.7</v>
          </cell>
          <cell r="CL779" t="str">
            <v>$4,500 / $6,850</v>
          </cell>
          <cell r="CM779" t="str">
            <v>$4,500 / $9,000</v>
          </cell>
          <cell r="CN779">
            <v>0.5</v>
          </cell>
          <cell r="CO779" t="str">
            <v>$9,000 / $13,700</v>
          </cell>
          <cell r="CP779" t="str">
            <v>NonEmb</v>
          </cell>
          <cell r="CQ779" t="str">
            <v>ENRP, Acupuncture ( 12 Visits Per Year ), Wig ( $300 Per Year ), Infertility ( $15k Lifetime ), Bariatric Surgery</v>
          </cell>
          <cell r="CS779" t="str">
            <v>INS</v>
          </cell>
          <cell r="CT779" t="str">
            <v>Choice +</v>
          </cell>
          <cell r="CW779" t="str">
            <v>MMX16 07 (1132A)</v>
          </cell>
        </row>
        <row r="780">
          <cell r="CA780" t="str">
            <v>MMX16 08 (1133A)</v>
          </cell>
          <cell r="CB780" t="str">
            <v>HSA</v>
          </cell>
          <cell r="CC780" t="str">
            <v>70%, after Ded</v>
          </cell>
          <cell r="CD780" t="str">
            <v>70%, after Ded</v>
          </cell>
          <cell r="CE780" t="str">
            <v>70%, after Ded</v>
          </cell>
          <cell r="CF780" t="str">
            <v>70%, after Ded</v>
          </cell>
          <cell r="CG780" t="str">
            <v>70%, after Ded</v>
          </cell>
          <cell r="CH780" t="str">
            <v>70%, after Ded</v>
          </cell>
          <cell r="CI780" t="str">
            <v>70%, after Ded</v>
          </cell>
          <cell r="CJ780" t="str">
            <v>$2,500 / $5,000</v>
          </cell>
          <cell r="CK780">
            <v>0.7</v>
          </cell>
          <cell r="CL780" t="str">
            <v>$6,200 / $6,850</v>
          </cell>
          <cell r="CM780" t="str">
            <v>$4,500 / $9,000</v>
          </cell>
          <cell r="CN780">
            <v>0.5</v>
          </cell>
          <cell r="CO780" t="str">
            <v>$12,400 / $13,700</v>
          </cell>
          <cell r="CP780" t="str">
            <v>NonEmb</v>
          </cell>
          <cell r="CQ780" t="str">
            <v>ENRP, Acupuncture ( 12 Visits Per Year ), Wig ( $300 Per Year ), Infertility ( $15k Lifetime ), Bariatric Surgery</v>
          </cell>
          <cell r="CS780" t="str">
            <v>INS</v>
          </cell>
          <cell r="CT780" t="str">
            <v>Choice +</v>
          </cell>
          <cell r="CW780" t="str">
            <v>MMX16 08 (1133A)</v>
          </cell>
        </row>
        <row r="781">
          <cell r="CA781" t="str">
            <v>MMX16 09 (1134A)</v>
          </cell>
          <cell r="CB781" t="str">
            <v>Consumer</v>
          </cell>
          <cell r="CC781" t="str">
            <v>80%, after Ded</v>
          </cell>
          <cell r="CD781" t="str">
            <v>80%, after Ded</v>
          </cell>
          <cell r="CE781" t="str">
            <v>80%, after Ded</v>
          </cell>
          <cell r="CF781" t="str">
            <v>80%, after Ded</v>
          </cell>
          <cell r="CG781" t="str">
            <v>80%, after Ded</v>
          </cell>
          <cell r="CH781" t="str">
            <v>80%, after Ded</v>
          </cell>
          <cell r="CI781" t="str">
            <v>80%, after Ded</v>
          </cell>
          <cell r="CJ781" t="str">
            <v>$1,500 / $3,000</v>
          </cell>
          <cell r="CK781">
            <v>0.8</v>
          </cell>
          <cell r="CL781" t="str">
            <v>$3,000 / $6,000</v>
          </cell>
          <cell r="CM781" t="str">
            <v>$3,000 / $6,000</v>
          </cell>
          <cell r="CN781">
            <v>0.6</v>
          </cell>
          <cell r="CO781" t="str">
            <v>$6,000 / $12,000</v>
          </cell>
          <cell r="CP781" t="str">
            <v>Emb</v>
          </cell>
          <cell r="CQ781" t="str">
            <v>ENRP, Acupuncture ( 12 Visits Per Year ), Wig ( $300 Per Year ), Infertility ( $15k Lifetime ), Bariatric Surgery</v>
          </cell>
          <cell r="CS781" t="str">
            <v>INS</v>
          </cell>
          <cell r="CT781" t="str">
            <v>Choice +</v>
          </cell>
          <cell r="CU781">
            <v>0.64219999999999999</v>
          </cell>
          <cell r="CV781" t="str">
            <v>MMX16 Rx 09 (1036A)</v>
          </cell>
          <cell r="CW781" t="str">
            <v>MMX16 09 (1134A)</v>
          </cell>
          <cell r="CX781">
            <v>0.86380000000000001</v>
          </cell>
        </row>
        <row r="782">
          <cell r="CA782" t="str">
            <v>MMX16 10 (1135A)</v>
          </cell>
          <cell r="CB782" t="str">
            <v>Consumer</v>
          </cell>
          <cell r="CC782" t="str">
            <v>80%, after Ded</v>
          </cell>
          <cell r="CD782" t="str">
            <v>80%, after Ded</v>
          </cell>
          <cell r="CE782" t="str">
            <v>80%, after Ded</v>
          </cell>
          <cell r="CF782" t="str">
            <v>80%, after Ded</v>
          </cell>
          <cell r="CG782" t="str">
            <v>80%, after Ded</v>
          </cell>
          <cell r="CH782" t="str">
            <v>80%, after Ded</v>
          </cell>
          <cell r="CI782" t="str">
            <v>80%, after Ded</v>
          </cell>
          <cell r="CJ782" t="str">
            <v>$1,500 / $3,000</v>
          </cell>
          <cell r="CK782">
            <v>0.8</v>
          </cell>
          <cell r="CL782" t="str">
            <v>$5,200 / $10,400</v>
          </cell>
          <cell r="CM782" t="str">
            <v>$3,000 / $6,000</v>
          </cell>
          <cell r="CN782">
            <v>0.6</v>
          </cell>
          <cell r="CO782" t="str">
            <v>$10,400 / $20,800</v>
          </cell>
          <cell r="CP782" t="str">
            <v>Emb</v>
          </cell>
          <cell r="CQ782" t="str">
            <v>ENRP, Acupuncture ( 12 Visits Per Year ), Wig ( $300 Per Year ), Infertility ( $15k Lifetime ), Bariatric Surgery</v>
          </cell>
          <cell r="CS782" t="str">
            <v>INS</v>
          </cell>
          <cell r="CT782" t="str">
            <v>Choice +</v>
          </cell>
          <cell r="CU782">
            <v>0.59340000000000004</v>
          </cell>
          <cell r="CV782" t="str">
            <v>MMX16 Rx 10 (1036A)</v>
          </cell>
          <cell r="CW782" t="str">
            <v>MMX16 10 (1135A)</v>
          </cell>
          <cell r="CX782">
            <v>0.8306</v>
          </cell>
        </row>
        <row r="783">
          <cell r="CA783" t="str">
            <v>MMX16 11 (1136A)</v>
          </cell>
          <cell r="CB783" t="str">
            <v>Consumer</v>
          </cell>
          <cell r="CC783" t="str">
            <v>70%, after Ded</v>
          </cell>
          <cell r="CD783" t="str">
            <v>70%, after Ded</v>
          </cell>
          <cell r="CE783" t="str">
            <v>70%, after Ded</v>
          </cell>
          <cell r="CF783" t="str">
            <v>70%, after Ded</v>
          </cell>
          <cell r="CG783" t="str">
            <v>70%, after Ded</v>
          </cell>
          <cell r="CH783" t="str">
            <v>70%, after Ded</v>
          </cell>
          <cell r="CI783" t="str">
            <v>70%, after Ded</v>
          </cell>
          <cell r="CJ783" t="str">
            <v>$2,500 / $5,000</v>
          </cell>
          <cell r="CK783">
            <v>0.7</v>
          </cell>
          <cell r="CL783" t="str">
            <v>$4,500 / $9,000</v>
          </cell>
          <cell r="CM783" t="str">
            <v>$4,500 / $9,000</v>
          </cell>
          <cell r="CN783">
            <v>0.5</v>
          </cell>
          <cell r="CO783" t="str">
            <v>$9,000 / $18,000</v>
          </cell>
          <cell r="CP783" t="str">
            <v>Emb</v>
          </cell>
          <cell r="CQ783" t="str">
            <v>ENRP, Acupuncture ( 12 Visits Per Year ), Wig ( $300 Per Year ), Infertility ( $15k Lifetime ), Bariatric Surgery</v>
          </cell>
          <cell r="CS783" t="str">
            <v>INS</v>
          </cell>
          <cell r="CT783" t="str">
            <v>Choice +</v>
          </cell>
          <cell r="CU783">
            <v>0.54569999999999996</v>
          </cell>
          <cell r="CV783" t="str">
            <v>MMX16 Rx 11 (1038A)</v>
          </cell>
          <cell r="CW783" t="str">
            <v>MMX16 11 (1136A)</v>
          </cell>
          <cell r="CX783">
            <v>0.80279999999999996</v>
          </cell>
        </row>
        <row r="784">
          <cell r="CA784" t="str">
            <v>MMX16 12 (1137A)</v>
          </cell>
          <cell r="CB784" t="str">
            <v>Consumer</v>
          </cell>
          <cell r="CC784" t="str">
            <v>70%, after Ded</v>
          </cell>
          <cell r="CD784" t="str">
            <v>70%, after Ded</v>
          </cell>
          <cell r="CE784" t="str">
            <v>70%, after Ded</v>
          </cell>
          <cell r="CF784" t="str">
            <v>70%, after Ded</v>
          </cell>
          <cell r="CG784" t="str">
            <v>70%, after Ded</v>
          </cell>
          <cell r="CH784" t="str">
            <v>70%, after Ded</v>
          </cell>
          <cell r="CI784" t="str">
            <v>70%, after Ded</v>
          </cell>
          <cell r="CJ784" t="str">
            <v>$2,500 / $5,000</v>
          </cell>
          <cell r="CK784">
            <v>0.7</v>
          </cell>
          <cell r="CL784" t="str">
            <v>$6,200 / $12,400</v>
          </cell>
          <cell r="CM784" t="str">
            <v>$4,500 / $9,000</v>
          </cell>
          <cell r="CN784">
            <v>0.5</v>
          </cell>
          <cell r="CO784" t="str">
            <v>$12,400 / $24,800</v>
          </cell>
          <cell r="CP784" t="str">
            <v>Emb</v>
          </cell>
          <cell r="CQ784" t="str">
            <v>ENRP, Acupuncture ( 12 Visits Per Year ), Wig ( $300 Per Year ), Infertility ( $15k Lifetime ), Bariatric Surgery</v>
          </cell>
          <cell r="CS784" t="str">
            <v>INS</v>
          </cell>
          <cell r="CT784" t="str">
            <v>Choice +</v>
          </cell>
          <cell r="CU784">
            <v>0.5071</v>
          </cell>
          <cell r="CV784" t="str">
            <v>MMX16 Rx 12 (1038A)</v>
          </cell>
          <cell r="CW784" t="str">
            <v>MMX16 12 (1137A)</v>
          </cell>
          <cell r="CX784">
            <v>0.80879999999999996</v>
          </cell>
        </row>
        <row r="785">
          <cell r="CA785" t="str">
            <v>MMX16 13 (1138A)</v>
          </cell>
          <cell r="CB785" t="str">
            <v>Balanced</v>
          </cell>
          <cell r="CC785">
            <v>40</v>
          </cell>
          <cell r="CD785">
            <v>80</v>
          </cell>
          <cell r="CE785" t="str">
            <v>80%, after Ded</v>
          </cell>
          <cell r="CF785" t="str">
            <v>80%, after Ded</v>
          </cell>
          <cell r="CG785" t="str">
            <v>80%, after Ded</v>
          </cell>
          <cell r="CH785" t="str">
            <v>80%, after Ded</v>
          </cell>
          <cell r="CI785" t="str">
            <v>80%, after Ded</v>
          </cell>
          <cell r="CJ785" t="str">
            <v>$800 / $1,600</v>
          </cell>
          <cell r="CK785">
            <v>0.8</v>
          </cell>
          <cell r="CL785" t="str">
            <v>$2,400 / $4,800</v>
          </cell>
          <cell r="CM785" t="str">
            <v>$2,400 / $4,800</v>
          </cell>
          <cell r="CN785">
            <v>0.6</v>
          </cell>
          <cell r="CO785" t="str">
            <v>$4,800 / $9,600</v>
          </cell>
          <cell r="CP785" t="str">
            <v>Emb</v>
          </cell>
          <cell r="CQ785" t="str">
            <v>ENRP, Acupuncture ( 12 Visits Per Year ), Wig ( $300 Per Year ), Infertility ( $15k Lifetime ), Bariatric Surgery</v>
          </cell>
          <cell r="CS785" t="str">
            <v>INS</v>
          </cell>
          <cell r="CT785" t="str">
            <v>Choice +</v>
          </cell>
          <cell r="CU785">
            <v>0.73970000000000002</v>
          </cell>
          <cell r="CV785" t="str">
            <v>MMX16 Rx 13 (1147A)</v>
          </cell>
          <cell r="CW785" t="str">
            <v>MMX16 13 (1138A)</v>
          </cell>
          <cell r="CX785">
            <v>0.84589999999999999</v>
          </cell>
        </row>
        <row r="786">
          <cell r="CA786" t="str">
            <v>MMX16 14 (1139A)</v>
          </cell>
          <cell r="CB786" t="str">
            <v>HSA</v>
          </cell>
          <cell r="CC786" t="str">
            <v>70%, after Ded</v>
          </cell>
          <cell r="CD786" t="str">
            <v>70%, after Ded</v>
          </cell>
          <cell r="CE786" t="str">
            <v>70%, after Ded</v>
          </cell>
          <cell r="CF786" t="str">
            <v>70%, after Ded</v>
          </cell>
          <cell r="CG786" t="str">
            <v>70%, after Ded</v>
          </cell>
          <cell r="CH786" t="str">
            <v>70%, after Ded</v>
          </cell>
          <cell r="CI786" t="str">
            <v>70%, after Ded</v>
          </cell>
          <cell r="CJ786" t="str">
            <v>$4,500 / $9,000</v>
          </cell>
          <cell r="CK786">
            <v>0.7</v>
          </cell>
          <cell r="CL786" t="str">
            <v>$6,550 / $13,100</v>
          </cell>
          <cell r="CM786" t="str">
            <v>$9,000 / $18,000</v>
          </cell>
          <cell r="CN786">
            <v>0.5</v>
          </cell>
          <cell r="CO786" t="str">
            <v>$13,100 / $26,200</v>
          </cell>
          <cell r="CP786" t="str">
            <v>Emb</v>
          </cell>
          <cell r="CQ786" t="str">
            <v>ENRP, Acupuncture ( 12 Visits Per Year ), Wig ( $300 Per Year ), Infertility ( $15k Lifetime ), Bariatric Surgery</v>
          </cell>
          <cell r="CS786" t="str">
            <v>INS</v>
          </cell>
          <cell r="CT786" t="str">
            <v>Choice +</v>
          </cell>
          <cell r="CU786">
            <v>0.55910000000000004</v>
          </cell>
          <cell r="CV786" t="str">
            <v>MMX16 Rx HSA 14 (1037A)</v>
          </cell>
          <cell r="CW786" t="str">
            <v>MMX16 14 (1139A)</v>
          </cell>
          <cell r="CX786">
            <v>0.75060000000000004</v>
          </cell>
        </row>
        <row r="787">
          <cell r="CA787" t="str">
            <v>MMX16 15 (1140A)</v>
          </cell>
          <cell r="CB787" t="str">
            <v>HSA</v>
          </cell>
          <cell r="CC787" t="str">
            <v>100%, after Ded</v>
          </cell>
          <cell r="CD787" t="str">
            <v>100%, after Ded</v>
          </cell>
          <cell r="CE787" t="str">
            <v>100%, after Ded</v>
          </cell>
          <cell r="CF787" t="str">
            <v>100%, after Ded</v>
          </cell>
          <cell r="CG787" t="str">
            <v>100%, after Ded</v>
          </cell>
          <cell r="CH787" t="str">
            <v>100%, after Ded</v>
          </cell>
          <cell r="CI787" t="str">
            <v>100%, after Ded</v>
          </cell>
          <cell r="CJ787" t="str">
            <v>$6,550 / $13,100</v>
          </cell>
          <cell r="CK787">
            <v>1</v>
          </cell>
          <cell r="CL787" t="str">
            <v>$6,550 / $13,100</v>
          </cell>
          <cell r="CM787" t="str">
            <v>$13,100 / $26,200</v>
          </cell>
          <cell r="CN787">
            <v>1</v>
          </cell>
          <cell r="CO787" t="str">
            <v>$13,100 / $26,200</v>
          </cell>
          <cell r="CP787" t="str">
            <v>Emb</v>
          </cell>
          <cell r="CQ787" t="str">
            <v>ENRP, Acupuncture ( 12 Visits Per Year ), Wig ( $300 Per Year ), Infertility ( $15k Lifetime ), Bariatric Surgery</v>
          </cell>
          <cell r="CS787" t="str">
            <v>INS</v>
          </cell>
          <cell r="CT787" t="str">
            <v>Choice +</v>
          </cell>
          <cell r="CU787">
            <v>0.55130000000000001</v>
          </cell>
          <cell r="CV787" t="str">
            <v>MMX16 Rx HSA 15 (1148A)</v>
          </cell>
          <cell r="CW787" t="str">
            <v>MMX16 15 (1140A)</v>
          </cell>
          <cell r="CX787">
            <v>0.75829999999999997</v>
          </cell>
        </row>
        <row r="788">
          <cell r="CA788" t="str">
            <v>MMX16 16 (1141A)</v>
          </cell>
          <cell r="CB788" t="str">
            <v>Consumer</v>
          </cell>
          <cell r="CC788" t="str">
            <v>70%, after Ded</v>
          </cell>
          <cell r="CD788" t="str">
            <v>70%, after Ded</v>
          </cell>
          <cell r="CE788" t="str">
            <v>70%, after Ded</v>
          </cell>
          <cell r="CF788" t="str">
            <v>70%, after Ded</v>
          </cell>
          <cell r="CG788" t="str">
            <v>70%, after Ded</v>
          </cell>
          <cell r="CH788" t="str">
            <v>70%, after Ded</v>
          </cell>
          <cell r="CI788" t="str">
            <v>70%, after Ded</v>
          </cell>
          <cell r="CJ788" t="str">
            <v>$4,500 / $9,000</v>
          </cell>
          <cell r="CK788">
            <v>0.7</v>
          </cell>
          <cell r="CL788" t="str">
            <v>$6,550 / $13,100</v>
          </cell>
          <cell r="CM788" t="str">
            <v>$9,000 / $18,000</v>
          </cell>
          <cell r="CN788">
            <v>0.5</v>
          </cell>
          <cell r="CO788" t="str">
            <v>$13,100 / $26,200</v>
          </cell>
          <cell r="CP788" t="str">
            <v>Emb</v>
          </cell>
          <cell r="CQ788" t="str">
            <v>ENRP, Acupuncture ( 12 Visits Per Year ), Wig ( $300 Per Year ), Infertility ( $15k Lifetime ), Bariatric Surgery</v>
          </cell>
          <cell r="CS788" t="str">
            <v>INS</v>
          </cell>
          <cell r="CT788" t="str">
            <v>Choice +</v>
          </cell>
          <cell r="CU788">
            <v>0.47749999999999998</v>
          </cell>
          <cell r="CV788" t="str">
            <v>MMX16 Rx 16 (1038A)</v>
          </cell>
          <cell r="CW788" t="str">
            <v>MMX16 16 (1141A)</v>
          </cell>
          <cell r="CX788">
            <v>0.75739999999999996</v>
          </cell>
        </row>
        <row r="789">
          <cell r="CA789" t="str">
            <v>MMX16 17 (1142A)</v>
          </cell>
          <cell r="CB789" t="str">
            <v>Consumer</v>
          </cell>
          <cell r="CC789" t="str">
            <v>100%, after Ded</v>
          </cell>
          <cell r="CD789" t="str">
            <v>100%, after Ded</v>
          </cell>
          <cell r="CE789" t="str">
            <v>100%, after Ded</v>
          </cell>
          <cell r="CF789" t="str">
            <v>100%, after Ded</v>
          </cell>
          <cell r="CG789" t="str">
            <v>100%, after Ded</v>
          </cell>
          <cell r="CH789" t="str">
            <v>100%, after Ded</v>
          </cell>
          <cell r="CI789" t="str">
            <v>100%, after Ded</v>
          </cell>
          <cell r="CJ789" t="str">
            <v>$6,550 / $13,100</v>
          </cell>
          <cell r="CK789">
            <v>1</v>
          </cell>
          <cell r="CL789" t="str">
            <v>$6,550 / $13,100</v>
          </cell>
          <cell r="CM789" t="str">
            <v>$13,100 / $26,200</v>
          </cell>
          <cell r="CN789">
            <v>1</v>
          </cell>
          <cell r="CO789" t="str">
            <v>$13,100 / $26,200</v>
          </cell>
          <cell r="CP789" t="str">
            <v>Emb</v>
          </cell>
          <cell r="CQ789" t="str">
            <v>ENRP, Acupuncture ( 12 Visits Per Year ), Wig ( $300 Per Year ), Infertility ( $15k Lifetime ), Bariatric Surgery</v>
          </cell>
          <cell r="CS789" t="str">
            <v>INS</v>
          </cell>
          <cell r="CT789" t="str">
            <v>Choice +</v>
          </cell>
          <cell r="CU789">
            <v>0.47270000000000001</v>
          </cell>
          <cell r="CV789" t="str">
            <v>MMX16 Rx 17 (1038A)</v>
          </cell>
          <cell r="CW789" t="str">
            <v>MMX16 17 (1142A)</v>
          </cell>
          <cell r="CX789">
            <v>0.7843</v>
          </cell>
        </row>
        <row r="790">
          <cell r="CA790" t="str">
            <v>MMX16 18 (1143A)</v>
          </cell>
          <cell r="CB790" t="str">
            <v>HSA</v>
          </cell>
          <cell r="CC790" t="str">
            <v>80%, after Ded</v>
          </cell>
          <cell r="CD790" t="str">
            <v>80%, after Ded</v>
          </cell>
          <cell r="CE790" t="str">
            <v>80%, after Ded</v>
          </cell>
          <cell r="CF790" t="str">
            <v>80%, after Ded</v>
          </cell>
          <cell r="CG790" t="str">
            <v>80%, after Ded</v>
          </cell>
          <cell r="CH790" t="str">
            <v>80%, after Ded</v>
          </cell>
          <cell r="CI790" t="str">
            <v>80%, after Ded</v>
          </cell>
          <cell r="CJ790" t="str">
            <v>$1,850 / $3,700</v>
          </cell>
          <cell r="CK790">
            <v>0.8</v>
          </cell>
          <cell r="CL790" t="str">
            <v>$3,500 / $6,500</v>
          </cell>
          <cell r="CM790" t="str">
            <v>$3,700 / $7,400</v>
          </cell>
          <cell r="CN790">
            <v>0.6</v>
          </cell>
          <cell r="CO790" t="str">
            <v>$7,000 / $13,000</v>
          </cell>
          <cell r="CP790" t="str">
            <v>NonEmb</v>
          </cell>
          <cell r="CQ790" t="str">
            <v>ENRP, Acupuncture ( 12 Visits Per Year ), Wig ( $300 Per Year ), Infertility ( $15k Lifetime ), Bariatric Surgery</v>
          </cell>
          <cell r="CS790" t="str">
            <v>INS</v>
          </cell>
          <cell r="CT790" t="str">
            <v>Choice +</v>
          </cell>
          <cell r="CW790" t="str">
            <v>MMX16 18 (1143A)</v>
          </cell>
        </row>
        <row r="791">
          <cell r="CA791" t="str">
            <v>MMX16 19 (1144A)</v>
          </cell>
          <cell r="CB791" t="str">
            <v>HSA</v>
          </cell>
          <cell r="CC791" t="str">
            <v>80%, after Ded</v>
          </cell>
          <cell r="CD791" t="str">
            <v>80%, after Ded</v>
          </cell>
          <cell r="CE791" t="str">
            <v>80%, after Ded</v>
          </cell>
          <cell r="CF791" t="str">
            <v>80%, after Ded</v>
          </cell>
          <cell r="CG791" t="str">
            <v>80%, after Ded</v>
          </cell>
          <cell r="CH791" t="str">
            <v>80%, after Ded</v>
          </cell>
          <cell r="CI791" t="str">
            <v>80%, after Ded</v>
          </cell>
          <cell r="CJ791" t="str">
            <v>$1,850 / $3,700</v>
          </cell>
          <cell r="CK791">
            <v>0.8</v>
          </cell>
          <cell r="CL791" t="str">
            <v>$6,000 / $6,850</v>
          </cell>
          <cell r="CM791" t="str">
            <v>$3,700 / $7,400</v>
          </cell>
          <cell r="CN791">
            <v>0.6</v>
          </cell>
          <cell r="CO791" t="str">
            <v>$12,000 / $13,700</v>
          </cell>
          <cell r="CP791" t="str">
            <v>NonEmb</v>
          </cell>
          <cell r="CQ791" t="str">
            <v>ENRP, Acupuncture ( 12 Visits Per Year ), Wig ( $300 Per Year ), Infertility ( $15k Lifetime ), Bariatric Surgery</v>
          </cell>
          <cell r="CS791" t="str">
            <v>INS</v>
          </cell>
          <cell r="CT791" t="str">
            <v>Choice +</v>
          </cell>
          <cell r="CW791" t="str">
            <v>MMX16 19 (1144A)</v>
          </cell>
        </row>
        <row r="792">
          <cell r="CA792" t="str">
            <v>MMX16 20 (1145A)</v>
          </cell>
          <cell r="CB792" t="str">
            <v>HSA</v>
          </cell>
          <cell r="CC792" t="str">
            <v>70%, after Ded</v>
          </cell>
          <cell r="CD792" t="str">
            <v>70%, after Ded</v>
          </cell>
          <cell r="CE792" t="str">
            <v>70%, after Ded</v>
          </cell>
          <cell r="CF792" t="str">
            <v>70%, after Ded</v>
          </cell>
          <cell r="CG792" t="str">
            <v>70%, after Ded</v>
          </cell>
          <cell r="CH792" t="str">
            <v>70%, after Ded</v>
          </cell>
          <cell r="CI792" t="str">
            <v>70%, after Ded</v>
          </cell>
          <cell r="CJ792" t="str">
            <v>$2,850 / $5,700</v>
          </cell>
          <cell r="CK792">
            <v>0.7</v>
          </cell>
          <cell r="CL792" t="str">
            <v>$5,500 / $11,000</v>
          </cell>
          <cell r="CM792" t="str">
            <v>$5,700 / $11,400</v>
          </cell>
          <cell r="CN792">
            <v>0.5</v>
          </cell>
          <cell r="CO792" t="str">
            <v>$11,000 / $22,000</v>
          </cell>
          <cell r="CP792" t="str">
            <v>Emb</v>
          </cell>
          <cell r="CQ792" t="str">
            <v>ENRP, Acupuncture ( 12 Visits Per Year ), Wig ( $300 Per Year ), Infertility ( $15k Lifetime ), Bariatric Surgery</v>
          </cell>
          <cell r="CS792" t="str">
            <v>INS</v>
          </cell>
          <cell r="CT792" t="str">
            <v>Choice +</v>
          </cell>
          <cell r="CU792">
            <v>0.60260000000000002</v>
          </cell>
          <cell r="CV792" t="str">
            <v>MMX16 Rx HSA 20 (1037A)</v>
          </cell>
          <cell r="CW792" t="str">
            <v>MMX16 20 (1145A)</v>
          </cell>
          <cell r="CX792">
            <v>0.77990000000000004</v>
          </cell>
        </row>
        <row r="793">
          <cell r="CA793" t="str">
            <v>MMX16 21 (1146A)</v>
          </cell>
          <cell r="CB793" t="str">
            <v>HSA</v>
          </cell>
          <cell r="CC793" t="str">
            <v>70%, after Ded</v>
          </cell>
          <cell r="CD793" t="str">
            <v>70%, after Ded</v>
          </cell>
          <cell r="CE793" t="str">
            <v>70%, after Ded</v>
          </cell>
          <cell r="CF793" t="str">
            <v>70%, after Ded</v>
          </cell>
          <cell r="CG793" t="str">
            <v>70%, after Ded</v>
          </cell>
          <cell r="CH793" t="str">
            <v>70%, after Ded</v>
          </cell>
          <cell r="CI793" t="str">
            <v>70%, after Ded</v>
          </cell>
          <cell r="CJ793" t="str">
            <v>$2,850 / $5,700</v>
          </cell>
          <cell r="CK793">
            <v>0.7</v>
          </cell>
          <cell r="CL793" t="str">
            <v>$6,550 / $13,100</v>
          </cell>
          <cell r="CM793" t="str">
            <v>$5,700 / $11,400</v>
          </cell>
          <cell r="CN793">
            <v>0.5</v>
          </cell>
          <cell r="CO793" t="str">
            <v>$13,100 / $26,200</v>
          </cell>
          <cell r="CP793" t="str">
            <v>Emb</v>
          </cell>
          <cell r="CQ793" t="str">
            <v>ENRP, Acupuncture ( 12 Visits Per Year ), Wig ( $300 Per Year ), Infertility ( $15k Lifetime ), Bariatric Surgery</v>
          </cell>
          <cell r="CS793" t="str">
            <v>INS</v>
          </cell>
          <cell r="CT793" t="str">
            <v>Choice +</v>
          </cell>
          <cell r="CU793">
            <v>0.58809999999999996</v>
          </cell>
          <cell r="CV793" t="str">
            <v>MMX16 Rx HSA 21 (1037A)</v>
          </cell>
          <cell r="CW793" t="str">
            <v>MMX16 21 (1146A)</v>
          </cell>
          <cell r="CX793">
            <v>0.76229999999999998</v>
          </cell>
        </row>
        <row r="799">
          <cell r="CA799" t="str">
            <v>AM83</v>
          </cell>
          <cell r="CB799" t="str">
            <v>Navigate HSA</v>
          </cell>
          <cell r="CC799" t="str">
            <v>N/A</v>
          </cell>
          <cell r="CD799" t="str">
            <v>N/A</v>
          </cell>
          <cell r="CE799" t="str">
            <v>N/A</v>
          </cell>
          <cell r="CF799" t="str">
            <v>$100 POD</v>
          </cell>
          <cell r="CG799" t="str">
            <v>N/A</v>
          </cell>
          <cell r="CH799" t="str">
            <v>$100 POD</v>
          </cell>
          <cell r="CI799" t="str">
            <v>N/A</v>
          </cell>
          <cell r="CJ799" t="str">
            <v>$3000 / $6000</v>
          </cell>
          <cell r="CK799">
            <v>0.8</v>
          </cell>
          <cell r="CL799" t="str">
            <v>$5000 / $10000</v>
          </cell>
          <cell r="CM799" t="str">
            <v>N/A</v>
          </cell>
          <cell r="CN799" t="str">
            <v>N/A</v>
          </cell>
          <cell r="CO799" t="str">
            <v>N/A</v>
          </cell>
          <cell r="CP799" t="str">
            <v>Emb</v>
          </cell>
          <cell r="CS799" t="str">
            <v>INS</v>
          </cell>
          <cell r="CT799" t="str">
            <v>Navigate</v>
          </cell>
          <cell r="CU799">
            <v>0.60360000000000003</v>
          </cell>
          <cell r="CV799" t="str">
            <v>H9-HSA</v>
          </cell>
          <cell r="CW799" t="str">
            <v>NAVHSA14&amp;15</v>
          </cell>
          <cell r="CX799">
            <v>0.68489999999999995</v>
          </cell>
        </row>
        <row r="800">
          <cell r="CA800" t="str">
            <v>AM84</v>
          </cell>
          <cell r="CB800" t="str">
            <v>Navigate HSA</v>
          </cell>
          <cell r="CC800" t="str">
            <v>N/A</v>
          </cell>
          <cell r="CD800" t="str">
            <v>N/A</v>
          </cell>
          <cell r="CE800" t="str">
            <v>N/A</v>
          </cell>
          <cell r="CF800" t="str">
            <v>$100 POD</v>
          </cell>
          <cell r="CG800" t="str">
            <v>N/A</v>
          </cell>
          <cell r="CH800" t="str">
            <v>$100 POD</v>
          </cell>
          <cell r="CI800" t="str">
            <v>N/A</v>
          </cell>
          <cell r="CJ800" t="str">
            <v>$3000 / $6000</v>
          </cell>
          <cell r="CK800">
            <v>0.8</v>
          </cell>
          <cell r="CL800" t="str">
            <v>$5000 / $10000</v>
          </cell>
          <cell r="CM800" t="str">
            <v>N/A</v>
          </cell>
          <cell r="CN800" t="str">
            <v>N/A</v>
          </cell>
          <cell r="CO800" t="str">
            <v>N/A</v>
          </cell>
          <cell r="CP800" t="str">
            <v>Emb</v>
          </cell>
          <cell r="CS800" t="str">
            <v>INS</v>
          </cell>
          <cell r="CT800" t="str">
            <v>Navigate</v>
          </cell>
          <cell r="CU800">
            <v>0.60360000000000003</v>
          </cell>
          <cell r="CV800" t="str">
            <v>H9-HSA</v>
          </cell>
          <cell r="CW800" t="str">
            <v>NAVHSA14&amp;15</v>
          </cell>
          <cell r="CX800">
            <v>0.68489999999999995</v>
          </cell>
        </row>
        <row r="801">
          <cell r="CA801" t="str">
            <v>AM85</v>
          </cell>
          <cell r="CB801" t="str">
            <v>Navigate HSA</v>
          </cell>
          <cell r="CC801" t="str">
            <v>N/A</v>
          </cell>
          <cell r="CD801" t="str">
            <v>N/A</v>
          </cell>
          <cell r="CE801" t="str">
            <v>N/A</v>
          </cell>
          <cell r="CF801" t="str">
            <v>$100 POD</v>
          </cell>
          <cell r="CG801" t="str">
            <v>N/A</v>
          </cell>
          <cell r="CH801" t="str">
            <v>$100 POD</v>
          </cell>
          <cell r="CI801" t="str">
            <v>N/A</v>
          </cell>
          <cell r="CJ801" t="str">
            <v>$3500 / $7000</v>
          </cell>
          <cell r="CK801">
            <v>0.8</v>
          </cell>
          <cell r="CL801" t="str">
            <v>$5500 / $11000</v>
          </cell>
          <cell r="CM801" t="str">
            <v>N/A</v>
          </cell>
          <cell r="CN801" t="str">
            <v>N/A</v>
          </cell>
          <cell r="CO801" t="str">
            <v>N/A</v>
          </cell>
          <cell r="CP801" t="str">
            <v>Emb</v>
          </cell>
          <cell r="CS801" t="str">
            <v>INS</v>
          </cell>
          <cell r="CT801" t="str">
            <v>Navigate</v>
          </cell>
          <cell r="CU801">
            <v>0.58379999999999999</v>
          </cell>
          <cell r="CV801" t="str">
            <v>H9-HSA</v>
          </cell>
          <cell r="CW801" t="str">
            <v>NAVHSA14&amp;15</v>
          </cell>
          <cell r="CX801">
            <v>0.66159999999999997</v>
          </cell>
        </row>
        <row r="802">
          <cell r="CA802" t="str">
            <v>AM86</v>
          </cell>
          <cell r="CB802" t="str">
            <v>Navigate HSA</v>
          </cell>
          <cell r="CC802" t="str">
            <v>N/A</v>
          </cell>
          <cell r="CD802" t="str">
            <v>N/A</v>
          </cell>
          <cell r="CE802" t="str">
            <v>N/A</v>
          </cell>
          <cell r="CF802" t="str">
            <v>$100 POD</v>
          </cell>
          <cell r="CG802" t="str">
            <v>N/A</v>
          </cell>
          <cell r="CH802" t="str">
            <v>$100 POD</v>
          </cell>
          <cell r="CI802" t="str">
            <v>N/A</v>
          </cell>
          <cell r="CJ802" t="str">
            <v>$4000 / $8000</v>
          </cell>
          <cell r="CK802">
            <v>0.8</v>
          </cell>
          <cell r="CL802" t="str">
            <v>$5500 / $11000</v>
          </cell>
          <cell r="CM802" t="str">
            <v>N/A</v>
          </cell>
          <cell r="CN802" t="str">
            <v>N/A</v>
          </cell>
          <cell r="CO802" t="str">
            <v>N/A</v>
          </cell>
          <cell r="CP802" t="str">
            <v>Emb</v>
          </cell>
          <cell r="CS802" t="str">
            <v>INS</v>
          </cell>
          <cell r="CT802" t="str">
            <v>Navigate</v>
          </cell>
          <cell r="CU802">
            <v>0.57469999999999999</v>
          </cell>
          <cell r="CV802" t="str">
            <v>H9-HSA</v>
          </cell>
          <cell r="CW802" t="str">
            <v>NAVHSA14&amp;15</v>
          </cell>
          <cell r="CX802">
            <v>0.64880000000000004</v>
          </cell>
        </row>
        <row r="803">
          <cell r="CA803" t="str">
            <v>AM87</v>
          </cell>
          <cell r="CB803" t="str">
            <v>Navigate HSA</v>
          </cell>
          <cell r="CC803" t="str">
            <v>N/A</v>
          </cell>
          <cell r="CD803" t="str">
            <v>N/A</v>
          </cell>
          <cell r="CE803" t="str">
            <v>N/A</v>
          </cell>
          <cell r="CF803" t="str">
            <v>N/A</v>
          </cell>
          <cell r="CG803" t="str">
            <v>N/A</v>
          </cell>
          <cell r="CH803" t="str">
            <v>N/A</v>
          </cell>
          <cell r="CI803" t="str">
            <v>N/A</v>
          </cell>
          <cell r="CJ803" t="str">
            <v>$4500 / $9000</v>
          </cell>
          <cell r="CK803">
            <v>0.8</v>
          </cell>
          <cell r="CL803" t="str">
            <v>$6350 / $12700</v>
          </cell>
          <cell r="CM803" t="str">
            <v>N/A</v>
          </cell>
          <cell r="CN803" t="str">
            <v>N/A</v>
          </cell>
          <cell r="CO803" t="str">
            <v>N/A</v>
          </cell>
          <cell r="CP803" t="str">
            <v>Emb</v>
          </cell>
          <cell r="CS803" t="str">
            <v>INS</v>
          </cell>
          <cell r="CT803" t="str">
            <v>Navigate</v>
          </cell>
          <cell r="CU803">
            <v>0.55530000000000002</v>
          </cell>
          <cell r="CV803" t="str">
            <v>H9-HSA</v>
          </cell>
          <cell r="CW803" t="str">
            <v>NAVHSA14&amp;15</v>
          </cell>
          <cell r="CX803">
            <v>0.624</v>
          </cell>
        </row>
        <row r="804">
          <cell r="CA804" t="str">
            <v>AM88</v>
          </cell>
          <cell r="CB804" t="str">
            <v>Navigate HSA</v>
          </cell>
          <cell r="CC804" t="str">
            <v>N/A</v>
          </cell>
          <cell r="CD804" t="str">
            <v>N/A</v>
          </cell>
          <cell r="CE804" t="str">
            <v>N/A</v>
          </cell>
          <cell r="CF804" t="str">
            <v>N/A</v>
          </cell>
          <cell r="CG804" t="str">
            <v>N/A</v>
          </cell>
          <cell r="CH804" t="str">
            <v>$200 POD</v>
          </cell>
          <cell r="CI804" t="str">
            <v>N/A</v>
          </cell>
          <cell r="CJ804" t="str">
            <v>$5500 / $11000</v>
          </cell>
          <cell r="CK804">
            <v>0.6</v>
          </cell>
          <cell r="CL804" t="str">
            <v>$6350 / $12700</v>
          </cell>
          <cell r="CM804" t="str">
            <v>N/A</v>
          </cell>
          <cell r="CN804" t="str">
            <v>N/A</v>
          </cell>
          <cell r="CO804" t="str">
            <v>N/A</v>
          </cell>
          <cell r="CP804" t="str">
            <v>Emb</v>
          </cell>
          <cell r="CS804" t="str">
            <v>INS</v>
          </cell>
          <cell r="CT804" t="str">
            <v>Navigate</v>
          </cell>
          <cell r="CU804">
            <v>0.54169999999999996</v>
          </cell>
          <cell r="CV804" t="str">
            <v>H9-HSA</v>
          </cell>
          <cell r="CW804" t="str">
            <v>NAVHSA14&amp;15</v>
          </cell>
          <cell r="CX804">
            <v>0.6028</v>
          </cell>
        </row>
        <row r="805">
          <cell r="CA805" t="str">
            <v>AM89</v>
          </cell>
          <cell r="CB805" t="str">
            <v>Navigate HSA</v>
          </cell>
          <cell r="CC805" t="str">
            <v>N/A</v>
          </cell>
          <cell r="CD805" t="str">
            <v>N/A</v>
          </cell>
          <cell r="CE805" t="str">
            <v>N/A</v>
          </cell>
          <cell r="CF805" t="str">
            <v>N/A</v>
          </cell>
          <cell r="CG805" t="str">
            <v>N/A</v>
          </cell>
          <cell r="CH805" t="str">
            <v>N/A</v>
          </cell>
          <cell r="CI805" t="str">
            <v>N/A</v>
          </cell>
          <cell r="CJ805" t="str">
            <v>$6350 / $12700</v>
          </cell>
          <cell r="CK805">
            <v>1</v>
          </cell>
          <cell r="CL805" t="str">
            <v>$6350 / $12700</v>
          </cell>
          <cell r="CM805" t="str">
            <v>N/A</v>
          </cell>
          <cell r="CN805" t="str">
            <v>N/A</v>
          </cell>
          <cell r="CO805" t="str">
            <v>N/A</v>
          </cell>
          <cell r="CP805" t="str">
            <v>Emb</v>
          </cell>
          <cell r="CS805" t="str">
            <v>INS</v>
          </cell>
          <cell r="CT805" t="str">
            <v>Navigate</v>
          </cell>
          <cell r="CU805">
            <v>0.54459999999999997</v>
          </cell>
          <cell r="CV805" t="str">
            <v>H9-HSA</v>
          </cell>
          <cell r="CW805" t="str">
            <v>NAVHSA14&amp;15</v>
          </cell>
          <cell r="CX805">
            <v>0.60040000000000004</v>
          </cell>
        </row>
        <row r="806">
          <cell r="CA806" t="str">
            <v>AM91</v>
          </cell>
          <cell r="CB806" t="str">
            <v>Navigate</v>
          </cell>
          <cell r="CC806">
            <v>20</v>
          </cell>
          <cell r="CD806">
            <v>30</v>
          </cell>
          <cell r="CE806" t="str">
            <v>N/A</v>
          </cell>
          <cell r="CF806" t="str">
            <v>$500 POD</v>
          </cell>
          <cell r="CG806">
            <v>125</v>
          </cell>
          <cell r="CH806" t="str">
            <v xml:space="preserve">$250 </v>
          </cell>
          <cell r="CI806" t="str">
            <v>N/A</v>
          </cell>
          <cell r="CJ806" t="str">
            <v>$250 / $500</v>
          </cell>
          <cell r="CK806">
            <v>0.7</v>
          </cell>
          <cell r="CL806" t="str">
            <v>$3500 / $7000</v>
          </cell>
          <cell r="CM806" t="str">
            <v>N/A</v>
          </cell>
          <cell r="CN806" t="str">
            <v>N/A</v>
          </cell>
          <cell r="CO806" t="str">
            <v>N/A</v>
          </cell>
          <cell r="CP806" t="str">
            <v>Emb</v>
          </cell>
          <cell r="CS806" t="str">
            <v>INS</v>
          </cell>
          <cell r="CT806" t="str">
            <v>Navigate</v>
          </cell>
          <cell r="CU806">
            <v>0.75470000000000004</v>
          </cell>
          <cell r="CV806" t="str">
            <v/>
          </cell>
          <cell r="CW806" t="str">
            <v>NAV14&amp;15</v>
          </cell>
          <cell r="CX806">
            <v>0.66169999999999995</v>
          </cell>
        </row>
        <row r="807">
          <cell r="CA807" t="str">
            <v>AM92</v>
          </cell>
          <cell r="CB807" t="str">
            <v>Navigate</v>
          </cell>
          <cell r="CC807">
            <v>30</v>
          </cell>
          <cell r="CD807">
            <v>30</v>
          </cell>
          <cell r="CE807" t="str">
            <v>N/A</v>
          </cell>
          <cell r="CF807" t="str">
            <v>$500 POD</v>
          </cell>
          <cell r="CG807">
            <v>125</v>
          </cell>
          <cell r="CH807" t="str">
            <v xml:space="preserve">$250 </v>
          </cell>
          <cell r="CI807" t="str">
            <v>N/A</v>
          </cell>
          <cell r="CJ807" t="str">
            <v>$500 / $1000</v>
          </cell>
          <cell r="CK807">
            <v>0.8</v>
          </cell>
          <cell r="CL807" t="str">
            <v>$5000 / $10000</v>
          </cell>
          <cell r="CM807" t="str">
            <v>N/A</v>
          </cell>
          <cell r="CN807" t="str">
            <v>N/A</v>
          </cell>
          <cell r="CO807" t="str">
            <v>N/A</v>
          </cell>
          <cell r="CP807" t="str">
            <v>Emb</v>
          </cell>
          <cell r="CS807" t="str">
            <v>INS</v>
          </cell>
          <cell r="CT807" t="str">
            <v>Navigate</v>
          </cell>
          <cell r="CU807">
            <v>0.72589999999999999</v>
          </cell>
          <cell r="CV807" t="str">
            <v/>
          </cell>
          <cell r="CW807" t="str">
            <v>NAV14&amp;15</v>
          </cell>
          <cell r="CX807">
            <v>0.64429999999999998</v>
          </cell>
        </row>
        <row r="808">
          <cell r="CA808" t="str">
            <v>AM93</v>
          </cell>
          <cell r="CB808" t="str">
            <v>Navigate</v>
          </cell>
          <cell r="CC808">
            <v>20</v>
          </cell>
          <cell r="CD808">
            <v>20</v>
          </cell>
          <cell r="CE808" t="str">
            <v>N/A</v>
          </cell>
          <cell r="CF808" t="str">
            <v>$250 POD</v>
          </cell>
          <cell r="CG808">
            <v>125</v>
          </cell>
          <cell r="CH808" t="str">
            <v xml:space="preserve">$250 </v>
          </cell>
          <cell r="CI808" t="str">
            <v>N/A</v>
          </cell>
          <cell r="CJ808" t="str">
            <v>$500 / $1000</v>
          </cell>
          <cell r="CK808">
            <v>0.7</v>
          </cell>
          <cell r="CL808" t="str">
            <v>$4500 / $9000</v>
          </cell>
          <cell r="CM808" t="str">
            <v>N/A</v>
          </cell>
          <cell r="CN808" t="str">
            <v>N/A</v>
          </cell>
          <cell r="CO808" t="str">
            <v>N/A</v>
          </cell>
          <cell r="CP808" t="str">
            <v>Emb</v>
          </cell>
          <cell r="CS808" t="str">
            <v>INS</v>
          </cell>
          <cell r="CT808" t="str">
            <v>Navigate</v>
          </cell>
          <cell r="CU808">
            <v>0.72340000000000004</v>
          </cell>
          <cell r="CV808" t="str">
            <v/>
          </cell>
          <cell r="CW808" t="str">
            <v>NAV14&amp;15</v>
          </cell>
          <cell r="CX808">
            <v>0.65110000000000001</v>
          </cell>
        </row>
        <row r="809">
          <cell r="CA809" t="str">
            <v>AM94</v>
          </cell>
          <cell r="CB809" t="str">
            <v>Navigate</v>
          </cell>
          <cell r="CC809">
            <v>15</v>
          </cell>
          <cell r="CD809">
            <v>15</v>
          </cell>
          <cell r="CE809" t="str">
            <v>N/A</v>
          </cell>
          <cell r="CF809" t="str">
            <v>N/A</v>
          </cell>
          <cell r="CG809">
            <v>50</v>
          </cell>
          <cell r="CH809" t="str">
            <v xml:space="preserve">$100 </v>
          </cell>
          <cell r="CI809" t="str">
            <v>N/A</v>
          </cell>
          <cell r="CJ809" t="str">
            <v>$1000 / $2000</v>
          </cell>
          <cell r="CK809">
            <v>0.9</v>
          </cell>
          <cell r="CL809" t="str">
            <v>$3000 / $6000</v>
          </cell>
          <cell r="CM809" t="str">
            <v>N/A</v>
          </cell>
          <cell r="CN809" t="str">
            <v>N/A</v>
          </cell>
          <cell r="CO809" t="str">
            <v>N/A</v>
          </cell>
          <cell r="CP809" t="str">
            <v>Emb</v>
          </cell>
          <cell r="CS809" t="str">
            <v>INS</v>
          </cell>
          <cell r="CT809" t="str">
            <v>Navigate</v>
          </cell>
          <cell r="CU809">
            <v>0.79359999999999997</v>
          </cell>
          <cell r="CV809" t="str">
            <v/>
          </cell>
          <cell r="CW809" t="str">
            <v>NAV14&amp;15</v>
          </cell>
          <cell r="CX809">
            <v>0.66749999999999998</v>
          </cell>
        </row>
        <row r="810">
          <cell r="CA810" t="str">
            <v>AM95</v>
          </cell>
          <cell r="CB810" t="str">
            <v>Navigate</v>
          </cell>
          <cell r="CC810">
            <v>25</v>
          </cell>
          <cell r="CD810">
            <v>25</v>
          </cell>
          <cell r="CE810" t="str">
            <v>N/A</v>
          </cell>
          <cell r="CF810" t="str">
            <v>N/A</v>
          </cell>
          <cell r="CG810">
            <v>125</v>
          </cell>
          <cell r="CH810" t="str">
            <v xml:space="preserve">$250 </v>
          </cell>
          <cell r="CI810" t="str">
            <v>N/A</v>
          </cell>
          <cell r="CJ810" t="str">
            <v>$1000 / $2000</v>
          </cell>
          <cell r="CK810">
            <v>0.9</v>
          </cell>
          <cell r="CL810" t="str">
            <v>$2000 / $4000</v>
          </cell>
          <cell r="CM810" t="str">
            <v>N/A</v>
          </cell>
          <cell r="CN810" t="str">
            <v>N/A</v>
          </cell>
          <cell r="CO810" t="str">
            <v>N/A</v>
          </cell>
          <cell r="CP810" t="str">
            <v>Emb</v>
          </cell>
          <cell r="CS810" t="str">
            <v>INS</v>
          </cell>
          <cell r="CT810" t="str">
            <v>Navigate</v>
          </cell>
          <cell r="CU810">
            <v>0.80330000000000001</v>
          </cell>
          <cell r="CV810" t="str">
            <v/>
          </cell>
          <cell r="CW810" t="str">
            <v>NAV14&amp;15</v>
          </cell>
          <cell r="CX810">
            <v>0.66259999999999997</v>
          </cell>
        </row>
        <row r="811">
          <cell r="CA811" t="str">
            <v>AM96</v>
          </cell>
          <cell r="CB811" t="str">
            <v>Navigate</v>
          </cell>
          <cell r="CC811">
            <v>15</v>
          </cell>
          <cell r="CD811">
            <v>15</v>
          </cell>
          <cell r="CE811" t="str">
            <v>N/A</v>
          </cell>
          <cell r="CF811" t="str">
            <v>N/A</v>
          </cell>
          <cell r="CG811">
            <v>50</v>
          </cell>
          <cell r="CH811" t="str">
            <v xml:space="preserve">$100 </v>
          </cell>
          <cell r="CI811" t="str">
            <v>N/A</v>
          </cell>
          <cell r="CJ811" t="str">
            <v>$1500 / $3500</v>
          </cell>
          <cell r="CK811">
            <v>0.9</v>
          </cell>
          <cell r="CL811" t="str">
            <v>$3500 / $7000</v>
          </cell>
          <cell r="CM811" t="str">
            <v>N/A</v>
          </cell>
          <cell r="CN811" t="str">
            <v>N/A</v>
          </cell>
          <cell r="CO811" t="str">
            <v>N/A</v>
          </cell>
          <cell r="CP811" t="str">
            <v>Emb</v>
          </cell>
          <cell r="CS811" t="str">
            <v>INS</v>
          </cell>
          <cell r="CT811" t="str">
            <v>Navigate</v>
          </cell>
          <cell r="CU811">
            <v>0.75949999999999995</v>
          </cell>
          <cell r="CV811" t="str">
            <v/>
          </cell>
          <cell r="CW811" t="str">
            <v>NAV14&amp;15</v>
          </cell>
          <cell r="CX811">
            <v>0.65169999999999995</v>
          </cell>
        </row>
        <row r="812">
          <cell r="CA812" t="str">
            <v>AM97</v>
          </cell>
          <cell r="CB812" t="str">
            <v>Navigate</v>
          </cell>
          <cell r="CC812">
            <v>20</v>
          </cell>
          <cell r="CD812">
            <v>40</v>
          </cell>
          <cell r="CE812" t="str">
            <v>N/A</v>
          </cell>
          <cell r="CF812" t="str">
            <v>N/A</v>
          </cell>
          <cell r="CG812">
            <v>125</v>
          </cell>
          <cell r="CH812" t="str">
            <v xml:space="preserve">$250 </v>
          </cell>
          <cell r="CI812" t="str">
            <v>N/A</v>
          </cell>
          <cell r="CJ812" t="str">
            <v>$1000 / $2000</v>
          </cell>
          <cell r="CK812">
            <v>0.9</v>
          </cell>
          <cell r="CL812" t="str">
            <v>$3000 / $6000</v>
          </cell>
          <cell r="CM812" t="str">
            <v>N/A</v>
          </cell>
          <cell r="CN812" t="str">
            <v>N/A</v>
          </cell>
          <cell r="CO812" t="str">
            <v>N/A</v>
          </cell>
          <cell r="CP812" t="str">
            <v>Emb</v>
          </cell>
          <cell r="CS812" t="str">
            <v>INS</v>
          </cell>
          <cell r="CT812" t="str">
            <v>Navigate</v>
          </cell>
          <cell r="CU812">
            <v>0.76400000000000001</v>
          </cell>
          <cell r="CV812" t="str">
            <v/>
          </cell>
          <cell r="CW812" t="str">
            <v>NAV14&amp;15</v>
          </cell>
          <cell r="CX812">
            <v>0.64190000000000003</v>
          </cell>
        </row>
        <row r="813">
          <cell r="CA813" t="str">
            <v>AM98</v>
          </cell>
          <cell r="CB813" t="str">
            <v>Navigate</v>
          </cell>
          <cell r="CC813">
            <v>25</v>
          </cell>
          <cell r="CD813">
            <v>25</v>
          </cell>
          <cell r="CE813" t="str">
            <v>N/A</v>
          </cell>
          <cell r="CF813" t="str">
            <v>N/A</v>
          </cell>
          <cell r="CG813">
            <v>50</v>
          </cell>
          <cell r="CH813" t="str">
            <v xml:space="preserve">$100 </v>
          </cell>
          <cell r="CI813" t="str">
            <v>N/A</v>
          </cell>
          <cell r="CJ813" t="str">
            <v>$1000 / $2000</v>
          </cell>
          <cell r="CK813">
            <v>0.8</v>
          </cell>
          <cell r="CL813" t="str">
            <v>$3000 / $6000</v>
          </cell>
          <cell r="CM813" t="str">
            <v>N/A</v>
          </cell>
          <cell r="CN813" t="str">
            <v>N/A</v>
          </cell>
          <cell r="CO813" t="str">
            <v>N/A</v>
          </cell>
          <cell r="CP813" t="str">
            <v>Emb</v>
          </cell>
          <cell r="CS813" t="str">
            <v>INS</v>
          </cell>
          <cell r="CT813" t="str">
            <v>Navigate</v>
          </cell>
          <cell r="CU813">
            <v>0.76180000000000003</v>
          </cell>
          <cell r="CV813" t="str">
            <v/>
          </cell>
          <cell r="CW813" t="str">
            <v>NAV14&amp;15</v>
          </cell>
          <cell r="CX813">
            <v>0.65259999999999996</v>
          </cell>
        </row>
        <row r="814">
          <cell r="CA814" t="str">
            <v>AM99</v>
          </cell>
          <cell r="CB814" t="str">
            <v>Navigate</v>
          </cell>
          <cell r="CC814">
            <v>35</v>
          </cell>
          <cell r="CD814">
            <v>35</v>
          </cell>
          <cell r="CE814" t="str">
            <v>N/A</v>
          </cell>
          <cell r="CF814" t="str">
            <v>N/A</v>
          </cell>
          <cell r="CG814">
            <v>125</v>
          </cell>
          <cell r="CH814" t="str">
            <v xml:space="preserve">$250 </v>
          </cell>
          <cell r="CI814" t="str">
            <v>N/A</v>
          </cell>
          <cell r="CJ814" t="str">
            <v>$750 / $1500</v>
          </cell>
          <cell r="CK814">
            <v>0.8</v>
          </cell>
          <cell r="CL814" t="str">
            <v>$2500 / $5000</v>
          </cell>
          <cell r="CM814" t="str">
            <v>N/A</v>
          </cell>
          <cell r="CN814" t="str">
            <v>N/A</v>
          </cell>
          <cell r="CO814" t="str">
            <v>N/A</v>
          </cell>
          <cell r="CP814" t="str">
            <v>Emb</v>
          </cell>
          <cell r="CS814" t="str">
            <v>INS</v>
          </cell>
          <cell r="CT814" t="str">
            <v>Navigate</v>
          </cell>
          <cell r="CU814">
            <v>0.76770000000000005</v>
          </cell>
          <cell r="CV814" t="str">
            <v/>
          </cell>
          <cell r="CW814" t="str">
            <v>NAV14&amp;15</v>
          </cell>
          <cell r="CX814">
            <v>0.65049999999999997</v>
          </cell>
        </row>
        <row r="815">
          <cell r="CA815" t="str">
            <v>AM9A</v>
          </cell>
          <cell r="CB815" t="str">
            <v>Navigate</v>
          </cell>
          <cell r="CC815">
            <v>10</v>
          </cell>
          <cell r="CD815">
            <v>10</v>
          </cell>
          <cell r="CE815" t="str">
            <v>N/A</v>
          </cell>
          <cell r="CF815" t="str">
            <v>N/A</v>
          </cell>
          <cell r="CG815">
            <v>35</v>
          </cell>
          <cell r="CH815" t="str">
            <v xml:space="preserve">$75 </v>
          </cell>
          <cell r="CI815" t="str">
            <v>N/A</v>
          </cell>
          <cell r="CJ815" t="str">
            <v>$0 / $0</v>
          </cell>
          <cell r="CK815">
            <v>1</v>
          </cell>
          <cell r="CL815" t="str">
            <v>$2000 / $4000</v>
          </cell>
          <cell r="CM815" t="str">
            <v>N/A</v>
          </cell>
          <cell r="CN815" t="str">
            <v>N/A</v>
          </cell>
          <cell r="CO815" t="str">
            <v>N/A</v>
          </cell>
          <cell r="CP815" t="str">
            <v>Emb</v>
          </cell>
          <cell r="CS815" t="str">
            <v>INS</v>
          </cell>
          <cell r="CT815" t="str">
            <v>Navigate</v>
          </cell>
          <cell r="CU815">
            <v>0.9466</v>
          </cell>
          <cell r="CV815" t="str">
            <v/>
          </cell>
          <cell r="CW815" t="str">
            <v>NAV14&amp;15</v>
          </cell>
          <cell r="CX815">
            <v>0.747</v>
          </cell>
        </row>
        <row r="816">
          <cell r="CA816" t="str">
            <v>AM9B</v>
          </cell>
          <cell r="CB816" t="str">
            <v>Navigate</v>
          </cell>
          <cell r="CC816">
            <v>15</v>
          </cell>
          <cell r="CD816">
            <v>15</v>
          </cell>
          <cell r="CE816" t="str">
            <v>N/A</v>
          </cell>
          <cell r="CF816" t="str">
            <v>N/A</v>
          </cell>
          <cell r="CG816">
            <v>35</v>
          </cell>
          <cell r="CH816" t="str">
            <v xml:space="preserve">$75 </v>
          </cell>
          <cell r="CI816" t="str">
            <v>N/A</v>
          </cell>
          <cell r="CJ816" t="str">
            <v>$0 / $0</v>
          </cell>
          <cell r="CK816">
            <v>1</v>
          </cell>
          <cell r="CL816" t="str">
            <v>$2500 / $5000</v>
          </cell>
          <cell r="CM816" t="str">
            <v>N/A</v>
          </cell>
          <cell r="CN816" t="str">
            <v>N/A</v>
          </cell>
          <cell r="CO816" t="str">
            <v>N/A</v>
          </cell>
          <cell r="CP816" t="str">
            <v>Emb</v>
          </cell>
          <cell r="CS816" t="str">
            <v>INS</v>
          </cell>
          <cell r="CT816" t="str">
            <v>Navigate</v>
          </cell>
          <cell r="CU816">
            <v>0.93530000000000002</v>
          </cell>
          <cell r="CV816" t="str">
            <v/>
          </cell>
          <cell r="CW816" t="str">
            <v>NAV14&amp;15</v>
          </cell>
          <cell r="CX816">
            <v>0.73750000000000004</v>
          </cell>
        </row>
        <row r="817">
          <cell r="CA817" t="str">
            <v>AM9C</v>
          </cell>
          <cell r="CB817" t="str">
            <v>Navigate</v>
          </cell>
          <cell r="CC817">
            <v>15</v>
          </cell>
          <cell r="CD817">
            <v>25</v>
          </cell>
          <cell r="CE817" t="str">
            <v>N/A</v>
          </cell>
          <cell r="CF817" t="str">
            <v>N/A</v>
          </cell>
          <cell r="CG817">
            <v>50</v>
          </cell>
          <cell r="CH817" t="str">
            <v xml:space="preserve">$150 </v>
          </cell>
          <cell r="CI817" t="str">
            <v>N/A</v>
          </cell>
          <cell r="CJ817" t="str">
            <v>$0 / $0</v>
          </cell>
          <cell r="CK817">
            <v>1</v>
          </cell>
          <cell r="CL817" t="str">
            <v>$2500 / $5000</v>
          </cell>
          <cell r="CM817" t="str">
            <v>N/A</v>
          </cell>
          <cell r="CN817" t="str">
            <v>N/A</v>
          </cell>
          <cell r="CO817" t="str">
            <v>N/A</v>
          </cell>
          <cell r="CP817" t="str">
            <v>Emb</v>
          </cell>
          <cell r="CS817" t="str">
            <v>INS</v>
          </cell>
          <cell r="CT817" t="str">
            <v>Navigate</v>
          </cell>
          <cell r="CU817">
            <v>0.92220000000000002</v>
          </cell>
          <cell r="CV817" t="str">
            <v/>
          </cell>
          <cell r="CW817" t="str">
            <v>NAV14&amp;15</v>
          </cell>
          <cell r="CX817">
            <v>0.72950000000000004</v>
          </cell>
        </row>
        <row r="818">
          <cell r="CA818" t="str">
            <v>AM9D</v>
          </cell>
          <cell r="CB818" t="str">
            <v>Navigate</v>
          </cell>
          <cell r="CC818">
            <v>20</v>
          </cell>
          <cell r="CD818">
            <v>20</v>
          </cell>
          <cell r="CE818" t="str">
            <v>N/A</v>
          </cell>
          <cell r="CF818" t="str">
            <v>N/A</v>
          </cell>
          <cell r="CG818">
            <v>50</v>
          </cell>
          <cell r="CH818" t="str">
            <v xml:space="preserve">$100 </v>
          </cell>
          <cell r="CI818" t="str">
            <v>N/A</v>
          </cell>
          <cell r="CJ818" t="str">
            <v>$0 / $0</v>
          </cell>
          <cell r="CK818">
            <v>1</v>
          </cell>
          <cell r="CL818" t="str">
            <v>$2500 / $5000</v>
          </cell>
          <cell r="CM818" t="str">
            <v>N/A</v>
          </cell>
          <cell r="CN818" t="str">
            <v>N/A</v>
          </cell>
          <cell r="CO818" t="str">
            <v>N/A</v>
          </cell>
          <cell r="CP818" t="str">
            <v>Emb</v>
          </cell>
          <cell r="CS818" t="str">
            <v>INS</v>
          </cell>
          <cell r="CT818" t="str">
            <v>Navigate</v>
          </cell>
          <cell r="CU818">
            <v>0.92410000000000003</v>
          </cell>
          <cell r="CV818" t="str">
            <v/>
          </cell>
          <cell r="CW818" t="str">
            <v>NAV14&amp;15</v>
          </cell>
          <cell r="CX818">
            <v>0.7298</v>
          </cell>
        </row>
        <row r="819">
          <cell r="CA819" t="str">
            <v>AM9E</v>
          </cell>
          <cell r="CB819" t="str">
            <v>Navigate</v>
          </cell>
          <cell r="CC819">
            <v>20</v>
          </cell>
          <cell r="CD819">
            <v>30</v>
          </cell>
          <cell r="CE819" t="str">
            <v>N/A</v>
          </cell>
          <cell r="CF819" t="str">
            <v>N/A</v>
          </cell>
          <cell r="CG819">
            <v>50</v>
          </cell>
          <cell r="CH819" t="str">
            <v xml:space="preserve">$150 </v>
          </cell>
          <cell r="CI819" t="str">
            <v>N/A</v>
          </cell>
          <cell r="CJ819" t="str">
            <v>$0 / $0</v>
          </cell>
          <cell r="CK819">
            <v>1</v>
          </cell>
          <cell r="CL819" t="str">
            <v>$2500 / $5000</v>
          </cell>
          <cell r="CM819" t="str">
            <v>N/A</v>
          </cell>
          <cell r="CN819" t="str">
            <v>N/A</v>
          </cell>
          <cell r="CO819" t="str">
            <v>N/A</v>
          </cell>
          <cell r="CP819" t="str">
            <v>Emb</v>
          </cell>
          <cell r="CS819" t="str">
            <v>INS</v>
          </cell>
          <cell r="CT819" t="str">
            <v>Navigate</v>
          </cell>
          <cell r="CU819">
            <v>0.91320000000000001</v>
          </cell>
          <cell r="CV819" t="str">
            <v/>
          </cell>
          <cell r="CW819" t="str">
            <v>NAV14&amp;15</v>
          </cell>
          <cell r="CX819">
            <v>0.72270000000000001</v>
          </cell>
        </row>
        <row r="820">
          <cell r="CA820" t="str">
            <v>AM9F</v>
          </cell>
          <cell r="CB820" t="str">
            <v>Navigate</v>
          </cell>
          <cell r="CC820">
            <v>15</v>
          </cell>
          <cell r="CD820">
            <v>15</v>
          </cell>
          <cell r="CE820" t="str">
            <v>N/A</v>
          </cell>
          <cell r="CF820" t="str">
            <v>N/A</v>
          </cell>
          <cell r="CG820">
            <v>50</v>
          </cell>
          <cell r="CH820" t="str">
            <v xml:space="preserve">$100 </v>
          </cell>
          <cell r="CI820" t="str">
            <v>N/A</v>
          </cell>
          <cell r="CJ820" t="str">
            <v>$0 / $0</v>
          </cell>
          <cell r="CK820">
            <v>0.9</v>
          </cell>
          <cell r="CL820" t="str">
            <v>$2000 / $4000</v>
          </cell>
          <cell r="CM820" t="str">
            <v>N/A</v>
          </cell>
          <cell r="CN820" t="str">
            <v>N/A</v>
          </cell>
          <cell r="CO820" t="str">
            <v>N/A</v>
          </cell>
          <cell r="CP820" t="str">
            <v>Emb</v>
          </cell>
          <cell r="CS820" t="str">
            <v>INS</v>
          </cell>
          <cell r="CT820" t="str">
            <v>Navigate</v>
          </cell>
          <cell r="CU820">
            <v>0.88490000000000002</v>
          </cell>
          <cell r="CV820" t="str">
            <v/>
          </cell>
          <cell r="CW820" t="str">
            <v>NAV14&amp;15</v>
          </cell>
          <cell r="CX820">
            <v>0.73319999999999996</v>
          </cell>
        </row>
        <row r="821">
          <cell r="CA821" t="str">
            <v>AM9G</v>
          </cell>
          <cell r="CB821" t="str">
            <v>Navigate</v>
          </cell>
          <cell r="CC821">
            <v>15</v>
          </cell>
          <cell r="CD821">
            <v>15</v>
          </cell>
          <cell r="CE821" t="str">
            <v>N/A</v>
          </cell>
          <cell r="CF821" t="str">
            <v>N/A</v>
          </cell>
          <cell r="CG821">
            <v>35</v>
          </cell>
          <cell r="CH821" t="str">
            <v xml:space="preserve">$100 </v>
          </cell>
          <cell r="CI821" t="str">
            <v>N/A</v>
          </cell>
          <cell r="CJ821" t="str">
            <v>$250 / $500</v>
          </cell>
          <cell r="CK821">
            <v>1</v>
          </cell>
          <cell r="CL821" t="str">
            <v>$250 / $500</v>
          </cell>
          <cell r="CM821" t="str">
            <v>N/A</v>
          </cell>
          <cell r="CN821" t="str">
            <v>N/A</v>
          </cell>
          <cell r="CO821" t="str">
            <v>N/A</v>
          </cell>
          <cell r="CP821" t="str">
            <v>Emb</v>
          </cell>
          <cell r="CS821" t="str">
            <v>INS</v>
          </cell>
          <cell r="CT821" t="str">
            <v>Navigate</v>
          </cell>
          <cell r="CU821">
            <v>0.99119999999999997</v>
          </cell>
          <cell r="CV821" t="str">
            <v/>
          </cell>
          <cell r="CW821" t="str">
            <v>NAV14&amp;15</v>
          </cell>
          <cell r="CX821">
            <v>0.71430000000000005</v>
          </cell>
        </row>
        <row r="822">
          <cell r="CA822" t="str">
            <v>AM9H</v>
          </cell>
          <cell r="CB822" t="str">
            <v>Navigate</v>
          </cell>
          <cell r="CC822">
            <v>10</v>
          </cell>
          <cell r="CD822">
            <v>10</v>
          </cell>
          <cell r="CE822" t="str">
            <v>N/A</v>
          </cell>
          <cell r="CF822" t="str">
            <v>N/A</v>
          </cell>
          <cell r="CG822">
            <v>50</v>
          </cell>
          <cell r="CH822" t="str">
            <v xml:space="preserve">$100 </v>
          </cell>
          <cell r="CI822" t="str">
            <v>N/A</v>
          </cell>
          <cell r="CJ822" t="str">
            <v>$250 / $500</v>
          </cell>
          <cell r="CK822">
            <v>0.9</v>
          </cell>
          <cell r="CL822" t="str">
            <v>$1250 / $2500</v>
          </cell>
          <cell r="CM822" t="str">
            <v>N/A</v>
          </cell>
          <cell r="CN822" t="str">
            <v>N/A</v>
          </cell>
          <cell r="CO822" t="str">
            <v>N/A</v>
          </cell>
          <cell r="CP822" t="str">
            <v>Emb</v>
          </cell>
          <cell r="CS822" t="str">
            <v>INS</v>
          </cell>
          <cell r="CT822" t="str">
            <v>Navigate</v>
          </cell>
          <cell r="CU822">
            <v>0.89470000000000005</v>
          </cell>
          <cell r="CV822" t="str">
            <v/>
          </cell>
          <cell r="CW822" t="str">
            <v>NAV14&amp;15</v>
          </cell>
          <cell r="CX822">
            <v>0.71709999999999996</v>
          </cell>
        </row>
        <row r="823">
          <cell r="CA823" t="str">
            <v>AM9I</v>
          </cell>
          <cell r="CB823" t="str">
            <v>Navigate</v>
          </cell>
          <cell r="CC823">
            <v>15</v>
          </cell>
          <cell r="CD823">
            <v>15</v>
          </cell>
          <cell r="CE823" t="str">
            <v>N/A</v>
          </cell>
          <cell r="CF823" t="str">
            <v>N/A</v>
          </cell>
          <cell r="CG823">
            <v>50</v>
          </cell>
          <cell r="CH823" t="str">
            <v xml:space="preserve">$100 </v>
          </cell>
          <cell r="CI823" t="str">
            <v>N/A</v>
          </cell>
          <cell r="CJ823" t="str">
            <v>$250 / $500</v>
          </cell>
          <cell r="CK823">
            <v>0.9</v>
          </cell>
          <cell r="CL823" t="str">
            <v>$1250 / $2500</v>
          </cell>
          <cell r="CM823" t="str">
            <v>N/A</v>
          </cell>
          <cell r="CN823" t="str">
            <v>N/A</v>
          </cell>
          <cell r="CO823" t="str">
            <v>N/A</v>
          </cell>
          <cell r="CP823" t="str">
            <v>Emb</v>
          </cell>
          <cell r="CS823" t="str">
            <v>INS</v>
          </cell>
          <cell r="CT823" t="str">
            <v>Navigate</v>
          </cell>
          <cell r="CU823">
            <v>0.88839999999999997</v>
          </cell>
          <cell r="CV823" t="str">
            <v/>
          </cell>
          <cell r="CW823" t="str">
            <v>NAV14&amp;15</v>
          </cell>
          <cell r="CX823">
            <v>0.71150000000000002</v>
          </cell>
        </row>
        <row r="824">
          <cell r="CA824" t="str">
            <v>AM9J</v>
          </cell>
          <cell r="CB824" t="str">
            <v>Navigate</v>
          </cell>
          <cell r="CC824">
            <v>10</v>
          </cell>
          <cell r="CD824">
            <v>10</v>
          </cell>
          <cell r="CE824" t="str">
            <v>N/A</v>
          </cell>
          <cell r="CF824" t="str">
            <v>N/A</v>
          </cell>
          <cell r="CG824">
            <v>50</v>
          </cell>
          <cell r="CH824" t="str">
            <v xml:space="preserve">$100 </v>
          </cell>
          <cell r="CI824" t="str">
            <v>N/A</v>
          </cell>
          <cell r="CJ824" t="str">
            <v>$250 / $500</v>
          </cell>
          <cell r="CK824">
            <v>0.9</v>
          </cell>
          <cell r="CL824" t="str">
            <v>$2250 / $4500</v>
          </cell>
          <cell r="CM824" t="str">
            <v>N/A</v>
          </cell>
          <cell r="CN824" t="str">
            <v>N/A</v>
          </cell>
          <cell r="CO824" t="str">
            <v>N/A</v>
          </cell>
          <cell r="CP824" t="str">
            <v>Emb</v>
          </cell>
          <cell r="CS824" t="str">
            <v>INS</v>
          </cell>
          <cell r="CT824" t="str">
            <v>Navigate</v>
          </cell>
          <cell r="CU824">
            <v>0.86260000000000003</v>
          </cell>
          <cell r="CV824" t="str">
            <v/>
          </cell>
          <cell r="CW824" t="str">
            <v>NAV14&amp;15</v>
          </cell>
          <cell r="CX824">
            <v>0.70730000000000004</v>
          </cell>
        </row>
        <row r="825">
          <cell r="CA825" t="str">
            <v>AM9K</v>
          </cell>
          <cell r="CB825" t="str">
            <v>Navigate</v>
          </cell>
          <cell r="CC825">
            <v>15</v>
          </cell>
          <cell r="CD825">
            <v>15</v>
          </cell>
          <cell r="CE825" t="str">
            <v>N/A</v>
          </cell>
          <cell r="CF825" t="str">
            <v>N/A</v>
          </cell>
          <cell r="CG825">
            <v>50</v>
          </cell>
          <cell r="CH825" t="str">
            <v xml:space="preserve">$100 </v>
          </cell>
          <cell r="CI825" t="str">
            <v>N/A</v>
          </cell>
          <cell r="CJ825" t="str">
            <v>$250 / $500</v>
          </cell>
          <cell r="CK825">
            <v>0.9</v>
          </cell>
          <cell r="CL825" t="str">
            <v>$2250 / $4500</v>
          </cell>
          <cell r="CM825" t="str">
            <v>N/A</v>
          </cell>
          <cell r="CN825" t="str">
            <v>N/A</v>
          </cell>
          <cell r="CO825" t="str">
            <v>N/A</v>
          </cell>
          <cell r="CP825" t="str">
            <v>Emb</v>
          </cell>
          <cell r="CS825" t="str">
            <v>INS</v>
          </cell>
          <cell r="CT825" t="str">
            <v>Navigate</v>
          </cell>
          <cell r="CU825">
            <v>0.85519999999999996</v>
          </cell>
          <cell r="CV825" t="str">
            <v/>
          </cell>
          <cell r="CW825" t="str">
            <v>NAV14&amp;15</v>
          </cell>
          <cell r="CX825">
            <v>0.70099999999999996</v>
          </cell>
        </row>
        <row r="826">
          <cell r="CA826" t="str">
            <v>AM9L</v>
          </cell>
          <cell r="CB826" t="str">
            <v>Navigate</v>
          </cell>
          <cell r="CC826">
            <v>10</v>
          </cell>
          <cell r="CD826">
            <v>10</v>
          </cell>
          <cell r="CE826" t="str">
            <v>N/A</v>
          </cell>
          <cell r="CF826" t="str">
            <v>N/A</v>
          </cell>
          <cell r="CG826">
            <v>50</v>
          </cell>
          <cell r="CH826" t="str">
            <v xml:space="preserve">$100 </v>
          </cell>
          <cell r="CI826" t="str">
            <v>N/A</v>
          </cell>
          <cell r="CJ826" t="str">
            <v>$500 / $1000</v>
          </cell>
          <cell r="CK826">
            <v>0.9</v>
          </cell>
          <cell r="CL826" t="str">
            <v>$1500 / $3000</v>
          </cell>
          <cell r="CM826" t="str">
            <v>N/A</v>
          </cell>
          <cell r="CN826" t="str">
            <v>N/A</v>
          </cell>
          <cell r="CO826" t="str">
            <v>N/A</v>
          </cell>
          <cell r="CP826" t="str">
            <v>Emb</v>
          </cell>
          <cell r="CS826" t="str">
            <v>INS</v>
          </cell>
          <cell r="CT826" t="str">
            <v>Navigate</v>
          </cell>
          <cell r="CU826">
            <v>0.87119999999999997</v>
          </cell>
          <cell r="CV826" t="str">
            <v/>
          </cell>
          <cell r="CW826" t="str">
            <v>NAV14&amp;15</v>
          </cell>
          <cell r="CX826">
            <v>0.70369999999999999</v>
          </cell>
        </row>
        <row r="827">
          <cell r="CA827" t="str">
            <v>AM9M</v>
          </cell>
          <cell r="CB827" t="str">
            <v>Navigate</v>
          </cell>
          <cell r="CC827">
            <v>20</v>
          </cell>
          <cell r="CD827">
            <v>20</v>
          </cell>
          <cell r="CE827" t="str">
            <v>N/A</v>
          </cell>
          <cell r="CF827" t="str">
            <v>N/A</v>
          </cell>
          <cell r="CG827">
            <v>50</v>
          </cell>
          <cell r="CH827" t="str">
            <v xml:space="preserve">$75 </v>
          </cell>
          <cell r="CI827" t="str">
            <v>N/A</v>
          </cell>
          <cell r="CJ827" t="str">
            <v>$250 / $500</v>
          </cell>
          <cell r="CK827">
            <v>0.9</v>
          </cell>
          <cell r="CL827" t="str">
            <v>$2000 / $4000</v>
          </cell>
          <cell r="CM827" t="str">
            <v>N/A</v>
          </cell>
          <cell r="CN827" t="str">
            <v>N/A</v>
          </cell>
          <cell r="CO827" t="str">
            <v>N/A</v>
          </cell>
          <cell r="CP827" t="str">
            <v>Emb</v>
          </cell>
          <cell r="CS827" t="str">
            <v>INS</v>
          </cell>
          <cell r="CT827" t="str">
            <v>Navigate</v>
          </cell>
          <cell r="CU827">
            <v>0.85519999999999996</v>
          </cell>
          <cell r="CV827" t="str">
            <v/>
          </cell>
          <cell r="CW827" t="str">
            <v>NAV14&amp;15</v>
          </cell>
          <cell r="CX827">
            <v>0.69720000000000004</v>
          </cell>
        </row>
        <row r="828">
          <cell r="CA828" t="str">
            <v>AM9N</v>
          </cell>
          <cell r="CB828" t="str">
            <v>Navigate</v>
          </cell>
          <cell r="CC828">
            <v>15</v>
          </cell>
          <cell r="CD828">
            <v>15</v>
          </cell>
          <cell r="CE828" t="str">
            <v>N/A</v>
          </cell>
          <cell r="CF828" t="str">
            <v>N/A</v>
          </cell>
          <cell r="CG828">
            <v>50</v>
          </cell>
          <cell r="CH828" t="str">
            <v xml:space="preserve">$100 </v>
          </cell>
          <cell r="CI828" t="str">
            <v>N/A</v>
          </cell>
          <cell r="CJ828" t="str">
            <v>$500 / $1000</v>
          </cell>
          <cell r="CK828">
            <v>0.8</v>
          </cell>
          <cell r="CL828" t="str">
            <v>$1500 / $3000</v>
          </cell>
          <cell r="CM828" t="str">
            <v>N/A</v>
          </cell>
          <cell r="CN828" t="str">
            <v>N/A</v>
          </cell>
          <cell r="CO828" t="str">
            <v>N/A</v>
          </cell>
          <cell r="CP828" t="str">
            <v>Emb</v>
          </cell>
          <cell r="CS828" t="str">
            <v>INS</v>
          </cell>
          <cell r="CT828" t="str">
            <v>Navigate</v>
          </cell>
          <cell r="CU828">
            <v>0.86</v>
          </cell>
          <cell r="CV828" t="str">
            <v/>
          </cell>
          <cell r="CW828" t="str">
            <v>NAV14&amp;15</v>
          </cell>
          <cell r="CX828">
            <v>0.69899999999999995</v>
          </cell>
        </row>
        <row r="829">
          <cell r="CA829" t="str">
            <v>AM9O</v>
          </cell>
          <cell r="CB829" t="str">
            <v>Navigate</v>
          </cell>
          <cell r="CC829">
            <v>15</v>
          </cell>
          <cell r="CD829">
            <v>15</v>
          </cell>
          <cell r="CE829" t="str">
            <v>N/A</v>
          </cell>
          <cell r="CF829" t="str">
            <v>N/A</v>
          </cell>
          <cell r="CG829">
            <v>50</v>
          </cell>
          <cell r="CH829" t="str">
            <v xml:space="preserve">$100 </v>
          </cell>
          <cell r="CI829" t="str">
            <v>N/A</v>
          </cell>
          <cell r="CJ829" t="str">
            <v>$500 / $1000</v>
          </cell>
          <cell r="CK829">
            <v>0.9</v>
          </cell>
          <cell r="CL829" t="str">
            <v>$2500 / $5000</v>
          </cell>
          <cell r="CM829" t="str">
            <v>N/A</v>
          </cell>
          <cell r="CN829" t="str">
            <v>N/A</v>
          </cell>
          <cell r="CO829" t="str">
            <v>N/A</v>
          </cell>
          <cell r="CP829" t="str">
            <v>Emb</v>
          </cell>
          <cell r="CS829" t="str">
            <v>INS</v>
          </cell>
          <cell r="CT829" t="str">
            <v>Navigate</v>
          </cell>
          <cell r="CU829">
            <v>0.83230000000000004</v>
          </cell>
          <cell r="CV829" t="str">
            <v/>
          </cell>
          <cell r="CW829" t="str">
            <v>NAV14&amp;15</v>
          </cell>
          <cell r="CX829">
            <v>0.68759999999999999</v>
          </cell>
        </row>
        <row r="830">
          <cell r="CA830" t="str">
            <v>AM9P</v>
          </cell>
          <cell r="CB830" t="str">
            <v>Navigate</v>
          </cell>
          <cell r="CC830">
            <v>15</v>
          </cell>
          <cell r="CD830">
            <v>15</v>
          </cell>
          <cell r="CE830" t="str">
            <v>N/A</v>
          </cell>
          <cell r="CF830" t="str">
            <v>N/A</v>
          </cell>
          <cell r="CG830">
            <v>50</v>
          </cell>
          <cell r="CH830" t="str">
            <v xml:space="preserve">$100 </v>
          </cell>
          <cell r="CI830" t="str">
            <v>N/A</v>
          </cell>
          <cell r="CJ830" t="str">
            <v>$250 / $500</v>
          </cell>
          <cell r="CK830">
            <v>0.8</v>
          </cell>
          <cell r="CL830" t="str">
            <v>$2250 / $4500</v>
          </cell>
          <cell r="CM830" t="str">
            <v>N/A</v>
          </cell>
          <cell r="CN830" t="str">
            <v>N/A</v>
          </cell>
          <cell r="CO830" t="str">
            <v>N/A</v>
          </cell>
          <cell r="CP830" t="str">
            <v>Emb</v>
          </cell>
          <cell r="CS830" t="str">
            <v>INS</v>
          </cell>
          <cell r="CT830" t="str">
            <v>Navigate</v>
          </cell>
          <cell r="CU830">
            <v>0.83240000000000003</v>
          </cell>
          <cell r="CV830" t="str">
            <v/>
          </cell>
          <cell r="CW830" t="str">
            <v>NAV14&amp;15</v>
          </cell>
          <cell r="CX830">
            <v>0.69540000000000002</v>
          </cell>
        </row>
        <row r="831">
          <cell r="CA831" t="str">
            <v>AM9Q</v>
          </cell>
          <cell r="CB831" t="str">
            <v>Navigate</v>
          </cell>
          <cell r="CC831">
            <v>20</v>
          </cell>
          <cell r="CD831">
            <v>20</v>
          </cell>
          <cell r="CE831" t="str">
            <v>N/A</v>
          </cell>
          <cell r="CF831" t="str">
            <v>N/A</v>
          </cell>
          <cell r="CG831">
            <v>50</v>
          </cell>
          <cell r="CH831" t="str">
            <v xml:space="preserve">$100 </v>
          </cell>
          <cell r="CI831" t="str">
            <v>N/A</v>
          </cell>
          <cell r="CJ831" t="str">
            <v>$500 / $1000</v>
          </cell>
          <cell r="CK831">
            <v>0.9</v>
          </cell>
          <cell r="CL831" t="str">
            <v>$2000 / $4000</v>
          </cell>
          <cell r="CM831" t="str">
            <v>N/A</v>
          </cell>
          <cell r="CN831" t="str">
            <v>N/A</v>
          </cell>
          <cell r="CO831" t="str">
            <v>N/A</v>
          </cell>
          <cell r="CP831" t="str">
            <v>Emb</v>
          </cell>
          <cell r="CS831" t="str">
            <v>INS</v>
          </cell>
          <cell r="CT831" t="str">
            <v>Navigate</v>
          </cell>
          <cell r="CU831">
            <v>0.8377</v>
          </cell>
          <cell r="CV831" t="str">
            <v/>
          </cell>
          <cell r="CW831" t="str">
            <v>NAV14&amp;15</v>
          </cell>
          <cell r="CX831">
            <v>0.68510000000000004</v>
          </cell>
        </row>
        <row r="832">
          <cell r="CA832" t="str">
            <v>AM9R</v>
          </cell>
          <cell r="CB832" t="str">
            <v>Navigate</v>
          </cell>
          <cell r="CC832">
            <v>20</v>
          </cell>
          <cell r="CD832">
            <v>20</v>
          </cell>
          <cell r="CE832" t="str">
            <v>N/A</v>
          </cell>
          <cell r="CF832" t="str">
            <v>$250 POD</v>
          </cell>
          <cell r="CG832">
            <v>125</v>
          </cell>
          <cell r="CH832" t="str">
            <v xml:space="preserve">$250 </v>
          </cell>
          <cell r="CI832" t="str">
            <v>N/A</v>
          </cell>
          <cell r="CJ832" t="str">
            <v>$250 / $500</v>
          </cell>
          <cell r="CK832">
            <v>0.9</v>
          </cell>
          <cell r="CL832" t="str">
            <v>$2500 / $5000</v>
          </cell>
          <cell r="CM832" t="str">
            <v>N/A</v>
          </cell>
          <cell r="CN832" t="str">
            <v>N/A</v>
          </cell>
          <cell r="CO832" t="str">
            <v>N/A</v>
          </cell>
          <cell r="CP832" t="str">
            <v>Emb</v>
          </cell>
          <cell r="CS832" t="str">
            <v>INS</v>
          </cell>
          <cell r="CT832" t="str">
            <v>Navigate</v>
          </cell>
          <cell r="CU832">
            <v>0.83130000000000004</v>
          </cell>
          <cell r="CV832" t="str">
            <v/>
          </cell>
          <cell r="CW832" t="str">
            <v>NAV14&amp;15</v>
          </cell>
          <cell r="CX832">
            <v>0.68910000000000005</v>
          </cell>
        </row>
        <row r="833">
          <cell r="CA833" t="str">
            <v>AM9S</v>
          </cell>
          <cell r="CB833" t="str">
            <v>Navigate</v>
          </cell>
          <cell r="CC833">
            <v>20</v>
          </cell>
          <cell r="CD833">
            <v>20</v>
          </cell>
          <cell r="CE833" t="str">
            <v>N/A</v>
          </cell>
          <cell r="CF833" t="str">
            <v>N/A</v>
          </cell>
          <cell r="CG833">
            <v>50</v>
          </cell>
          <cell r="CH833" t="str">
            <v xml:space="preserve">$100 </v>
          </cell>
          <cell r="CI833" t="str">
            <v>N/A</v>
          </cell>
          <cell r="CJ833" t="str">
            <v>$250 / $500</v>
          </cell>
          <cell r="CK833">
            <v>0.8</v>
          </cell>
          <cell r="CL833" t="str">
            <v>$2250 / $4500</v>
          </cell>
          <cell r="CM833" t="str">
            <v>N/A</v>
          </cell>
          <cell r="CN833" t="str">
            <v>N/A</v>
          </cell>
          <cell r="CO833" t="str">
            <v>N/A</v>
          </cell>
          <cell r="CP833" t="str">
            <v>Emb</v>
          </cell>
          <cell r="CS833" t="str">
            <v>INS</v>
          </cell>
          <cell r="CT833" t="str">
            <v>Navigate</v>
          </cell>
          <cell r="CU833">
            <v>0.82550000000000001</v>
          </cell>
          <cell r="CV833" t="str">
            <v/>
          </cell>
          <cell r="CW833" t="str">
            <v>NAV14&amp;15</v>
          </cell>
          <cell r="CX833">
            <v>0.68979999999999997</v>
          </cell>
        </row>
        <row r="834">
          <cell r="CA834" t="str">
            <v>AM9T</v>
          </cell>
          <cell r="CB834" t="str">
            <v>Navigate</v>
          </cell>
          <cell r="CC834">
            <v>20</v>
          </cell>
          <cell r="CD834">
            <v>20</v>
          </cell>
          <cell r="CE834" t="str">
            <v>N/A</v>
          </cell>
          <cell r="CF834" t="str">
            <v>N/A</v>
          </cell>
          <cell r="CG834">
            <v>50</v>
          </cell>
          <cell r="CH834" t="str">
            <v xml:space="preserve">$100 </v>
          </cell>
          <cell r="CI834" t="str">
            <v>N/A</v>
          </cell>
          <cell r="CJ834" t="str">
            <v>$500 / $1000</v>
          </cell>
          <cell r="CK834">
            <v>0.9</v>
          </cell>
          <cell r="CL834" t="str">
            <v>$3000 / $6000</v>
          </cell>
          <cell r="CM834" t="str">
            <v>N/A</v>
          </cell>
          <cell r="CN834" t="str">
            <v>N/A</v>
          </cell>
          <cell r="CO834" t="str">
            <v>N/A</v>
          </cell>
          <cell r="CP834" t="str">
            <v>Emb</v>
          </cell>
          <cell r="CS834" t="str">
            <v>INS</v>
          </cell>
          <cell r="CT834" t="str">
            <v>Navigate</v>
          </cell>
          <cell r="CU834">
            <v>0.81589999999999996</v>
          </cell>
          <cell r="CV834" t="str">
            <v/>
          </cell>
          <cell r="CW834" t="str">
            <v>NAV14&amp;15</v>
          </cell>
          <cell r="CX834">
            <v>0.67879999999999996</v>
          </cell>
        </row>
        <row r="835">
          <cell r="CA835" t="str">
            <v>AM9U</v>
          </cell>
          <cell r="CB835" t="str">
            <v>Navigate</v>
          </cell>
          <cell r="CC835">
            <v>25</v>
          </cell>
          <cell r="CD835">
            <v>25</v>
          </cell>
          <cell r="CE835" t="str">
            <v>N/A</v>
          </cell>
          <cell r="CF835" t="str">
            <v>N/A</v>
          </cell>
          <cell r="CG835">
            <v>50</v>
          </cell>
          <cell r="CH835" t="str">
            <v xml:space="preserve">$100 </v>
          </cell>
          <cell r="CI835" t="str">
            <v>N/A</v>
          </cell>
          <cell r="CJ835" t="str">
            <v>$250 / $500</v>
          </cell>
          <cell r="CK835">
            <v>0.8</v>
          </cell>
          <cell r="CL835" t="str">
            <v>$2250 / $4500</v>
          </cell>
          <cell r="CM835" t="str">
            <v>N/A</v>
          </cell>
          <cell r="CN835" t="str">
            <v>N/A</v>
          </cell>
          <cell r="CO835" t="str">
            <v>N/A</v>
          </cell>
          <cell r="CP835" t="str">
            <v>Emb</v>
          </cell>
          <cell r="CS835" t="str">
            <v>INS</v>
          </cell>
          <cell r="CT835" t="str">
            <v>Navigate</v>
          </cell>
          <cell r="CU835">
            <v>0.81920000000000004</v>
          </cell>
          <cell r="CV835" t="str">
            <v/>
          </cell>
          <cell r="CW835" t="str">
            <v>NAV14&amp;15</v>
          </cell>
          <cell r="CX835">
            <v>0.68420000000000003</v>
          </cell>
        </row>
        <row r="836">
          <cell r="CA836" t="str">
            <v>AM9V</v>
          </cell>
          <cell r="CB836" t="str">
            <v>Navigate</v>
          </cell>
          <cell r="CC836">
            <v>20</v>
          </cell>
          <cell r="CD836">
            <v>20</v>
          </cell>
          <cell r="CE836" t="str">
            <v>N/A</v>
          </cell>
          <cell r="CF836" t="str">
            <v>N/A</v>
          </cell>
          <cell r="CG836">
            <v>50</v>
          </cell>
          <cell r="CH836" t="str">
            <v xml:space="preserve">$100 </v>
          </cell>
          <cell r="CI836" t="str">
            <v>N/A</v>
          </cell>
          <cell r="CJ836" t="str">
            <v>$500 / $1000</v>
          </cell>
          <cell r="CK836">
            <v>0.8</v>
          </cell>
          <cell r="CL836" t="str">
            <v>$2500 / $5000</v>
          </cell>
          <cell r="CM836" t="str">
            <v>N/A</v>
          </cell>
          <cell r="CN836" t="str">
            <v>N/A</v>
          </cell>
          <cell r="CO836" t="str">
            <v>N/A</v>
          </cell>
          <cell r="CP836" t="str">
            <v>Emb</v>
          </cell>
          <cell r="CS836" t="str">
            <v>INS</v>
          </cell>
          <cell r="CT836" t="str">
            <v>Navigate</v>
          </cell>
          <cell r="CU836">
            <v>0.80459999999999998</v>
          </cell>
          <cell r="CV836" t="str">
            <v/>
          </cell>
          <cell r="CW836" t="str">
            <v>NAV14&amp;15</v>
          </cell>
          <cell r="CX836">
            <v>0.6774</v>
          </cell>
        </row>
        <row r="837">
          <cell r="CA837" t="str">
            <v>AM9W</v>
          </cell>
          <cell r="CB837" t="str">
            <v>Navigate</v>
          </cell>
          <cell r="CC837">
            <v>30</v>
          </cell>
          <cell r="CD837">
            <v>30</v>
          </cell>
          <cell r="CE837" t="str">
            <v>N/A</v>
          </cell>
          <cell r="CF837" t="str">
            <v>$500 POD</v>
          </cell>
          <cell r="CG837">
            <v>125</v>
          </cell>
          <cell r="CH837" t="str">
            <v xml:space="preserve">$250 </v>
          </cell>
          <cell r="CI837" t="str">
            <v>N/A</v>
          </cell>
          <cell r="CJ837" t="str">
            <v>$250 / $500</v>
          </cell>
          <cell r="CK837">
            <v>0.9</v>
          </cell>
          <cell r="CL837" t="str">
            <v>$3500 / $7000</v>
          </cell>
          <cell r="CM837" t="str">
            <v>N/A</v>
          </cell>
          <cell r="CN837" t="str">
            <v>N/A</v>
          </cell>
          <cell r="CO837" t="str">
            <v>N/A</v>
          </cell>
          <cell r="CP837" t="str">
            <v>Emb</v>
          </cell>
          <cell r="CS837" t="str">
            <v>INS</v>
          </cell>
          <cell r="CT837" t="str">
            <v>Navigate</v>
          </cell>
          <cell r="CU837">
            <v>0.80010000000000003</v>
          </cell>
          <cell r="CV837" t="str">
            <v/>
          </cell>
          <cell r="CW837" t="str">
            <v>NAV14&amp;15</v>
          </cell>
          <cell r="CX837">
            <v>0.67200000000000004</v>
          </cell>
        </row>
        <row r="838">
          <cell r="CA838" t="str">
            <v>AM9X</v>
          </cell>
          <cell r="CB838" t="str">
            <v>Navigate</v>
          </cell>
          <cell r="CC838">
            <v>20</v>
          </cell>
          <cell r="CD838">
            <v>20</v>
          </cell>
          <cell r="CE838" t="str">
            <v>N/A</v>
          </cell>
          <cell r="CF838" t="str">
            <v>N/A</v>
          </cell>
          <cell r="CG838">
            <v>50</v>
          </cell>
          <cell r="CH838" t="str">
            <v xml:space="preserve">$100 </v>
          </cell>
          <cell r="CI838" t="str">
            <v>N/A</v>
          </cell>
          <cell r="CJ838" t="str">
            <v>$500 / $1000</v>
          </cell>
          <cell r="CK838">
            <v>0.8</v>
          </cell>
          <cell r="CL838" t="str">
            <v>$3500 / $7000</v>
          </cell>
          <cell r="CM838" t="str">
            <v>N/A</v>
          </cell>
          <cell r="CN838" t="str">
            <v>N/A</v>
          </cell>
          <cell r="CO838" t="str">
            <v>N/A</v>
          </cell>
          <cell r="CP838" t="str">
            <v>Emb</v>
          </cell>
          <cell r="CS838" t="str">
            <v>INS</v>
          </cell>
          <cell r="CT838" t="str">
            <v>Navigate</v>
          </cell>
          <cell r="CU838">
            <v>0.77800000000000002</v>
          </cell>
          <cell r="CV838" t="str">
            <v/>
          </cell>
          <cell r="CW838" t="str">
            <v>NAV14&amp;15</v>
          </cell>
          <cell r="CX838">
            <v>0.66839999999999999</v>
          </cell>
        </row>
        <row r="839">
          <cell r="CA839" t="str">
            <v>AM9Y</v>
          </cell>
          <cell r="CB839" t="str">
            <v>Navigate</v>
          </cell>
          <cell r="CC839">
            <v>20</v>
          </cell>
          <cell r="CD839">
            <v>40</v>
          </cell>
          <cell r="CE839" t="str">
            <v>N/A</v>
          </cell>
          <cell r="CF839" t="str">
            <v>N/A</v>
          </cell>
          <cell r="CG839">
            <v>50</v>
          </cell>
          <cell r="CH839" t="str">
            <v xml:space="preserve">$100 </v>
          </cell>
          <cell r="CI839" t="str">
            <v>N/A</v>
          </cell>
          <cell r="CJ839" t="str">
            <v>$500 / $1000</v>
          </cell>
          <cell r="CK839">
            <v>0.8</v>
          </cell>
          <cell r="CL839" t="str">
            <v>$4500 / $9000</v>
          </cell>
          <cell r="CM839" t="str">
            <v>N/A</v>
          </cell>
          <cell r="CN839" t="str">
            <v>N/A</v>
          </cell>
          <cell r="CO839" t="str">
            <v>N/A</v>
          </cell>
          <cell r="CP839" t="str">
            <v>Emb</v>
          </cell>
          <cell r="CS839" t="str">
            <v>INS</v>
          </cell>
          <cell r="CT839" t="str">
            <v>Navigate</v>
          </cell>
          <cell r="CU839">
            <v>0.74780000000000002</v>
          </cell>
          <cell r="CV839" t="str">
            <v/>
          </cell>
          <cell r="CW839" t="str">
            <v>NAV14&amp;15</v>
          </cell>
          <cell r="CX839">
            <v>0.64910000000000001</v>
          </cell>
        </row>
        <row r="840">
          <cell r="CA840" t="str">
            <v>AM9Z</v>
          </cell>
          <cell r="CB840" t="str">
            <v>Navigate</v>
          </cell>
          <cell r="CC840">
            <v>20</v>
          </cell>
          <cell r="CD840">
            <v>20</v>
          </cell>
          <cell r="CE840" t="str">
            <v>N/A</v>
          </cell>
          <cell r="CF840" t="str">
            <v>$500 POD</v>
          </cell>
          <cell r="CG840">
            <v>125</v>
          </cell>
          <cell r="CH840" t="str">
            <v xml:space="preserve">$250 </v>
          </cell>
          <cell r="CI840" t="str">
            <v>N/A</v>
          </cell>
          <cell r="CJ840" t="str">
            <v>$500 / $1000</v>
          </cell>
          <cell r="CK840">
            <v>0.8</v>
          </cell>
          <cell r="CL840" t="str">
            <v>$4500 / $9000</v>
          </cell>
          <cell r="CM840" t="str">
            <v>N/A</v>
          </cell>
          <cell r="CN840" t="str">
            <v>N/A</v>
          </cell>
          <cell r="CO840" t="str">
            <v>N/A</v>
          </cell>
          <cell r="CP840" t="str">
            <v>Emb</v>
          </cell>
          <cell r="CS840" t="str">
            <v>INS</v>
          </cell>
          <cell r="CT840" t="str">
            <v>Navigate</v>
          </cell>
          <cell r="CU840">
            <v>0.74719999999999998</v>
          </cell>
          <cell r="CV840" t="str">
            <v/>
          </cell>
          <cell r="CW840" t="str">
            <v>NAV14&amp;15</v>
          </cell>
          <cell r="CX840">
            <v>0.65920000000000001</v>
          </cell>
        </row>
        <row r="841">
          <cell r="CA841" t="str">
            <v>ANA2</v>
          </cell>
          <cell r="CB841" t="str">
            <v>Navigate HSA</v>
          </cell>
          <cell r="CC841" t="str">
            <v>N/A</v>
          </cell>
          <cell r="CD841" t="str">
            <v>N/A</v>
          </cell>
          <cell r="CE841" t="str">
            <v>N/A</v>
          </cell>
          <cell r="CF841" t="str">
            <v>N/A</v>
          </cell>
          <cell r="CG841" t="str">
            <v>N/A</v>
          </cell>
          <cell r="CH841" t="str">
            <v>N/A</v>
          </cell>
          <cell r="CI841" t="str">
            <v>N/A</v>
          </cell>
          <cell r="CJ841" t="str">
            <v>$3000 / $6000</v>
          </cell>
          <cell r="CK841">
            <v>0.9</v>
          </cell>
          <cell r="CL841" t="str">
            <v>$4000 / $8000</v>
          </cell>
          <cell r="CM841" t="str">
            <v>N/A</v>
          </cell>
          <cell r="CN841" t="str">
            <v>N/A</v>
          </cell>
          <cell r="CO841" t="str">
            <v>N/A</v>
          </cell>
          <cell r="CP841" t="str">
            <v>Emb</v>
          </cell>
          <cell r="CS841" t="str">
            <v>INS</v>
          </cell>
          <cell r="CT841" t="str">
            <v>Navigate</v>
          </cell>
          <cell r="CU841">
            <v>0.64459999999999995</v>
          </cell>
          <cell r="CV841" t="str">
            <v>H9-HSA</v>
          </cell>
          <cell r="CW841" t="str">
            <v>NAVHSA14&amp;15</v>
          </cell>
          <cell r="CX841">
            <v>0.70779999999999998</v>
          </cell>
        </row>
        <row r="842">
          <cell r="CA842" t="str">
            <v>ANA3</v>
          </cell>
          <cell r="CB842" t="str">
            <v>Navigate HSA</v>
          </cell>
          <cell r="CC842" t="str">
            <v>N/A</v>
          </cell>
          <cell r="CD842" t="str">
            <v>N/A</v>
          </cell>
          <cell r="CE842" t="str">
            <v>N/A</v>
          </cell>
          <cell r="CF842" t="str">
            <v>N/A</v>
          </cell>
          <cell r="CG842" t="str">
            <v>N/A</v>
          </cell>
          <cell r="CH842" t="str">
            <v>N/A</v>
          </cell>
          <cell r="CI842" t="str">
            <v>N/A</v>
          </cell>
          <cell r="CJ842" t="str">
            <v>$3000 / $6000</v>
          </cell>
          <cell r="CK842">
            <v>0.9</v>
          </cell>
          <cell r="CL842" t="str">
            <v>$5000 / $10000</v>
          </cell>
          <cell r="CM842" t="str">
            <v>N/A</v>
          </cell>
          <cell r="CN842" t="str">
            <v>N/A</v>
          </cell>
          <cell r="CO842" t="str">
            <v>N/A</v>
          </cell>
          <cell r="CP842" t="str">
            <v>Emb</v>
          </cell>
          <cell r="CS842" t="str">
            <v>INS</v>
          </cell>
          <cell r="CT842" t="str">
            <v>Navigate</v>
          </cell>
          <cell r="CU842">
            <v>0.62429999999999997</v>
          </cell>
          <cell r="CV842" t="str">
            <v>H9-HSA</v>
          </cell>
          <cell r="CW842" t="str">
            <v>NAVHSA14&amp;15</v>
          </cell>
          <cell r="CX842">
            <v>0.69389999999999996</v>
          </cell>
        </row>
        <row r="843">
          <cell r="CA843" t="str">
            <v>ANA4</v>
          </cell>
          <cell r="CB843" t="str">
            <v>Navigate HSA</v>
          </cell>
          <cell r="CC843" t="str">
            <v>N/A</v>
          </cell>
          <cell r="CD843" t="str">
            <v>N/A</v>
          </cell>
          <cell r="CE843" t="str">
            <v>N/A</v>
          </cell>
          <cell r="CF843" t="str">
            <v>N/A</v>
          </cell>
          <cell r="CG843" t="str">
            <v>N/A</v>
          </cell>
          <cell r="CH843" t="str">
            <v>N/A</v>
          </cell>
          <cell r="CI843" t="str">
            <v>N/A</v>
          </cell>
          <cell r="CJ843" t="str">
            <v>$3000 / $6000</v>
          </cell>
          <cell r="CK843">
            <v>0.8</v>
          </cell>
          <cell r="CL843" t="str">
            <v>$5000 / $10000</v>
          </cell>
          <cell r="CM843" t="str">
            <v>N/A</v>
          </cell>
          <cell r="CN843" t="str">
            <v>N/A</v>
          </cell>
          <cell r="CO843" t="str">
            <v>N/A</v>
          </cell>
          <cell r="CP843" t="str">
            <v>Emb</v>
          </cell>
          <cell r="CS843" t="str">
            <v>INS</v>
          </cell>
          <cell r="CT843" t="str">
            <v>Navigate</v>
          </cell>
          <cell r="CU843">
            <v>0.60470000000000002</v>
          </cell>
          <cell r="CV843" t="str">
            <v>H9-HSA</v>
          </cell>
          <cell r="CW843" t="str">
            <v>NAVHSA14&amp;15</v>
          </cell>
          <cell r="CX843">
            <v>0.68410000000000004</v>
          </cell>
        </row>
        <row r="844">
          <cell r="CA844" t="str">
            <v>ANA5</v>
          </cell>
          <cell r="CB844" t="str">
            <v>Navigate HSA</v>
          </cell>
          <cell r="CC844" t="str">
            <v>N/A</v>
          </cell>
          <cell r="CD844" t="str">
            <v>N/A</v>
          </cell>
          <cell r="CE844" t="str">
            <v>N/A</v>
          </cell>
          <cell r="CF844" t="str">
            <v>N/A</v>
          </cell>
          <cell r="CG844" t="str">
            <v>N/A</v>
          </cell>
          <cell r="CH844" t="str">
            <v>N/A</v>
          </cell>
          <cell r="CI844" t="str">
            <v>N/A</v>
          </cell>
          <cell r="CJ844" t="str">
            <v>$5000 / $10000</v>
          </cell>
          <cell r="CK844">
            <v>0.7</v>
          </cell>
          <cell r="CL844" t="str">
            <v>$6350 / $12700</v>
          </cell>
          <cell r="CM844" t="str">
            <v>N/A</v>
          </cell>
          <cell r="CN844" t="str">
            <v>N/A</v>
          </cell>
          <cell r="CO844" t="str">
            <v>N/A</v>
          </cell>
          <cell r="CP844" t="str">
            <v>Emb</v>
          </cell>
          <cell r="CS844" t="str">
            <v>INS</v>
          </cell>
          <cell r="CT844" t="str">
            <v>Navigate</v>
          </cell>
          <cell r="CU844">
            <v>0.54549999999999998</v>
          </cell>
          <cell r="CV844" t="str">
            <v>H9-HSA</v>
          </cell>
          <cell r="CW844" t="str">
            <v>NAVHSA14&amp;15</v>
          </cell>
          <cell r="CX844">
            <v>0.61019999999999996</v>
          </cell>
        </row>
        <row r="845">
          <cell r="CA845" t="str">
            <v>ANA6</v>
          </cell>
          <cell r="CB845" t="str">
            <v>Navigate HSA</v>
          </cell>
          <cell r="CC845" t="str">
            <v>N/A</v>
          </cell>
          <cell r="CD845" t="str">
            <v>N/A</v>
          </cell>
          <cell r="CE845" t="str">
            <v>N/A</v>
          </cell>
          <cell r="CF845" t="str">
            <v>N/A</v>
          </cell>
          <cell r="CG845" t="str">
            <v>N/A</v>
          </cell>
          <cell r="CH845" t="str">
            <v>N/A</v>
          </cell>
          <cell r="CI845" t="str">
            <v>N/A</v>
          </cell>
          <cell r="CJ845" t="str">
            <v>$5500 / $11000</v>
          </cell>
          <cell r="CK845">
            <v>0.7</v>
          </cell>
          <cell r="CL845" t="str">
            <v>$6350 / $12700</v>
          </cell>
          <cell r="CM845" t="str">
            <v>N/A</v>
          </cell>
          <cell r="CN845" t="str">
            <v>N/A</v>
          </cell>
          <cell r="CO845" t="str">
            <v>N/A</v>
          </cell>
          <cell r="CP845" t="str">
            <v>Emb</v>
          </cell>
          <cell r="CS845" t="str">
            <v>INS</v>
          </cell>
          <cell r="CT845" t="str">
            <v>Navigate</v>
          </cell>
          <cell r="CU845">
            <v>0.54169999999999996</v>
          </cell>
          <cell r="CV845" t="str">
            <v>H9-HSA</v>
          </cell>
          <cell r="CW845" t="str">
            <v>NAVHSA14&amp;15</v>
          </cell>
          <cell r="CX845">
            <v>0.60470000000000002</v>
          </cell>
        </row>
        <row r="846">
          <cell r="CA846" t="str">
            <v>ANA7</v>
          </cell>
          <cell r="CB846" t="str">
            <v>Navigate HSA</v>
          </cell>
          <cell r="CC846" t="str">
            <v>N/A</v>
          </cell>
          <cell r="CD846" t="str">
            <v>N/A</v>
          </cell>
          <cell r="CE846" t="str">
            <v>N/A</v>
          </cell>
          <cell r="CF846" t="str">
            <v>N/A</v>
          </cell>
          <cell r="CG846" t="str">
            <v>N/A</v>
          </cell>
          <cell r="CH846" t="str">
            <v>N/A</v>
          </cell>
          <cell r="CI846" t="str">
            <v>N/A</v>
          </cell>
          <cell r="CJ846" t="str">
            <v>$6000 / $12000</v>
          </cell>
          <cell r="CK846">
            <v>0.65</v>
          </cell>
          <cell r="CL846" t="str">
            <v>$6350 / $12700</v>
          </cell>
          <cell r="CM846" t="str">
            <v>N/A</v>
          </cell>
          <cell r="CN846" t="str">
            <v>N/A</v>
          </cell>
          <cell r="CO846" t="str">
            <v>N/A</v>
          </cell>
          <cell r="CP846" t="str">
            <v>Emb</v>
          </cell>
          <cell r="CS846" t="str">
            <v>INS</v>
          </cell>
          <cell r="CT846" t="str">
            <v>Navigate</v>
          </cell>
          <cell r="CU846">
            <v>0.53949999999999998</v>
          </cell>
          <cell r="CV846" t="str">
            <v>H9-HSA</v>
          </cell>
          <cell r="CW846" t="str">
            <v>NAVHSA14&amp;15</v>
          </cell>
          <cell r="CX846">
            <v>0.60109999999999997</v>
          </cell>
        </row>
        <row r="847">
          <cell r="CA847" t="str">
            <v>ANA8</v>
          </cell>
          <cell r="CB847" t="str">
            <v>Navigate HSA</v>
          </cell>
          <cell r="CC847" t="str">
            <v>N/A</v>
          </cell>
          <cell r="CD847" t="str">
            <v>N/A</v>
          </cell>
          <cell r="CE847" t="str">
            <v>N/A</v>
          </cell>
          <cell r="CF847" t="str">
            <v>N/A</v>
          </cell>
          <cell r="CG847" t="str">
            <v>N/A</v>
          </cell>
          <cell r="CH847" t="str">
            <v>N/A</v>
          </cell>
          <cell r="CI847" t="str">
            <v>N/A</v>
          </cell>
          <cell r="CJ847" t="str">
            <v>$6250 / $12500</v>
          </cell>
          <cell r="CK847">
            <v>0.6</v>
          </cell>
          <cell r="CL847" t="str">
            <v>$6350 / $12700</v>
          </cell>
          <cell r="CM847" t="str">
            <v>N/A</v>
          </cell>
          <cell r="CN847" t="str">
            <v>N/A</v>
          </cell>
          <cell r="CO847" t="str">
            <v>N/A</v>
          </cell>
          <cell r="CP847" t="str">
            <v>Emb</v>
          </cell>
          <cell r="CS847" t="str">
            <v>INS</v>
          </cell>
          <cell r="CT847" t="str">
            <v>Navigate</v>
          </cell>
          <cell r="CU847">
            <v>0.53920000000000001</v>
          </cell>
          <cell r="CV847" t="str">
            <v>H9-HSA</v>
          </cell>
          <cell r="CW847" t="str">
            <v>NAVHSA14&amp;15</v>
          </cell>
          <cell r="CX847">
            <v>0.60050000000000003</v>
          </cell>
        </row>
        <row r="848">
          <cell r="CA848" t="str">
            <v>ANA9</v>
          </cell>
          <cell r="CB848" t="str">
            <v>Navigate</v>
          </cell>
          <cell r="CC848">
            <v>10</v>
          </cell>
          <cell r="CD848">
            <v>10</v>
          </cell>
          <cell r="CE848" t="str">
            <v>N/A</v>
          </cell>
          <cell r="CF848" t="str">
            <v>$100 POD</v>
          </cell>
          <cell r="CG848">
            <v>10</v>
          </cell>
          <cell r="CH848" t="str">
            <v>$100 POD</v>
          </cell>
          <cell r="CI848" t="str">
            <v>N/A</v>
          </cell>
          <cell r="CJ848" t="str">
            <v>$1000 / $2000</v>
          </cell>
          <cell r="CK848">
            <v>0.9</v>
          </cell>
          <cell r="CL848" t="str">
            <v>$3500 / $7000</v>
          </cell>
          <cell r="CM848" t="str">
            <v>N/A</v>
          </cell>
          <cell r="CN848" t="str">
            <v>N/A</v>
          </cell>
          <cell r="CO848" t="str">
            <v>N/A</v>
          </cell>
          <cell r="CP848" t="str">
            <v>Emb</v>
          </cell>
          <cell r="CS848" t="str">
            <v>INS</v>
          </cell>
          <cell r="CT848" t="str">
            <v>Navigate</v>
          </cell>
          <cell r="CU848">
            <v>0.76359999999999995</v>
          </cell>
          <cell r="CV848" t="str">
            <v/>
          </cell>
          <cell r="CW848" t="str">
            <v>NAV14&amp;15</v>
          </cell>
          <cell r="CX848">
            <v>0.67649999999999999</v>
          </cell>
        </row>
        <row r="849">
          <cell r="CA849" t="str">
            <v>ANAA</v>
          </cell>
          <cell r="CB849" t="str">
            <v>Navigate</v>
          </cell>
          <cell r="CC849">
            <v>25</v>
          </cell>
          <cell r="CD849">
            <v>35</v>
          </cell>
          <cell r="CE849" t="str">
            <v>N/A</v>
          </cell>
          <cell r="CF849" t="str">
            <v>N/A</v>
          </cell>
          <cell r="CG849">
            <v>125</v>
          </cell>
          <cell r="CH849" t="str">
            <v xml:space="preserve">$250 </v>
          </cell>
          <cell r="CI849" t="str">
            <v>N/A</v>
          </cell>
          <cell r="CJ849" t="str">
            <v>$1000 / $2000</v>
          </cell>
          <cell r="CK849">
            <v>0.8</v>
          </cell>
          <cell r="CL849" t="str">
            <v>$3000 / $6000</v>
          </cell>
          <cell r="CM849" t="str">
            <v>N/A</v>
          </cell>
          <cell r="CN849" t="str">
            <v>N/A</v>
          </cell>
          <cell r="CO849" t="str">
            <v>N/A</v>
          </cell>
          <cell r="CP849" t="str">
            <v>Emb</v>
          </cell>
          <cell r="CS849" t="str">
            <v>INS</v>
          </cell>
          <cell r="CT849" t="str">
            <v>Navigate</v>
          </cell>
          <cell r="CU849">
            <v>0.74729999999999996</v>
          </cell>
          <cell r="CV849" t="str">
            <v/>
          </cell>
          <cell r="CW849" t="str">
            <v>NAV14&amp;15</v>
          </cell>
          <cell r="CX849">
            <v>0.64290000000000003</v>
          </cell>
        </row>
        <row r="850">
          <cell r="CA850" t="str">
            <v>ANAB</v>
          </cell>
          <cell r="CB850" t="str">
            <v>Navigate</v>
          </cell>
          <cell r="CC850">
            <v>30</v>
          </cell>
          <cell r="CD850">
            <v>30</v>
          </cell>
          <cell r="CE850" t="str">
            <v>N/A</v>
          </cell>
          <cell r="CF850" t="str">
            <v>N/A</v>
          </cell>
          <cell r="CG850">
            <v>50</v>
          </cell>
          <cell r="CH850" t="str">
            <v xml:space="preserve">$150 </v>
          </cell>
          <cell r="CI850" t="str">
            <v>N/A</v>
          </cell>
          <cell r="CJ850" t="str">
            <v>$1000 / $2000</v>
          </cell>
          <cell r="CK850">
            <v>0.8</v>
          </cell>
          <cell r="CL850" t="str">
            <v>$4000 / $8000</v>
          </cell>
          <cell r="CM850" t="str">
            <v>N/A</v>
          </cell>
          <cell r="CN850" t="str">
            <v>N/A</v>
          </cell>
          <cell r="CO850" t="str">
            <v>N/A</v>
          </cell>
          <cell r="CP850" t="str">
            <v>Emb</v>
          </cell>
          <cell r="CS850" t="str">
            <v>INS</v>
          </cell>
          <cell r="CT850" t="str">
            <v>Navigate</v>
          </cell>
          <cell r="CU850">
            <v>0.72599999999999998</v>
          </cell>
          <cell r="CV850" t="str">
            <v/>
          </cell>
          <cell r="CW850" t="str">
            <v>NAV14&amp;15</v>
          </cell>
          <cell r="CX850">
            <v>0.63580000000000003</v>
          </cell>
        </row>
        <row r="851">
          <cell r="CA851" t="str">
            <v>ANAC</v>
          </cell>
          <cell r="CB851" t="str">
            <v>Navigate</v>
          </cell>
          <cell r="CC851">
            <v>20</v>
          </cell>
          <cell r="CD851">
            <v>20</v>
          </cell>
          <cell r="CE851" t="str">
            <v>N/A</v>
          </cell>
          <cell r="CF851" t="str">
            <v>N/A</v>
          </cell>
          <cell r="CG851">
            <v>50</v>
          </cell>
          <cell r="CH851" t="str">
            <v xml:space="preserve">$100 </v>
          </cell>
          <cell r="CI851" t="str">
            <v>N/A</v>
          </cell>
          <cell r="CJ851" t="str">
            <v>$1500 / $3500</v>
          </cell>
          <cell r="CK851">
            <v>0.8</v>
          </cell>
          <cell r="CL851" t="str">
            <v>$4500 / $9000</v>
          </cell>
          <cell r="CM851" t="str">
            <v>N/A</v>
          </cell>
          <cell r="CN851" t="str">
            <v>N/A</v>
          </cell>
          <cell r="CO851" t="str">
            <v>N/A</v>
          </cell>
          <cell r="CP851" t="str">
            <v>Emb</v>
          </cell>
          <cell r="CS851" t="str">
            <v>INS</v>
          </cell>
          <cell r="CT851" t="str">
            <v>Navigate</v>
          </cell>
          <cell r="CU851">
            <v>0.71589999999999998</v>
          </cell>
          <cell r="CV851" t="str">
            <v/>
          </cell>
          <cell r="CW851" t="str">
            <v>NAV14&amp;15</v>
          </cell>
          <cell r="CX851">
            <v>0.63519999999999999</v>
          </cell>
        </row>
        <row r="852">
          <cell r="CA852" t="str">
            <v>ANAD</v>
          </cell>
          <cell r="CB852" t="str">
            <v>Navigate</v>
          </cell>
          <cell r="CC852">
            <v>30</v>
          </cell>
          <cell r="CD852">
            <v>50</v>
          </cell>
          <cell r="CE852" t="str">
            <v>N/A</v>
          </cell>
          <cell r="CF852" t="str">
            <v>N/A</v>
          </cell>
          <cell r="CG852">
            <v>125</v>
          </cell>
          <cell r="CH852" t="str">
            <v xml:space="preserve">$250 </v>
          </cell>
          <cell r="CI852" t="str">
            <v>N/A</v>
          </cell>
          <cell r="CJ852" t="str">
            <v>$1000 / $2000</v>
          </cell>
          <cell r="CK852">
            <v>0.8</v>
          </cell>
          <cell r="CL852" t="str">
            <v>$3000 / $6000</v>
          </cell>
          <cell r="CM852" t="str">
            <v>N/A</v>
          </cell>
          <cell r="CN852" t="str">
            <v>N/A</v>
          </cell>
          <cell r="CO852" t="str">
            <v>N/A</v>
          </cell>
          <cell r="CP852" t="str">
            <v>Emb</v>
          </cell>
          <cell r="CS852" t="str">
            <v>INS</v>
          </cell>
          <cell r="CT852" t="str">
            <v>Navigate</v>
          </cell>
          <cell r="CU852">
            <v>0.73629999999999995</v>
          </cell>
          <cell r="CV852" t="str">
            <v/>
          </cell>
          <cell r="CW852" t="str">
            <v>NAV14&amp;15</v>
          </cell>
          <cell r="CX852">
            <v>0.63070000000000004</v>
          </cell>
        </row>
        <row r="853">
          <cell r="CA853" t="str">
            <v>ANAE</v>
          </cell>
          <cell r="CB853" t="str">
            <v>Navigate</v>
          </cell>
          <cell r="CC853">
            <v>25</v>
          </cell>
          <cell r="CD853">
            <v>25</v>
          </cell>
          <cell r="CE853" t="str">
            <v>N/A</v>
          </cell>
          <cell r="CF853" t="str">
            <v>N/A</v>
          </cell>
          <cell r="CG853">
            <v>125</v>
          </cell>
          <cell r="CH853" t="str">
            <v xml:space="preserve">$250 </v>
          </cell>
          <cell r="CI853" t="str">
            <v>N/A</v>
          </cell>
          <cell r="CJ853" t="str">
            <v>$1000 / $2000</v>
          </cell>
          <cell r="CK853">
            <v>0.7</v>
          </cell>
          <cell r="CL853" t="str">
            <v>$4000 / $8000</v>
          </cell>
          <cell r="CM853" t="str">
            <v>N/A</v>
          </cell>
          <cell r="CN853" t="str">
            <v>N/A</v>
          </cell>
          <cell r="CO853" t="str">
            <v>N/A</v>
          </cell>
          <cell r="CP853" t="str">
            <v>Emb</v>
          </cell>
          <cell r="CS853" t="str">
            <v>INS</v>
          </cell>
          <cell r="CT853" t="str">
            <v>Navigate</v>
          </cell>
          <cell r="CU853">
            <v>0.71360000000000001</v>
          </cell>
          <cell r="CV853" t="str">
            <v/>
          </cell>
          <cell r="CW853" t="str">
            <v>NAV14&amp;15</v>
          </cell>
          <cell r="CX853">
            <v>0.63619999999999999</v>
          </cell>
        </row>
        <row r="854">
          <cell r="CA854" t="str">
            <v>ANAF</v>
          </cell>
          <cell r="CB854" t="str">
            <v>Navigate</v>
          </cell>
          <cell r="CC854">
            <v>30</v>
          </cell>
          <cell r="CD854">
            <v>30</v>
          </cell>
          <cell r="CE854" t="str">
            <v>N/A</v>
          </cell>
          <cell r="CF854" t="str">
            <v>N/A</v>
          </cell>
          <cell r="CG854">
            <v>125</v>
          </cell>
          <cell r="CH854" t="str">
            <v xml:space="preserve">$250 </v>
          </cell>
          <cell r="CI854" t="str">
            <v>N/A</v>
          </cell>
          <cell r="CJ854" t="str">
            <v>$1500 / $3000</v>
          </cell>
          <cell r="CK854">
            <v>0.8</v>
          </cell>
          <cell r="CL854" t="str">
            <v>$4000 / $8000</v>
          </cell>
          <cell r="CM854" t="str">
            <v>N/A</v>
          </cell>
          <cell r="CN854" t="str">
            <v>N/A</v>
          </cell>
          <cell r="CO854" t="str">
            <v>N/A</v>
          </cell>
          <cell r="CP854" t="str">
            <v>Emb</v>
          </cell>
          <cell r="CS854" t="str">
            <v>INS</v>
          </cell>
          <cell r="CT854" t="str">
            <v>Navigate</v>
          </cell>
          <cell r="CU854">
            <v>0.70679999999999998</v>
          </cell>
          <cell r="CV854" t="str">
            <v/>
          </cell>
          <cell r="CW854" t="str">
            <v>NAV14&amp;15</v>
          </cell>
          <cell r="CX854">
            <v>0.62260000000000004</v>
          </cell>
        </row>
        <row r="855">
          <cell r="CA855" t="str">
            <v>ANAG</v>
          </cell>
          <cell r="CB855" t="str">
            <v>Navigate</v>
          </cell>
          <cell r="CC855">
            <v>25</v>
          </cell>
          <cell r="CD855">
            <v>40</v>
          </cell>
          <cell r="CE855" t="str">
            <v>N/A</v>
          </cell>
          <cell r="CF855" t="str">
            <v>N/A</v>
          </cell>
          <cell r="CG855">
            <v>125</v>
          </cell>
          <cell r="CH855" t="str">
            <v xml:space="preserve">$250 </v>
          </cell>
          <cell r="CI855" t="str">
            <v>N/A</v>
          </cell>
          <cell r="CJ855" t="str">
            <v>$2000 / $4000</v>
          </cell>
          <cell r="CK855">
            <v>0.8</v>
          </cell>
          <cell r="CL855" t="str">
            <v>$5000 / $10000</v>
          </cell>
          <cell r="CM855" t="str">
            <v>N/A</v>
          </cell>
          <cell r="CN855" t="str">
            <v>N/A</v>
          </cell>
          <cell r="CO855" t="str">
            <v>N/A</v>
          </cell>
          <cell r="CP855" t="str">
            <v>Emb</v>
          </cell>
          <cell r="CS855" t="str">
            <v>INS</v>
          </cell>
          <cell r="CT855" t="str">
            <v>Navigate</v>
          </cell>
          <cell r="CU855">
            <v>0.67710000000000004</v>
          </cell>
          <cell r="CV855" t="str">
            <v/>
          </cell>
          <cell r="CW855" t="str">
            <v>NAV14&amp;15</v>
          </cell>
          <cell r="CX855">
            <v>0.60170000000000001</v>
          </cell>
        </row>
        <row r="856">
          <cell r="CA856" t="str">
            <v>ANAH</v>
          </cell>
          <cell r="CB856" t="str">
            <v>Navigate</v>
          </cell>
          <cell r="CC856">
            <v>20</v>
          </cell>
          <cell r="CD856">
            <v>40</v>
          </cell>
          <cell r="CE856" t="str">
            <v>N/A</v>
          </cell>
          <cell r="CF856" t="str">
            <v>N/A</v>
          </cell>
          <cell r="CG856">
            <v>125</v>
          </cell>
          <cell r="CH856" t="str">
            <v xml:space="preserve">$250 </v>
          </cell>
          <cell r="CI856" t="str">
            <v>N/A</v>
          </cell>
          <cell r="CJ856" t="str">
            <v>$2500 / $5000</v>
          </cell>
          <cell r="CK856">
            <v>0.8</v>
          </cell>
          <cell r="CL856" t="str">
            <v>$5000 / $10000</v>
          </cell>
          <cell r="CM856" t="str">
            <v>N/A</v>
          </cell>
          <cell r="CN856" t="str">
            <v>N/A</v>
          </cell>
          <cell r="CO856" t="str">
            <v>N/A</v>
          </cell>
          <cell r="CP856" t="str">
            <v>Emb</v>
          </cell>
          <cell r="CS856" t="str">
            <v>INS</v>
          </cell>
          <cell r="CT856" t="str">
            <v>Navigate</v>
          </cell>
          <cell r="CU856">
            <v>0.67030000000000001</v>
          </cell>
          <cell r="CV856" t="str">
            <v/>
          </cell>
          <cell r="CW856" t="str">
            <v>NAV14&amp;15</v>
          </cell>
          <cell r="CX856">
            <v>0.59850000000000003</v>
          </cell>
        </row>
        <row r="857">
          <cell r="CA857" t="str">
            <v>ANAI</v>
          </cell>
          <cell r="CB857" t="str">
            <v>Navigate</v>
          </cell>
          <cell r="CC857">
            <v>25</v>
          </cell>
          <cell r="CD857">
            <v>50</v>
          </cell>
          <cell r="CE857" t="str">
            <v>N/A</v>
          </cell>
          <cell r="CF857" t="str">
            <v>N/A</v>
          </cell>
          <cell r="CG857">
            <v>125</v>
          </cell>
          <cell r="CH857" t="str">
            <v xml:space="preserve">$250 </v>
          </cell>
          <cell r="CI857" t="str">
            <v>N/A</v>
          </cell>
          <cell r="CJ857" t="str">
            <v>$3000 / $6000</v>
          </cell>
          <cell r="CK857">
            <v>0.7</v>
          </cell>
          <cell r="CL857" t="str">
            <v>$5000 / $10000</v>
          </cell>
          <cell r="CM857" t="str">
            <v>N/A</v>
          </cell>
          <cell r="CN857" t="str">
            <v>N/A</v>
          </cell>
          <cell r="CO857" t="str">
            <v>N/A</v>
          </cell>
          <cell r="CP857" t="str">
            <v>Emb</v>
          </cell>
          <cell r="CS857" t="str">
            <v>INS</v>
          </cell>
          <cell r="CT857" t="str">
            <v>Navigate</v>
          </cell>
          <cell r="CU857">
            <v>0.65349999999999997</v>
          </cell>
          <cell r="CV857" t="str">
            <v/>
          </cell>
          <cell r="CW857" t="str">
            <v>NAV14&amp;15</v>
          </cell>
          <cell r="CX857">
            <v>0.58740000000000003</v>
          </cell>
        </row>
        <row r="858">
          <cell r="CA858" t="str">
            <v>ANAJ</v>
          </cell>
          <cell r="CB858" t="str">
            <v>Navigate HRA</v>
          </cell>
          <cell r="CC858" t="str">
            <v>N/A</v>
          </cell>
          <cell r="CD858" t="str">
            <v>N/A</v>
          </cell>
          <cell r="CE858" t="str">
            <v>N/A</v>
          </cell>
          <cell r="CF858" t="str">
            <v>N/A</v>
          </cell>
          <cell r="CG858" t="str">
            <v>N/A</v>
          </cell>
          <cell r="CH858" t="str">
            <v>N/A</v>
          </cell>
          <cell r="CI858" t="str">
            <v>N/A</v>
          </cell>
          <cell r="CJ858" t="str">
            <v>$1500 / $3000</v>
          </cell>
          <cell r="CK858">
            <v>1</v>
          </cell>
          <cell r="CL858" t="str">
            <v>$2500 / $5000</v>
          </cell>
          <cell r="CM858" t="str">
            <v>N/A</v>
          </cell>
          <cell r="CN858" t="str">
            <v>N/A</v>
          </cell>
          <cell r="CO858" t="str">
            <v>N/A</v>
          </cell>
          <cell r="CP858" t="str">
            <v>Emb</v>
          </cell>
          <cell r="CS858" t="str">
            <v>INS</v>
          </cell>
          <cell r="CT858" t="str">
            <v>Navigate</v>
          </cell>
          <cell r="CU858">
            <v>0.85650000000000004</v>
          </cell>
          <cell r="CV858" t="str">
            <v>H9-HRA</v>
          </cell>
          <cell r="CW858" t="str">
            <v>NAVHRA14&amp;15</v>
          </cell>
          <cell r="CX858">
            <v>0.8125</v>
          </cell>
        </row>
        <row r="859">
          <cell r="CA859" t="str">
            <v>ANAK</v>
          </cell>
          <cell r="CB859" t="str">
            <v>Navigate HRA</v>
          </cell>
          <cell r="CC859" t="str">
            <v>N/A</v>
          </cell>
          <cell r="CD859" t="str">
            <v>N/A</v>
          </cell>
          <cell r="CE859" t="str">
            <v>N/A</v>
          </cell>
          <cell r="CF859" t="str">
            <v>N/A</v>
          </cell>
          <cell r="CG859" t="str">
            <v>N/A</v>
          </cell>
          <cell r="CH859" t="str">
            <v>N/A</v>
          </cell>
          <cell r="CI859" t="str">
            <v>N/A</v>
          </cell>
          <cell r="CJ859" t="str">
            <v>$1000 / $2000</v>
          </cell>
          <cell r="CK859">
            <v>0.8</v>
          </cell>
          <cell r="CL859" t="str">
            <v>$2000 / $4000</v>
          </cell>
          <cell r="CM859" t="str">
            <v>N/A</v>
          </cell>
          <cell r="CN859" t="str">
            <v>N/A</v>
          </cell>
          <cell r="CO859" t="str">
            <v>N/A</v>
          </cell>
          <cell r="CP859" t="str">
            <v>Emb</v>
          </cell>
          <cell r="CS859" t="str">
            <v>INS</v>
          </cell>
          <cell r="CT859" t="str">
            <v>Navigate</v>
          </cell>
          <cell r="CU859">
            <v>0.82189999999999996</v>
          </cell>
          <cell r="CV859" t="str">
            <v>H9-HRA</v>
          </cell>
          <cell r="CW859" t="str">
            <v>NAVHRA14&amp;15</v>
          </cell>
          <cell r="CX859">
            <v>0.83130000000000004</v>
          </cell>
        </row>
        <row r="860">
          <cell r="CA860" t="str">
            <v>ANAL</v>
          </cell>
          <cell r="CB860" t="str">
            <v>Navigate HRA</v>
          </cell>
          <cell r="CC860" t="str">
            <v>N/A</v>
          </cell>
          <cell r="CD860" t="str">
            <v>N/A</v>
          </cell>
          <cell r="CE860" t="str">
            <v>N/A</v>
          </cell>
          <cell r="CF860" t="str">
            <v>N/A</v>
          </cell>
          <cell r="CG860" t="str">
            <v>N/A</v>
          </cell>
          <cell r="CH860" t="str">
            <v>N/A</v>
          </cell>
          <cell r="CI860" t="str">
            <v>N/A</v>
          </cell>
          <cell r="CJ860" t="str">
            <v>$3000 / $6000</v>
          </cell>
          <cell r="CK860">
            <v>1</v>
          </cell>
          <cell r="CL860" t="str">
            <v>$4000 / $8000</v>
          </cell>
          <cell r="CM860" t="str">
            <v>N/A</v>
          </cell>
          <cell r="CN860" t="str">
            <v>N/A</v>
          </cell>
          <cell r="CO860" t="str">
            <v>N/A</v>
          </cell>
          <cell r="CP860" t="str">
            <v>Emb</v>
          </cell>
          <cell r="CS860" t="str">
            <v>INS</v>
          </cell>
          <cell r="CT860" t="str">
            <v>Navigate</v>
          </cell>
          <cell r="CU860">
            <v>0.70879999999999999</v>
          </cell>
          <cell r="CV860" t="str">
            <v>H9-HRA</v>
          </cell>
          <cell r="CW860" t="str">
            <v>NAVHRA14&amp;15</v>
          </cell>
          <cell r="CX860">
            <v>0.71699999999999997</v>
          </cell>
        </row>
        <row r="861">
          <cell r="CA861" t="str">
            <v>ANAM</v>
          </cell>
          <cell r="CB861" t="str">
            <v>Navigate HRA</v>
          </cell>
          <cell r="CC861" t="str">
            <v>N/A</v>
          </cell>
          <cell r="CD861" t="str">
            <v>N/A</v>
          </cell>
          <cell r="CE861" t="str">
            <v>N/A</v>
          </cell>
          <cell r="CF861" t="str">
            <v>N/A</v>
          </cell>
          <cell r="CG861" t="str">
            <v>N/A</v>
          </cell>
          <cell r="CH861" t="str">
            <v>N/A</v>
          </cell>
          <cell r="CI861" t="str">
            <v>N/A</v>
          </cell>
          <cell r="CJ861" t="str">
            <v>$1500 / $3000</v>
          </cell>
          <cell r="CK861">
            <v>0.9</v>
          </cell>
          <cell r="CL861" t="str">
            <v>$2500 / $5000</v>
          </cell>
          <cell r="CM861" t="str">
            <v>N/A</v>
          </cell>
          <cell r="CN861" t="str">
            <v>N/A</v>
          </cell>
          <cell r="CO861" t="str">
            <v>N/A</v>
          </cell>
          <cell r="CP861" t="str">
            <v>Emb</v>
          </cell>
          <cell r="CS861" t="str">
            <v>INS</v>
          </cell>
          <cell r="CT861" t="str">
            <v>Navigate</v>
          </cell>
          <cell r="CU861">
            <v>0.6573</v>
          </cell>
          <cell r="CV861" t="str">
            <v/>
          </cell>
          <cell r="CW861" t="str">
            <v>NAVNHRA14&amp;15</v>
          </cell>
          <cell r="CX861">
            <v>0.61880000000000002</v>
          </cell>
        </row>
        <row r="862">
          <cell r="CA862" t="str">
            <v>ANAN</v>
          </cell>
          <cell r="CB862" t="str">
            <v>Navigate HRA</v>
          </cell>
          <cell r="CC862" t="str">
            <v>N/A</v>
          </cell>
          <cell r="CD862" t="str">
            <v>N/A</v>
          </cell>
          <cell r="CE862" t="str">
            <v>N/A</v>
          </cell>
          <cell r="CF862" t="str">
            <v>N/A</v>
          </cell>
          <cell r="CG862" t="str">
            <v>N/A</v>
          </cell>
          <cell r="CH862" t="str">
            <v>N/A</v>
          </cell>
          <cell r="CI862" t="str">
            <v>N/A</v>
          </cell>
          <cell r="CJ862" t="str">
            <v>$2000 / $4000</v>
          </cell>
          <cell r="CK862">
            <v>1</v>
          </cell>
          <cell r="CL862" t="str">
            <v>$2000 / $4000</v>
          </cell>
          <cell r="CM862" t="str">
            <v>N/A</v>
          </cell>
          <cell r="CN862" t="str">
            <v>N/A</v>
          </cell>
          <cell r="CO862" t="str">
            <v>N/A</v>
          </cell>
          <cell r="CP862" t="str">
            <v>Emb</v>
          </cell>
          <cell r="CS862" t="str">
            <v>INS</v>
          </cell>
          <cell r="CT862" t="str">
            <v>Navigate</v>
          </cell>
          <cell r="CU862">
            <v>0.67949999999999999</v>
          </cell>
          <cell r="CV862" t="str">
            <v/>
          </cell>
          <cell r="CW862" t="str">
            <v>NAVNHRA14&amp;15</v>
          </cell>
          <cell r="CX862">
            <v>0.61</v>
          </cell>
        </row>
        <row r="863">
          <cell r="CA863" t="str">
            <v>ANAO</v>
          </cell>
          <cell r="CB863" t="str">
            <v>Navigate HRA</v>
          </cell>
          <cell r="CC863" t="str">
            <v>N/A</v>
          </cell>
          <cell r="CD863" t="str">
            <v>N/A</v>
          </cell>
          <cell r="CE863" t="str">
            <v>N/A</v>
          </cell>
          <cell r="CF863" t="str">
            <v>N/A</v>
          </cell>
          <cell r="CG863" t="str">
            <v>N/A</v>
          </cell>
          <cell r="CH863" t="str">
            <v>N/A</v>
          </cell>
          <cell r="CI863" t="str">
            <v>N/A</v>
          </cell>
          <cell r="CJ863" t="str">
            <v>$1500 / $3000</v>
          </cell>
          <cell r="CK863">
            <v>0.8</v>
          </cell>
          <cell r="CL863" t="str">
            <v>$2500 / $5000</v>
          </cell>
          <cell r="CM863" t="str">
            <v>N/A</v>
          </cell>
          <cell r="CN863" t="str">
            <v>N/A</v>
          </cell>
          <cell r="CO863" t="str">
            <v>N/A</v>
          </cell>
          <cell r="CP863" t="str">
            <v>Emb</v>
          </cell>
          <cell r="CS863" t="str">
            <v>INS</v>
          </cell>
          <cell r="CT863" t="str">
            <v>Navigate</v>
          </cell>
          <cell r="CU863">
            <v>0.64929999999999999</v>
          </cell>
          <cell r="CV863" t="str">
            <v/>
          </cell>
          <cell r="CW863" t="str">
            <v>NAVNHRA14&amp;15</v>
          </cell>
          <cell r="CX863">
            <v>0.61380000000000001</v>
          </cell>
        </row>
        <row r="864">
          <cell r="CA864" t="str">
            <v>ANAP</v>
          </cell>
          <cell r="CB864" t="str">
            <v>Navigate HRA</v>
          </cell>
          <cell r="CC864" t="str">
            <v>N/A</v>
          </cell>
          <cell r="CD864" t="str">
            <v>N/A</v>
          </cell>
          <cell r="CE864" t="str">
            <v>N/A</v>
          </cell>
          <cell r="CF864" t="str">
            <v>N/A</v>
          </cell>
          <cell r="CG864" t="str">
            <v>N/A</v>
          </cell>
          <cell r="CH864" t="str">
            <v>N/A</v>
          </cell>
          <cell r="CI864" t="str">
            <v>N/A</v>
          </cell>
          <cell r="CJ864" t="str">
            <v>$5000 / $10000</v>
          </cell>
          <cell r="CK864">
            <v>1</v>
          </cell>
          <cell r="CL864" t="str">
            <v>$5000 / $10000</v>
          </cell>
          <cell r="CM864" t="str">
            <v>N/A</v>
          </cell>
          <cell r="CN864" t="str">
            <v>N/A</v>
          </cell>
          <cell r="CO864" t="str">
            <v>N/A</v>
          </cell>
          <cell r="CP864" t="str">
            <v>Emb</v>
          </cell>
          <cell r="CS864" t="str">
            <v>INS</v>
          </cell>
          <cell r="CT864" t="str">
            <v>Navigate</v>
          </cell>
          <cell r="CU864">
            <v>0.58240000000000003</v>
          </cell>
          <cell r="CV864" t="str">
            <v>H9-HRA</v>
          </cell>
          <cell r="CW864" t="str">
            <v>NAVHRA14&amp;15</v>
          </cell>
          <cell r="CX864">
            <v>0.64239999999999997</v>
          </cell>
        </row>
        <row r="865">
          <cell r="CA865" t="str">
            <v>ANAQ</v>
          </cell>
          <cell r="CB865" t="str">
            <v>Navigate HRA</v>
          </cell>
          <cell r="CC865" t="str">
            <v>N/A</v>
          </cell>
          <cell r="CD865" t="str">
            <v>N/A</v>
          </cell>
          <cell r="CE865" t="str">
            <v>N/A</v>
          </cell>
          <cell r="CF865" t="str">
            <v>N/A</v>
          </cell>
          <cell r="CG865" t="str">
            <v>N/A</v>
          </cell>
          <cell r="CH865" t="str">
            <v>N/A</v>
          </cell>
          <cell r="CI865" t="str">
            <v>N/A</v>
          </cell>
          <cell r="CJ865" t="str">
            <v>$3000 / $6000</v>
          </cell>
          <cell r="CK865">
            <v>0.9</v>
          </cell>
          <cell r="CL865" t="str">
            <v>$4000 / $8000</v>
          </cell>
          <cell r="CM865" t="str">
            <v>N/A</v>
          </cell>
          <cell r="CN865" t="str">
            <v>N/A</v>
          </cell>
          <cell r="CO865" t="str">
            <v>N/A</v>
          </cell>
          <cell r="CP865" t="str">
            <v>Emb</v>
          </cell>
          <cell r="CS865" t="str">
            <v>INS</v>
          </cell>
          <cell r="CT865" t="str">
            <v>Navigate</v>
          </cell>
          <cell r="CU865">
            <v>0.64459999999999995</v>
          </cell>
          <cell r="CV865" t="str">
            <v>H9-HRA</v>
          </cell>
          <cell r="CW865" t="str">
            <v>NAVHRA14&amp;15</v>
          </cell>
          <cell r="CX865">
            <v>0.70779999999999998</v>
          </cell>
        </row>
        <row r="866">
          <cell r="CA866" t="str">
            <v>ANAR</v>
          </cell>
          <cell r="CB866" t="str">
            <v>Navigate HRA</v>
          </cell>
          <cell r="CC866" t="str">
            <v>N/A</v>
          </cell>
          <cell r="CD866" t="str">
            <v>N/A</v>
          </cell>
          <cell r="CE866" t="str">
            <v>N/A</v>
          </cell>
          <cell r="CF866" t="str">
            <v>N/A</v>
          </cell>
          <cell r="CG866" t="str">
            <v>N/A</v>
          </cell>
          <cell r="CH866" t="str">
            <v>N/A</v>
          </cell>
          <cell r="CI866" t="str">
            <v>N/A</v>
          </cell>
          <cell r="CJ866" t="str">
            <v>$2000 / $4000</v>
          </cell>
          <cell r="CK866">
            <v>0.8</v>
          </cell>
          <cell r="CL866" t="str">
            <v>$4000 / $8000</v>
          </cell>
          <cell r="CM866" t="str">
            <v>N/A</v>
          </cell>
          <cell r="CN866" t="str">
            <v>N/A</v>
          </cell>
          <cell r="CO866" t="str">
            <v>N/A</v>
          </cell>
          <cell r="CP866" t="str">
            <v>Emb</v>
          </cell>
          <cell r="CS866" t="str">
            <v>INS</v>
          </cell>
          <cell r="CT866" t="str">
            <v>Navigate</v>
          </cell>
          <cell r="CU866">
            <v>0.68189999999999995</v>
          </cell>
          <cell r="CV866" t="str">
            <v>H9-HRA</v>
          </cell>
          <cell r="CW866" t="str">
            <v>NAVHRA14&amp;15</v>
          </cell>
          <cell r="CX866">
            <v>0.73860000000000003</v>
          </cell>
        </row>
        <row r="867">
          <cell r="CA867" t="str">
            <v>ANAS</v>
          </cell>
          <cell r="CB867" t="str">
            <v>Navigate HRA</v>
          </cell>
          <cell r="CC867" t="str">
            <v>N/A</v>
          </cell>
          <cell r="CD867" t="str">
            <v>N/A</v>
          </cell>
          <cell r="CE867" t="str">
            <v>N/A</v>
          </cell>
          <cell r="CF867" t="str">
            <v>N/A</v>
          </cell>
          <cell r="CG867" t="str">
            <v>N/A</v>
          </cell>
          <cell r="CH867" t="str">
            <v>N/A</v>
          </cell>
          <cell r="CI867" t="str">
            <v>N/A</v>
          </cell>
          <cell r="CJ867" t="str">
            <v>$2000 / $4000</v>
          </cell>
          <cell r="CK867">
            <v>0.9</v>
          </cell>
          <cell r="CL867" t="str">
            <v>$4000 / $8000</v>
          </cell>
          <cell r="CM867" t="str">
            <v>N/A</v>
          </cell>
          <cell r="CN867" t="str">
            <v>N/A</v>
          </cell>
          <cell r="CO867" t="str">
            <v>N/A</v>
          </cell>
          <cell r="CP867" t="str">
            <v>Emb</v>
          </cell>
          <cell r="CS867" t="str">
            <v>INS</v>
          </cell>
          <cell r="CT867" t="str">
            <v>Navigate</v>
          </cell>
          <cell r="CU867">
            <v>0.59670000000000001</v>
          </cell>
          <cell r="CV867" t="str">
            <v/>
          </cell>
          <cell r="CW867" t="str">
            <v>NAVNHRA14&amp;15</v>
          </cell>
          <cell r="CX867">
            <v>0.58050000000000002</v>
          </cell>
        </row>
        <row r="868">
          <cell r="CA868" t="str">
            <v>ANAT</v>
          </cell>
          <cell r="CB868" t="str">
            <v>Navigate HRA</v>
          </cell>
          <cell r="CC868" t="str">
            <v>N/A</v>
          </cell>
          <cell r="CD868" t="str">
            <v>N/A</v>
          </cell>
          <cell r="CE868" t="str">
            <v>N/A</v>
          </cell>
          <cell r="CF868" t="str">
            <v>N/A</v>
          </cell>
          <cell r="CG868" t="str">
            <v>N/A</v>
          </cell>
          <cell r="CH868" t="str">
            <v>N/A</v>
          </cell>
          <cell r="CI868" t="str">
            <v>N/A</v>
          </cell>
          <cell r="CJ868" t="str">
            <v>$3000 / $6000</v>
          </cell>
          <cell r="CK868">
            <v>0.8</v>
          </cell>
          <cell r="CL868" t="str">
            <v>$4000 / $8000</v>
          </cell>
          <cell r="CM868" t="str">
            <v>N/A</v>
          </cell>
          <cell r="CN868" t="str">
            <v>N/A</v>
          </cell>
          <cell r="CO868" t="str">
            <v>N/A</v>
          </cell>
          <cell r="CP868" t="str">
            <v>Emb</v>
          </cell>
          <cell r="CS868" t="str">
            <v>INS</v>
          </cell>
          <cell r="CT868" t="str">
            <v>Navigate</v>
          </cell>
          <cell r="CU868">
            <v>0.6381</v>
          </cell>
          <cell r="CV868" t="str">
            <v>H9-HRA</v>
          </cell>
          <cell r="CW868" t="str">
            <v>NAVHRA14&amp;15</v>
          </cell>
          <cell r="CX868">
            <v>0.70379999999999998</v>
          </cell>
        </row>
        <row r="869">
          <cell r="CA869" t="str">
            <v>ANAU</v>
          </cell>
          <cell r="CB869" t="str">
            <v>Navigate HRA</v>
          </cell>
          <cell r="CC869" t="str">
            <v>N/A</v>
          </cell>
          <cell r="CD869" t="str">
            <v>N/A</v>
          </cell>
          <cell r="CE869" t="str">
            <v>N/A</v>
          </cell>
          <cell r="CF869" t="str">
            <v>N/A</v>
          </cell>
          <cell r="CG869" t="str">
            <v>N/A</v>
          </cell>
          <cell r="CH869" t="str">
            <v>N/A</v>
          </cell>
          <cell r="CI869" t="str">
            <v>N/A</v>
          </cell>
          <cell r="CJ869" t="str">
            <v>$2500 / $5000</v>
          </cell>
          <cell r="CK869">
            <v>0.8</v>
          </cell>
          <cell r="CL869" t="str">
            <v>$5000 / $10000</v>
          </cell>
          <cell r="CM869" t="str">
            <v>N/A</v>
          </cell>
          <cell r="CN869" t="str">
            <v>N/A</v>
          </cell>
          <cell r="CO869" t="str">
            <v>N/A</v>
          </cell>
          <cell r="CP869" t="str">
            <v>Emb</v>
          </cell>
          <cell r="CS869" t="str">
            <v>INS</v>
          </cell>
          <cell r="CT869" t="str">
            <v>Navigate</v>
          </cell>
          <cell r="CU869">
            <v>0.63009999999999999</v>
          </cell>
          <cell r="CV869" t="str">
            <v>H9-HRA</v>
          </cell>
          <cell r="CW869" t="str">
            <v>NAVHRA14&amp;15</v>
          </cell>
          <cell r="CX869">
            <v>0.70230000000000004</v>
          </cell>
        </row>
        <row r="870">
          <cell r="CA870" t="str">
            <v>ANAV</v>
          </cell>
          <cell r="CB870" t="str">
            <v>Navigate HRA</v>
          </cell>
          <cell r="CC870" t="str">
            <v>N/A</v>
          </cell>
          <cell r="CD870" t="str">
            <v>N/A</v>
          </cell>
          <cell r="CE870" t="str">
            <v>N/A</v>
          </cell>
          <cell r="CF870" t="str">
            <v>N/A</v>
          </cell>
          <cell r="CG870" t="str">
            <v>N/A</v>
          </cell>
          <cell r="CH870" t="str">
            <v>N/A</v>
          </cell>
          <cell r="CI870" t="str">
            <v>N/A</v>
          </cell>
          <cell r="CJ870" t="str">
            <v>$3000 / $6000</v>
          </cell>
          <cell r="CK870">
            <v>0.9</v>
          </cell>
          <cell r="CL870" t="str">
            <v>$5000 / $10000</v>
          </cell>
          <cell r="CM870" t="str">
            <v>N/A</v>
          </cell>
          <cell r="CN870" t="str">
            <v>N/A</v>
          </cell>
          <cell r="CO870" t="str">
            <v>N/A</v>
          </cell>
          <cell r="CP870" t="str">
            <v>Emb</v>
          </cell>
          <cell r="CS870" t="str">
            <v>INS</v>
          </cell>
          <cell r="CT870" t="str">
            <v>Navigate</v>
          </cell>
          <cell r="CU870">
            <v>0.62429999999999997</v>
          </cell>
          <cell r="CV870" t="str">
            <v>H9-HRA</v>
          </cell>
          <cell r="CW870" t="str">
            <v>NAVHRA14&amp;15</v>
          </cell>
          <cell r="CX870">
            <v>0.69389999999999996</v>
          </cell>
        </row>
        <row r="871">
          <cell r="CA871" t="str">
            <v>ANAY</v>
          </cell>
          <cell r="CB871" t="str">
            <v>Navigate HSA</v>
          </cell>
          <cell r="CC871" t="str">
            <v>N/A</v>
          </cell>
          <cell r="CD871" t="str">
            <v>N/A</v>
          </cell>
          <cell r="CE871" t="str">
            <v>N/A</v>
          </cell>
          <cell r="CF871" t="str">
            <v>N/A</v>
          </cell>
          <cell r="CG871" t="str">
            <v>N/A</v>
          </cell>
          <cell r="CH871" t="str">
            <v>N/A</v>
          </cell>
          <cell r="CI871" t="str">
            <v>N/A</v>
          </cell>
          <cell r="CJ871" t="str">
            <v>$3000 / $6000</v>
          </cell>
          <cell r="CK871">
            <v>1</v>
          </cell>
          <cell r="CL871" t="str">
            <v>$4000 / $8000</v>
          </cell>
          <cell r="CM871" t="str">
            <v>N/A</v>
          </cell>
          <cell r="CN871" t="str">
            <v>N/A</v>
          </cell>
          <cell r="CO871" t="str">
            <v>N/A</v>
          </cell>
          <cell r="CP871" t="str">
            <v>Emb</v>
          </cell>
          <cell r="CS871" t="str">
            <v>INS</v>
          </cell>
          <cell r="CT871" t="str">
            <v>Navigate</v>
          </cell>
          <cell r="CU871">
            <v>0.70879999999999999</v>
          </cell>
          <cell r="CV871" t="str">
            <v>H9-HSA</v>
          </cell>
          <cell r="CW871" t="str">
            <v>NAVHSA14&amp;15</v>
          </cell>
          <cell r="CX871">
            <v>0.71699999999999997</v>
          </cell>
        </row>
        <row r="872">
          <cell r="CA872" t="str">
            <v>ANB1</v>
          </cell>
          <cell r="CB872" t="str">
            <v>Navigate</v>
          </cell>
          <cell r="CC872">
            <v>20</v>
          </cell>
          <cell r="CD872">
            <v>20</v>
          </cell>
          <cell r="CE872" t="str">
            <v>N/A</v>
          </cell>
          <cell r="CF872" t="str">
            <v>N/A</v>
          </cell>
          <cell r="CG872">
            <v>20</v>
          </cell>
          <cell r="CH872" t="str">
            <v>$100 POD</v>
          </cell>
          <cell r="CI872" t="str">
            <v>N/A</v>
          </cell>
          <cell r="CJ872" t="str">
            <v>$200 / $400</v>
          </cell>
          <cell r="CK872">
            <v>0.9</v>
          </cell>
          <cell r="CL872" t="str">
            <v>$2200 / $4400</v>
          </cell>
          <cell r="CM872" t="str">
            <v>N/A</v>
          </cell>
          <cell r="CN872" t="str">
            <v>N/A</v>
          </cell>
          <cell r="CO872" t="str">
            <v>N/A</v>
          </cell>
          <cell r="CP872" t="str">
            <v>Emb</v>
          </cell>
          <cell r="CS872" t="str">
            <v>INS</v>
          </cell>
          <cell r="CT872" t="str">
            <v>Navigate</v>
          </cell>
          <cell r="CU872">
            <v>0.84119999999999995</v>
          </cell>
          <cell r="CV872" t="str">
            <v/>
          </cell>
          <cell r="CW872" t="str">
            <v>NAV14&amp;15</v>
          </cell>
          <cell r="CX872">
            <v>0.70020000000000004</v>
          </cell>
        </row>
        <row r="873">
          <cell r="CA873" t="str">
            <v>ANB2</v>
          </cell>
          <cell r="CB873" t="str">
            <v>Navigate</v>
          </cell>
          <cell r="CC873">
            <v>10</v>
          </cell>
          <cell r="CD873">
            <v>10</v>
          </cell>
          <cell r="CE873" t="str">
            <v>N/A</v>
          </cell>
          <cell r="CF873" t="str">
            <v>N/A</v>
          </cell>
          <cell r="CG873">
            <v>10</v>
          </cell>
          <cell r="CH873" t="str">
            <v>$100 POD</v>
          </cell>
          <cell r="CI873" t="str">
            <v>N/A</v>
          </cell>
          <cell r="CJ873" t="str">
            <v>$250 / $500</v>
          </cell>
          <cell r="CK873">
            <v>0.9</v>
          </cell>
          <cell r="CL873" t="str">
            <v>$1750 / $3500</v>
          </cell>
          <cell r="CM873" t="str">
            <v>N/A</v>
          </cell>
          <cell r="CN873" t="str">
            <v>N/A</v>
          </cell>
          <cell r="CO873" t="str">
            <v>N/A</v>
          </cell>
          <cell r="CP873" t="str">
            <v>Emb</v>
          </cell>
          <cell r="CS873" t="str">
            <v>INS</v>
          </cell>
          <cell r="CT873" t="str">
            <v>Navigate</v>
          </cell>
          <cell r="CU873">
            <v>0.86299999999999999</v>
          </cell>
          <cell r="CV873" t="str">
            <v/>
          </cell>
          <cell r="CW873" t="str">
            <v>NAV14&amp;15</v>
          </cell>
          <cell r="CX873">
            <v>0.71260000000000001</v>
          </cell>
        </row>
        <row r="874">
          <cell r="CA874" t="str">
            <v>ANB3</v>
          </cell>
          <cell r="CB874" t="str">
            <v>Navigate</v>
          </cell>
          <cell r="CC874">
            <v>25</v>
          </cell>
          <cell r="CD874">
            <v>25</v>
          </cell>
          <cell r="CE874" t="str">
            <v>N/A</v>
          </cell>
          <cell r="CF874" t="str">
            <v>N/A</v>
          </cell>
          <cell r="CG874">
            <v>25</v>
          </cell>
          <cell r="CH874" t="str">
            <v>$100 POD</v>
          </cell>
          <cell r="CI874" t="str">
            <v>N/A</v>
          </cell>
          <cell r="CJ874" t="str">
            <v>$250 / $500</v>
          </cell>
          <cell r="CK874">
            <v>0.9</v>
          </cell>
          <cell r="CL874" t="str">
            <v>$3250 / $6500</v>
          </cell>
          <cell r="CM874" t="str">
            <v>N/A</v>
          </cell>
          <cell r="CN874" t="str">
            <v>N/A</v>
          </cell>
          <cell r="CO874" t="str">
            <v>N/A</v>
          </cell>
          <cell r="CP874" t="str">
            <v>Emb</v>
          </cell>
          <cell r="CS874" t="str">
            <v>INS</v>
          </cell>
          <cell r="CT874" t="str">
            <v>Navigate</v>
          </cell>
          <cell r="CU874">
            <v>0.81020000000000003</v>
          </cell>
          <cell r="CV874" t="str">
            <v/>
          </cell>
          <cell r="CW874" t="str">
            <v>NAV14&amp;15</v>
          </cell>
          <cell r="CX874">
            <v>0.68689999999999996</v>
          </cell>
        </row>
        <row r="875">
          <cell r="CA875" t="str">
            <v>ANB4</v>
          </cell>
          <cell r="CB875" t="str">
            <v>Navigate</v>
          </cell>
          <cell r="CC875">
            <v>15</v>
          </cell>
          <cell r="CD875">
            <v>15</v>
          </cell>
          <cell r="CE875" t="str">
            <v>N/A</v>
          </cell>
          <cell r="CF875" t="str">
            <v>$100 POD</v>
          </cell>
          <cell r="CG875">
            <v>15</v>
          </cell>
          <cell r="CH875" t="str">
            <v>$100 POD</v>
          </cell>
          <cell r="CI875" t="str">
            <v>N/A</v>
          </cell>
          <cell r="CJ875" t="str">
            <v>$500 / $1000</v>
          </cell>
          <cell r="CK875">
            <v>0.9</v>
          </cell>
          <cell r="CL875" t="str">
            <v>$2500 / $5000</v>
          </cell>
          <cell r="CM875" t="str">
            <v>N/A</v>
          </cell>
          <cell r="CN875" t="str">
            <v>N/A</v>
          </cell>
          <cell r="CO875" t="str">
            <v>N/A</v>
          </cell>
          <cell r="CP875" t="str">
            <v>Emb</v>
          </cell>
          <cell r="CS875" t="str">
            <v>INS</v>
          </cell>
          <cell r="CT875" t="str">
            <v>Navigate</v>
          </cell>
          <cell r="CU875">
            <v>0.81399999999999995</v>
          </cell>
          <cell r="CV875" t="str">
            <v/>
          </cell>
          <cell r="CW875" t="str">
            <v>NAV14&amp;15</v>
          </cell>
          <cell r="CX875">
            <v>0.69069999999999998</v>
          </cell>
        </row>
        <row r="876">
          <cell r="CA876" t="str">
            <v>ANB5</v>
          </cell>
          <cell r="CB876" t="str">
            <v>Navigate</v>
          </cell>
          <cell r="CC876">
            <v>20</v>
          </cell>
          <cell r="CD876">
            <v>20</v>
          </cell>
          <cell r="CE876" t="str">
            <v>N/A</v>
          </cell>
          <cell r="CF876" t="str">
            <v>$100 POD</v>
          </cell>
          <cell r="CG876">
            <v>20</v>
          </cell>
          <cell r="CH876" t="str">
            <v>$100 POD</v>
          </cell>
          <cell r="CI876" t="str">
            <v>N/A</v>
          </cell>
          <cell r="CJ876" t="str">
            <v>$500 / $1000</v>
          </cell>
          <cell r="CK876">
            <v>0.8</v>
          </cell>
          <cell r="CL876" t="str">
            <v>$2500 / $5000</v>
          </cell>
          <cell r="CM876" t="str">
            <v>N/A</v>
          </cell>
          <cell r="CN876" t="str">
            <v>N/A</v>
          </cell>
          <cell r="CO876" t="str">
            <v>N/A</v>
          </cell>
          <cell r="CP876" t="str">
            <v>Emb</v>
          </cell>
          <cell r="CS876" t="str">
            <v>INS</v>
          </cell>
          <cell r="CT876" t="str">
            <v>Navigate</v>
          </cell>
          <cell r="CU876">
            <v>0.78169999999999995</v>
          </cell>
          <cell r="CV876" t="str">
            <v/>
          </cell>
          <cell r="CW876" t="str">
            <v>NAV14&amp;15</v>
          </cell>
          <cell r="CX876">
            <v>0.67249999999999999</v>
          </cell>
        </row>
        <row r="877">
          <cell r="CA877" t="str">
            <v>ANB6</v>
          </cell>
          <cell r="CB877" t="str">
            <v>Navigate</v>
          </cell>
          <cell r="CC877">
            <v>30</v>
          </cell>
          <cell r="CD877">
            <v>30</v>
          </cell>
          <cell r="CE877" t="str">
            <v>N/A</v>
          </cell>
          <cell r="CF877" t="str">
            <v>N/A</v>
          </cell>
          <cell r="CG877">
            <v>30</v>
          </cell>
          <cell r="CH877" t="str">
            <v>$100 POD</v>
          </cell>
          <cell r="CI877" t="str">
            <v>N/A</v>
          </cell>
          <cell r="CJ877" t="str">
            <v>$500 / $1000</v>
          </cell>
          <cell r="CK877">
            <v>0.9</v>
          </cell>
          <cell r="CL877" t="str">
            <v>$3500 / $7000</v>
          </cell>
          <cell r="CM877" t="str">
            <v>N/A</v>
          </cell>
          <cell r="CN877" t="str">
            <v>N/A</v>
          </cell>
          <cell r="CO877" t="str">
            <v>N/A</v>
          </cell>
          <cell r="CP877" t="str">
            <v>Emb</v>
          </cell>
          <cell r="CS877" t="str">
            <v>INS</v>
          </cell>
          <cell r="CT877" t="str">
            <v>Navigate</v>
          </cell>
          <cell r="CU877">
            <v>0.77400000000000002</v>
          </cell>
          <cell r="CV877" t="str">
            <v/>
          </cell>
          <cell r="CW877" t="str">
            <v>NAV14&amp;15</v>
          </cell>
          <cell r="CX877">
            <v>0.6673</v>
          </cell>
        </row>
        <row r="878">
          <cell r="CA878" t="str">
            <v>ANB7</v>
          </cell>
          <cell r="CB878" t="str">
            <v>Navigate</v>
          </cell>
          <cell r="CC878">
            <v>35</v>
          </cell>
          <cell r="CD878">
            <v>35</v>
          </cell>
          <cell r="CE878" t="str">
            <v>N/A</v>
          </cell>
          <cell r="CF878" t="str">
            <v>N/A</v>
          </cell>
          <cell r="CG878">
            <v>35</v>
          </cell>
          <cell r="CH878" t="str">
            <v>$100 POD</v>
          </cell>
          <cell r="CI878" t="str">
            <v>N/A</v>
          </cell>
          <cell r="CJ878" t="str">
            <v>$500 / $1000</v>
          </cell>
          <cell r="CK878">
            <v>0.8</v>
          </cell>
          <cell r="CL878" t="str">
            <v>$3500 / $7000</v>
          </cell>
          <cell r="CM878" t="str">
            <v>N/A</v>
          </cell>
          <cell r="CN878" t="str">
            <v>N/A</v>
          </cell>
          <cell r="CO878" t="str">
            <v>N/A</v>
          </cell>
          <cell r="CP878" t="str">
            <v>Emb</v>
          </cell>
          <cell r="CS878" t="str">
            <v>INS</v>
          </cell>
          <cell r="CT878" t="str">
            <v>Navigate</v>
          </cell>
          <cell r="CU878">
            <v>0.73089999999999999</v>
          </cell>
          <cell r="CV878" t="str">
            <v/>
          </cell>
          <cell r="CW878" t="str">
            <v>NAV14&amp;15</v>
          </cell>
          <cell r="CX878">
            <v>0.64580000000000004</v>
          </cell>
        </row>
        <row r="879">
          <cell r="CA879" t="str">
            <v>ANB8</v>
          </cell>
          <cell r="CB879" t="str">
            <v>Navigate</v>
          </cell>
          <cell r="CC879">
            <v>25</v>
          </cell>
          <cell r="CD879">
            <v>25</v>
          </cell>
          <cell r="CE879" t="str">
            <v>N/A</v>
          </cell>
          <cell r="CF879" t="str">
            <v>$100 POD</v>
          </cell>
          <cell r="CG879">
            <v>25</v>
          </cell>
          <cell r="CH879" t="str">
            <v>$100 POD</v>
          </cell>
          <cell r="CI879" t="str">
            <v>N/A</v>
          </cell>
          <cell r="CJ879" t="str">
            <v>$750 / $1500</v>
          </cell>
          <cell r="CK879">
            <v>0.8</v>
          </cell>
          <cell r="CL879" t="str">
            <v>$4700 / $9500</v>
          </cell>
          <cell r="CM879" t="str">
            <v>N/A</v>
          </cell>
          <cell r="CN879" t="str">
            <v>N/A</v>
          </cell>
          <cell r="CO879" t="str">
            <v>N/A</v>
          </cell>
          <cell r="CP879" t="str">
            <v>Emb</v>
          </cell>
          <cell r="CS879" t="str">
            <v>INS</v>
          </cell>
          <cell r="CT879" t="str">
            <v>Navigate</v>
          </cell>
          <cell r="CU879">
            <v>0.70909999999999995</v>
          </cell>
          <cell r="CV879" t="str">
            <v/>
          </cell>
          <cell r="CW879" t="str">
            <v>NAV14&amp;15</v>
          </cell>
          <cell r="CX879">
            <v>0.64429999999999998</v>
          </cell>
        </row>
        <row r="880">
          <cell r="CA880" t="str">
            <v>ANB9</v>
          </cell>
          <cell r="CB880" t="str">
            <v>Navigate</v>
          </cell>
          <cell r="CC880">
            <v>20</v>
          </cell>
          <cell r="CD880">
            <v>35</v>
          </cell>
          <cell r="CE880" t="str">
            <v>N/A</v>
          </cell>
          <cell r="CF880" t="str">
            <v>N/A</v>
          </cell>
          <cell r="CG880">
            <v>35</v>
          </cell>
          <cell r="CH880" t="str">
            <v>$100 POD</v>
          </cell>
          <cell r="CI880" t="str">
            <v>N/A</v>
          </cell>
          <cell r="CJ880" t="str">
            <v>$750 / $1500</v>
          </cell>
          <cell r="CK880">
            <v>0.8</v>
          </cell>
          <cell r="CL880" t="str">
            <v>$6350 / $12700</v>
          </cell>
          <cell r="CM880" t="str">
            <v>N/A</v>
          </cell>
          <cell r="CN880" t="str">
            <v>N/A</v>
          </cell>
          <cell r="CO880" t="str">
            <v>N/A</v>
          </cell>
          <cell r="CP880" t="str">
            <v>Emb</v>
          </cell>
          <cell r="CS880" t="str">
            <v>INS</v>
          </cell>
          <cell r="CT880" t="str">
            <v>Navigate</v>
          </cell>
          <cell r="CU880">
            <v>0.69320000000000004</v>
          </cell>
          <cell r="CV880" t="str">
            <v/>
          </cell>
          <cell r="CW880" t="str">
            <v>NAV14&amp;15</v>
          </cell>
          <cell r="CX880">
            <v>0.63429999999999997</v>
          </cell>
        </row>
        <row r="881">
          <cell r="CA881" t="str">
            <v>ANBA</v>
          </cell>
          <cell r="CB881" t="str">
            <v>Navigate</v>
          </cell>
          <cell r="CC881">
            <v>35</v>
          </cell>
          <cell r="CD881">
            <v>35</v>
          </cell>
          <cell r="CE881" t="str">
            <v>N/A</v>
          </cell>
          <cell r="CF881" t="str">
            <v>$100 POD</v>
          </cell>
          <cell r="CG881">
            <v>35</v>
          </cell>
          <cell r="CH881" t="str">
            <v>$100 POD</v>
          </cell>
          <cell r="CI881" t="str">
            <v>N/A</v>
          </cell>
          <cell r="CJ881" t="str">
            <v>$1000 / $2000</v>
          </cell>
          <cell r="CK881">
            <v>0.8</v>
          </cell>
          <cell r="CL881" t="str">
            <v>$5000 / $10000</v>
          </cell>
          <cell r="CM881" t="str">
            <v>N/A</v>
          </cell>
          <cell r="CN881" t="str">
            <v>N/A</v>
          </cell>
          <cell r="CO881" t="str">
            <v>N/A</v>
          </cell>
          <cell r="CP881" t="str">
            <v>Emb</v>
          </cell>
          <cell r="CS881" t="str">
            <v>INS</v>
          </cell>
          <cell r="CT881" t="str">
            <v>Navigate</v>
          </cell>
          <cell r="CU881">
            <v>0.68189999999999995</v>
          </cell>
          <cell r="CV881" t="str">
            <v/>
          </cell>
          <cell r="CW881" t="str">
            <v>NAV14&amp;15</v>
          </cell>
          <cell r="CX881">
            <v>0.62290000000000001</v>
          </cell>
        </row>
        <row r="882">
          <cell r="CA882" t="str">
            <v>ANBB</v>
          </cell>
          <cell r="CB882" t="str">
            <v>Navigate</v>
          </cell>
          <cell r="CC882">
            <v>35</v>
          </cell>
          <cell r="CD882">
            <v>50</v>
          </cell>
          <cell r="CE882" t="str">
            <v>N/A</v>
          </cell>
          <cell r="CF882" t="str">
            <v>N/A</v>
          </cell>
          <cell r="CG882">
            <v>50</v>
          </cell>
          <cell r="CH882" t="str">
            <v>$150 POD</v>
          </cell>
          <cell r="CI882" t="str">
            <v>N/A</v>
          </cell>
          <cell r="CJ882" t="str">
            <v>$1250 / $2500</v>
          </cell>
          <cell r="CK882">
            <v>0.7</v>
          </cell>
          <cell r="CL882" t="str">
            <v>$6350 / $12700</v>
          </cell>
          <cell r="CM882" t="str">
            <v>N/A</v>
          </cell>
          <cell r="CN882" t="str">
            <v>N/A</v>
          </cell>
          <cell r="CO882" t="str">
            <v>N/A</v>
          </cell>
          <cell r="CP882" t="str">
            <v>Emb</v>
          </cell>
          <cell r="CS882" t="str">
            <v>INS</v>
          </cell>
          <cell r="CT882" t="str">
            <v>Navigate</v>
          </cell>
          <cell r="CU882">
            <v>0.62580000000000002</v>
          </cell>
          <cell r="CV882" t="str">
            <v/>
          </cell>
          <cell r="CW882" t="str">
            <v>NAV14&amp;15</v>
          </cell>
          <cell r="CX882">
            <v>0.58689999999999998</v>
          </cell>
        </row>
        <row r="883">
          <cell r="CA883" t="str">
            <v>ANBC</v>
          </cell>
          <cell r="CB883" t="str">
            <v>Navigate</v>
          </cell>
          <cell r="CC883">
            <v>15</v>
          </cell>
          <cell r="CD883">
            <v>15</v>
          </cell>
          <cell r="CE883" t="str">
            <v>N/A</v>
          </cell>
          <cell r="CF883" t="str">
            <v>$100 POD</v>
          </cell>
          <cell r="CG883">
            <v>15</v>
          </cell>
          <cell r="CH883" t="str">
            <v>$300 POD</v>
          </cell>
          <cell r="CI883" t="str">
            <v>N/A</v>
          </cell>
          <cell r="CJ883" t="str">
            <v>$1500 / $3000</v>
          </cell>
          <cell r="CK883">
            <v>0.8</v>
          </cell>
          <cell r="CL883" t="str">
            <v>$4500 / $9000</v>
          </cell>
          <cell r="CM883" t="str">
            <v>N/A</v>
          </cell>
          <cell r="CN883" t="str">
            <v>N/A</v>
          </cell>
          <cell r="CO883" t="str">
            <v>N/A</v>
          </cell>
          <cell r="CP883" t="str">
            <v>Emb</v>
          </cell>
          <cell r="CS883" t="str">
            <v>INS</v>
          </cell>
          <cell r="CT883" t="str">
            <v>Navigate</v>
          </cell>
          <cell r="CU883">
            <v>0.68710000000000004</v>
          </cell>
          <cell r="CV883" t="str">
            <v/>
          </cell>
          <cell r="CW883" t="str">
            <v>NAV14&amp;15</v>
          </cell>
          <cell r="CX883">
            <v>0.63839999999999997</v>
          </cell>
        </row>
        <row r="884">
          <cell r="CA884" t="str">
            <v>ANBD</v>
          </cell>
          <cell r="CB884" t="str">
            <v>Navigate</v>
          </cell>
          <cell r="CC884">
            <v>20</v>
          </cell>
          <cell r="CD884">
            <v>20</v>
          </cell>
          <cell r="CE884" t="str">
            <v>N/A</v>
          </cell>
          <cell r="CF884" t="str">
            <v>$100 POD</v>
          </cell>
          <cell r="CG884">
            <v>20</v>
          </cell>
          <cell r="CH884" t="str">
            <v>$100 POD</v>
          </cell>
          <cell r="CI884" t="str">
            <v>N/A</v>
          </cell>
          <cell r="CJ884" t="str">
            <v>$2000 / $4000</v>
          </cell>
          <cell r="CK884">
            <v>0.8</v>
          </cell>
          <cell r="CL884" t="str">
            <v>$5500 / $11000</v>
          </cell>
          <cell r="CM884" t="str">
            <v>N/A</v>
          </cell>
          <cell r="CN884" t="str">
            <v>N/A</v>
          </cell>
          <cell r="CO884" t="str">
            <v>N/A</v>
          </cell>
          <cell r="CP884" t="str">
            <v>Emb</v>
          </cell>
          <cell r="CS884" t="str">
            <v>INS</v>
          </cell>
          <cell r="CT884" t="str">
            <v>Navigate</v>
          </cell>
          <cell r="CU884">
            <v>0.65349999999999997</v>
          </cell>
          <cell r="CV884" t="str">
            <v/>
          </cell>
          <cell r="CW884" t="str">
            <v>NAV14&amp;15</v>
          </cell>
          <cell r="CX884">
            <v>0.62060000000000004</v>
          </cell>
        </row>
        <row r="885">
          <cell r="CA885" t="str">
            <v>ANBE</v>
          </cell>
          <cell r="CB885" t="str">
            <v>Navigate</v>
          </cell>
          <cell r="CC885">
            <v>25</v>
          </cell>
          <cell r="CD885">
            <v>25</v>
          </cell>
          <cell r="CE885" t="str">
            <v>N/A</v>
          </cell>
          <cell r="CF885" t="str">
            <v>$100 POD</v>
          </cell>
          <cell r="CG885">
            <v>25</v>
          </cell>
          <cell r="CH885" t="str">
            <v>$100 POD</v>
          </cell>
          <cell r="CI885" t="str">
            <v>N/A</v>
          </cell>
          <cell r="CJ885" t="str">
            <v>$2500 / $5000</v>
          </cell>
          <cell r="CK885">
            <v>0.8</v>
          </cell>
          <cell r="CL885" t="str">
            <v>$6350 / $12700</v>
          </cell>
          <cell r="CM885" t="str">
            <v>N/A</v>
          </cell>
          <cell r="CN885" t="str">
            <v>N/A</v>
          </cell>
          <cell r="CO885" t="str">
            <v>N/A</v>
          </cell>
          <cell r="CP885" t="str">
            <v>Emb</v>
          </cell>
          <cell r="CS885" t="str">
            <v>INS</v>
          </cell>
          <cell r="CT885" t="str">
            <v>Navigate</v>
          </cell>
          <cell r="CU885">
            <v>0.62119999999999997</v>
          </cell>
          <cell r="CV885" t="str">
            <v/>
          </cell>
          <cell r="CW885" t="str">
            <v>NAV14&amp;15</v>
          </cell>
          <cell r="CX885">
            <v>0.60319999999999996</v>
          </cell>
        </row>
        <row r="886">
          <cell r="CA886" t="str">
            <v>ANBF</v>
          </cell>
          <cell r="CB886" t="str">
            <v>Navigate</v>
          </cell>
          <cell r="CC886">
            <v>30</v>
          </cell>
          <cell r="CD886">
            <v>30</v>
          </cell>
          <cell r="CE886" t="str">
            <v>N/A</v>
          </cell>
          <cell r="CF886" t="str">
            <v>$100 POD</v>
          </cell>
          <cell r="CG886">
            <v>30</v>
          </cell>
          <cell r="CH886" t="str">
            <v>$100 POD</v>
          </cell>
          <cell r="CI886" t="str">
            <v>N/A</v>
          </cell>
          <cell r="CJ886" t="str">
            <v>$3000 / $6000</v>
          </cell>
          <cell r="CK886">
            <v>0.8</v>
          </cell>
          <cell r="CL886" t="str">
            <v>$6350 / $12700</v>
          </cell>
          <cell r="CM886" t="str">
            <v>N/A</v>
          </cell>
          <cell r="CN886" t="str">
            <v>N/A</v>
          </cell>
          <cell r="CO886" t="str">
            <v>N/A</v>
          </cell>
          <cell r="CP886" t="str">
            <v>Emb</v>
          </cell>
          <cell r="CS886" t="str">
            <v>INS</v>
          </cell>
          <cell r="CT886" t="str">
            <v>Navigate</v>
          </cell>
          <cell r="CU886">
            <v>0.6028</v>
          </cell>
          <cell r="CV886" t="str">
            <v/>
          </cell>
          <cell r="CW886" t="str">
            <v>NAV14&amp;15</v>
          </cell>
          <cell r="CX886">
            <v>0.59050000000000002</v>
          </cell>
        </row>
        <row r="887">
          <cell r="CA887" t="str">
            <v>ANBG</v>
          </cell>
          <cell r="CB887" t="str">
            <v>Navigate</v>
          </cell>
          <cell r="CC887">
            <v>35</v>
          </cell>
          <cell r="CD887">
            <v>35</v>
          </cell>
          <cell r="CE887" t="str">
            <v>N/A</v>
          </cell>
          <cell r="CF887" t="str">
            <v>$100 POD</v>
          </cell>
          <cell r="CG887">
            <v>35</v>
          </cell>
          <cell r="CH887" t="str">
            <v>$100 POD</v>
          </cell>
          <cell r="CI887" t="str">
            <v>N/A</v>
          </cell>
          <cell r="CJ887" t="str">
            <v>$3500 / $7000</v>
          </cell>
          <cell r="CK887">
            <v>0.8</v>
          </cell>
          <cell r="CL887" t="str">
            <v>$6350 / $12700</v>
          </cell>
          <cell r="CM887" t="str">
            <v>N/A</v>
          </cell>
          <cell r="CN887" t="str">
            <v>N/A</v>
          </cell>
          <cell r="CO887" t="str">
            <v>N/A</v>
          </cell>
          <cell r="CP887" t="str">
            <v>Emb</v>
          </cell>
          <cell r="CS887" t="str">
            <v>INS</v>
          </cell>
          <cell r="CT887" t="str">
            <v>Navigate</v>
          </cell>
          <cell r="CU887">
            <v>0.58599999999999997</v>
          </cell>
          <cell r="CV887" t="str">
            <v/>
          </cell>
          <cell r="CW887" t="str">
            <v>NAV14&amp;15</v>
          </cell>
          <cell r="CX887">
            <v>0.57940000000000003</v>
          </cell>
        </row>
        <row r="888">
          <cell r="CA888" t="str">
            <v>ANBH</v>
          </cell>
          <cell r="CB888" t="str">
            <v>Navigate</v>
          </cell>
          <cell r="CC888">
            <v>40</v>
          </cell>
          <cell r="CD888">
            <v>40</v>
          </cell>
          <cell r="CE888" t="str">
            <v>N/A</v>
          </cell>
          <cell r="CF888" t="str">
            <v>$100 POD</v>
          </cell>
          <cell r="CG888">
            <v>40</v>
          </cell>
          <cell r="CH888" t="str">
            <v>$100 POD</v>
          </cell>
          <cell r="CI888" t="str">
            <v>N/A</v>
          </cell>
          <cell r="CJ888" t="str">
            <v>$4000 / $8000</v>
          </cell>
          <cell r="CK888">
            <v>0.8</v>
          </cell>
          <cell r="CL888" t="str">
            <v>$6350 / $12700</v>
          </cell>
          <cell r="CM888" t="str">
            <v>N/A</v>
          </cell>
          <cell r="CN888" t="str">
            <v>N/A</v>
          </cell>
          <cell r="CO888" t="str">
            <v>N/A</v>
          </cell>
          <cell r="CP888" t="str">
            <v>Emb</v>
          </cell>
          <cell r="CS888" t="str">
            <v>INS</v>
          </cell>
          <cell r="CT888" t="str">
            <v>Navigate</v>
          </cell>
          <cell r="CU888">
            <v>0.57250000000000001</v>
          </cell>
          <cell r="CV888" t="str">
            <v/>
          </cell>
          <cell r="CW888" t="str">
            <v>NAV14&amp;15</v>
          </cell>
          <cell r="CX888">
            <v>0.5696</v>
          </cell>
        </row>
        <row r="889">
          <cell r="CA889" t="str">
            <v>ANBI</v>
          </cell>
          <cell r="CB889" t="str">
            <v>Navigate</v>
          </cell>
          <cell r="CC889" t="str">
            <v>N/A</v>
          </cell>
          <cell r="CD889" t="str">
            <v>N/A</v>
          </cell>
          <cell r="CE889" t="str">
            <v>N/A</v>
          </cell>
          <cell r="CF889" t="str">
            <v>$100 POD</v>
          </cell>
          <cell r="CG889" t="str">
            <v>N/A</v>
          </cell>
          <cell r="CH889" t="str">
            <v>$100 POD</v>
          </cell>
          <cell r="CI889" t="str">
            <v>N/A</v>
          </cell>
          <cell r="CJ889" t="str">
            <v>$5500 / $11000</v>
          </cell>
          <cell r="CK889">
            <v>0.8</v>
          </cell>
          <cell r="CL889" t="str">
            <v>$6350 / $12700</v>
          </cell>
          <cell r="CM889" t="str">
            <v>N/A</v>
          </cell>
          <cell r="CN889" t="str">
            <v>N/A</v>
          </cell>
          <cell r="CO889" t="str">
            <v>N/A</v>
          </cell>
          <cell r="CP889" t="str">
            <v>Emb</v>
          </cell>
          <cell r="CS889" t="str">
            <v>INS</v>
          </cell>
          <cell r="CT889" t="str">
            <v>Navigate</v>
          </cell>
          <cell r="CU889">
            <v>0.49669999999999997</v>
          </cell>
          <cell r="CV889" t="str">
            <v/>
          </cell>
          <cell r="CW889" t="str">
            <v>NAV14&amp;15</v>
          </cell>
          <cell r="CX889">
            <v>0.49399999999999999</v>
          </cell>
        </row>
        <row r="890">
          <cell r="CA890" t="str">
            <v>ANBJ</v>
          </cell>
          <cell r="CB890" t="str">
            <v>Navigate</v>
          </cell>
          <cell r="CC890">
            <v>35</v>
          </cell>
          <cell r="CD890">
            <v>35</v>
          </cell>
          <cell r="CE890" t="str">
            <v>N/A</v>
          </cell>
          <cell r="CF890" t="str">
            <v>N/A</v>
          </cell>
          <cell r="CG890" t="str">
            <v>N/A</v>
          </cell>
          <cell r="CH890" t="str">
            <v>N/A</v>
          </cell>
          <cell r="CI890" t="str">
            <v>N/A</v>
          </cell>
          <cell r="CJ890" t="str">
            <v>$5900 / $11800</v>
          </cell>
          <cell r="CK890">
            <v>1</v>
          </cell>
          <cell r="CL890" t="str">
            <v>$6350 / $12700</v>
          </cell>
          <cell r="CM890" t="str">
            <v>N/A</v>
          </cell>
          <cell r="CN890" t="str">
            <v>N/A</v>
          </cell>
          <cell r="CO890" t="str">
            <v>N/A</v>
          </cell>
          <cell r="CP890" t="str">
            <v>Emb</v>
          </cell>
          <cell r="CS890" t="str">
            <v>INS</v>
          </cell>
          <cell r="CT890" t="str">
            <v>Navigate</v>
          </cell>
          <cell r="CU890">
            <v>0.5635</v>
          </cell>
          <cell r="CV890" t="str">
            <v/>
          </cell>
          <cell r="CW890" t="str">
            <v>NAV14&amp;15</v>
          </cell>
          <cell r="CX890">
            <v>0.54110000000000003</v>
          </cell>
        </row>
        <row r="891">
          <cell r="CA891" t="str">
            <v>ANBK</v>
          </cell>
          <cell r="CB891" t="str">
            <v>Navigate</v>
          </cell>
          <cell r="CC891">
            <v>35</v>
          </cell>
          <cell r="CD891">
            <v>60</v>
          </cell>
          <cell r="CE891" t="str">
            <v>N/A</v>
          </cell>
          <cell r="CF891" t="str">
            <v>N/A</v>
          </cell>
          <cell r="CG891">
            <v>60</v>
          </cell>
          <cell r="CH891" t="str">
            <v>N/A</v>
          </cell>
          <cell r="CI891" t="str">
            <v>N/A</v>
          </cell>
          <cell r="CJ891" t="str">
            <v>$6000 / $12000</v>
          </cell>
          <cell r="CK891">
            <v>1</v>
          </cell>
          <cell r="CL891" t="str">
            <v>$6350 / $12700</v>
          </cell>
          <cell r="CM891" t="str">
            <v>N/A</v>
          </cell>
          <cell r="CN891" t="str">
            <v>N/A</v>
          </cell>
          <cell r="CO891" t="str">
            <v>N/A</v>
          </cell>
          <cell r="CP891" t="str">
            <v>Emb</v>
          </cell>
          <cell r="CS891" t="str">
            <v>INS</v>
          </cell>
          <cell r="CT891" t="str">
            <v>Navigate</v>
          </cell>
          <cell r="CU891">
            <v>0.5595</v>
          </cell>
          <cell r="CV891" t="str">
            <v/>
          </cell>
          <cell r="CW891" t="str">
            <v>NAV14&amp;15</v>
          </cell>
          <cell r="CX891">
            <v>0.54930000000000001</v>
          </cell>
        </row>
        <row r="892">
          <cell r="CA892" t="str">
            <v>ANBL</v>
          </cell>
          <cell r="CB892" t="str">
            <v>Navigate HRA</v>
          </cell>
          <cell r="CC892" t="str">
            <v>N/A</v>
          </cell>
          <cell r="CD892" t="str">
            <v>N/A</v>
          </cell>
          <cell r="CE892" t="str">
            <v>N/A</v>
          </cell>
          <cell r="CF892" t="str">
            <v>N/A</v>
          </cell>
          <cell r="CG892" t="str">
            <v>N/A</v>
          </cell>
          <cell r="CH892" t="str">
            <v>N/A</v>
          </cell>
          <cell r="CI892" t="str">
            <v>N/A</v>
          </cell>
          <cell r="CJ892" t="str">
            <v>$1500 / $3000</v>
          </cell>
          <cell r="CK892">
            <v>0.9</v>
          </cell>
          <cell r="CL892" t="str">
            <v>$3000 / $6000</v>
          </cell>
          <cell r="CM892" t="str">
            <v>N/A</v>
          </cell>
          <cell r="CN892" t="str">
            <v>N/A</v>
          </cell>
          <cell r="CO892" t="str">
            <v>N/A</v>
          </cell>
          <cell r="CP892" t="str">
            <v>Emb</v>
          </cell>
          <cell r="CS892" t="str">
            <v>INS</v>
          </cell>
          <cell r="CT892" t="str">
            <v>Navigate</v>
          </cell>
          <cell r="CU892">
            <v>0.64500000000000002</v>
          </cell>
          <cell r="CV892" t="str">
            <v/>
          </cell>
          <cell r="CW892" t="str">
            <v>NAVNHRA14&amp;15</v>
          </cell>
          <cell r="CX892">
            <v>0.61439999999999995</v>
          </cell>
        </row>
        <row r="893">
          <cell r="CA893" t="str">
            <v>ANBM</v>
          </cell>
          <cell r="CB893" t="str">
            <v>Navigate HRA</v>
          </cell>
          <cell r="CC893">
            <v>20</v>
          </cell>
          <cell r="CD893">
            <v>20</v>
          </cell>
          <cell r="CE893" t="str">
            <v>N/A</v>
          </cell>
          <cell r="CF893" t="str">
            <v>N/A</v>
          </cell>
          <cell r="CG893">
            <v>30</v>
          </cell>
          <cell r="CH893" t="str">
            <v>N/A</v>
          </cell>
          <cell r="CI893" t="str">
            <v>N/A</v>
          </cell>
          <cell r="CJ893" t="str">
            <v>$1500 / $3000</v>
          </cell>
          <cell r="CK893">
            <v>0.9</v>
          </cell>
          <cell r="CL893" t="str">
            <v>$3500 / $7000</v>
          </cell>
          <cell r="CM893" t="str">
            <v>N/A</v>
          </cell>
          <cell r="CN893" t="str">
            <v>N/A</v>
          </cell>
          <cell r="CO893" t="str">
            <v>N/A</v>
          </cell>
          <cell r="CP893" t="str">
            <v>Emb</v>
          </cell>
          <cell r="CS893" t="str">
            <v>INS</v>
          </cell>
          <cell r="CT893" t="str">
            <v>Navigate</v>
          </cell>
          <cell r="CU893">
            <v>0.72019999999999995</v>
          </cell>
          <cell r="CV893" t="str">
            <v/>
          </cell>
          <cell r="CW893" t="str">
            <v>NAVNHRA14&amp;15</v>
          </cell>
          <cell r="CX893">
            <v>0.65200000000000002</v>
          </cell>
        </row>
        <row r="894">
          <cell r="CA894" t="str">
            <v>ANBN</v>
          </cell>
          <cell r="CB894" t="str">
            <v>Navigate HRA</v>
          </cell>
          <cell r="CC894" t="str">
            <v>N/A</v>
          </cell>
          <cell r="CD894" t="str">
            <v>N/A</v>
          </cell>
          <cell r="CE894" t="str">
            <v>N/A</v>
          </cell>
          <cell r="CF894" t="str">
            <v>N/A</v>
          </cell>
          <cell r="CG894" t="str">
            <v>N/A</v>
          </cell>
          <cell r="CH894" t="str">
            <v>N/A</v>
          </cell>
          <cell r="CI894" t="str">
            <v>N/A</v>
          </cell>
          <cell r="CJ894" t="str">
            <v>$2000 / $4000</v>
          </cell>
          <cell r="CK894">
            <v>0.8</v>
          </cell>
          <cell r="CL894" t="str">
            <v>$5000 / $10000</v>
          </cell>
          <cell r="CM894" t="str">
            <v>N/A</v>
          </cell>
          <cell r="CN894" t="str">
            <v>N/A</v>
          </cell>
          <cell r="CO894" t="str">
            <v>N/A</v>
          </cell>
          <cell r="CP894" t="str">
            <v>Emb</v>
          </cell>
          <cell r="CS894" t="str">
            <v>INS</v>
          </cell>
          <cell r="CT894" t="str">
            <v>Navigate</v>
          </cell>
          <cell r="CU894">
            <v>0.55479999999999996</v>
          </cell>
          <cell r="CV894" t="str">
            <v/>
          </cell>
          <cell r="CW894" t="str">
            <v>NAVNHRA14&amp;15</v>
          </cell>
          <cell r="CX894">
            <v>0.55730000000000002</v>
          </cell>
        </row>
        <row r="895">
          <cell r="CA895" t="str">
            <v>ANBO</v>
          </cell>
          <cell r="CB895" t="str">
            <v>Navigate HRA</v>
          </cell>
          <cell r="CC895">
            <v>30</v>
          </cell>
          <cell r="CD895">
            <v>30</v>
          </cell>
          <cell r="CE895" t="str">
            <v>N/A</v>
          </cell>
          <cell r="CF895" t="str">
            <v>N/A</v>
          </cell>
          <cell r="CG895">
            <v>30</v>
          </cell>
          <cell r="CH895" t="str">
            <v>N/A</v>
          </cell>
          <cell r="CI895" t="str">
            <v>N/A</v>
          </cell>
          <cell r="CJ895" t="str">
            <v>$2000 / $4000</v>
          </cell>
          <cell r="CK895">
            <v>0.8</v>
          </cell>
          <cell r="CL895" t="str">
            <v>$5000 / $10000</v>
          </cell>
          <cell r="CM895" t="str">
            <v>N/A</v>
          </cell>
          <cell r="CN895" t="str">
            <v>N/A</v>
          </cell>
          <cell r="CO895" t="str">
            <v>N/A</v>
          </cell>
          <cell r="CP895" t="str">
            <v>Emb</v>
          </cell>
          <cell r="CS895" t="str">
            <v>INS</v>
          </cell>
          <cell r="CT895" t="str">
            <v>Navigate</v>
          </cell>
          <cell r="CU895">
            <v>0.65080000000000005</v>
          </cell>
          <cell r="CV895" t="str">
            <v/>
          </cell>
          <cell r="CW895" t="str">
            <v>NAVNHRA14&amp;15</v>
          </cell>
          <cell r="CX895">
            <v>0.61150000000000004</v>
          </cell>
        </row>
        <row r="896">
          <cell r="CA896" t="str">
            <v>ANBP</v>
          </cell>
          <cell r="CB896" t="str">
            <v>Navigate HRA</v>
          </cell>
          <cell r="CC896" t="str">
            <v>N/A</v>
          </cell>
          <cell r="CD896" t="str">
            <v>N/A</v>
          </cell>
          <cell r="CE896" t="str">
            <v>N/A</v>
          </cell>
          <cell r="CF896" t="str">
            <v>N/A</v>
          </cell>
          <cell r="CG896" t="str">
            <v>N/A</v>
          </cell>
          <cell r="CH896" t="str">
            <v>N/A</v>
          </cell>
          <cell r="CI896" t="str">
            <v>N/A</v>
          </cell>
          <cell r="CJ896" t="str">
            <v>$3000 / $6000</v>
          </cell>
          <cell r="CK896">
            <v>1</v>
          </cell>
          <cell r="CL896" t="str">
            <v>$4000 / $8000</v>
          </cell>
          <cell r="CM896" t="str">
            <v>N/A</v>
          </cell>
          <cell r="CN896" t="str">
            <v>N/A</v>
          </cell>
          <cell r="CO896" t="str">
            <v>N/A</v>
          </cell>
          <cell r="CP896" t="str">
            <v>Emb</v>
          </cell>
          <cell r="CS896" t="str">
            <v>INS</v>
          </cell>
          <cell r="CT896" t="str">
            <v>Navigate</v>
          </cell>
          <cell r="CU896">
            <v>0.57410000000000005</v>
          </cell>
          <cell r="CV896" t="str">
            <v/>
          </cell>
          <cell r="CW896" t="str">
            <v>NAVNHRA14&amp;15</v>
          </cell>
          <cell r="CX896">
            <v>0.57820000000000005</v>
          </cell>
        </row>
        <row r="897">
          <cell r="CA897" t="str">
            <v>ANBQ</v>
          </cell>
          <cell r="CB897" t="str">
            <v>Navigate HRA</v>
          </cell>
          <cell r="CC897">
            <v>20</v>
          </cell>
          <cell r="CD897">
            <v>20</v>
          </cell>
          <cell r="CE897" t="str">
            <v>N/A</v>
          </cell>
          <cell r="CF897" t="str">
            <v>N/A</v>
          </cell>
          <cell r="CG897">
            <v>20</v>
          </cell>
          <cell r="CH897" t="str">
            <v>N/A</v>
          </cell>
          <cell r="CI897" t="str">
            <v>N/A</v>
          </cell>
          <cell r="CJ897" t="str">
            <v>$3000 / $6000</v>
          </cell>
          <cell r="CK897">
            <v>1</v>
          </cell>
          <cell r="CL897" t="str">
            <v>$6000 / $12000</v>
          </cell>
          <cell r="CM897" t="str">
            <v>N/A</v>
          </cell>
          <cell r="CN897" t="str">
            <v>N/A</v>
          </cell>
          <cell r="CO897" t="str">
            <v>N/A</v>
          </cell>
          <cell r="CP897" t="str">
            <v>Emb</v>
          </cell>
          <cell r="CS897" t="str">
            <v>INS</v>
          </cell>
          <cell r="CT897" t="str">
            <v>Navigate</v>
          </cell>
          <cell r="CU897">
            <v>0.67310000000000003</v>
          </cell>
          <cell r="CV897" t="str">
            <v/>
          </cell>
          <cell r="CW897" t="str">
            <v>NAVNHRA14&amp;15</v>
          </cell>
          <cell r="CX897">
            <v>0.63470000000000004</v>
          </cell>
        </row>
        <row r="898">
          <cell r="CA898" t="str">
            <v>ANBW</v>
          </cell>
          <cell r="CB898" t="str">
            <v>Navigate HSA</v>
          </cell>
          <cell r="CC898" t="str">
            <v>N/A</v>
          </cell>
          <cell r="CD898" t="str">
            <v>N/A</v>
          </cell>
          <cell r="CE898" t="str">
            <v>N/A</v>
          </cell>
          <cell r="CF898" t="str">
            <v>N/A</v>
          </cell>
          <cell r="CG898" t="str">
            <v>N/A</v>
          </cell>
          <cell r="CH898" t="str">
            <v>N/A</v>
          </cell>
          <cell r="CI898" t="str">
            <v>N/A</v>
          </cell>
          <cell r="CJ898" t="str">
            <v>$3000 / $6000</v>
          </cell>
          <cell r="CK898">
            <v>0.8</v>
          </cell>
          <cell r="CL898" t="str">
            <v>$5000 / $10000</v>
          </cell>
          <cell r="CM898" t="str">
            <v>N/A</v>
          </cell>
          <cell r="CN898" t="str">
            <v>N/A</v>
          </cell>
          <cell r="CO898" t="str">
            <v>N/A</v>
          </cell>
          <cell r="CP898" t="str">
            <v>Emb</v>
          </cell>
          <cell r="CS898" t="str">
            <v>INS</v>
          </cell>
          <cell r="CT898" t="str">
            <v>Navigate</v>
          </cell>
          <cell r="CU898">
            <v>0.60470000000000002</v>
          </cell>
          <cell r="CV898" t="str">
            <v>H9-HSA</v>
          </cell>
          <cell r="CW898" t="str">
            <v>NAVHSA14&amp;15</v>
          </cell>
          <cell r="CX898">
            <v>0.68559999999999999</v>
          </cell>
        </row>
        <row r="899">
          <cell r="CA899" t="str">
            <v>ANBX</v>
          </cell>
          <cell r="CB899" t="str">
            <v>Navigate HSA</v>
          </cell>
          <cell r="CC899" t="str">
            <v>N/A</v>
          </cell>
          <cell r="CD899" t="str">
            <v>N/A</v>
          </cell>
          <cell r="CE899" t="str">
            <v>N/A</v>
          </cell>
          <cell r="CF899" t="str">
            <v>N/A</v>
          </cell>
          <cell r="CG899" t="str">
            <v>N/A</v>
          </cell>
          <cell r="CH899" t="str">
            <v>N/A</v>
          </cell>
          <cell r="CI899" t="str">
            <v>N/A</v>
          </cell>
          <cell r="CJ899" t="str">
            <v>$3000 / $6000</v>
          </cell>
          <cell r="CK899">
            <v>1</v>
          </cell>
          <cell r="CL899" t="str">
            <v>$5000 / $10000</v>
          </cell>
          <cell r="CM899" t="str">
            <v>N/A</v>
          </cell>
          <cell r="CN899" t="str">
            <v>N/A</v>
          </cell>
          <cell r="CO899" t="str">
            <v>N/A</v>
          </cell>
          <cell r="CP899" t="str">
            <v>Emb</v>
          </cell>
          <cell r="CS899" t="str">
            <v>INS</v>
          </cell>
          <cell r="CT899" t="str">
            <v>Navigate</v>
          </cell>
          <cell r="CU899">
            <v>0.70309999999999995</v>
          </cell>
          <cell r="CV899" t="str">
            <v>H9-HSA</v>
          </cell>
          <cell r="CW899" t="str">
            <v>NAVHSA14&amp;15</v>
          </cell>
          <cell r="CX899">
            <v>0.74170000000000003</v>
          </cell>
        </row>
        <row r="900">
          <cell r="CA900" t="str">
            <v>ANBY</v>
          </cell>
          <cell r="CB900" t="str">
            <v>Navigate</v>
          </cell>
          <cell r="CC900">
            <v>15</v>
          </cell>
          <cell r="CD900">
            <v>15</v>
          </cell>
          <cell r="CE900" t="str">
            <v>N/A</v>
          </cell>
          <cell r="CF900" t="str">
            <v>N/A</v>
          </cell>
          <cell r="CG900">
            <v>15</v>
          </cell>
          <cell r="CH900" t="str">
            <v>$100 POD</v>
          </cell>
          <cell r="CI900" t="str">
            <v>N/A</v>
          </cell>
          <cell r="CJ900" t="str">
            <v>$150 / $300</v>
          </cell>
          <cell r="CK900">
            <v>0.9</v>
          </cell>
          <cell r="CL900" t="str">
            <v>$1150 / $2300</v>
          </cell>
          <cell r="CM900" t="str">
            <v>N/A</v>
          </cell>
          <cell r="CN900" t="str">
            <v>N/A</v>
          </cell>
          <cell r="CO900" t="str">
            <v>N/A</v>
          </cell>
          <cell r="CP900" t="str">
            <v>Emb</v>
          </cell>
          <cell r="CS900" t="str">
            <v>INS</v>
          </cell>
          <cell r="CT900" t="str">
            <v>Navigate</v>
          </cell>
          <cell r="CU900">
            <v>0.89059999999999995</v>
          </cell>
          <cell r="CV900" t="str">
            <v/>
          </cell>
          <cell r="CW900" t="str">
            <v>NAV14&amp;15</v>
          </cell>
          <cell r="CX900">
            <v>0.71819999999999995</v>
          </cell>
        </row>
        <row r="901">
          <cell r="CA901" t="str">
            <v>ANBZ</v>
          </cell>
          <cell r="CB901" t="str">
            <v>Navigate</v>
          </cell>
          <cell r="CC901">
            <v>15</v>
          </cell>
          <cell r="CD901">
            <v>30</v>
          </cell>
          <cell r="CE901" t="str">
            <v>N/A</v>
          </cell>
          <cell r="CF901" t="str">
            <v>N/A</v>
          </cell>
          <cell r="CG901">
            <v>30</v>
          </cell>
          <cell r="CH901" t="str">
            <v>$100 POD</v>
          </cell>
          <cell r="CI901" t="str">
            <v>N/A</v>
          </cell>
          <cell r="CJ901" t="str">
            <v>$150 / $300</v>
          </cell>
          <cell r="CK901">
            <v>0.9</v>
          </cell>
          <cell r="CL901" t="str">
            <v>$3000 / $6000</v>
          </cell>
          <cell r="CM901" t="str">
            <v>N/A</v>
          </cell>
          <cell r="CN901" t="str">
            <v>N/A</v>
          </cell>
          <cell r="CO901" t="str">
            <v>N/A</v>
          </cell>
          <cell r="CP901" t="str">
            <v>Emb</v>
          </cell>
          <cell r="CS901" t="str">
            <v>INS</v>
          </cell>
          <cell r="CT901" t="str">
            <v>Navigate</v>
          </cell>
          <cell r="CU901">
            <v>0.83089999999999997</v>
          </cell>
          <cell r="CV901" t="str">
            <v/>
          </cell>
          <cell r="CW901" t="str">
            <v>NAV14&amp;15</v>
          </cell>
          <cell r="CX901">
            <v>0.69620000000000004</v>
          </cell>
        </row>
        <row r="902">
          <cell r="CA902" t="str">
            <v>ANCA</v>
          </cell>
          <cell r="CB902" t="str">
            <v>Navigate</v>
          </cell>
          <cell r="CC902">
            <v>20</v>
          </cell>
          <cell r="CD902">
            <v>45</v>
          </cell>
          <cell r="CE902" t="str">
            <v>N/A</v>
          </cell>
          <cell r="CF902" t="str">
            <v>N/A</v>
          </cell>
          <cell r="CG902">
            <v>45</v>
          </cell>
          <cell r="CH902" t="str">
            <v>$100 POD</v>
          </cell>
          <cell r="CI902" t="str">
            <v>N/A</v>
          </cell>
          <cell r="CJ902" t="str">
            <v>$0 / $0</v>
          </cell>
          <cell r="CK902">
            <v>0.75</v>
          </cell>
          <cell r="CL902" t="str">
            <v>$5000 / $10000</v>
          </cell>
          <cell r="CM902" t="str">
            <v>N/A</v>
          </cell>
          <cell r="CN902" t="str">
            <v>N/A</v>
          </cell>
          <cell r="CO902" t="str">
            <v>N/A</v>
          </cell>
          <cell r="CP902" t="str">
            <v>Emb</v>
          </cell>
          <cell r="CS902" t="str">
            <v>INS</v>
          </cell>
          <cell r="CT902" t="str">
            <v>Navigate</v>
          </cell>
          <cell r="CU902">
            <v>0.73629999999999995</v>
          </cell>
          <cell r="CV902" t="str">
            <v/>
          </cell>
          <cell r="CW902" t="str">
            <v>NAV14&amp;15</v>
          </cell>
          <cell r="CX902">
            <v>0.65839999999999999</v>
          </cell>
        </row>
        <row r="903">
          <cell r="CA903" t="str">
            <v>ANCB</v>
          </cell>
          <cell r="CB903" t="str">
            <v>Navigate</v>
          </cell>
          <cell r="CC903">
            <v>10</v>
          </cell>
          <cell r="CD903">
            <v>10</v>
          </cell>
          <cell r="CE903" t="str">
            <v>N/A</v>
          </cell>
          <cell r="CF903" t="str">
            <v>N/A</v>
          </cell>
          <cell r="CG903">
            <v>10</v>
          </cell>
          <cell r="CH903" t="str">
            <v xml:space="preserve">$100 </v>
          </cell>
          <cell r="CI903" t="str">
            <v>N/A</v>
          </cell>
          <cell r="CJ903" t="str">
            <v>$0 / $0</v>
          </cell>
          <cell r="CK903">
            <v>1</v>
          </cell>
          <cell r="CL903" t="str">
            <v>$500 / $1000</v>
          </cell>
          <cell r="CM903" t="str">
            <v>N/A</v>
          </cell>
          <cell r="CN903" t="str">
            <v>N/A</v>
          </cell>
          <cell r="CO903" t="str">
            <v>N/A</v>
          </cell>
          <cell r="CP903" t="str">
            <v>Emb</v>
          </cell>
          <cell r="CS903" t="str">
            <v>INS</v>
          </cell>
          <cell r="CT903" t="str">
            <v>Navigate</v>
          </cell>
          <cell r="CU903">
            <v>0.98609999999999998</v>
          </cell>
          <cell r="CV903" t="str">
            <v/>
          </cell>
          <cell r="CW903" t="str">
            <v>NAV14&amp;15</v>
          </cell>
          <cell r="CX903">
            <v>0.74439999999999995</v>
          </cell>
        </row>
        <row r="906">
          <cell r="CA906" t="str">
            <v>AXFF</v>
          </cell>
          <cell r="CB906" t="str">
            <v>Navigate HSA</v>
          </cell>
          <cell r="CC906" t="str">
            <v>N/A</v>
          </cell>
          <cell r="CD906" t="str">
            <v>N/A</v>
          </cell>
          <cell r="CE906" t="str">
            <v>N/A</v>
          </cell>
          <cell r="CF906" t="str">
            <v>N/A</v>
          </cell>
          <cell r="CG906" t="str">
            <v>N/A</v>
          </cell>
          <cell r="CH906" t="str">
            <v>N/A</v>
          </cell>
          <cell r="CI906" t="str">
            <v>N/A</v>
          </cell>
          <cell r="CJ906" t="str">
            <v>$2,700 / $5,400</v>
          </cell>
          <cell r="CK906">
            <v>0.8</v>
          </cell>
          <cell r="CL906" t="str">
            <v>$5,000 / $10,000</v>
          </cell>
          <cell r="CM906" t="str">
            <v>N/A</v>
          </cell>
          <cell r="CN906" t="str">
            <v>N/A</v>
          </cell>
          <cell r="CO906" t="str">
            <v>N/A</v>
          </cell>
          <cell r="CP906" t="str">
            <v>Emb</v>
          </cell>
          <cell r="CS906" t="str">
            <v>INS</v>
          </cell>
          <cell r="CT906" t="str">
            <v>Navigate</v>
          </cell>
          <cell r="CU906">
            <v>0.61990000000000001</v>
          </cell>
          <cell r="CV906" t="str">
            <v>H9-HSA</v>
          </cell>
          <cell r="CW906" t="str">
            <v>NAVHSA18</v>
          </cell>
          <cell r="CX906">
            <v>0.73950000000000005</v>
          </cell>
        </row>
        <row r="907">
          <cell r="CA907" t="str">
            <v>AXFG</v>
          </cell>
          <cell r="CB907" t="str">
            <v>Navigate HSA</v>
          </cell>
          <cell r="CC907" t="str">
            <v>N/A</v>
          </cell>
          <cell r="CD907" t="str">
            <v>N/A</v>
          </cell>
          <cell r="CE907" t="str">
            <v>N/A</v>
          </cell>
          <cell r="CF907" t="str">
            <v>N/A</v>
          </cell>
          <cell r="CG907" t="str">
            <v>N/A</v>
          </cell>
          <cell r="CH907" t="str">
            <v>N/A</v>
          </cell>
          <cell r="CI907" t="str">
            <v>N/A</v>
          </cell>
          <cell r="CJ907" t="str">
            <v>$2,700 / $5,400</v>
          </cell>
          <cell r="CK907">
            <v>1</v>
          </cell>
          <cell r="CL907" t="str">
            <v>$3,700 / $7,400</v>
          </cell>
          <cell r="CM907" t="str">
            <v>N/A</v>
          </cell>
          <cell r="CN907" t="str">
            <v>N/A</v>
          </cell>
          <cell r="CO907" t="str">
            <v>N/A</v>
          </cell>
          <cell r="CP907" t="str">
            <v>Emb</v>
          </cell>
          <cell r="CS907" t="str">
            <v>INS</v>
          </cell>
          <cell r="CT907" t="str">
            <v>Navigate</v>
          </cell>
          <cell r="CU907">
            <v>0.73599999999999999</v>
          </cell>
          <cell r="CV907" t="str">
            <v>H9-HSA</v>
          </cell>
          <cell r="CW907" t="str">
            <v>NAVHSA18</v>
          </cell>
          <cell r="CX907">
            <v>0.78190000000000004</v>
          </cell>
        </row>
        <row r="908">
          <cell r="CA908" t="str">
            <v>AXFH</v>
          </cell>
          <cell r="CB908" t="str">
            <v>Navigate HSA</v>
          </cell>
          <cell r="CC908" t="str">
            <v>N/A</v>
          </cell>
          <cell r="CD908" t="str">
            <v>N/A</v>
          </cell>
          <cell r="CE908" t="str">
            <v>N/A</v>
          </cell>
          <cell r="CF908" t="str">
            <v>N/A</v>
          </cell>
          <cell r="CG908" t="str">
            <v>N/A</v>
          </cell>
          <cell r="CH908" t="str">
            <v>N/A</v>
          </cell>
          <cell r="CI908" t="str">
            <v>N/A</v>
          </cell>
          <cell r="CJ908" t="str">
            <v>$2,700 / $5,400</v>
          </cell>
          <cell r="CK908">
            <v>0.9</v>
          </cell>
          <cell r="CL908" t="str">
            <v>$3,700 / $7,400</v>
          </cell>
          <cell r="CM908" t="str">
            <v>N/A</v>
          </cell>
          <cell r="CN908" t="str">
            <v>N/A</v>
          </cell>
          <cell r="CO908" t="str">
            <v>N/A</v>
          </cell>
          <cell r="CP908" t="str">
            <v>Emb</v>
          </cell>
          <cell r="CS908" t="str">
            <v>INS</v>
          </cell>
          <cell r="CT908" t="str">
            <v>Navigate</v>
          </cell>
          <cell r="CU908">
            <v>0.66749999999999998</v>
          </cell>
          <cell r="CV908" t="str">
            <v>H9-HSA</v>
          </cell>
          <cell r="CW908" t="str">
            <v>NAVHSA18</v>
          </cell>
          <cell r="CX908">
            <v>0.76790000000000003</v>
          </cell>
        </row>
        <row r="909">
          <cell r="CA909" t="str">
            <v>AXFI</v>
          </cell>
          <cell r="CB909" t="str">
            <v>Navigate HSA</v>
          </cell>
          <cell r="CC909" t="str">
            <v>N/A</v>
          </cell>
          <cell r="CD909" t="str">
            <v>N/A</v>
          </cell>
          <cell r="CE909" t="str">
            <v>N/A</v>
          </cell>
          <cell r="CF909" t="str">
            <v>N/A</v>
          </cell>
          <cell r="CG909" t="str">
            <v>N/A</v>
          </cell>
          <cell r="CH909" t="str">
            <v>N/A</v>
          </cell>
          <cell r="CI909" t="str">
            <v>N/A</v>
          </cell>
          <cell r="CJ909" t="str">
            <v>$2,700 / $5,400</v>
          </cell>
          <cell r="CK909">
            <v>0.8</v>
          </cell>
          <cell r="CL909" t="str">
            <v>$4,700 / $9,400</v>
          </cell>
          <cell r="CM909" t="str">
            <v>N/A</v>
          </cell>
          <cell r="CN909" t="str">
            <v>N/A</v>
          </cell>
          <cell r="CO909" t="str">
            <v>N/A</v>
          </cell>
          <cell r="CP909" t="str">
            <v>Emb</v>
          </cell>
          <cell r="CS909" t="str">
            <v>INS</v>
          </cell>
          <cell r="CT909" t="str">
            <v>Navigate</v>
          </cell>
          <cell r="CU909">
            <v>0.62629999999999997</v>
          </cell>
          <cell r="CV909" t="str">
            <v>H9-HSA</v>
          </cell>
          <cell r="CW909" t="str">
            <v>NAVHSA18</v>
          </cell>
          <cell r="CX909">
            <v>0.74439999999999995</v>
          </cell>
        </row>
        <row r="910">
          <cell r="CA910" t="str">
            <v>AXFJ</v>
          </cell>
          <cell r="CB910" t="str">
            <v>Navigate HSA</v>
          </cell>
          <cell r="CC910" t="str">
            <v>N/A</v>
          </cell>
          <cell r="CD910" t="str">
            <v>N/A</v>
          </cell>
          <cell r="CE910" t="str">
            <v>N/A</v>
          </cell>
          <cell r="CF910" t="str">
            <v>N/A</v>
          </cell>
          <cell r="CG910" t="str">
            <v>N/A</v>
          </cell>
          <cell r="CH910" t="str">
            <v>N/A</v>
          </cell>
          <cell r="CI910" t="str">
            <v>N/A</v>
          </cell>
          <cell r="CJ910" t="str">
            <v>$2,700 / $5,400</v>
          </cell>
          <cell r="CK910">
            <v>0.9</v>
          </cell>
          <cell r="CL910" t="str">
            <v>$6,650 / $13,300</v>
          </cell>
          <cell r="CM910" t="str">
            <v>N/A</v>
          </cell>
          <cell r="CN910" t="str">
            <v>N/A</v>
          </cell>
          <cell r="CO910" t="str">
            <v>N/A</v>
          </cell>
          <cell r="CP910" t="str">
            <v>Emb</v>
          </cell>
          <cell r="CS910" t="str">
            <v>INS</v>
          </cell>
          <cell r="CT910" t="str">
            <v>Navigate</v>
          </cell>
          <cell r="CU910">
            <v>0.62849999999999995</v>
          </cell>
          <cell r="CV910" t="str">
            <v>H9-HSA</v>
          </cell>
          <cell r="CW910" t="str">
            <v>NAVHSA18</v>
          </cell>
          <cell r="CX910">
            <v>0.7429</v>
          </cell>
        </row>
        <row r="915">
          <cell r="CA915" t="str">
            <v>AHV1</v>
          </cell>
          <cell r="CB915" t="str">
            <v>Core</v>
          </cell>
          <cell r="CC915">
            <v>20</v>
          </cell>
          <cell r="CD915">
            <v>20</v>
          </cell>
          <cell r="CE915" t="str">
            <v>N/A</v>
          </cell>
          <cell r="CF915" t="str">
            <v>N/A</v>
          </cell>
          <cell r="CG915">
            <v>50</v>
          </cell>
          <cell r="CH915">
            <v>100</v>
          </cell>
          <cell r="CI915" t="str">
            <v>N/A</v>
          </cell>
          <cell r="CJ915" t="str">
            <v>$250 / $500</v>
          </cell>
          <cell r="CK915">
            <v>0.8</v>
          </cell>
          <cell r="CL915" t="str">
            <v>$2,250 / $4,500</v>
          </cell>
          <cell r="CM915" t="str">
            <v>$500 / $1,000</v>
          </cell>
          <cell r="CN915">
            <v>0.6</v>
          </cell>
          <cell r="CO915" t="str">
            <v>$4,500 / $9,000</v>
          </cell>
          <cell r="CP915" t="str">
            <v>Emb</v>
          </cell>
          <cell r="CS915" t="str">
            <v>INS</v>
          </cell>
          <cell r="CT915" t="str">
            <v>Core</v>
          </cell>
          <cell r="CU915">
            <v>0.84550000000000003</v>
          </cell>
          <cell r="CW915" t="str">
            <v>C14&amp;15</v>
          </cell>
          <cell r="CX915">
            <v>0.68979999999999997</v>
          </cell>
        </row>
        <row r="916">
          <cell r="CA916" t="str">
            <v>AHV2</v>
          </cell>
          <cell r="CB916" t="str">
            <v>Core</v>
          </cell>
          <cell r="CC916">
            <v>20</v>
          </cell>
          <cell r="CD916">
            <v>20</v>
          </cell>
          <cell r="CE916" t="str">
            <v>N/A</v>
          </cell>
          <cell r="CF916" t="str">
            <v>N/A</v>
          </cell>
          <cell r="CG916">
            <v>50</v>
          </cell>
          <cell r="CH916">
            <v>100</v>
          </cell>
          <cell r="CI916" t="str">
            <v>N/A</v>
          </cell>
          <cell r="CJ916" t="str">
            <v>$500 / $1,000</v>
          </cell>
          <cell r="CK916">
            <v>0.9</v>
          </cell>
          <cell r="CL916" t="str">
            <v>$3,000 / $6,000</v>
          </cell>
          <cell r="CM916" t="str">
            <v>$1,000 / $2,000</v>
          </cell>
          <cell r="CN916">
            <v>0.7</v>
          </cell>
          <cell r="CO916" t="str">
            <v>$6,000 / $12,000</v>
          </cell>
          <cell r="CP916" t="str">
            <v>Emb</v>
          </cell>
          <cell r="CS916" t="str">
            <v>INS</v>
          </cell>
          <cell r="CT916" t="str">
            <v>Core</v>
          </cell>
          <cell r="CU916">
            <v>0.83520000000000005</v>
          </cell>
          <cell r="CW916" t="str">
            <v>C14&amp;15</v>
          </cell>
          <cell r="CX916">
            <v>0.67879999999999996</v>
          </cell>
        </row>
        <row r="917">
          <cell r="CA917" t="str">
            <v>AHV3</v>
          </cell>
          <cell r="CB917" t="str">
            <v>Core</v>
          </cell>
          <cell r="CC917">
            <v>25</v>
          </cell>
          <cell r="CD917">
            <v>25</v>
          </cell>
          <cell r="CE917" t="str">
            <v>N/A</v>
          </cell>
          <cell r="CF917" t="str">
            <v>N/A</v>
          </cell>
          <cell r="CG917">
            <v>50</v>
          </cell>
          <cell r="CH917">
            <v>100</v>
          </cell>
          <cell r="CI917" t="str">
            <v>N/A</v>
          </cell>
          <cell r="CJ917" t="str">
            <v>$250 / $500</v>
          </cell>
          <cell r="CK917">
            <v>0.8</v>
          </cell>
          <cell r="CL917" t="str">
            <v>$2,250 / $4,500</v>
          </cell>
          <cell r="CM917" t="str">
            <v>$500 / $1,000</v>
          </cell>
          <cell r="CN917">
            <v>0.6</v>
          </cell>
          <cell r="CO917" t="str">
            <v>$4,500 / $9,000</v>
          </cell>
          <cell r="CP917" t="str">
            <v>Emb</v>
          </cell>
          <cell r="CS917" t="str">
            <v>INS</v>
          </cell>
          <cell r="CT917" t="str">
            <v>Core</v>
          </cell>
          <cell r="CU917">
            <v>0.83919999999999995</v>
          </cell>
          <cell r="CW917" t="str">
            <v>C14&amp;15</v>
          </cell>
          <cell r="CX917">
            <v>0.68420000000000003</v>
          </cell>
        </row>
        <row r="918">
          <cell r="CA918" t="str">
            <v>AHV4</v>
          </cell>
          <cell r="CB918" t="str">
            <v>Core</v>
          </cell>
          <cell r="CC918">
            <v>20</v>
          </cell>
          <cell r="CD918">
            <v>20</v>
          </cell>
          <cell r="CE918" t="str">
            <v>N/A</v>
          </cell>
          <cell r="CF918" t="str">
            <v>N/A</v>
          </cell>
          <cell r="CG918">
            <v>50</v>
          </cell>
          <cell r="CH918">
            <v>100</v>
          </cell>
          <cell r="CI918" t="str">
            <v>N/A</v>
          </cell>
          <cell r="CJ918" t="str">
            <v>$500 / $1,000</v>
          </cell>
          <cell r="CK918">
            <v>0.8</v>
          </cell>
          <cell r="CL918" t="str">
            <v>$2,500 / $5,000</v>
          </cell>
          <cell r="CM918" t="str">
            <v>$1,000 / $2,000</v>
          </cell>
          <cell r="CN918">
            <v>0.6</v>
          </cell>
          <cell r="CO918" t="str">
            <v>$5,000 / $10,000</v>
          </cell>
          <cell r="CP918" t="str">
            <v>Emb</v>
          </cell>
          <cell r="CS918" t="str">
            <v>INS</v>
          </cell>
          <cell r="CT918" t="str">
            <v>Core</v>
          </cell>
          <cell r="CU918">
            <v>0.82389999999999997</v>
          </cell>
          <cell r="CW918" t="str">
            <v>C14&amp;15</v>
          </cell>
          <cell r="CX918">
            <v>0.6774</v>
          </cell>
        </row>
        <row r="919">
          <cell r="CA919" t="str">
            <v>AHV5</v>
          </cell>
          <cell r="CB919" t="str">
            <v>Core</v>
          </cell>
          <cell r="CC919">
            <v>30</v>
          </cell>
          <cell r="CD919">
            <v>30</v>
          </cell>
          <cell r="CE919" t="str">
            <v>N/A</v>
          </cell>
          <cell r="CF919" t="str">
            <v>$500 POD</v>
          </cell>
          <cell r="CG919">
            <v>125</v>
          </cell>
          <cell r="CH919">
            <v>250</v>
          </cell>
          <cell r="CI919" t="str">
            <v>N/A</v>
          </cell>
          <cell r="CJ919" t="str">
            <v>$250 / $500</v>
          </cell>
          <cell r="CK919">
            <v>0.9</v>
          </cell>
          <cell r="CL919" t="str">
            <v>$3,500 / $7,000</v>
          </cell>
          <cell r="CM919" t="str">
            <v>$500 / $1,000</v>
          </cell>
          <cell r="CN919">
            <v>0.7</v>
          </cell>
          <cell r="CO919" t="str">
            <v>$7,000 / $14,000</v>
          </cell>
          <cell r="CP919" t="str">
            <v>Emb</v>
          </cell>
          <cell r="CS919" t="str">
            <v>INS</v>
          </cell>
          <cell r="CT919" t="str">
            <v>Core</v>
          </cell>
          <cell r="CU919">
            <v>0.81979999999999997</v>
          </cell>
          <cell r="CW919" t="str">
            <v>C14&amp;15</v>
          </cell>
          <cell r="CX919">
            <v>0.67200000000000004</v>
          </cell>
        </row>
        <row r="920">
          <cell r="CA920" t="str">
            <v>AHV6</v>
          </cell>
          <cell r="CB920" t="str">
            <v>Core</v>
          </cell>
          <cell r="CC920">
            <v>20</v>
          </cell>
          <cell r="CD920">
            <v>20</v>
          </cell>
          <cell r="CE920" t="str">
            <v>N/A</v>
          </cell>
          <cell r="CF920" t="str">
            <v>N/A</v>
          </cell>
          <cell r="CG920">
            <v>50</v>
          </cell>
          <cell r="CH920">
            <v>100</v>
          </cell>
          <cell r="CI920" t="str">
            <v>N/A</v>
          </cell>
          <cell r="CJ920" t="str">
            <v>$500 / $1,000</v>
          </cell>
          <cell r="CK920">
            <v>0.8</v>
          </cell>
          <cell r="CL920" t="str">
            <v>$3,500 / $7,000</v>
          </cell>
          <cell r="CM920" t="str">
            <v>$1,000 / $2,000</v>
          </cell>
          <cell r="CN920">
            <v>0.6</v>
          </cell>
          <cell r="CO920" t="str">
            <v>$7,000 / $14,000</v>
          </cell>
          <cell r="CP920" t="str">
            <v>Emb</v>
          </cell>
          <cell r="CS920" t="str">
            <v>INS</v>
          </cell>
          <cell r="CT920" t="str">
            <v>Core</v>
          </cell>
          <cell r="CU920">
            <v>0.79659999999999997</v>
          </cell>
          <cell r="CW920" t="str">
            <v>C14&amp;15</v>
          </cell>
          <cell r="CX920">
            <v>0.66839999999999999</v>
          </cell>
        </row>
        <row r="921">
          <cell r="CA921" t="str">
            <v>AHV8</v>
          </cell>
          <cell r="CB921" t="str">
            <v>Core</v>
          </cell>
          <cell r="CC921">
            <v>20</v>
          </cell>
          <cell r="CD921">
            <v>20</v>
          </cell>
          <cell r="CE921" t="str">
            <v>N/A</v>
          </cell>
          <cell r="CF921" t="str">
            <v>$500 POD</v>
          </cell>
          <cell r="CG921">
            <v>125</v>
          </cell>
          <cell r="CH921">
            <v>250</v>
          </cell>
          <cell r="CI921" t="str">
            <v>N/A</v>
          </cell>
          <cell r="CJ921" t="str">
            <v>$500 / $1,000</v>
          </cell>
          <cell r="CK921">
            <v>0.8</v>
          </cell>
          <cell r="CL921" t="str">
            <v>$4,500 / $9,000</v>
          </cell>
          <cell r="CM921" t="str">
            <v>$1,000 / $2,000</v>
          </cell>
          <cell r="CN921">
            <v>0.6</v>
          </cell>
          <cell r="CO921" t="str">
            <v>$9,000 / $18,000</v>
          </cell>
          <cell r="CP921" t="str">
            <v>Emb</v>
          </cell>
          <cell r="CS921" t="str">
            <v>INS</v>
          </cell>
          <cell r="CT921" t="str">
            <v>Core</v>
          </cell>
          <cell r="CU921">
            <v>0.7651</v>
          </cell>
          <cell r="CW921" t="str">
            <v>C14&amp;15</v>
          </cell>
          <cell r="CX921">
            <v>0.65920000000000001</v>
          </cell>
        </row>
        <row r="922">
          <cell r="CA922" t="str">
            <v>AHVI</v>
          </cell>
          <cell r="CB922" t="str">
            <v>Core</v>
          </cell>
          <cell r="CC922">
            <v>10</v>
          </cell>
          <cell r="CD922">
            <v>10</v>
          </cell>
          <cell r="CE922" t="str">
            <v>N/A</v>
          </cell>
          <cell r="CF922" t="str">
            <v>N/A</v>
          </cell>
          <cell r="CG922">
            <v>35</v>
          </cell>
          <cell r="CH922">
            <v>75</v>
          </cell>
          <cell r="CI922">
            <v>0</v>
          </cell>
          <cell r="CJ922" t="str">
            <v>$0 / $0</v>
          </cell>
          <cell r="CK922">
            <v>1</v>
          </cell>
          <cell r="CL922" t="str">
            <v>$2,000 / $4,000</v>
          </cell>
          <cell r="CM922" t="str">
            <v>$300 / $600</v>
          </cell>
          <cell r="CN922">
            <v>0.8</v>
          </cell>
          <cell r="CO922" t="str">
            <v>$2,000 / $4,000</v>
          </cell>
          <cell r="CP922" t="str">
            <v>Emb</v>
          </cell>
          <cell r="CS922" t="str">
            <v>INS</v>
          </cell>
          <cell r="CT922" t="str">
            <v>Core</v>
          </cell>
          <cell r="CU922">
            <v>0.96879999999999999</v>
          </cell>
          <cell r="CW922" t="str">
            <v>C14&amp;15</v>
          </cell>
          <cell r="CX922">
            <v>0.747</v>
          </cell>
        </row>
        <row r="923">
          <cell r="CA923" t="str">
            <v>AHVN</v>
          </cell>
          <cell r="CB923" t="str">
            <v>Core</v>
          </cell>
          <cell r="CC923">
            <v>15</v>
          </cell>
          <cell r="CD923">
            <v>15</v>
          </cell>
          <cell r="CE923" t="str">
            <v>N/A</v>
          </cell>
          <cell r="CF923" t="str">
            <v>N/A</v>
          </cell>
          <cell r="CG923">
            <v>50</v>
          </cell>
          <cell r="CH923">
            <v>100</v>
          </cell>
          <cell r="CI923" t="str">
            <v>N/A</v>
          </cell>
          <cell r="CJ923" t="str">
            <v>$0 / $0</v>
          </cell>
          <cell r="CK923">
            <v>0.9</v>
          </cell>
          <cell r="CL923" t="str">
            <v>$2,000 / $4,000</v>
          </cell>
          <cell r="CM923" t="str">
            <v>$1,500 / $3,000</v>
          </cell>
          <cell r="CN923">
            <v>0.5</v>
          </cell>
          <cell r="CO923" t="str">
            <v>$6,500 / $13,000</v>
          </cell>
          <cell r="CP923" t="str">
            <v>Emb</v>
          </cell>
          <cell r="CS923" t="str">
            <v>INS</v>
          </cell>
          <cell r="CT923" t="str">
            <v>Core</v>
          </cell>
          <cell r="CU923">
            <v>0.90269999999999995</v>
          </cell>
          <cell r="CW923" t="str">
            <v>C14&amp;15</v>
          </cell>
          <cell r="CX923">
            <v>0.73319999999999996</v>
          </cell>
        </row>
        <row r="924">
          <cell r="CA924" t="str">
            <v>AHVO</v>
          </cell>
          <cell r="CB924" t="str">
            <v>Core</v>
          </cell>
          <cell r="CC924">
            <v>15</v>
          </cell>
          <cell r="CD924">
            <v>15</v>
          </cell>
          <cell r="CE924" t="str">
            <v>N/A</v>
          </cell>
          <cell r="CF924" t="str">
            <v>N/A</v>
          </cell>
          <cell r="CG924">
            <v>35</v>
          </cell>
          <cell r="CH924">
            <v>100</v>
          </cell>
          <cell r="CI924" t="str">
            <v>N/A</v>
          </cell>
          <cell r="CJ924" t="str">
            <v>$250 / $500</v>
          </cell>
          <cell r="CK924">
            <v>1</v>
          </cell>
          <cell r="CL924" t="str">
            <v>$250 / $500</v>
          </cell>
          <cell r="CM924" t="str">
            <v>$500 / $1,000</v>
          </cell>
          <cell r="CN924">
            <v>0.8</v>
          </cell>
          <cell r="CO924" t="str">
            <v>$3,000 / $6,000</v>
          </cell>
          <cell r="CP924" t="str">
            <v>Emb</v>
          </cell>
          <cell r="CS924" t="str">
            <v>INS</v>
          </cell>
          <cell r="CT924" t="str">
            <v>Core</v>
          </cell>
          <cell r="CU924">
            <v>1.0130999999999999</v>
          </cell>
          <cell r="CW924" t="str">
            <v>C14&amp;15</v>
          </cell>
          <cell r="CX924">
            <v>0.71430000000000005</v>
          </cell>
        </row>
        <row r="925">
          <cell r="CA925" t="str">
            <v>AHVP</v>
          </cell>
          <cell r="CB925" t="str">
            <v>Core</v>
          </cell>
          <cell r="CC925">
            <v>10</v>
          </cell>
          <cell r="CD925">
            <v>10</v>
          </cell>
          <cell r="CE925" t="str">
            <v>N/A</v>
          </cell>
          <cell r="CF925" t="str">
            <v>N/A</v>
          </cell>
          <cell r="CG925">
            <v>50</v>
          </cell>
          <cell r="CH925">
            <v>100</v>
          </cell>
          <cell r="CI925" t="str">
            <v>N/A</v>
          </cell>
          <cell r="CJ925" t="str">
            <v>$250 / $500</v>
          </cell>
          <cell r="CK925">
            <v>0.9</v>
          </cell>
          <cell r="CL925" t="str">
            <v>$1,250 / $2,500</v>
          </cell>
          <cell r="CM925" t="str">
            <v>$500 / $1,000</v>
          </cell>
          <cell r="CN925">
            <v>0.7</v>
          </cell>
          <cell r="CO925" t="str">
            <v>$2,500 / $5,000</v>
          </cell>
          <cell r="CP925" t="str">
            <v>Emb</v>
          </cell>
          <cell r="CS925" t="str">
            <v>INS</v>
          </cell>
          <cell r="CT925" t="str">
            <v>Core</v>
          </cell>
          <cell r="CU925">
            <v>0.91610000000000003</v>
          </cell>
          <cell r="CW925" t="str">
            <v>C14&amp;15</v>
          </cell>
          <cell r="CX925">
            <v>0.71709999999999996</v>
          </cell>
        </row>
        <row r="926">
          <cell r="CA926" t="str">
            <v>AHVQ</v>
          </cell>
          <cell r="CB926" t="str">
            <v>Core</v>
          </cell>
          <cell r="CC926">
            <v>15</v>
          </cell>
          <cell r="CD926">
            <v>15</v>
          </cell>
          <cell r="CE926" t="str">
            <v>N/A</v>
          </cell>
          <cell r="CF926" t="str">
            <v>N/A</v>
          </cell>
          <cell r="CG926">
            <v>50</v>
          </cell>
          <cell r="CH926">
            <v>100</v>
          </cell>
          <cell r="CI926" t="str">
            <v>N/A</v>
          </cell>
          <cell r="CJ926" t="str">
            <v>$250 / $500</v>
          </cell>
          <cell r="CK926">
            <v>0.9</v>
          </cell>
          <cell r="CL926" t="str">
            <v>$1,250 / $2,500</v>
          </cell>
          <cell r="CM926" t="str">
            <v>$500 / $1,000</v>
          </cell>
          <cell r="CN926">
            <v>0.7</v>
          </cell>
          <cell r="CO926" t="str">
            <v>$2,500 / $5,000</v>
          </cell>
          <cell r="CP926" t="str">
            <v>Emb</v>
          </cell>
          <cell r="CS926" t="str">
            <v>INS</v>
          </cell>
          <cell r="CT926" t="str">
            <v>Core</v>
          </cell>
          <cell r="CU926">
            <v>0.90990000000000004</v>
          </cell>
          <cell r="CW926" t="str">
            <v>C14&amp;15</v>
          </cell>
          <cell r="CX926">
            <v>0.71150000000000002</v>
          </cell>
        </row>
        <row r="927">
          <cell r="CA927" t="str">
            <v>AHVR</v>
          </cell>
          <cell r="CB927" t="str">
            <v>Core</v>
          </cell>
          <cell r="CC927">
            <v>10</v>
          </cell>
          <cell r="CD927">
            <v>10</v>
          </cell>
          <cell r="CE927" t="str">
            <v>N/A</v>
          </cell>
          <cell r="CF927" t="str">
            <v>N/A</v>
          </cell>
          <cell r="CG927">
            <v>50</v>
          </cell>
          <cell r="CH927">
            <v>100</v>
          </cell>
          <cell r="CI927" t="str">
            <v>N/A</v>
          </cell>
          <cell r="CJ927" t="str">
            <v>$250 / $500</v>
          </cell>
          <cell r="CK927">
            <v>0.9</v>
          </cell>
          <cell r="CL927" t="str">
            <v>$2,250 / $4,500</v>
          </cell>
          <cell r="CM927" t="str">
            <v>$500 / $1,000</v>
          </cell>
          <cell r="CN927">
            <v>0.7</v>
          </cell>
          <cell r="CO927" t="str">
            <v>$4,500 / $9,000</v>
          </cell>
          <cell r="CP927" t="str">
            <v>Emb</v>
          </cell>
          <cell r="CS927" t="str">
            <v>INS</v>
          </cell>
          <cell r="CT927" t="str">
            <v>Core</v>
          </cell>
          <cell r="CU927">
            <v>0.88300000000000001</v>
          </cell>
          <cell r="CW927" t="str">
            <v>C14&amp;15</v>
          </cell>
          <cell r="CX927">
            <v>0.70730000000000004</v>
          </cell>
        </row>
        <row r="928">
          <cell r="CA928" t="str">
            <v>AHVS</v>
          </cell>
          <cell r="CB928" t="str">
            <v>Core</v>
          </cell>
          <cell r="CC928">
            <v>15</v>
          </cell>
          <cell r="CD928">
            <v>15</v>
          </cell>
          <cell r="CE928" t="str">
            <v>N/A</v>
          </cell>
          <cell r="CF928" t="str">
            <v>N/A</v>
          </cell>
          <cell r="CG928">
            <v>50</v>
          </cell>
          <cell r="CH928">
            <v>100</v>
          </cell>
          <cell r="CI928" t="str">
            <v>N/A</v>
          </cell>
          <cell r="CJ928" t="str">
            <v>$250 / $500</v>
          </cell>
          <cell r="CK928">
            <v>0.9</v>
          </cell>
          <cell r="CL928" t="str">
            <v>$2,250 / $4,500</v>
          </cell>
          <cell r="CM928" t="str">
            <v>$500 / $1,000</v>
          </cell>
          <cell r="CN928">
            <v>0.7</v>
          </cell>
          <cell r="CO928" t="str">
            <v>$4,500 / $9,000</v>
          </cell>
          <cell r="CP928" t="str">
            <v>Emb</v>
          </cell>
          <cell r="CS928" t="str">
            <v>INS</v>
          </cell>
          <cell r="CT928" t="str">
            <v>Core</v>
          </cell>
          <cell r="CU928">
            <v>0.87570000000000003</v>
          </cell>
          <cell r="CW928" t="str">
            <v>C14&amp;15</v>
          </cell>
          <cell r="CX928">
            <v>0.70099999999999996</v>
          </cell>
        </row>
        <row r="929">
          <cell r="CA929" t="str">
            <v>AHVT</v>
          </cell>
          <cell r="CB929" t="str">
            <v>Core</v>
          </cell>
          <cell r="CC929">
            <v>10</v>
          </cell>
          <cell r="CD929">
            <v>10</v>
          </cell>
          <cell r="CE929" t="str">
            <v>N/A</v>
          </cell>
          <cell r="CF929" t="str">
            <v>N/A</v>
          </cell>
          <cell r="CG929">
            <v>50</v>
          </cell>
          <cell r="CH929">
            <v>100</v>
          </cell>
          <cell r="CI929" t="str">
            <v>N/A</v>
          </cell>
          <cell r="CJ929" t="str">
            <v>$500 / $1,000</v>
          </cell>
          <cell r="CK929">
            <v>0.9</v>
          </cell>
          <cell r="CL929" t="str">
            <v>$1,500 / $3,000</v>
          </cell>
          <cell r="CM929" t="str">
            <v>$1,000 / $2,000</v>
          </cell>
          <cell r="CN929">
            <v>0.7</v>
          </cell>
          <cell r="CO929" t="str">
            <v>$4,000 / $8,000</v>
          </cell>
          <cell r="CP929" t="str">
            <v>Emb</v>
          </cell>
          <cell r="CS929" t="str">
            <v>INS</v>
          </cell>
          <cell r="CT929" t="str">
            <v>Core</v>
          </cell>
          <cell r="CU929">
            <v>0.89129999999999998</v>
          </cell>
          <cell r="CW929" t="str">
            <v>C14&amp;15</v>
          </cell>
          <cell r="CX929">
            <v>0.70369999999999999</v>
          </cell>
        </row>
        <row r="930">
          <cell r="CA930" t="str">
            <v>AHVU</v>
          </cell>
          <cell r="CB930" t="str">
            <v>Core</v>
          </cell>
          <cell r="CC930">
            <v>20</v>
          </cell>
          <cell r="CD930">
            <v>20</v>
          </cell>
          <cell r="CE930" t="str">
            <v>N/A</v>
          </cell>
          <cell r="CF930" t="str">
            <v>N/A</v>
          </cell>
          <cell r="CG930">
            <v>50</v>
          </cell>
          <cell r="CH930">
            <v>75</v>
          </cell>
          <cell r="CI930" t="str">
            <v>N/A</v>
          </cell>
          <cell r="CJ930" t="str">
            <v>$250 / $500</v>
          </cell>
          <cell r="CK930">
            <v>0.9</v>
          </cell>
          <cell r="CL930" t="str">
            <v>$2,000 / $4,000</v>
          </cell>
          <cell r="CM930" t="str">
            <v>$1,000 / $2,000</v>
          </cell>
          <cell r="CN930">
            <v>0.6</v>
          </cell>
          <cell r="CO930" t="str">
            <v>$4,000 / $8,000</v>
          </cell>
          <cell r="CP930" t="str">
            <v>Emb</v>
          </cell>
          <cell r="CS930" t="str">
            <v>INS</v>
          </cell>
          <cell r="CT930" t="str">
            <v>Core</v>
          </cell>
          <cell r="CU930">
            <v>0.87490000000000001</v>
          </cell>
          <cell r="CW930" t="str">
            <v>C14&amp;15</v>
          </cell>
          <cell r="CX930">
            <v>0.69720000000000004</v>
          </cell>
        </row>
        <row r="931">
          <cell r="CA931" t="str">
            <v>AHVV</v>
          </cell>
          <cell r="CB931" t="str">
            <v>Core</v>
          </cell>
          <cell r="CC931">
            <v>15</v>
          </cell>
          <cell r="CD931">
            <v>15</v>
          </cell>
          <cell r="CE931" t="str">
            <v>N/A</v>
          </cell>
          <cell r="CF931" t="str">
            <v>N/A</v>
          </cell>
          <cell r="CG931">
            <v>50</v>
          </cell>
          <cell r="CH931">
            <v>100</v>
          </cell>
          <cell r="CI931" t="str">
            <v>N/A</v>
          </cell>
          <cell r="CJ931" t="str">
            <v>$500 / $1,000</v>
          </cell>
          <cell r="CK931">
            <v>0.8</v>
          </cell>
          <cell r="CL931" t="str">
            <v>$1,500 / $3,000</v>
          </cell>
          <cell r="CM931" t="str">
            <v>$1,000 / $2,000</v>
          </cell>
          <cell r="CN931">
            <v>0.6</v>
          </cell>
          <cell r="CO931" t="str">
            <v>$5,000 / $10,000</v>
          </cell>
          <cell r="CP931" t="str">
            <v>Emb</v>
          </cell>
          <cell r="CS931" t="str">
            <v>INS</v>
          </cell>
          <cell r="CT931" t="str">
            <v>Core</v>
          </cell>
          <cell r="CU931">
            <v>0.87929999999999997</v>
          </cell>
          <cell r="CW931" t="str">
            <v>C14&amp;15</v>
          </cell>
          <cell r="CX931">
            <v>0.69899999999999995</v>
          </cell>
        </row>
        <row r="932">
          <cell r="CA932" t="str">
            <v>AHVW</v>
          </cell>
          <cell r="CB932" t="str">
            <v>Core</v>
          </cell>
          <cell r="CC932">
            <v>15</v>
          </cell>
          <cell r="CD932">
            <v>15</v>
          </cell>
          <cell r="CE932" t="str">
            <v>N/A</v>
          </cell>
          <cell r="CF932" t="str">
            <v>N/A</v>
          </cell>
          <cell r="CG932">
            <v>50</v>
          </cell>
          <cell r="CH932">
            <v>100</v>
          </cell>
          <cell r="CI932" t="str">
            <v>N/A</v>
          </cell>
          <cell r="CJ932" t="str">
            <v>$500 / $1,000</v>
          </cell>
          <cell r="CK932">
            <v>0.9</v>
          </cell>
          <cell r="CL932" t="str">
            <v>$2,500 / $5,000</v>
          </cell>
          <cell r="CM932" t="str">
            <v>$1,000 / $2,000</v>
          </cell>
          <cell r="CN932">
            <v>0.7</v>
          </cell>
          <cell r="CO932" t="str">
            <v>$5,000 / $10,000</v>
          </cell>
          <cell r="CP932" t="str">
            <v>Emb</v>
          </cell>
          <cell r="CS932" t="str">
            <v>INS</v>
          </cell>
          <cell r="CT932" t="str">
            <v>Core</v>
          </cell>
          <cell r="CU932">
            <v>0.85189999999999999</v>
          </cell>
          <cell r="CW932" t="str">
            <v>C14&amp;15</v>
          </cell>
          <cell r="CX932">
            <v>0.68759999999999999</v>
          </cell>
        </row>
        <row r="933">
          <cell r="CA933" t="str">
            <v>AHVX</v>
          </cell>
          <cell r="CB933" t="str">
            <v>Core</v>
          </cell>
          <cell r="CC933">
            <v>15</v>
          </cell>
          <cell r="CD933">
            <v>15</v>
          </cell>
          <cell r="CE933" t="str">
            <v>N/A</v>
          </cell>
          <cell r="CF933" t="str">
            <v>N/A</v>
          </cell>
          <cell r="CG933">
            <v>50</v>
          </cell>
          <cell r="CH933">
            <v>100</v>
          </cell>
          <cell r="CI933" t="str">
            <v>N/A</v>
          </cell>
          <cell r="CJ933" t="str">
            <v>$250 / $500</v>
          </cell>
          <cell r="CK933">
            <v>0.8</v>
          </cell>
          <cell r="CL933" t="str">
            <v>$2,250 / $4,500</v>
          </cell>
          <cell r="CM933" t="str">
            <v>$500 / $1,000</v>
          </cell>
          <cell r="CN933">
            <v>0.6</v>
          </cell>
          <cell r="CO933" t="str">
            <v>$4,500 / $9,000</v>
          </cell>
          <cell r="CP933" t="str">
            <v>Emb</v>
          </cell>
          <cell r="CS933" t="str">
            <v>INS</v>
          </cell>
          <cell r="CT933" t="str">
            <v>Core</v>
          </cell>
          <cell r="CU933">
            <v>0.85240000000000005</v>
          </cell>
          <cell r="CW933" t="str">
            <v>C14&amp;15</v>
          </cell>
          <cell r="CX933">
            <v>0.69540000000000002</v>
          </cell>
        </row>
        <row r="934">
          <cell r="CA934" t="str">
            <v>AHVY</v>
          </cell>
          <cell r="CB934" t="str">
            <v>Core</v>
          </cell>
          <cell r="CC934">
            <v>20</v>
          </cell>
          <cell r="CD934">
            <v>20</v>
          </cell>
          <cell r="CE934" t="str">
            <v>N/A</v>
          </cell>
          <cell r="CF934" t="str">
            <v>N/A</v>
          </cell>
          <cell r="CG934">
            <v>50</v>
          </cell>
          <cell r="CH934">
            <v>100</v>
          </cell>
          <cell r="CI934" t="str">
            <v>N/A</v>
          </cell>
          <cell r="CJ934" t="str">
            <v>$500 / $1,000</v>
          </cell>
          <cell r="CK934">
            <v>0.9</v>
          </cell>
          <cell r="CL934" t="str">
            <v>$2,000 / $4,000</v>
          </cell>
          <cell r="CM934" t="str">
            <v>$1,000 / $2,000</v>
          </cell>
          <cell r="CN934">
            <v>0.6</v>
          </cell>
          <cell r="CO934" t="str">
            <v>$4,000 / $8,000</v>
          </cell>
          <cell r="CP934" t="str">
            <v>Emb</v>
          </cell>
          <cell r="CS934" t="str">
            <v>INS</v>
          </cell>
          <cell r="CT934" t="str">
            <v>Core</v>
          </cell>
          <cell r="CU934">
            <v>0.85740000000000005</v>
          </cell>
          <cell r="CW934" t="str">
            <v>C14&amp;15</v>
          </cell>
          <cell r="CX934">
            <v>0.68510000000000004</v>
          </cell>
        </row>
        <row r="935">
          <cell r="CA935" t="str">
            <v>AHVZ</v>
          </cell>
          <cell r="CB935" t="str">
            <v>Core</v>
          </cell>
          <cell r="CC935">
            <v>20</v>
          </cell>
          <cell r="CD935">
            <v>20</v>
          </cell>
          <cell r="CE935" t="str">
            <v>N/A</v>
          </cell>
          <cell r="CF935" t="str">
            <v>$250 POD</v>
          </cell>
          <cell r="CG935">
            <v>125</v>
          </cell>
          <cell r="CH935">
            <v>250</v>
          </cell>
          <cell r="CI935" t="str">
            <v>N/A</v>
          </cell>
          <cell r="CJ935" t="str">
            <v>$250 / $500</v>
          </cell>
          <cell r="CK935">
            <v>0.9</v>
          </cell>
          <cell r="CL935" t="str">
            <v>$2,500 / $5,000</v>
          </cell>
          <cell r="CM935" t="str">
            <v>$250 / $500</v>
          </cell>
          <cell r="CN935">
            <v>0.7</v>
          </cell>
          <cell r="CO935" t="str">
            <v>$10,000 / $20,000</v>
          </cell>
          <cell r="CP935" t="str">
            <v>Emb</v>
          </cell>
          <cell r="CS935" t="str">
            <v>INS</v>
          </cell>
          <cell r="CT935" t="str">
            <v>Core</v>
          </cell>
          <cell r="CU935">
            <v>0.85089999999999999</v>
          </cell>
          <cell r="CW935" t="str">
            <v>C14&amp;15</v>
          </cell>
          <cell r="CX935">
            <v>0.68910000000000005</v>
          </cell>
        </row>
        <row r="936">
          <cell r="CA936" t="str">
            <v>AHW1</v>
          </cell>
          <cell r="CB936" t="str">
            <v>Core HRA</v>
          </cell>
          <cell r="CC936" t="str">
            <v>N/A</v>
          </cell>
          <cell r="CD936" t="str">
            <v>N/A</v>
          </cell>
          <cell r="CE936" t="str">
            <v>N/A</v>
          </cell>
          <cell r="CF936" t="str">
            <v>N/A</v>
          </cell>
          <cell r="CG936" t="str">
            <v>N/A</v>
          </cell>
          <cell r="CH936" t="str">
            <v>N/A</v>
          </cell>
          <cell r="CI936" t="str">
            <v>N/A</v>
          </cell>
          <cell r="CJ936" t="str">
            <v>$2,000 / $4,000</v>
          </cell>
          <cell r="CK936">
            <v>0.9</v>
          </cell>
          <cell r="CL936" t="str">
            <v>$4,000 / $8,000</v>
          </cell>
          <cell r="CM936" t="str">
            <v>$4,000 / $8,000</v>
          </cell>
          <cell r="CN936">
            <v>0.7</v>
          </cell>
          <cell r="CO936" t="str">
            <v>$8,000 / $16,000</v>
          </cell>
          <cell r="CP936" t="str">
            <v>Emb</v>
          </cell>
          <cell r="CS936" t="str">
            <v>INS</v>
          </cell>
          <cell r="CT936" t="str">
            <v>Core</v>
          </cell>
          <cell r="CU936">
            <v>0.62519999999999998</v>
          </cell>
          <cell r="CW936" t="str">
            <v>CNHRA14&amp;15</v>
          </cell>
          <cell r="CX936">
            <v>0.58050000000000002</v>
          </cell>
        </row>
        <row r="937">
          <cell r="CA937" t="str">
            <v>AHW2</v>
          </cell>
          <cell r="CB937" t="str">
            <v>Core HRA</v>
          </cell>
          <cell r="CC937" t="str">
            <v>N/A</v>
          </cell>
          <cell r="CD937" t="str">
            <v>N/A</v>
          </cell>
          <cell r="CE937" t="str">
            <v>N/A</v>
          </cell>
          <cell r="CF937" t="str">
            <v>N/A</v>
          </cell>
          <cell r="CG937" t="str">
            <v>N/A</v>
          </cell>
          <cell r="CH937" t="str">
            <v>N/A</v>
          </cell>
          <cell r="CI937" t="str">
            <v>N/A</v>
          </cell>
          <cell r="CJ937" t="str">
            <v>$3,000 / $6,000</v>
          </cell>
          <cell r="CK937">
            <v>0.8</v>
          </cell>
          <cell r="CL937" t="str">
            <v>$4,000 / $8,000</v>
          </cell>
          <cell r="CM937" t="str">
            <v>$5,000 / $10,000</v>
          </cell>
          <cell r="CN937">
            <v>0.6</v>
          </cell>
          <cell r="CO937" t="str">
            <v>$6,000 / $12,000</v>
          </cell>
          <cell r="CP937" t="str">
            <v>Emb</v>
          </cell>
          <cell r="CS937" t="str">
            <v>INS</v>
          </cell>
          <cell r="CT937" t="str">
            <v>Core</v>
          </cell>
          <cell r="CU937">
            <v>0.67169999999999996</v>
          </cell>
          <cell r="CV937" t="str">
            <v>H9-HRA</v>
          </cell>
          <cell r="CW937" t="str">
            <v>CHRA14&amp;15</v>
          </cell>
          <cell r="CX937">
            <v>0.70379999999999998</v>
          </cell>
        </row>
        <row r="938">
          <cell r="CA938" t="str">
            <v>AHW3</v>
          </cell>
          <cell r="CB938" t="str">
            <v>Core HRA</v>
          </cell>
          <cell r="CC938" t="str">
            <v>N/A</v>
          </cell>
          <cell r="CD938" t="str">
            <v>N/A</v>
          </cell>
          <cell r="CE938" t="str">
            <v>N/A</v>
          </cell>
          <cell r="CF938" t="str">
            <v>N/A</v>
          </cell>
          <cell r="CG938" t="str">
            <v>N/A</v>
          </cell>
          <cell r="CH938" t="str">
            <v>N/A</v>
          </cell>
          <cell r="CI938" t="str">
            <v>N/A</v>
          </cell>
          <cell r="CJ938" t="str">
            <v>$2,500 / $5,000</v>
          </cell>
          <cell r="CK938">
            <v>0.8</v>
          </cell>
          <cell r="CL938" t="str">
            <v>$5,000 / $10,000</v>
          </cell>
          <cell r="CM938" t="str">
            <v>$6,000 / $12,000</v>
          </cell>
          <cell r="CN938">
            <v>0.6</v>
          </cell>
          <cell r="CO938" t="str">
            <v>$10,000 / $20,000</v>
          </cell>
          <cell r="CP938" t="str">
            <v>Emb</v>
          </cell>
          <cell r="CS938" t="str">
            <v>INS</v>
          </cell>
          <cell r="CT938" t="str">
            <v>Core</v>
          </cell>
          <cell r="CU938">
            <v>0.66190000000000004</v>
          </cell>
          <cell r="CV938" t="str">
            <v>H9-HRA</v>
          </cell>
          <cell r="CW938" t="str">
            <v>CHRA14&amp;15</v>
          </cell>
          <cell r="CX938">
            <v>0.70230000000000004</v>
          </cell>
        </row>
        <row r="939">
          <cell r="CA939" t="str">
            <v>AHW4</v>
          </cell>
          <cell r="CB939" t="str">
            <v>Core HRA</v>
          </cell>
          <cell r="CC939" t="str">
            <v>N/A</v>
          </cell>
          <cell r="CD939" t="str">
            <v>N/A</v>
          </cell>
          <cell r="CE939" t="str">
            <v>N/A</v>
          </cell>
          <cell r="CF939" t="str">
            <v>N/A</v>
          </cell>
          <cell r="CG939" t="str">
            <v>N/A</v>
          </cell>
          <cell r="CH939" t="str">
            <v>N/A</v>
          </cell>
          <cell r="CI939" t="str">
            <v>N/A</v>
          </cell>
          <cell r="CJ939" t="str">
            <v>$3,000 / $6,000</v>
          </cell>
          <cell r="CK939">
            <v>0.9</v>
          </cell>
          <cell r="CL939" t="str">
            <v>$5,000 / $10,000</v>
          </cell>
          <cell r="CM939" t="str">
            <v>$5,000 / $10,000</v>
          </cell>
          <cell r="CN939">
            <v>0.7</v>
          </cell>
          <cell r="CO939" t="str">
            <v>$10,000 / $20,000</v>
          </cell>
          <cell r="CP939" t="str">
            <v>Emb</v>
          </cell>
          <cell r="CS939" t="str">
            <v>INS</v>
          </cell>
          <cell r="CT939" t="str">
            <v>Core</v>
          </cell>
          <cell r="CU939">
            <v>0.65710000000000002</v>
          </cell>
          <cell r="CV939" t="str">
            <v>H9-HRA</v>
          </cell>
          <cell r="CW939" t="str">
            <v>CHRA14&amp;15</v>
          </cell>
          <cell r="CX939">
            <v>0.69389999999999996</v>
          </cell>
        </row>
        <row r="940">
          <cell r="CA940" t="str">
            <v>AHW7</v>
          </cell>
          <cell r="CB940" t="str">
            <v>Core HSA</v>
          </cell>
          <cell r="CC940" t="str">
            <v>N/A</v>
          </cell>
          <cell r="CD940" t="str">
            <v>N/A</v>
          </cell>
          <cell r="CE940" t="str">
            <v>N/A</v>
          </cell>
          <cell r="CF940" t="str">
            <v>N/A</v>
          </cell>
          <cell r="CG940" t="str">
            <v>N/A</v>
          </cell>
          <cell r="CH940" t="str">
            <v>N/A</v>
          </cell>
          <cell r="CI940" t="str">
            <v>N/A</v>
          </cell>
          <cell r="CJ940" t="str">
            <v>$3,000 / $6,000</v>
          </cell>
          <cell r="CK940">
            <v>1</v>
          </cell>
          <cell r="CL940" t="str">
            <v>$4,000 / $8,000</v>
          </cell>
          <cell r="CM940" t="str">
            <v>$5,000 / $10,000</v>
          </cell>
          <cell r="CN940">
            <v>0.8</v>
          </cell>
          <cell r="CO940" t="str">
            <v>$6,000 / $12,000</v>
          </cell>
          <cell r="CP940" t="str">
            <v>Emb</v>
          </cell>
          <cell r="CS940" t="str">
            <v>INS</v>
          </cell>
          <cell r="CT940" t="str">
            <v>Core</v>
          </cell>
          <cell r="CU940">
            <v>0.73309999999999997</v>
          </cell>
          <cell r="CV940" t="str">
            <v>H9-HSA</v>
          </cell>
          <cell r="CW940" t="str">
            <v>CHSA14&amp;15</v>
          </cell>
          <cell r="CX940">
            <v>0.71699999999999997</v>
          </cell>
        </row>
        <row r="941">
          <cell r="CA941" t="str">
            <v>AHWA</v>
          </cell>
          <cell r="CB941" t="str">
            <v>Core</v>
          </cell>
          <cell r="CC941">
            <v>30</v>
          </cell>
          <cell r="CD941">
            <v>30</v>
          </cell>
          <cell r="CE941" t="str">
            <v>N/A</v>
          </cell>
          <cell r="CF941" t="str">
            <v>$500 POD</v>
          </cell>
          <cell r="CG941">
            <v>125</v>
          </cell>
          <cell r="CH941">
            <v>250</v>
          </cell>
          <cell r="CI941" t="str">
            <v>N/A</v>
          </cell>
          <cell r="CJ941" t="str">
            <v>$500 / $1,000</v>
          </cell>
          <cell r="CK941">
            <v>0.8</v>
          </cell>
          <cell r="CL941" t="str">
            <v>$5,000 / $10,000</v>
          </cell>
          <cell r="CM941" t="str">
            <v>$500 / $1,000</v>
          </cell>
          <cell r="CN941">
            <v>0.6</v>
          </cell>
          <cell r="CO941" t="str">
            <v>$10,000 / $20,000</v>
          </cell>
          <cell r="CP941" t="str">
            <v>Emb</v>
          </cell>
          <cell r="CS941" t="str">
            <v>INS</v>
          </cell>
          <cell r="CT941" t="str">
            <v>Core</v>
          </cell>
          <cell r="CU941">
            <v>0.74429999999999996</v>
          </cell>
          <cell r="CW941" t="str">
            <v>C14&amp;15</v>
          </cell>
          <cell r="CX941">
            <v>0.64429999999999998</v>
          </cell>
        </row>
        <row r="942">
          <cell r="CA942" t="str">
            <v>AHWB</v>
          </cell>
          <cell r="CB942" t="str">
            <v>Core</v>
          </cell>
          <cell r="CC942">
            <v>20</v>
          </cell>
          <cell r="CD942">
            <v>20</v>
          </cell>
          <cell r="CE942" t="str">
            <v>N/A</v>
          </cell>
          <cell r="CF942" t="str">
            <v>$250 POD</v>
          </cell>
          <cell r="CG942">
            <v>125</v>
          </cell>
          <cell r="CH942">
            <v>250</v>
          </cell>
          <cell r="CI942" t="str">
            <v>N/A</v>
          </cell>
          <cell r="CJ942" t="str">
            <v>$500 / $1,000</v>
          </cell>
          <cell r="CK942">
            <v>0.7</v>
          </cell>
          <cell r="CL942" t="str">
            <v>$4,500 / $9,000</v>
          </cell>
          <cell r="CM942" t="str">
            <v>$1,000 / $2,000</v>
          </cell>
          <cell r="CN942">
            <v>0.5</v>
          </cell>
          <cell r="CO942" t="str">
            <v>$9,000 / $18,000</v>
          </cell>
          <cell r="CP942" t="str">
            <v>Emb</v>
          </cell>
          <cell r="CS942" t="str">
            <v>INS</v>
          </cell>
          <cell r="CT942" t="str">
            <v>Core</v>
          </cell>
          <cell r="CU942">
            <v>0.74080000000000001</v>
          </cell>
          <cell r="CW942" t="str">
            <v>C14&amp;15</v>
          </cell>
          <cell r="CX942">
            <v>0.65110000000000001</v>
          </cell>
        </row>
        <row r="943">
          <cell r="CA943" t="str">
            <v>AHWC</v>
          </cell>
          <cell r="CB943" t="str">
            <v>Core</v>
          </cell>
          <cell r="CC943">
            <v>15</v>
          </cell>
          <cell r="CD943">
            <v>15</v>
          </cell>
          <cell r="CE943" t="str">
            <v>N/A</v>
          </cell>
          <cell r="CF943" t="str">
            <v>N/A</v>
          </cell>
          <cell r="CG943">
            <v>50</v>
          </cell>
          <cell r="CH943">
            <v>100</v>
          </cell>
          <cell r="CI943" t="str">
            <v>N/A</v>
          </cell>
          <cell r="CJ943" t="str">
            <v>$1,000 / $2,000</v>
          </cell>
          <cell r="CK943">
            <v>0.9</v>
          </cell>
          <cell r="CL943" t="str">
            <v>$3,000 / $6,000</v>
          </cell>
          <cell r="CM943" t="str">
            <v>$2,000 / $4,000</v>
          </cell>
          <cell r="CN943">
            <v>0.7</v>
          </cell>
          <cell r="CO943" t="str">
            <v>$6,000 / $12,000</v>
          </cell>
          <cell r="CP943" t="str">
            <v>Emb</v>
          </cell>
          <cell r="CS943" t="str">
            <v>INS</v>
          </cell>
          <cell r="CT943" t="str">
            <v>Core</v>
          </cell>
          <cell r="CU943">
            <v>0.81200000000000006</v>
          </cell>
          <cell r="CW943" t="str">
            <v>C14&amp;15</v>
          </cell>
          <cell r="CX943">
            <v>0.66749999999999998</v>
          </cell>
        </row>
        <row r="944">
          <cell r="CA944" t="str">
            <v>AHWD</v>
          </cell>
          <cell r="CB944" t="str">
            <v>Core</v>
          </cell>
          <cell r="CC944">
            <v>25</v>
          </cell>
          <cell r="CD944">
            <v>25</v>
          </cell>
          <cell r="CE944" t="str">
            <v>N/A</v>
          </cell>
          <cell r="CF944" t="str">
            <v>N/A</v>
          </cell>
          <cell r="CG944">
            <v>125</v>
          </cell>
          <cell r="CH944">
            <v>250</v>
          </cell>
          <cell r="CI944" t="str">
            <v>N/A</v>
          </cell>
          <cell r="CJ944" t="str">
            <v>$1,000 / $2,000</v>
          </cell>
          <cell r="CK944">
            <v>0.9</v>
          </cell>
          <cell r="CL944" t="str">
            <v>$2,000 / $4,000</v>
          </cell>
          <cell r="CM944" t="str">
            <v>$2,000 / $4,000</v>
          </cell>
          <cell r="CN944">
            <v>0.6</v>
          </cell>
          <cell r="CO944" t="str">
            <v>$4,000 / $8,000</v>
          </cell>
          <cell r="CP944" t="str">
            <v>Emb</v>
          </cell>
          <cell r="CS944" t="str">
            <v>INS</v>
          </cell>
          <cell r="CT944" t="str">
            <v>Core</v>
          </cell>
          <cell r="CU944">
            <v>0.82250000000000001</v>
          </cell>
          <cell r="CW944" t="str">
            <v>C14&amp;15</v>
          </cell>
          <cell r="CX944">
            <v>0.66259999999999997</v>
          </cell>
        </row>
        <row r="945">
          <cell r="CA945" t="str">
            <v>AHWE</v>
          </cell>
          <cell r="CB945" t="str">
            <v>Core</v>
          </cell>
          <cell r="CC945">
            <v>15</v>
          </cell>
          <cell r="CD945">
            <v>15</v>
          </cell>
          <cell r="CE945" t="str">
            <v>N/A</v>
          </cell>
          <cell r="CF945" t="str">
            <v>N/A</v>
          </cell>
          <cell r="CG945">
            <v>50</v>
          </cell>
          <cell r="CH945">
            <v>100</v>
          </cell>
          <cell r="CI945" t="str">
            <v>N/A</v>
          </cell>
          <cell r="CJ945" t="str">
            <v>$1,500 / $3,000</v>
          </cell>
          <cell r="CK945">
            <v>0.9</v>
          </cell>
          <cell r="CL945" t="str">
            <v>$3,500 / $7,000</v>
          </cell>
          <cell r="CM945" t="str">
            <v>$3,000 / $6,000</v>
          </cell>
          <cell r="CN945">
            <v>0.7</v>
          </cell>
          <cell r="CO945" t="str">
            <v>$7,000 / $14,000</v>
          </cell>
          <cell r="CP945" t="str">
            <v>Emb</v>
          </cell>
          <cell r="CS945" t="str">
            <v>INS</v>
          </cell>
          <cell r="CT945" t="str">
            <v>Core</v>
          </cell>
          <cell r="CU945">
            <v>0.77810000000000001</v>
          </cell>
          <cell r="CW945" t="str">
            <v>C14&amp;15</v>
          </cell>
          <cell r="CX945">
            <v>0.65169999999999995</v>
          </cell>
        </row>
        <row r="946">
          <cell r="CA946" t="str">
            <v>AHWG</v>
          </cell>
          <cell r="CB946" t="str">
            <v>Core</v>
          </cell>
          <cell r="CC946">
            <v>25</v>
          </cell>
          <cell r="CD946">
            <v>25</v>
          </cell>
          <cell r="CE946" t="str">
            <v>N/A</v>
          </cell>
          <cell r="CF946" t="str">
            <v>N/A</v>
          </cell>
          <cell r="CG946">
            <v>50</v>
          </cell>
          <cell r="CH946">
            <v>100</v>
          </cell>
          <cell r="CI946" t="str">
            <v>N/A</v>
          </cell>
          <cell r="CJ946" t="str">
            <v>$1,000 / $2,000</v>
          </cell>
          <cell r="CK946">
            <v>0.8</v>
          </cell>
          <cell r="CL946" t="str">
            <v>$3,000 / $6,000</v>
          </cell>
          <cell r="CM946" t="str">
            <v>$2,000 / $4,000</v>
          </cell>
          <cell r="CN946">
            <v>0.6</v>
          </cell>
          <cell r="CO946" t="str">
            <v>$10,000 / $20,000</v>
          </cell>
          <cell r="CP946" t="str">
            <v>Emb</v>
          </cell>
          <cell r="CS946" t="str">
            <v>INS</v>
          </cell>
          <cell r="CT946" t="str">
            <v>Core</v>
          </cell>
          <cell r="CU946">
            <v>0.77880000000000005</v>
          </cell>
          <cell r="CW946" t="str">
            <v>C14&amp;15</v>
          </cell>
          <cell r="CX946">
            <v>0.65259999999999996</v>
          </cell>
        </row>
        <row r="947">
          <cell r="CA947" t="str">
            <v>AHWH</v>
          </cell>
          <cell r="CB947" t="str">
            <v>Core</v>
          </cell>
          <cell r="CC947">
            <v>35</v>
          </cell>
          <cell r="CD947">
            <v>35</v>
          </cell>
          <cell r="CE947" t="str">
            <v>N/A</v>
          </cell>
          <cell r="CF947" t="str">
            <v>N/A</v>
          </cell>
          <cell r="CG947">
            <v>125</v>
          </cell>
          <cell r="CH947">
            <v>250</v>
          </cell>
          <cell r="CI947" t="str">
            <v>N/A</v>
          </cell>
          <cell r="CJ947" t="str">
            <v>$750 / $1,500</v>
          </cell>
          <cell r="CK947">
            <v>0.8</v>
          </cell>
          <cell r="CL947" t="str">
            <v>$2,500 / $5,000</v>
          </cell>
          <cell r="CM947" t="str">
            <v>$1,500 / $3,000</v>
          </cell>
          <cell r="CN947">
            <v>0.6</v>
          </cell>
          <cell r="CO947" t="str">
            <v>$5,000 / $10,000</v>
          </cell>
          <cell r="CP947" t="str">
            <v>Emb</v>
          </cell>
          <cell r="CS947" t="str">
            <v>INS</v>
          </cell>
          <cell r="CT947" t="str">
            <v>Core</v>
          </cell>
          <cell r="CU947">
            <v>0.78659999999999997</v>
          </cell>
          <cell r="CW947" t="str">
            <v>C14&amp;15</v>
          </cell>
          <cell r="CX947">
            <v>0.65049999999999997</v>
          </cell>
        </row>
        <row r="948">
          <cell r="CA948" t="str">
            <v>AHWJ</v>
          </cell>
          <cell r="CB948" t="str">
            <v>Core</v>
          </cell>
          <cell r="CC948">
            <v>30</v>
          </cell>
          <cell r="CD948">
            <v>30</v>
          </cell>
          <cell r="CE948" t="str">
            <v>N/A</v>
          </cell>
          <cell r="CF948" t="str">
            <v>N/A</v>
          </cell>
          <cell r="CG948">
            <v>50</v>
          </cell>
          <cell r="CH948">
            <v>150</v>
          </cell>
          <cell r="CI948" t="str">
            <v>N/A</v>
          </cell>
          <cell r="CJ948" t="str">
            <v>$1,000 / $2,000</v>
          </cell>
          <cell r="CK948">
            <v>0.8</v>
          </cell>
          <cell r="CL948" t="str">
            <v>$4,000 / $8,000</v>
          </cell>
          <cell r="CM948" t="str">
            <v>$2,000 / $4,000</v>
          </cell>
          <cell r="CN948">
            <v>0.6</v>
          </cell>
          <cell r="CO948" t="str">
            <v>$10,000 / $20,000</v>
          </cell>
          <cell r="CP948" t="str">
            <v>Emb</v>
          </cell>
          <cell r="CS948" t="str">
            <v>INS</v>
          </cell>
          <cell r="CT948" t="str">
            <v>Core</v>
          </cell>
          <cell r="CU948">
            <v>0.7429</v>
          </cell>
          <cell r="CW948" t="str">
            <v>C14&amp;15</v>
          </cell>
          <cell r="CX948">
            <v>0.63580000000000003</v>
          </cell>
        </row>
        <row r="949">
          <cell r="CA949" t="str">
            <v>AHWK</v>
          </cell>
          <cell r="CB949" t="str">
            <v>Core</v>
          </cell>
          <cell r="CC949">
            <v>20</v>
          </cell>
          <cell r="CD949">
            <v>20</v>
          </cell>
          <cell r="CE949" t="str">
            <v>N/A</v>
          </cell>
          <cell r="CF949" t="str">
            <v>N/A</v>
          </cell>
          <cell r="CG949">
            <v>50</v>
          </cell>
          <cell r="CH949">
            <v>100</v>
          </cell>
          <cell r="CI949" t="str">
            <v>N/A</v>
          </cell>
          <cell r="CJ949" t="str">
            <v>$1,500 / $3,500</v>
          </cell>
          <cell r="CK949">
            <v>0.8</v>
          </cell>
          <cell r="CL949" t="str">
            <v>$4,500 / $9,000</v>
          </cell>
          <cell r="CM949" t="str">
            <v>$3,000 / $6,000</v>
          </cell>
          <cell r="CN949">
            <v>0.6</v>
          </cell>
          <cell r="CO949" t="str">
            <v>$9,000 / $18,000</v>
          </cell>
          <cell r="CP949" t="str">
            <v>Emb</v>
          </cell>
          <cell r="CS949" t="str">
            <v>INS</v>
          </cell>
          <cell r="CT949" t="str">
            <v>Core</v>
          </cell>
          <cell r="CU949">
            <v>0.73319999999999996</v>
          </cell>
          <cell r="CW949" t="str">
            <v>C14&amp;15</v>
          </cell>
          <cell r="CX949">
            <v>0.63519999999999999</v>
          </cell>
        </row>
        <row r="950">
          <cell r="CA950" t="str">
            <v>AHWM</v>
          </cell>
          <cell r="CB950" t="str">
            <v>Core</v>
          </cell>
          <cell r="CC950">
            <v>25</v>
          </cell>
          <cell r="CD950">
            <v>25</v>
          </cell>
          <cell r="CE950" t="str">
            <v>N/A</v>
          </cell>
          <cell r="CF950" t="str">
            <v>N/A</v>
          </cell>
          <cell r="CG950">
            <v>125</v>
          </cell>
          <cell r="CH950">
            <v>250</v>
          </cell>
          <cell r="CI950" t="str">
            <v>N/A</v>
          </cell>
          <cell r="CJ950" t="str">
            <v>$1,000 / $2,000</v>
          </cell>
          <cell r="CK950">
            <v>0.7</v>
          </cell>
          <cell r="CL950" t="str">
            <v>$4,000 / $8,000</v>
          </cell>
          <cell r="CM950" t="str">
            <v>$2,000 / $4,000</v>
          </cell>
          <cell r="CN950">
            <v>0.5</v>
          </cell>
          <cell r="CO950" t="str">
            <v>$10,000 / $20,000</v>
          </cell>
          <cell r="CP950" t="str">
            <v>Emb</v>
          </cell>
          <cell r="CS950" t="str">
            <v>INS</v>
          </cell>
          <cell r="CT950" t="str">
            <v>Core</v>
          </cell>
          <cell r="CU950">
            <v>0.73009999999999997</v>
          </cell>
          <cell r="CW950" t="str">
            <v>C14&amp;15</v>
          </cell>
          <cell r="CX950">
            <v>0.63619999999999999</v>
          </cell>
        </row>
        <row r="951">
          <cell r="CA951" t="str">
            <v>AHWN</v>
          </cell>
          <cell r="CB951" t="str">
            <v>Core</v>
          </cell>
          <cell r="CC951">
            <v>30</v>
          </cell>
          <cell r="CD951">
            <v>30</v>
          </cell>
          <cell r="CE951" t="str">
            <v>N/A</v>
          </cell>
          <cell r="CF951" t="str">
            <v>N/A</v>
          </cell>
          <cell r="CG951">
            <v>125</v>
          </cell>
          <cell r="CH951">
            <v>250</v>
          </cell>
          <cell r="CI951" t="str">
            <v>N/A</v>
          </cell>
          <cell r="CJ951" t="str">
            <v>$1,500 / $3,000</v>
          </cell>
          <cell r="CK951">
            <v>0.8</v>
          </cell>
          <cell r="CL951" t="str">
            <v>$4,000 / $8,000</v>
          </cell>
          <cell r="CM951" t="str">
            <v>$3,000 / $6,000</v>
          </cell>
          <cell r="CN951">
            <v>0.5</v>
          </cell>
          <cell r="CO951" t="str">
            <v>$8,000 / $16,000</v>
          </cell>
          <cell r="CP951" t="str">
            <v>Emb</v>
          </cell>
          <cell r="CS951" t="str">
            <v>INS</v>
          </cell>
          <cell r="CT951" t="str">
            <v>Core</v>
          </cell>
          <cell r="CU951">
            <v>0.72350000000000003</v>
          </cell>
          <cell r="CW951" t="str">
            <v>C14&amp;15</v>
          </cell>
          <cell r="CX951">
            <v>0.62260000000000004</v>
          </cell>
        </row>
        <row r="952">
          <cell r="CA952" t="str">
            <v>AHWR</v>
          </cell>
          <cell r="CB952" t="str">
            <v>Core HRA</v>
          </cell>
          <cell r="CC952" t="str">
            <v>N/A</v>
          </cell>
          <cell r="CD952" t="str">
            <v>N/A</v>
          </cell>
          <cell r="CE952" t="str">
            <v>N/A</v>
          </cell>
          <cell r="CF952" t="str">
            <v>N/A</v>
          </cell>
          <cell r="CG952" t="str">
            <v>N/A</v>
          </cell>
          <cell r="CH952" t="str">
            <v>N/A</v>
          </cell>
          <cell r="CI952" t="str">
            <v>N/A</v>
          </cell>
          <cell r="CJ952" t="str">
            <v>$1,500 / $3,000</v>
          </cell>
          <cell r="CK952">
            <v>1</v>
          </cell>
          <cell r="CL952" t="str">
            <v>$2,500 / $5,000</v>
          </cell>
          <cell r="CM952" t="str">
            <v>$3,500 / $7,000</v>
          </cell>
          <cell r="CN952">
            <v>0.8</v>
          </cell>
          <cell r="CO952" t="str">
            <v>$4,500 / $9,000</v>
          </cell>
          <cell r="CP952" t="str">
            <v>Emb</v>
          </cell>
          <cell r="CS952" t="str">
            <v>INS</v>
          </cell>
          <cell r="CT952" t="str">
            <v>Core</v>
          </cell>
          <cell r="CU952">
            <v>0.91849999999999998</v>
          </cell>
          <cell r="CV952" t="str">
            <v>H9-HRA</v>
          </cell>
          <cell r="CW952" t="str">
            <v>CHRA14&amp;15</v>
          </cell>
          <cell r="CX952">
            <v>0.8125</v>
          </cell>
        </row>
        <row r="953">
          <cell r="CA953" t="str">
            <v>AHWS</v>
          </cell>
          <cell r="CB953" t="str">
            <v>Core HRA</v>
          </cell>
          <cell r="CC953" t="str">
            <v>N/A</v>
          </cell>
          <cell r="CD953" t="str">
            <v>N/A</v>
          </cell>
          <cell r="CE953" t="str">
            <v>N/A</v>
          </cell>
          <cell r="CF953" t="str">
            <v>N/A</v>
          </cell>
          <cell r="CG953" t="str">
            <v>N/A</v>
          </cell>
          <cell r="CH953" t="str">
            <v>N/A</v>
          </cell>
          <cell r="CI953" t="str">
            <v>N/A</v>
          </cell>
          <cell r="CJ953" t="str">
            <v>$1,000 / $2,000</v>
          </cell>
          <cell r="CK953">
            <v>0.8</v>
          </cell>
          <cell r="CL953" t="str">
            <v>$2,000 / $4,000</v>
          </cell>
          <cell r="CM953" t="str">
            <v>$2,000 / $4,000</v>
          </cell>
          <cell r="CN953">
            <v>0.6</v>
          </cell>
          <cell r="CO953" t="str">
            <v>$4,000 / $8,000</v>
          </cell>
          <cell r="CP953" t="str">
            <v>Emb</v>
          </cell>
          <cell r="CS953" t="str">
            <v>INS</v>
          </cell>
          <cell r="CT953" t="str">
            <v>Core</v>
          </cell>
          <cell r="CU953">
            <v>0.86260000000000003</v>
          </cell>
          <cell r="CV953" t="str">
            <v>H9-HRA</v>
          </cell>
          <cell r="CW953" t="str">
            <v>CHRA14&amp;15</v>
          </cell>
          <cell r="CX953">
            <v>0.83130000000000004</v>
          </cell>
        </row>
        <row r="954">
          <cell r="CA954" t="str">
            <v>AHWT</v>
          </cell>
          <cell r="CB954" t="str">
            <v>Core HRA</v>
          </cell>
          <cell r="CC954" t="str">
            <v>N/A</v>
          </cell>
          <cell r="CD954" t="str">
            <v>N/A</v>
          </cell>
          <cell r="CE954" t="str">
            <v>N/A</v>
          </cell>
          <cell r="CF954" t="str">
            <v>N/A</v>
          </cell>
          <cell r="CG954" t="str">
            <v>N/A</v>
          </cell>
          <cell r="CH954" t="str">
            <v>N/A</v>
          </cell>
          <cell r="CI954" t="str">
            <v>N/A</v>
          </cell>
          <cell r="CJ954" t="str">
            <v>$3,000 / $6,000</v>
          </cell>
          <cell r="CK954">
            <v>1</v>
          </cell>
          <cell r="CL954" t="str">
            <v>$4,000 / $8,000</v>
          </cell>
          <cell r="CM954" t="str">
            <v>$5,000 / $10,000</v>
          </cell>
          <cell r="CN954">
            <v>0.8</v>
          </cell>
          <cell r="CO954" t="str">
            <v>$6,000 / $12,000</v>
          </cell>
          <cell r="CP954" t="str">
            <v>Emb</v>
          </cell>
          <cell r="CS954" t="str">
            <v>INS</v>
          </cell>
          <cell r="CT954" t="str">
            <v>Core</v>
          </cell>
          <cell r="CU954">
            <v>0.76239999999999997</v>
          </cell>
          <cell r="CV954" t="str">
            <v>H9-HRA</v>
          </cell>
          <cell r="CW954" t="str">
            <v>CHRA14&amp;15</v>
          </cell>
          <cell r="CX954">
            <v>0.71699999999999997</v>
          </cell>
        </row>
        <row r="955">
          <cell r="CA955" t="str">
            <v>AHWU</v>
          </cell>
          <cell r="CB955" t="str">
            <v>Core HRA</v>
          </cell>
          <cell r="CC955" t="str">
            <v>N/A</v>
          </cell>
          <cell r="CD955" t="str">
            <v>N/A</v>
          </cell>
          <cell r="CE955" t="str">
            <v>N/A</v>
          </cell>
          <cell r="CF955" t="str">
            <v>N/A</v>
          </cell>
          <cell r="CG955" t="str">
            <v>N/A</v>
          </cell>
          <cell r="CH955" t="str">
            <v>N/A</v>
          </cell>
          <cell r="CI955" t="str">
            <v>N/A</v>
          </cell>
          <cell r="CJ955" t="str">
            <v>$1,500 / $3,000</v>
          </cell>
          <cell r="CK955">
            <v>0.9</v>
          </cell>
          <cell r="CL955" t="str">
            <v>$2,500 / $5,000</v>
          </cell>
          <cell r="CM955" t="str">
            <v>$3,000 / $6,000</v>
          </cell>
          <cell r="CN955">
            <v>0.7</v>
          </cell>
          <cell r="CO955" t="str">
            <v>$5,000 / $10,000</v>
          </cell>
          <cell r="CP955" t="str">
            <v>Emb</v>
          </cell>
          <cell r="CS955" t="str">
            <v>INS</v>
          </cell>
          <cell r="CT955" t="str">
            <v>Core</v>
          </cell>
          <cell r="CU955">
            <v>0.68869999999999998</v>
          </cell>
          <cell r="CW955" t="str">
            <v>CNHRA14&amp;15</v>
          </cell>
          <cell r="CX955">
            <v>0.61880000000000002</v>
          </cell>
        </row>
        <row r="956">
          <cell r="CA956" t="str">
            <v>AHWV</v>
          </cell>
          <cell r="CB956" t="str">
            <v>Core HRA</v>
          </cell>
          <cell r="CC956" t="str">
            <v>N/A</v>
          </cell>
          <cell r="CD956" t="str">
            <v>N/A</v>
          </cell>
          <cell r="CE956" t="str">
            <v>N/A</v>
          </cell>
          <cell r="CF956" t="str">
            <v>N/A</v>
          </cell>
          <cell r="CG956" t="str">
            <v>N/A</v>
          </cell>
          <cell r="CH956" t="str">
            <v>N/A</v>
          </cell>
          <cell r="CI956" t="str">
            <v>N/A</v>
          </cell>
          <cell r="CJ956" t="str">
            <v>$2,000 / $4,000</v>
          </cell>
          <cell r="CK956">
            <v>1</v>
          </cell>
          <cell r="CL956" t="str">
            <v>$2,000 / $4,000</v>
          </cell>
          <cell r="CM956" t="str">
            <v>$5,000 / $10,000</v>
          </cell>
          <cell r="CN956">
            <v>0.8</v>
          </cell>
          <cell r="CO956" t="str">
            <v>$10,000 / $20,000</v>
          </cell>
          <cell r="CP956" t="str">
            <v>Emb</v>
          </cell>
          <cell r="CS956" t="str">
            <v>INS</v>
          </cell>
          <cell r="CT956" t="str">
            <v>Core</v>
          </cell>
          <cell r="CU956">
            <v>0.72319999999999995</v>
          </cell>
          <cell r="CW956" t="str">
            <v>CNHRA14&amp;15</v>
          </cell>
          <cell r="CX956">
            <v>0.61</v>
          </cell>
        </row>
        <row r="957">
          <cell r="CA957" t="str">
            <v>AHWW</v>
          </cell>
          <cell r="CB957" t="str">
            <v>Core HRA</v>
          </cell>
          <cell r="CC957" t="str">
            <v>N/A</v>
          </cell>
          <cell r="CD957" t="str">
            <v>N/A</v>
          </cell>
          <cell r="CE957" t="str">
            <v>N/A</v>
          </cell>
          <cell r="CF957" t="str">
            <v>N/A</v>
          </cell>
          <cell r="CG957" t="str">
            <v>N/A</v>
          </cell>
          <cell r="CH957" t="str">
            <v>N/A</v>
          </cell>
          <cell r="CI957" t="str">
            <v>N/A</v>
          </cell>
          <cell r="CJ957" t="str">
            <v>$1,500 / $3,000</v>
          </cell>
          <cell r="CK957">
            <v>0.8</v>
          </cell>
          <cell r="CL957" t="str">
            <v>$2,500 / $5,000</v>
          </cell>
          <cell r="CM957" t="str">
            <v>$3,000 / $6,000</v>
          </cell>
          <cell r="CN957">
            <v>0.6</v>
          </cell>
          <cell r="CO957" t="str">
            <v>$5,000 / $10,000</v>
          </cell>
          <cell r="CP957" t="str">
            <v>Emb</v>
          </cell>
          <cell r="CS957" t="str">
            <v>INS</v>
          </cell>
          <cell r="CT957" t="str">
            <v>Core</v>
          </cell>
          <cell r="CU957">
            <v>0.68049999999999999</v>
          </cell>
          <cell r="CW957" t="str">
            <v>CNHRA14&amp;15</v>
          </cell>
          <cell r="CX957">
            <v>0.61380000000000001</v>
          </cell>
        </row>
        <row r="958">
          <cell r="CA958" t="str">
            <v>AHWX</v>
          </cell>
          <cell r="CB958" t="str">
            <v>Core HRA</v>
          </cell>
          <cell r="CC958" t="str">
            <v>N/A</v>
          </cell>
          <cell r="CD958" t="str">
            <v>N/A</v>
          </cell>
          <cell r="CE958" t="str">
            <v>N/A</v>
          </cell>
          <cell r="CF958" t="str">
            <v>N/A</v>
          </cell>
          <cell r="CG958" t="str">
            <v>N/A</v>
          </cell>
          <cell r="CH958" t="str">
            <v>N/A</v>
          </cell>
          <cell r="CI958" t="str">
            <v>N/A</v>
          </cell>
          <cell r="CJ958" t="str">
            <v>$5,000 / $10,000</v>
          </cell>
          <cell r="CK958">
            <v>1</v>
          </cell>
          <cell r="CL958" t="str">
            <v>$5,000 / $10,000</v>
          </cell>
          <cell r="CM958" t="str">
            <v>$10,000 / $20,000</v>
          </cell>
          <cell r="CN958">
            <v>0.7</v>
          </cell>
          <cell r="CO958" t="str">
            <v>$20,000 / $40,000</v>
          </cell>
          <cell r="CP958" t="str">
            <v>Emb</v>
          </cell>
          <cell r="CS958" t="str">
            <v>INS</v>
          </cell>
          <cell r="CT958" t="str">
            <v>Core</v>
          </cell>
          <cell r="CU958">
            <v>0.62009999999999998</v>
          </cell>
          <cell r="CV958" t="str">
            <v>H9-HRA</v>
          </cell>
          <cell r="CW958" t="str">
            <v>CHRA14&amp;15</v>
          </cell>
          <cell r="CX958">
            <v>0.64239999999999997</v>
          </cell>
        </row>
        <row r="959">
          <cell r="CA959" t="str">
            <v>AHWY</v>
          </cell>
          <cell r="CB959" t="str">
            <v>Core HRA</v>
          </cell>
          <cell r="CC959" t="str">
            <v>N/A</v>
          </cell>
          <cell r="CD959" t="str">
            <v>N/A</v>
          </cell>
          <cell r="CE959" t="str">
            <v>N/A</v>
          </cell>
          <cell r="CF959" t="str">
            <v>N/A</v>
          </cell>
          <cell r="CG959" t="str">
            <v>N/A</v>
          </cell>
          <cell r="CH959" t="str">
            <v>N/A</v>
          </cell>
          <cell r="CI959" t="str">
            <v>N/A</v>
          </cell>
          <cell r="CJ959" t="str">
            <v>$3,000 / $6,000</v>
          </cell>
          <cell r="CK959">
            <v>0.9</v>
          </cell>
          <cell r="CL959" t="str">
            <v>$4,000 / $8,000</v>
          </cell>
          <cell r="CM959" t="str">
            <v>$5,000 / $10,000</v>
          </cell>
          <cell r="CN959">
            <v>0.7</v>
          </cell>
          <cell r="CO959" t="str">
            <v>$6,000 / $12,000</v>
          </cell>
          <cell r="CP959" t="str">
            <v>Emb</v>
          </cell>
          <cell r="CS959" t="str">
            <v>INS</v>
          </cell>
          <cell r="CT959" t="str">
            <v>Core</v>
          </cell>
          <cell r="CU959">
            <v>0.67879999999999996</v>
          </cell>
          <cell r="CV959" t="str">
            <v>H9-HRA</v>
          </cell>
          <cell r="CW959" t="str">
            <v>CHRA14&amp;15</v>
          </cell>
          <cell r="CX959">
            <v>0.70779999999999998</v>
          </cell>
        </row>
        <row r="960">
          <cell r="CA960" t="str">
            <v>AHWZ</v>
          </cell>
          <cell r="CB960" t="str">
            <v>Core HRA</v>
          </cell>
          <cell r="CC960" t="str">
            <v>N/A</v>
          </cell>
          <cell r="CD960" t="str">
            <v>N/A</v>
          </cell>
          <cell r="CE960" t="str">
            <v>N/A</v>
          </cell>
          <cell r="CF960" t="str">
            <v>N/A</v>
          </cell>
          <cell r="CG960" t="str">
            <v>N/A</v>
          </cell>
          <cell r="CH960" t="str">
            <v>N/A</v>
          </cell>
          <cell r="CI960" t="str">
            <v>N/A</v>
          </cell>
          <cell r="CJ960" t="str">
            <v>$2,000 / $4,000</v>
          </cell>
          <cell r="CK960">
            <v>0.8</v>
          </cell>
          <cell r="CL960" t="str">
            <v>$4,000 / $8,000</v>
          </cell>
          <cell r="CM960" t="str">
            <v>$4,000 / $8,000</v>
          </cell>
          <cell r="CN960">
            <v>0.6</v>
          </cell>
          <cell r="CO960" t="str">
            <v>$9,000 / $18,000</v>
          </cell>
          <cell r="CP960" t="str">
            <v>Emb</v>
          </cell>
          <cell r="CS960" t="str">
            <v>INS</v>
          </cell>
          <cell r="CT960" t="str">
            <v>Core</v>
          </cell>
          <cell r="CU960">
            <v>0.71609999999999996</v>
          </cell>
          <cell r="CV960" t="str">
            <v>H9-HRA</v>
          </cell>
          <cell r="CW960" t="str">
            <v>CHRA14&amp;15</v>
          </cell>
          <cell r="CX960">
            <v>0.73860000000000003</v>
          </cell>
        </row>
        <row r="961">
          <cell r="CA961" t="str">
            <v>AHX5</v>
          </cell>
          <cell r="CB961" t="str">
            <v>Core HSA</v>
          </cell>
          <cell r="CC961" t="str">
            <v>N/A</v>
          </cell>
          <cell r="CD961" t="str">
            <v>N/A</v>
          </cell>
          <cell r="CE961" t="str">
            <v>N/A</v>
          </cell>
          <cell r="CF961" t="str">
            <v>N/A</v>
          </cell>
          <cell r="CG961" t="str">
            <v>N/A</v>
          </cell>
          <cell r="CH961" t="str">
            <v>N/A</v>
          </cell>
          <cell r="CI961" t="str">
            <v>N/A</v>
          </cell>
          <cell r="CJ961" t="str">
            <v>$3,000 / $6,000</v>
          </cell>
          <cell r="CK961">
            <v>0.8</v>
          </cell>
          <cell r="CL961" t="str">
            <v>$5,000 / $10,000</v>
          </cell>
          <cell r="CM961" t="str">
            <v>$3,000 / $6,000</v>
          </cell>
          <cell r="CN961">
            <v>0.6</v>
          </cell>
          <cell r="CO961" t="str">
            <v>$10,000 / $20,000</v>
          </cell>
          <cell r="CP961" t="str">
            <v>Emb</v>
          </cell>
          <cell r="CS961" t="str">
            <v>INS</v>
          </cell>
          <cell r="CT961" t="str">
            <v>Core</v>
          </cell>
          <cell r="CU961">
            <v>0.62539999999999996</v>
          </cell>
          <cell r="CV961" t="str">
            <v>H9-HSA</v>
          </cell>
          <cell r="CW961" t="str">
            <v>CHSA14&amp;15</v>
          </cell>
          <cell r="CX961">
            <v>0.68559999999999999</v>
          </cell>
        </row>
        <row r="962">
          <cell r="CA962" t="str">
            <v>AHX6</v>
          </cell>
          <cell r="CB962" t="str">
            <v>Core HSA</v>
          </cell>
          <cell r="CC962" t="str">
            <v>N/A</v>
          </cell>
          <cell r="CD962" t="str">
            <v>N/A</v>
          </cell>
          <cell r="CE962" t="str">
            <v>N/A</v>
          </cell>
          <cell r="CF962" t="str">
            <v>N/A</v>
          </cell>
          <cell r="CG962" t="str">
            <v>N/A</v>
          </cell>
          <cell r="CH962" t="str">
            <v>N/A</v>
          </cell>
          <cell r="CI962" t="str">
            <v>N/A</v>
          </cell>
          <cell r="CJ962" t="str">
            <v>$3,000 / $6,000</v>
          </cell>
          <cell r="CK962">
            <v>1</v>
          </cell>
          <cell r="CL962" t="str">
            <v>$5,000 / $10,000</v>
          </cell>
          <cell r="CM962" t="str">
            <v>$3,000 / $6,000</v>
          </cell>
          <cell r="CN962">
            <v>0.7</v>
          </cell>
          <cell r="CO962" t="str">
            <v>$10,000 / $20,000</v>
          </cell>
          <cell r="CP962" t="str">
            <v>Emb</v>
          </cell>
          <cell r="CS962" t="str">
            <v>INS</v>
          </cell>
          <cell r="CT962" t="str">
            <v>Core</v>
          </cell>
          <cell r="CU962">
            <v>0.7288</v>
          </cell>
          <cell r="CV962" t="str">
            <v>H9-HSA</v>
          </cell>
          <cell r="CW962" t="str">
            <v>CHSA14&amp;15</v>
          </cell>
          <cell r="CX962">
            <v>0.74170000000000003</v>
          </cell>
        </row>
        <row r="963">
          <cell r="CA963" t="str">
            <v>AHX7</v>
          </cell>
          <cell r="CB963" t="str">
            <v>Core</v>
          </cell>
          <cell r="CC963">
            <v>15</v>
          </cell>
          <cell r="CD963">
            <v>15</v>
          </cell>
          <cell r="CE963" t="str">
            <v>N/A</v>
          </cell>
          <cell r="CF963" t="str">
            <v>N/A</v>
          </cell>
          <cell r="CG963">
            <v>15</v>
          </cell>
          <cell r="CH963" t="str">
            <v>$100 POD</v>
          </cell>
          <cell r="CI963" t="str">
            <v>N/A</v>
          </cell>
          <cell r="CJ963" t="str">
            <v>$150 / $300</v>
          </cell>
          <cell r="CK963">
            <v>0.9</v>
          </cell>
          <cell r="CL963" t="str">
            <v>$1,150 / $2,300</v>
          </cell>
          <cell r="CM963" t="str">
            <v>$150 / $300</v>
          </cell>
          <cell r="CN963">
            <v>0.7</v>
          </cell>
          <cell r="CO963" t="str">
            <v>$2,150 / $4,300</v>
          </cell>
          <cell r="CP963" t="str">
            <v>Emb</v>
          </cell>
          <cell r="CS963" t="str">
            <v>INS</v>
          </cell>
          <cell r="CT963" t="str">
            <v>Core</v>
          </cell>
          <cell r="CU963">
            <v>0.91290000000000004</v>
          </cell>
          <cell r="CW963" t="str">
            <v>C14&amp;15</v>
          </cell>
          <cell r="CX963">
            <v>0.71819999999999995</v>
          </cell>
        </row>
        <row r="964">
          <cell r="CA964" t="str">
            <v>AHX8</v>
          </cell>
          <cell r="CB964" t="str">
            <v>Core</v>
          </cell>
          <cell r="CC964">
            <v>15</v>
          </cell>
          <cell r="CD964">
            <v>30</v>
          </cell>
          <cell r="CE964" t="str">
            <v>N/A</v>
          </cell>
          <cell r="CF964" t="str">
            <v>N/A</v>
          </cell>
          <cell r="CG964">
            <v>30</v>
          </cell>
          <cell r="CH964" t="str">
            <v>$100 POD</v>
          </cell>
          <cell r="CI964" t="str">
            <v>N/A</v>
          </cell>
          <cell r="CJ964" t="str">
            <v>$150 / $300</v>
          </cell>
          <cell r="CK964">
            <v>0.9</v>
          </cell>
          <cell r="CL964" t="str">
            <v>$3,000 / $6,000</v>
          </cell>
          <cell r="CM964" t="str">
            <v>$300 / $600</v>
          </cell>
          <cell r="CN964">
            <v>0.6</v>
          </cell>
          <cell r="CO964" t="str">
            <v>$8,000 / $16,000</v>
          </cell>
          <cell r="CP964" t="str">
            <v>Emb</v>
          </cell>
          <cell r="CS964" t="str">
            <v>INS</v>
          </cell>
          <cell r="CT964" t="str">
            <v>Core</v>
          </cell>
          <cell r="CU964">
            <v>0.8498</v>
          </cell>
          <cell r="CW964" t="str">
            <v>C14&amp;15</v>
          </cell>
          <cell r="CX964">
            <v>0.69620000000000004</v>
          </cell>
        </row>
        <row r="965">
          <cell r="CA965" t="str">
            <v>AHX9</v>
          </cell>
          <cell r="CB965" t="str">
            <v>Core</v>
          </cell>
          <cell r="CC965">
            <v>20</v>
          </cell>
          <cell r="CD965">
            <v>20</v>
          </cell>
          <cell r="CE965" t="str">
            <v>N/A</v>
          </cell>
          <cell r="CF965" t="str">
            <v>N/A</v>
          </cell>
          <cell r="CG965">
            <v>20</v>
          </cell>
          <cell r="CH965" t="str">
            <v>$100 POD</v>
          </cell>
          <cell r="CI965" t="str">
            <v>N/A</v>
          </cell>
          <cell r="CJ965" t="str">
            <v>$200 / $400</v>
          </cell>
          <cell r="CK965">
            <v>0.9</v>
          </cell>
          <cell r="CL965" t="str">
            <v>$2,200 / $4,400</v>
          </cell>
          <cell r="CM965" t="str">
            <v>$200 / $400</v>
          </cell>
          <cell r="CN965">
            <v>0.7</v>
          </cell>
          <cell r="CO965" t="str">
            <v>$5,200 / $10,400</v>
          </cell>
          <cell r="CP965" t="str">
            <v>Emb</v>
          </cell>
          <cell r="CS965" t="str">
            <v>INS</v>
          </cell>
          <cell r="CT965" t="str">
            <v>Core</v>
          </cell>
          <cell r="CU965">
            <v>0.8619</v>
          </cell>
          <cell r="CW965" t="str">
            <v>C14&amp;15</v>
          </cell>
          <cell r="CX965">
            <v>0.70020000000000004</v>
          </cell>
        </row>
        <row r="966">
          <cell r="CA966" t="str">
            <v>AHXA</v>
          </cell>
          <cell r="CB966" t="str">
            <v>Core HSA</v>
          </cell>
          <cell r="CC966" t="str">
            <v>N/A</v>
          </cell>
          <cell r="CD966" t="str">
            <v>N/A</v>
          </cell>
          <cell r="CE966" t="str">
            <v>N/A</v>
          </cell>
          <cell r="CF966" t="str">
            <v>N/A</v>
          </cell>
          <cell r="CG966" t="str">
            <v>N/A</v>
          </cell>
          <cell r="CH966" t="str">
            <v>N/A</v>
          </cell>
          <cell r="CI966" t="str">
            <v>N/A</v>
          </cell>
          <cell r="CJ966" t="str">
            <v>$3,000 / $6,000</v>
          </cell>
          <cell r="CK966">
            <v>0.9</v>
          </cell>
          <cell r="CL966" t="str">
            <v>$4,000 / $8,000</v>
          </cell>
          <cell r="CM966" t="str">
            <v>$5,000 / $10,000</v>
          </cell>
          <cell r="CN966">
            <v>0.7</v>
          </cell>
          <cell r="CO966" t="str">
            <v>$6,000 / $12,000</v>
          </cell>
          <cell r="CP966" t="str">
            <v>Emb</v>
          </cell>
          <cell r="CS966" t="str">
            <v>INS</v>
          </cell>
          <cell r="CT966" t="str">
            <v>Core</v>
          </cell>
          <cell r="CU966">
            <v>0.66549999999999998</v>
          </cell>
          <cell r="CV966" t="str">
            <v>H9-HSA</v>
          </cell>
          <cell r="CW966" t="str">
            <v>CHSA14&amp;15</v>
          </cell>
          <cell r="CX966">
            <v>0.70779999999999998</v>
          </cell>
        </row>
        <row r="967">
          <cell r="CA967" t="str">
            <v>AHXB</v>
          </cell>
          <cell r="CB967" t="str">
            <v>Core HSA</v>
          </cell>
          <cell r="CC967" t="str">
            <v>N/A</v>
          </cell>
          <cell r="CD967" t="str">
            <v>N/A</v>
          </cell>
          <cell r="CE967" t="str">
            <v>N/A</v>
          </cell>
          <cell r="CF967" t="str">
            <v>N/A</v>
          </cell>
          <cell r="CG967" t="str">
            <v>N/A</v>
          </cell>
          <cell r="CH967" t="str">
            <v>N/A</v>
          </cell>
          <cell r="CI967" t="str">
            <v>N/A</v>
          </cell>
          <cell r="CJ967" t="str">
            <v>$3,000 / $6,000</v>
          </cell>
          <cell r="CK967">
            <v>0.9</v>
          </cell>
          <cell r="CL967" t="str">
            <v>$5,000 / $10,000</v>
          </cell>
          <cell r="CM967" t="str">
            <v>$5,000 / $10,000</v>
          </cell>
          <cell r="CN967">
            <v>0.7</v>
          </cell>
          <cell r="CO967" t="str">
            <v>$10,000 / $20,000</v>
          </cell>
          <cell r="CP967" t="str">
            <v>Emb</v>
          </cell>
          <cell r="CS967" t="str">
            <v>INS</v>
          </cell>
          <cell r="CT967" t="str">
            <v>Core</v>
          </cell>
          <cell r="CU967">
            <v>0.64419999999999999</v>
          </cell>
          <cell r="CV967" t="str">
            <v>H9-HSA</v>
          </cell>
          <cell r="CW967" t="str">
            <v>CHSA14&amp;15</v>
          </cell>
          <cell r="CX967">
            <v>0.69389999999999996</v>
          </cell>
        </row>
        <row r="968">
          <cell r="CA968" t="str">
            <v>AHXC</v>
          </cell>
          <cell r="CB968" t="str">
            <v>Core HSA</v>
          </cell>
          <cell r="CC968" t="str">
            <v>N/A</v>
          </cell>
          <cell r="CD968" t="str">
            <v>N/A</v>
          </cell>
          <cell r="CE968" t="str">
            <v>N/A</v>
          </cell>
          <cell r="CF968" t="str">
            <v>N/A</v>
          </cell>
          <cell r="CG968" t="str">
            <v>N/A</v>
          </cell>
          <cell r="CH968" t="str">
            <v>N/A</v>
          </cell>
          <cell r="CI968" t="str">
            <v>N/A</v>
          </cell>
          <cell r="CJ968" t="str">
            <v>$3,000 / $6,000</v>
          </cell>
          <cell r="CK968">
            <v>0.8</v>
          </cell>
          <cell r="CL968" t="str">
            <v>$5,000 / $10,000</v>
          </cell>
          <cell r="CM968" t="str">
            <v>$6,000 / $12,000</v>
          </cell>
          <cell r="CN968">
            <v>0.6</v>
          </cell>
          <cell r="CO968" t="str">
            <v>$10,000 / $20,000</v>
          </cell>
          <cell r="CP968" t="str">
            <v>Emb</v>
          </cell>
          <cell r="CS968" t="str">
            <v>INS</v>
          </cell>
          <cell r="CT968" t="str">
            <v>Core</v>
          </cell>
          <cell r="CU968">
            <v>0.62339999999999995</v>
          </cell>
          <cell r="CV968" t="str">
            <v>H9-HSA</v>
          </cell>
          <cell r="CW968" t="str">
            <v>CHSA14&amp;15</v>
          </cell>
          <cell r="CX968">
            <v>0.68410000000000004</v>
          </cell>
        </row>
        <row r="969">
          <cell r="CA969" t="str">
            <v>AHXD</v>
          </cell>
          <cell r="CB969" t="str">
            <v>Core HSA</v>
          </cell>
          <cell r="CC969" t="str">
            <v>N/A</v>
          </cell>
          <cell r="CD969" t="str">
            <v>N/A</v>
          </cell>
          <cell r="CE969" t="str">
            <v>N/A</v>
          </cell>
          <cell r="CF969" t="str">
            <v>N/A</v>
          </cell>
          <cell r="CG969" t="str">
            <v>N/A</v>
          </cell>
          <cell r="CH969" t="str">
            <v>N/A</v>
          </cell>
          <cell r="CI969" t="str">
            <v>N/A</v>
          </cell>
          <cell r="CJ969" t="str">
            <v>$5,000 / $10,000</v>
          </cell>
          <cell r="CK969">
            <v>0.7</v>
          </cell>
          <cell r="CL969" t="str">
            <v>$6,350 / $12,700</v>
          </cell>
          <cell r="CM969" t="str">
            <v>$10,000 / $20,000</v>
          </cell>
          <cell r="CN969">
            <v>0.5</v>
          </cell>
          <cell r="CO969" t="str">
            <v>$12,700 / $25,400</v>
          </cell>
          <cell r="CP969" t="str">
            <v>Emb</v>
          </cell>
          <cell r="CS969" t="str">
            <v>INS</v>
          </cell>
          <cell r="CT969" t="str">
            <v>Core</v>
          </cell>
          <cell r="CU969">
            <v>0.56059999999999999</v>
          </cell>
          <cell r="CV969" t="str">
            <v>H9-HSA</v>
          </cell>
          <cell r="CW969" t="str">
            <v>CHSA14&amp;15</v>
          </cell>
          <cell r="CX969">
            <v>0.61019999999999996</v>
          </cell>
        </row>
        <row r="970">
          <cell r="CA970" t="str">
            <v>AHXE</v>
          </cell>
          <cell r="CB970" t="str">
            <v>Core HSA</v>
          </cell>
          <cell r="CC970" t="str">
            <v>N/A</v>
          </cell>
          <cell r="CD970" t="str">
            <v>N/A</v>
          </cell>
          <cell r="CE970" t="str">
            <v>N/A</v>
          </cell>
          <cell r="CF970" t="str">
            <v>N/A</v>
          </cell>
          <cell r="CG970" t="str">
            <v>N/A</v>
          </cell>
          <cell r="CH970" t="str">
            <v>N/A</v>
          </cell>
          <cell r="CI970" t="str">
            <v>N/A</v>
          </cell>
          <cell r="CJ970" t="str">
            <v>$5,500 / $11,000</v>
          </cell>
          <cell r="CK970">
            <v>0.7</v>
          </cell>
          <cell r="CL970" t="str">
            <v>$6,350 / $12,700</v>
          </cell>
          <cell r="CM970" t="str">
            <v>$11,000 / $22,000</v>
          </cell>
          <cell r="CN970">
            <v>0.5</v>
          </cell>
          <cell r="CO970" t="str">
            <v>$12,700 / $25,400</v>
          </cell>
          <cell r="CP970" t="str">
            <v>Emb</v>
          </cell>
          <cell r="CS970" t="str">
            <v>INS</v>
          </cell>
          <cell r="CT970" t="str">
            <v>Core</v>
          </cell>
          <cell r="CU970">
            <v>0.55659999999999998</v>
          </cell>
          <cell r="CV970" t="str">
            <v>H9-HSA</v>
          </cell>
          <cell r="CW970" t="str">
            <v>CHSA14&amp;15</v>
          </cell>
          <cell r="CX970">
            <v>0.60470000000000002</v>
          </cell>
        </row>
        <row r="971">
          <cell r="CA971" t="str">
            <v>AHXF</v>
          </cell>
          <cell r="CB971" t="str">
            <v>Core HSA</v>
          </cell>
          <cell r="CC971" t="str">
            <v>N/A</v>
          </cell>
          <cell r="CD971" t="str">
            <v>N/A</v>
          </cell>
          <cell r="CE971" t="str">
            <v>N/A</v>
          </cell>
          <cell r="CF971" t="str">
            <v>N/A</v>
          </cell>
          <cell r="CG971" t="str">
            <v>N/A</v>
          </cell>
          <cell r="CH971" t="str">
            <v>N/A</v>
          </cell>
          <cell r="CI971" t="str">
            <v>N/A</v>
          </cell>
          <cell r="CJ971" t="str">
            <v>$6,000 / $12,000</v>
          </cell>
          <cell r="CK971">
            <v>0.65</v>
          </cell>
          <cell r="CL971" t="str">
            <v>$6,350 / $12,700</v>
          </cell>
          <cell r="CM971" t="str">
            <v>$12,000 / $24,000</v>
          </cell>
          <cell r="CN971">
            <v>0.5</v>
          </cell>
          <cell r="CO971" t="str">
            <v>$12,700 / $25,400</v>
          </cell>
          <cell r="CP971" t="str">
            <v>Emb</v>
          </cell>
          <cell r="CS971" t="str">
            <v>INS</v>
          </cell>
          <cell r="CT971" t="str">
            <v>Core</v>
          </cell>
          <cell r="CU971">
            <v>0.55420000000000003</v>
          </cell>
          <cell r="CV971" t="str">
            <v>H9-HSA</v>
          </cell>
          <cell r="CW971" t="str">
            <v>CHSA14&amp;15</v>
          </cell>
          <cell r="CX971">
            <v>0.60109999999999997</v>
          </cell>
        </row>
        <row r="972">
          <cell r="CA972" t="str">
            <v>AHXG</v>
          </cell>
          <cell r="CB972" t="str">
            <v>Core HSA</v>
          </cell>
          <cell r="CC972" t="str">
            <v>N/A</v>
          </cell>
          <cell r="CD972" t="str">
            <v>N/A</v>
          </cell>
          <cell r="CE972" t="str">
            <v>N/A</v>
          </cell>
          <cell r="CF972" t="str">
            <v>N/A</v>
          </cell>
          <cell r="CG972" t="str">
            <v>N/A</v>
          </cell>
          <cell r="CH972" t="str">
            <v>N/A</v>
          </cell>
          <cell r="CI972" t="str">
            <v>N/A</v>
          </cell>
          <cell r="CJ972" t="str">
            <v>$6,250 / $12,500</v>
          </cell>
          <cell r="CK972">
            <v>0.6</v>
          </cell>
          <cell r="CL972" t="str">
            <v>$6,350 / $12,700</v>
          </cell>
          <cell r="CM972" t="str">
            <v>$12,500 / $25,000</v>
          </cell>
          <cell r="CN972">
            <v>0.5</v>
          </cell>
          <cell r="CO972" t="str">
            <v>$12,700 / $25,400</v>
          </cell>
          <cell r="CP972" t="str">
            <v>Emb</v>
          </cell>
          <cell r="CS972" t="str">
            <v>INS</v>
          </cell>
          <cell r="CT972" t="str">
            <v>Core</v>
          </cell>
          <cell r="CU972">
            <v>0.55389999999999995</v>
          </cell>
          <cell r="CV972" t="str">
            <v>H9-HSA</v>
          </cell>
          <cell r="CW972" t="str">
            <v>CHSA14&amp;15</v>
          </cell>
          <cell r="CX972">
            <v>0.60050000000000003</v>
          </cell>
        </row>
        <row r="973">
          <cell r="CA973" t="str">
            <v>AHXJ</v>
          </cell>
          <cell r="CB973" t="str">
            <v>Core</v>
          </cell>
          <cell r="CC973">
            <v>35</v>
          </cell>
          <cell r="CD973">
            <v>50</v>
          </cell>
          <cell r="CE973" t="str">
            <v>N/A</v>
          </cell>
          <cell r="CF973" t="str">
            <v>N/A</v>
          </cell>
          <cell r="CG973">
            <v>50</v>
          </cell>
          <cell r="CH973" t="str">
            <v>$150 POD</v>
          </cell>
          <cell r="CI973" t="str">
            <v>N/A</v>
          </cell>
          <cell r="CJ973" t="str">
            <v>$1,250 / $2,500</v>
          </cell>
          <cell r="CK973">
            <v>0.7</v>
          </cell>
          <cell r="CL973" t="str">
            <v>$6,350 / $12,700</v>
          </cell>
          <cell r="CM973" t="str">
            <v>$2,500 / $5,000</v>
          </cell>
          <cell r="CN973">
            <v>0.5</v>
          </cell>
          <cell r="CO973" t="str">
            <v>$10,000 / $20,000</v>
          </cell>
          <cell r="CP973" t="str">
            <v>Emb</v>
          </cell>
          <cell r="CS973" t="str">
            <v>INS</v>
          </cell>
          <cell r="CT973" t="str">
            <v>Core</v>
          </cell>
          <cell r="CU973">
            <v>0.64139999999999997</v>
          </cell>
          <cell r="CW973" t="str">
            <v>C14&amp;15</v>
          </cell>
          <cell r="CX973">
            <v>0.58689999999999998</v>
          </cell>
        </row>
        <row r="974">
          <cell r="CA974" t="str">
            <v>AHXR</v>
          </cell>
          <cell r="CB974" t="str">
            <v>Core</v>
          </cell>
          <cell r="CC974">
            <v>35</v>
          </cell>
          <cell r="CD974">
            <v>35</v>
          </cell>
          <cell r="CE974" t="str">
            <v>N/A</v>
          </cell>
          <cell r="CF974" t="str">
            <v>N/A</v>
          </cell>
          <cell r="CG974" t="str">
            <v>N/A</v>
          </cell>
          <cell r="CH974" t="str">
            <v>N/A</v>
          </cell>
          <cell r="CI974" t="str">
            <v>N/A</v>
          </cell>
          <cell r="CJ974" t="str">
            <v>$5,900 / $11,800</v>
          </cell>
          <cell r="CK974">
            <v>1</v>
          </cell>
          <cell r="CL974" t="str">
            <v>$6,350 / $12,700</v>
          </cell>
          <cell r="CM974" t="str">
            <v>$11,800 / $23,600</v>
          </cell>
          <cell r="CN974">
            <v>0.5</v>
          </cell>
          <cell r="CO974" t="str">
            <v>$12,700 / $25,400</v>
          </cell>
          <cell r="CP974" t="str">
            <v>Emb</v>
          </cell>
          <cell r="CS974" t="str">
            <v>INS</v>
          </cell>
          <cell r="CT974" t="str">
            <v>Core</v>
          </cell>
          <cell r="CU974">
            <v>0.5534</v>
          </cell>
          <cell r="CW974" t="str">
            <v>C14&amp;15</v>
          </cell>
          <cell r="CX974">
            <v>0.54110000000000003</v>
          </cell>
        </row>
        <row r="975">
          <cell r="CA975" t="str">
            <v>AHXS</v>
          </cell>
          <cell r="CB975" t="str">
            <v>Core</v>
          </cell>
          <cell r="CC975">
            <v>35</v>
          </cell>
          <cell r="CD975">
            <v>60</v>
          </cell>
          <cell r="CE975" t="str">
            <v>N/A</v>
          </cell>
          <cell r="CF975" t="str">
            <v>N/A</v>
          </cell>
          <cell r="CG975">
            <v>60</v>
          </cell>
          <cell r="CH975" t="str">
            <v>N/A</v>
          </cell>
          <cell r="CI975" t="str">
            <v>N/A</v>
          </cell>
          <cell r="CJ975" t="str">
            <v>$6,000 / $12,000</v>
          </cell>
          <cell r="CK975">
            <v>1</v>
          </cell>
          <cell r="CL975" t="str">
            <v>$6,350 / $12,700</v>
          </cell>
          <cell r="CM975" t="str">
            <v>$12,000 / $24,000</v>
          </cell>
          <cell r="CN975">
            <v>0.5</v>
          </cell>
          <cell r="CO975" t="str">
            <v>$12,700 / $25,400</v>
          </cell>
          <cell r="CP975" t="str">
            <v>Emb</v>
          </cell>
          <cell r="CS975" t="str">
            <v>INS</v>
          </cell>
          <cell r="CT975" t="str">
            <v>Core</v>
          </cell>
          <cell r="CU975">
            <v>0.57230000000000003</v>
          </cell>
          <cell r="CW975" t="str">
            <v>C14&amp;15</v>
          </cell>
          <cell r="CX975">
            <v>0.54930000000000001</v>
          </cell>
        </row>
        <row r="976">
          <cell r="CA976" t="str">
            <v>AHXT</v>
          </cell>
          <cell r="CB976" t="str">
            <v>Core HRA</v>
          </cell>
          <cell r="CC976" t="str">
            <v>N/A</v>
          </cell>
          <cell r="CD976" t="str">
            <v>N/A</v>
          </cell>
          <cell r="CE976" t="str">
            <v>N/A</v>
          </cell>
          <cell r="CF976" t="str">
            <v>N/A</v>
          </cell>
          <cell r="CG976" t="str">
            <v>N/A</v>
          </cell>
          <cell r="CH976" t="str">
            <v>N/A</v>
          </cell>
          <cell r="CI976" t="str">
            <v>N/A</v>
          </cell>
          <cell r="CJ976" t="str">
            <v>$1,500 / $3,000</v>
          </cell>
          <cell r="CK976">
            <v>0.9</v>
          </cell>
          <cell r="CL976" t="str">
            <v>$3,000 / $6,000</v>
          </cell>
          <cell r="CM976" t="str">
            <v>$2,500 / $5,000</v>
          </cell>
          <cell r="CN976">
            <v>0.7</v>
          </cell>
          <cell r="CO976" t="str">
            <v>$6,000 / $12,000</v>
          </cell>
          <cell r="CP976" t="str">
            <v>Emb</v>
          </cell>
          <cell r="CS976" t="str">
            <v>INS</v>
          </cell>
          <cell r="CT976" t="str">
            <v>Core</v>
          </cell>
          <cell r="CU976">
            <v>0.67600000000000005</v>
          </cell>
          <cell r="CW976" t="str">
            <v>CNHRA14&amp;15</v>
          </cell>
          <cell r="CX976">
            <v>0.61439999999999995</v>
          </cell>
        </row>
        <row r="977">
          <cell r="CA977" t="str">
            <v>AHXU</v>
          </cell>
          <cell r="CB977" t="str">
            <v>Core HRA</v>
          </cell>
          <cell r="CC977">
            <v>20</v>
          </cell>
          <cell r="CD977">
            <v>20</v>
          </cell>
          <cell r="CE977" t="str">
            <v>N/A</v>
          </cell>
          <cell r="CF977" t="str">
            <v>N/A</v>
          </cell>
          <cell r="CG977">
            <v>30</v>
          </cell>
          <cell r="CH977" t="str">
            <v>N/A</v>
          </cell>
          <cell r="CI977" t="str">
            <v>N/A</v>
          </cell>
          <cell r="CJ977" t="str">
            <v>$1,500 / $3,000</v>
          </cell>
          <cell r="CK977">
            <v>0.9</v>
          </cell>
          <cell r="CL977" t="str">
            <v>$3,500 / $7,000</v>
          </cell>
          <cell r="CM977" t="str">
            <v>$2,500 / $5,000</v>
          </cell>
          <cell r="CN977">
            <v>0.7</v>
          </cell>
          <cell r="CO977" t="str">
            <v>$7,000 / $14,000</v>
          </cell>
          <cell r="CP977" t="str">
            <v>Emb</v>
          </cell>
          <cell r="CS977" t="str">
            <v>INS</v>
          </cell>
          <cell r="CT977" t="str">
            <v>Core</v>
          </cell>
          <cell r="CU977">
            <v>0.75229999999999997</v>
          </cell>
          <cell r="CW977" t="str">
            <v>CNHRA14&amp;15</v>
          </cell>
          <cell r="CX977">
            <v>0.65200000000000002</v>
          </cell>
        </row>
        <row r="978">
          <cell r="CA978" t="str">
            <v>AHXV</v>
          </cell>
          <cell r="CB978" t="str">
            <v>Core HRA</v>
          </cell>
          <cell r="CC978" t="str">
            <v>N/A</v>
          </cell>
          <cell r="CD978" t="str">
            <v>N/A</v>
          </cell>
          <cell r="CE978" t="str">
            <v>N/A</v>
          </cell>
          <cell r="CF978" t="str">
            <v>N/A</v>
          </cell>
          <cell r="CG978" t="str">
            <v>N/A</v>
          </cell>
          <cell r="CH978" t="str">
            <v>N/A</v>
          </cell>
          <cell r="CI978" t="str">
            <v>N/A</v>
          </cell>
          <cell r="CJ978" t="str">
            <v>$2,000 / $4,000</v>
          </cell>
          <cell r="CK978">
            <v>0.8</v>
          </cell>
          <cell r="CL978" t="str">
            <v>$5,000 / $10,000</v>
          </cell>
          <cell r="CM978" t="str">
            <v>$3,000 / $6,000</v>
          </cell>
          <cell r="CN978">
            <v>0.6</v>
          </cell>
          <cell r="CO978" t="str">
            <v>$10,000 / $20,000</v>
          </cell>
          <cell r="CP978" t="str">
            <v>Emb</v>
          </cell>
          <cell r="CS978" t="str">
            <v>INS</v>
          </cell>
          <cell r="CT978" t="str">
            <v>Core</v>
          </cell>
          <cell r="CU978">
            <v>0.58220000000000005</v>
          </cell>
          <cell r="CW978" t="str">
            <v>CNHRA14&amp;15</v>
          </cell>
          <cell r="CX978">
            <v>0.55730000000000002</v>
          </cell>
        </row>
        <row r="979">
          <cell r="CA979" t="str">
            <v>AHXW</v>
          </cell>
          <cell r="CB979" t="str">
            <v>Core HRA</v>
          </cell>
          <cell r="CC979">
            <v>30</v>
          </cell>
          <cell r="CD979">
            <v>30</v>
          </cell>
          <cell r="CE979" t="str">
            <v>N/A</v>
          </cell>
          <cell r="CF979" t="str">
            <v>N/A</v>
          </cell>
          <cell r="CG979">
            <v>30</v>
          </cell>
          <cell r="CH979" t="str">
            <v>N/A</v>
          </cell>
          <cell r="CI979" t="str">
            <v>N/A</v>
          </cell>
          <cell r="CJ979" t="str">
            <v>$2,000 / $4,000</v>
          </cell>
          <cell r="CK979">
            <v>0.8</v>
          </cell>
          <cell r="CL979" t="str">
            <v>$5,000 / $10,000</v>
          </cell>
          <cell r="CM979" t="str">
            <v>$4,000 / $8,000</v>
          </cell>
          <cell r="CN979">
            <v>0.6</v>
          </cell>
          <cell r="CO979" t="str">
            <v>$10,000 / $20,000</v>
          </cell>
          <cell r="CP979" t="str">
            <v>Emb</v>
          </cell>
          <cell r="CS979" t="str">
            <v>INS</v>
          </cell>
          <cell r="CT979" t="str">
            <v>Core</v>
          </cell>
          <cell r="CU979">
            <v>0.67930000000000001</v>
          </cell>
          <cell r="CW979" t="str">
            <v>CNHRA14&amp;15</v>
          </cell>
          <cell r="CX979">
            <v>0.61150000000000004</v>
          </cell>
        </row>
        <row r="980">
          <cell r="CA980" t="str">
            <v>AHXX</v>
          </cell>
          <cell r="CB980" t="str">
            <v>Core HRA</v>
          </cell>
          <cell r="CC980" t="str">
            <v>N/A</v>
          </cell>
          <cell r="CD980" t="str">
            <v>N/A</v>
          </cell>
          <cell r="CE980" t="str">
            <v>N/A</v>
          </cell>
          <cell r="CF980" t="str">
            <v>N/A</v>
          </cell>
          <cell r="CG980" t="str">
            <v>N/A</v>
          </cell>
          <cell r="CH980" t="str">
            <v>N/A</v>
          </cell>
          <cell r="CI980" t="str">
            <v>N/A</v>
          </cell>
          <cell r="CJ980" t="str">
            <v>$3,000 / $6,000</v>
          </cell>
          <cell r="CK980">
            <v>1</v>
          </cell>
          <cell r="CL980" t="str">
            <v>$4,000 / $8,000</v>
          </cell>
          <cell r="CM980" t="str">
            <v>$3,000 / $6,000</v>
          </cell>
          <cell r="CN980">
            <v>0.7</v>
          </cell>
          <cell r="CO980" t="str">
            <v>$6,000 / $12,000</v>
          </cell>
          <cell r="CP980" t="str">
            <v>Emb</v>
          </cell>
          <cell r="CS980" t="str">
            <v>INS</v>
          </cell>
          <cell r="CT980" t="str">
            <v>Core</v>
          </cell>
          <cell r="CU980">
            <v>0.61529999999999996</v>
          </cell>
          <cell r="CW980" t="str">
            <v>CNHRA14&amp;15</v>
          </cell>
          <cell r="CX980">
            <v>0.57820000000000005</v>
          </cell>
        </row>
        <row r="981">
          <cell r="CA981" t="str">
            <v>AHXY</v>
          </cell>
          <cell r="CB981" t="str">
            <v>Core HRA</v>
          </cell>
          <cell r="CC981">
            <v>20</v>
          </cell>
          <cell r="CD981">
            <v>20</v>
          </cell>
          <cell r="CE981" t="str">
            <v>N/A</v>
          </cell>
          <cell r="CF981" t="str">
            <v>N/A</v>
          </cell>
          <cell r="CG981">
            <v>20</v>
          </cell>
          <cell r="CH981" t="str">
            <v>N/A</v>
          </cell>
          <cell r="CI981" t="str">
            <v>N/A</v>
          </cell>
          <cell r="CJ981" t="str">
            <v>$3,000 / $6,000</v>
          </cell>
          <cell r="CK981">
            <v>1</v>
          </cell>
          <cell r="CL981" t="str">
            <v>$6,000 / $12,000</v>
          </cell>
          <cell r="CM981" t="str">
            <v>$6,350 / $12,700</v>
          </cell>
          <cell r="CN981">
            <v>0.7</v>
          </cell>
          <cell r="CO981" t="str">
            <v>$12,700 / $25,400</v>
          </cell>
          <cell r="CP981" t="str">
            <v>Emb</v>
          </cell>
          <cell r="CS981" t="str">
            <v>INS</v>
          </cell>
          <cell r="CT981" t="str">
            <v>Core</v>
          </cell>
          <cell r="CU981">
            <v>0.71430000000000005</v>
          </cell>
          <cell r="CW981" t="str">
            <v>CNHRA14&amp;15</v>
          </cell>
          <cell r="CX981">
            <v>0.63470000000000004</v>
          </cell>
        </row>
        <row r="982">
          <cell r="CA982" t="str">
            <v>AHYA</v>
          </cell>
          <cell r="CB982" t="str">
            <v>Core</v>
          </cell>
          <cell r="CC982">
            <v>10</v>
          </cell>
          <cell r="CD982">
            <v>10</v>
          </cell>
          <cell r="CE982" t="str">
            <v>N/A</v>
          </cell>
          <cell r="CF982" t="str">
            <v>N/A</v>
          </cell>
          <cell r="CG982">
            <v>10</v>
          </cell>
          <cell r="CH982" t="str">
            <v>$100 POD</v>
          </cell>
          <cell r="CI982" t="str">
            <v>N/A</v>
          </cell>
          <cell r="CJ982" t="str">
            <v>$250 / $500</v>
          </cell>
          <cell r="CK982">
            <v>0.9</v>
          </cell>
          <cell r="CL982" t="str">
            <v>$1,750 / $3,500</v>
          </cell>
          <cell r="CM982" t="str">
            <v>$500 / $1,000</v>
          </cell>
          <cell r="CN982">
            <v>0.7</v>
          </cell>
          <cell r="CO982" t="str">
            <v>$3,500 / $7,000</v>
          </cell>
          <cell r="CP982" t="str">
            <v>Emb</v>
          </cell>
          <cell r="CS982" t="str">
            <v>INS</v>
          </cell>
          <cell r="CT982" t="str">
            <v>Core</v>
          </cell>
          <cell r="CU982">
            <v>0.88370000000000004</v>
          </cell>
          <cell r="CW982" t="str">
            <v>C14&amp;15</v>
          </cell>
          <cell r="CX982">
            <v>0.71260000000000001</v>
          </cell>
        </row>
        <row r="983">
          <cell r="CA983" t="str">
            <v>AHYB</v>
          </cell>
          <cell r="CB983" t="str">
            <v>Core</v>
          </cell>
          <cell r="CC983">
            <v>25</v>
          </cell>
          <cell r="CD983">
            <v>25</v>
          </cell>
          <cell r="CE983" t="str">
            <v>N/A</v>
          </cell>
          <cell r="CF983" t="str">
            <v>N/A</v>
          </cell>
          <cell r="CG983">
            <v>25</v>
          </cell>
          <cell r="CH983" t="str">
            <v>$100 POD</v>
          </cell>
          <cell r="CI983" t="str">
            <v>N/A</v>
          </cell>
          <cell r="CJ983" t="str">
            <v>$250 / $500</v>
          </cell>
          <cell r="CK983">
            <v>0.9</v>
          </cell>
          <cell r="CL983" t="str">
            <v>$3,250 / $6,500</v>
          </cell>
          <cell r="CM983" t="str">
            <v>$250 / $500</v>
          </cell>
          <cell r="CN983">
            <v>0.6</v>
          </cell>
          <cell r="CO983" t="str">
            <v>$7,750 / $15,500</v>
          </cell>
          <cell r="CP983" t="str">
            <v>Emb</v>
          </cell>
          <cell r="CS983" t="str">
            <v>INS</v>
          </cell>
          <cell r="CT983" t="str">
            <v>Core</v>
          </cell>
          <cell r="CU983">
            <v>0.82920000000000005</v>
          </cell>
          <cell r="CW983" t="str">
            <v>C14&amp;15</v>
          </cell>
          <cell r="CX983">
            <v>0.68689999999999996</v>
          </cell>
        </row>
        <row r="984">
          <cell r="CA984" t="str">
            <v>AHYE</v>
          </cell>
          <cell r="CB984" t="str">
            <v>Core</v>
          </cell>
          <cell r="CC984">
            <v>30</v>
          </cell>
          <cell r="CD984">
            <v>30</v>
          </cell>
          <cell r="CE984" t="str">
            <v>N/A</v>
          </cell>
          <cell r="CF984" t="str">
            <v>N/A</v>
          </cell>
          <cell r="CG984">
            <v>30</v>
          </cell>
          <cell r="CH984" t="str">
            <v>$100 POD</v>
          </cell>
          <cell r="CI984" t="str">
            <v>N/A</v>
          </cell>
          <cell r="CJ984" t="str">
            <v>$500 / $1,000</v>
          </cell>
          <cell r="CK984">
            <v>0.9</v>
          </cell>
          <cell r="CL984" t="str">
            <v>$3,500 / $7,000</v>
          </cell>
          <cell r="CM984" t="str">
            <v>$500 / $1,000</v>
          </cell>
          <cell r="CN984">
            <v>0.6</v>
          </cell>
          <cell r="CO984" t="str">
            <v>$8,000 / $16,000</v>
          </cell>
          <cell r="CP984" t="str">
            <v>Emb</v>
          </cell>
          <cell r="CS984" t="str">
            <v>INS</v>
          </cell>
          <cell r="CT984" t="str">
            <v>Core</v>
          </cell>
          <cell r="CU984">
            <v>0.79249999999999998</v>
          </cell>
          <cell r="CW984" t="str">
            <v>C14&amp;15</v>
          </cell>
          <cell r="CX984">
            <v>0.6673</v>
          </cell>
        </row>
        <row r="985">
          <cell r="CA985" t="str">
            <v>AHYF</v>
          </cell>
          <cell r="CB985" t="str">
            <v>Core</v>
          </cell>
          <cell r="CC985">
            <v>35</v>
          </cell>
          <cell r="CD985">
            <v>35</v>
          </cell>
          <cell r="CE985" t="str">
            <v>N/A</v>
          </cell>
          <cell r="CF985" t="str">
            <v>N/A</v>
          </cell>
          <cell r="CG985">
            <v>35</v>
          </cell>
          <cell r="CH985" t="str">
            <v>$100 POD</v>
          </cell>
          <cell r="CI985" t="str">
            <v>N/A</v>
          </cell>
          <cell r="CJ985" t="str">
            <v>$500 / $1,000</v>
          </cell>
          <cell r="CK985">
            <v>0.8</v>
          </cell>
          <cell r="CL985" t="str">
            <v>$3,500 / $7,000</v>
          </cell>
          <cell r="CM985" t="str">
            <v>$500 / $1,000</v>
          </cell>
          <cell r="CN985">
            <v>0.6</v>
          </cell>
          <cell r="CO985" t="str">
            <v>$10,500 / $21,000</v>
          </cell>
          <cell r="CP985" t="str">
            <v>Emb</v>
          </cell>
          <cell r="CS985" t="str">
            <v>INS</v>
          </cell>
          <cell r="CT985" t="str">
            <v>Core</v>
          </cell>
          <cell r="CU985">
            <v>0.74890000000000001</v>
          </cell>
          <cell r="CW985" t="str">
            <v>C14&amp;15</v>
          </cell>
          <cell r="CX985">
            <v>0.64580000000000004</v>
          </cell>
        </row>
        <row r="986">
          <cell r="CA986" t="str">
            <v>AHYH</v>
          </cell>
          <cell r="CB986" t="str">
            <v>Core</v>
          </cell>
          <cell r="CC986">
            <v>20</v>
          </cell>
          <cell r="CD986">
            <v>35</v>
          </cell>
          <cell r="CE986" t="str">
            <v>N/A</v>
          </cell>
          <cell r="CF986" t="str">
            <v>N/A</v>
          </cell>
          <cell r="CG986">
            <v>35</v>
          </cell>
          <cell r="CH986" t="str">
            <v>$100 POD</v>
          </cell>
          <cell r="CI986" t="str">
            <v>N/A</v>
          </cell>
          <cell r="CJ986" t="str">
            <v>$750 / $1,500</v>
          </cell>
          <cell r="CK986">
            <v>0.8</v>
          </cell>
          <cell r="CL986" t="str">
            <v>$6,350 / $12,700</v>
          </cell>
          <cell r="CM986" t="str">
            <v>$1,500 / $3,000</v>
          </cell>
          <cell r="CN986">
            <v>0.6</v>
          </cell>
          <cell r="CO986" t="str">
            <v>$10,000 / $20,000</v>
          </cell>
          <cell r="CP986" t="str">
            <v>Emb</v>
          </cell>
          <cell r="CS986" t="str">
            <v>INS</v>
          </cell>
          <cell r="CT986" t="str">
            <v>Core</v>
          </cell>
          <cell r="CU986">
            <v>0.71</v>
          </cell>
          <cell r="CW986" t="str">
            <v>C14&amp;15</v>
          </cell>
          <cell r="CX986">
            <v>0.63429999999999997</v>
          </cell>
        </row>
        <row r="987">
          <cell r="CA987" t="str">
            <v>AHYI</v>
          </cell>
          <cell r="CB987" t="str">
            <v>Core</v>
          </cell>
          <cell r="CC987">
            <v>20</v>
          </cell>
          <cell r="CD987">
            <v>45</v>
          </cell>
          <cell r="CE987" t="str">
            <v>N/A</v>
          </cell>
          <cell r="CF987" t="str">
            <v>N/A</v>
          </cell>
          <cell r="CG987">
            <v>45</v>
          </cell>
          <cell r="CH987" t="str">
            <v>$100 POD</v>
          </cell>
          <cell r="CI987" t="str">
            <v>N/A</v>
          </cell>
          <cell r="CJ987" t="str">
            <v>N/A</v>
          </cell>
          <cell r="CK987">
            <v>0.75</v>
          </cell>
          <cell r="CL987" t="str">
            <v>$5,000 / $10,000</v>
          </cell>
          <cell r="CM987" t="str">
            <v>N/A</v>
          </cell>
          <cell r="CN987">
            <v>0.6</v>
          </cell>
          <cell r="CO987" t="str">
            <v>$10,000 / $20,000</v>
          </cell>
          <cell r="CP987" t="str">
            <v>Emb</v>
          </cell>
          <cell r="CS987" t="str">
            <v>INS</v>
          </cell>
          <cell r="CT987" t="str">
            <v>Core</v>
          </cell>
          <cell r="CU987">
            <v>0.75539999999999996</v>
          </cell>
          <cell r="CW987" t="str">
            <v>C14&amp;15</v>
          </cell>
          <cell r="CX987">
            <v>0.65839999999999999</v>
          </cell>
        </row>
        <row r="988">
          <cell r="CA988" t="str">
            <v>AHZ1</v>
          </cell>
          <cell r="CB988" t="str">
            <v>Core HSA</v>
          </cell>
          <cell r="CC988" t="str">
            <v>N/A</v>
          </cell>
          <cell r="CD988" t="str">
            <v>N/A</v>
          </cell>
          <cell r="CE988" t="str">
            <v>N/A</v>
          </cell>
          <cell r="CF988" t="str">
            <v>$100 POD</v>
          </cell>
          <cell r="CG988" t="str">
            <v>N/A</v>
          </cell>
          <cell r="CH988" t="str">
            <v>$100 POD</v>
          </cell>
          <cell r="CI988" t="str">
            <v>N/A</v>
          </cell>
          <cell r="CJ988" t="str">
            <v>$3,000 / $6,000</v>
          </cell>
          <cell r="CK988">
            <v>0.8</v>
          </cell>
          <cell r="CL988" t="str">
            <v>$5,000 / $10,000</v>
          </cell>
          <cell r="CM988" t="str">
            <v>$6,000 / $12,000</v>
          </cell>
          <cell r="CN988">
            <v>0.6</v>
          </cell>
          <cell r="CO988" t="str">
            <v>$12,000 / $24,000</v>
          </cell>
          <cell r="CP988" t="str">
            <v>Emb</v>
          </cell>
          <cell r="CS988" t="str">
            <v>INS</v>
          </cell>
          <cell r="CT988" t="str">
            <v>Core</v>
          </cell>
          <cell r="CU988">
            <v>0.62160000000000004</v>
          </cell>
          <cell r="CV988" t="str">
            <v>H9-HSA</v>
          </cell>
          <cell r="CW988" t="str">
            <v>CHSA14&amp;15</v>
          </cell>
          <cell r="CX988">
            <v>0.68489999999999995</v>
          </cell>
        </row>
        <row r="989">
          <cell r="CA989" t="str">
            <v>AHZ2</v>
          </cell>
          <cell r="CB989" t="str">
            <v>Core HSA</v>
          </cell>
          <cell r="CC989" t="str">
            <v>N/A</v>
          </cell>
          <cell r="CD989" t="str">
            <v>N/A</v>
          </cell>
          <cell r="CE989" t="str">
            <v>N/A</v>
          </cell>
          <cell r="CF989" t="str">
            <v>$100 POD</v>
          </cell>
          <cell r="CG989" t="str">
            <v>N/A</v>
          </cell>
          <cell r="CH989" t="str">
            <v>$100 POD</v>
          </cell>
          <cell r="CI989" t="str">
            <v>N/A</v>
          </cell>
          <cell r="CJ989" t="str">
            <v>$3,000 / $6,000</v>
          </cell>
          <cell r="CK989">
            <v>0.8</v>
          </cell>
          <cell r="CL989" t="str">
            <v>$5,000 / $10,000</v>
          </cell>
          <cell r="CM989" t="str">
            <v>$3,000 / $6,000</v>
          </cell>
          <cell r="CN989">
            <v>0.6</v>
          </cell>
          <cell r="CO989" t="str">
            <v>$10,000 / $20,000</v>
          </cell>
          <cell r="CP989" t="str">
            <v>Emb</v>
          </cell>
          <cell r="CS989" t="str">
            <v>INS</v>
          </cell>
          <cell r="CT989" t="str">
            <v>Core</v>
          </cell>
          <cell r="CU989">
            <v>0.62429999999999997</v>
          </cell>
          <cell r="CV989" t="str">
            <v>H9-HSA</v>
          </cell>
          <cell r="CW989" t="str">
            <v>CHSA14&amp;15</v>
          </cell>
          <cell r="CX989">
            <v>0.68489999999999995</v>
          </cell>
        </row>
        <row r="990">
          <cell r="CA990" t="str">
            <v>AHZ3</v>
          </cell>
          <cell r="CB990" t="str">
            <v>Core HSA</v>
          </cell>
          <cell r="CC990" t="str">
            <v>N/A</v>
          </cell>
          <cell r="CD990" t="str">
            <v>N/A</v>
          </cell>
          <cell r="CE990" t="str">
            <v>N/A</v>
          </cell>
          <cell r="CF990" t="str">
            <v>$100 POD</v>
          </cell>
          <cell r="CG990" t="str">
            <v>N/A</v>
          </cell>
          <cell r="CH990" t="str">
            <v>$100 POD</v>
          </cell>
          <cell r="CI990" t="str">
            <v>N/A</v>
          </cell>
          <cell r="CJ990" t="str">
            <v>$3,500 / $7,000</v>
          </cell>
          <cell r="CK990">
            <v>0.8</v>
          </cell>
          <cell r="CL990" t="str">
            <v>$5,500 / $11,000</v>
          </cell>
          <cell r="CM990" t="str">
            <v>$3,500 / $7,000</v>
          </cell>
          <cell r="CN990">
            <v>0.5</v>
          </cell>
          <cell r="CO990" t="str">
            <v>$10,000 / $20,000</v>
          </cell>
          <cell r="CP990" t="str">
            <v>Emb</v>
          </cell>
          <cell r="CS990" t="str">
            <v>INS</v>
          </cell>
          <cell r="CT990" t="str">
            <v>Core</v>
          </cell>
          <cell r="CU990">
            <v>0.6028</v>
          </cell>
          <cell r="CV990" t="str">
            <v>H9-HSA</v>
          </cell>
          <cell r="CW990" t="str">
            <v>CHSA14&amp;15</v>
          </cell>
          <cell r="CX990">
            <v>0.66159999999999997</v>
          </cell>
        </row>
        <row r="991">
          <cell r="CA991" t="str">
            <v>AHZ4</v>
          </cell>
          <cell r="CB991" t="str">
            <v>Core HSA</v>
          </cell>
          <cell r="CC991" t="str">
            <v>N/A</v>
          </cell>
          <cell r="CD991" t="str">
            <v>N/A</v>
          </cell>
          <cell r="CE991" t="str">
            <v>N/A</v>
          </cell>
          <cell r="CF991" t="str">
            <v>$100 POD</v>
          </cell>
          <cell r="CG991" t="str">
            <v>N/A</v>
          </cell>
          <cell r="CH991" t="str">
            <v>$100 POD</v>
          </cell>
          <cell r="CI991" t="str">
            <v>N/A</v>
          </cell>
          <cell r="CJ991" t="str">
            <v>$4,000 / $8,000</v>
          </cell>
          <cell r="CK991">
            <v>0.8</v>
          </cell>
          <cell r="CL991" t="str">
            <v>$5,500 / $11,000</v>
          </cell>
          <cell r="CM991" t="str">
            <v>$4,000 / $8,000</v>
          </cell>
          <cell r="CN991">
            <v>0.5</v>
          </cell>
          <cell r="CO991" t="str">
            <v>$10,000 / $20,000</v>
          </cell>
          <cell r="CP991" t="str">
            <v>Emb</v>
          </cell>
          <cell r="CS991" t="str">
            <v>INS</v>
          </cell>
          <cell r="CT991" t="str">
            <v>Core</v>
          </cell>
          <cell r="CU991">
            <v>0.59319999999999995</v>
          </cell>
          <cell r="CV991" t="str">
            <v>H9-HSA</v>
          </cell>
          <cell r="CW991" t="str">
            <v>CHSA14&amp;15</v>
          </cell>
          <cell r="CX991">
            <v>0.64880000000000004</v>
          </cell>
        </row>
        <row r="992">
          <cell r="CA992" t="str">
            <v>AHZ5</v>
          </cell>
          <cell r="CB992" t="str">
            <v>Core HSA</v>
          </cell>
          <cell r="CC992" t="str">
            <v>N/A</v>
          </cell>
          <cell r="CD992" t="str">
            <v>N/A</v>
          </cell>
          <cell r="CE992" t="str">
            <v>N/A</v>
          </cell>
          <cell r="CF992" t="str">
            <v>N/A</v>
          </cell>
          <cell r="CG992" t="str">
            <v>N/A</v>
          </cell>
          <cell r="CH992" t="str">
            <v>N/A</v>
          </cell>
          <cell r="CI992" t="str">
            <v>N/A</v>
          </cell>
          <cell r="CJ992" t="str">
            <v>$4,500 / $9,000</v>
          </cell>
          <cell r="CK992">
            <v>0.8</v>
          </cell>
          <cell r="CL992" t="str">
            <v>$6,350 / $12,700</v>
          </cell>
          <cell r="CM992" t="str">
            <v>$9,000 / $18,000</v>
          </cell>
          <cell r="CN992">
            <v>0.5</v>
          </cell>
          <cell r="CO992" t="str">
            <v>$12,700 / $25,400</v>
          </cell>
          <cell r="CP992" t="str">
            <v>Emb</v>
          </cell>
          <cell r="CS992" t="str">
            <v>INS</v>
          </cell>
          <cell r="CT992" t="str">
            <v>Core</v>
          </cell>
          <cell r="CU992">
            <v>0.57089999999999996</v>
          </cell>
          <cell r="CV992" t="str">
            <v>H9-HSA</v>
          </cell>
          <cell r="CW992" t="str">
            <v>CHSA14&amp;15</v>
          </cell>
          <cell r="CX992">
            <v>0.624</v>
          </cell>
        </row>
        <row r="993">
          <cell r="CA993" t="str">
            <v>AHZ6</v>
          </cell>
          <cell r="CB993" t="str">
            <v>Core HSA</v>
          </cell>
          <cell r="CC993" t="str">
            <v>N/A</v>
          </cell>
          <cell r="CD993" t="str">
            <v>N/A</v>
          </cell>
          <cell r="CE993" t="str">
            <v>N/A</v>
          </cell>
          <cell r="CF993" t="str">
            <v>N/A</v>
          </cell>
          <cell r="CG993" t="str">
            <v>N/A</v>
          </cell>
          <cell r="CH993" t="str">
            <v>$200 POD</v>
          </cell>
          <cell r="CI993" t="str">
            <v>N/A</v>
          </cell>
          <cell r="CJ993" t="str">
            <v>$5,500 / $11,000</v>
          </cell>
          <cell r="CK993">
            <v>0.6</v>
          </cell>
          <cell r="CL993" t="str">
            <v>$6,350 / $12,700</v>
          </cell>
          <cell r="CM993" t="str">
            <v>$5,500 / $11,000</v>
          </cell>
          <cell r="CN993">
            <v>0.5</v>
          </cell>
          <cell r="CO993" t="str">
            <v>$10,000 / $20,000</v>
          </cell>
          <cell r="CP993" t="str">
            <v>Emb</v>
          </cell>
          <cell r="CS993" t="str">
            <v>INS</v>
          </cell>
          <cell r="CT993" t="str">
            <v>Core</v>
          </cell>
          <cell r="CU993">
            <v>0.55889999999999995</v>
          </cell>
          <cell r="CV993" t="str">
            <v>H9-HSA</v>
          </cell>
          <cell r="CW993" t="str">
            <v>CHSA14&amp;15</v>
          </cell>
          <cell r="CX993">
            <v>0.6028</v>
          </cell>
        </row>
        <row r="994">
          <cell r="CA994" t="str">
            <v>AHZ7</v>
          </cell>
          <cell r="CB994" t="str">
            <v>Core HSA</v>
          </cell>
          <cell r="CC994" t="str">
            <v>N/A</v>
          </cell>
          <cell r="CD994" t="str">
            <v>N/A</v>
          </cell>
          <cell r="CE994" t="str">
            <v>N/A</v>
          </cell>
          <cell r="CF994" t="str">
            <v>N/A</v>
          </cell>
          <cell r="CG994" t="str">
            <v>N/A</v>
          </cell>
          <cell r="CH994" t="str">
            <v>N/A</v>
          </cell>
          <cell r="CI994" t="str">
            <v>N/A</v>
          </cell>
          <cell r="CJ994" t="str">
            <v>$6,350 / $12,700</v>
          </cell>
          <cell r="CK994">
            <v>1</v>
          </cell>
          <cell r="CL994" t="str">
            <v>$6,350 / $12,700</v>
          </cell>
          <cell r="CM994" t="str">
            <v>$9,525 / $19,050</v>
          </cell>
          <cell r="CN994">
            <v>0.5</v>
          </cell>
          <cell r="CO994" t="str">
            <v>$12,700 / $25,400</v>
          </cell>
          <cell r="CP994" t="str">
            <v>Emb</v>
          </cell>
          <cell r="CS994" t="str">
            <v>INS</v>
          </cell>
          <cell r="CT994" t="str">
            <v>Core</v>
          </cell>
          <cell r="CU994">
            <v>0.55979999999999996</v>
          </cell>
          <cell r="CV994" t="str">
            <v>H9-HSA</v>
          </cell>
          <cell r="CW994" t="str">
            <v>CHSA14&amp;15</v>
          </cell>
          <cell r="CX994">
            <v>0.60040000000000004</v>
          </cell>
        </row>
        <row r="995">
          <cell r="CA995" t="str">
            <v>AKF7</v>
          </cell>
          <cell r="CB995" t="str">
            <v>Core</v>
          </cell>
          <cell r="CC995">
            <v>15</v>
          </cell>
          <cell r="CD995">
            <v>15</v>
          </cell>
          <cell r="CE995" t="str">
            <v>N/A</v>
          </cell>
          <cell r="CF995">
            <v>250</v>
          </cell>
          <cell r="CG995">
            <v>35</v>
          </cell>
          <cell r="CH995">
            <v>75</v>
          </cell>
          <cell r="CI995">
            <v>0</v>
          </cell>
          <cell r="CJ995" t="str">
            <v>$0 / $0</v>
          </cell>
          <cell r="CK995">
            <v>1</v>
          </cell>
          <cell r="CL995" t="str">
            <v>$2,500 / $5,000</v>
          </cell>
          <cell r="CM995" t="str">
            <v>$2,000 / $4,000</v>
          </cell>
          <cell r="CN995">
            <v>0.7</v>
          </cell>
          <cell r="CO995" t="str">
            <v>$6,000 / $12,000</v>
          </cell>
          <cell r="CP995" t="str">
            <v>Emb</v>
          </cell>
          <cell r="CS995" t="str">
            <v>INS</v>
          </cell>
          <cell r="CT995" t="str">
            <v>Core</v>
          </cell>
          <cell r="CU995">
            <v>0.94899999999999995</v>
          </cell>
          <cell r="CW995" t="str">
            <v>C14&amp;15</v>
          </cell>
          <cell r="CX995">
            <v>0.73750000000000004</v>
          </cell>
        </row>
        <row r="996">
          <cell r="CA996" t="str">
            <v>AKF8</v>
          </cell>
          <cell r="CB996" t="str">
            <v>Core</v>
          </cell>
          <cell r="CC996">
            <v>15</v>
          </cell>
          <cell r="CD996">
            <v>25</v>
          </cell>
          <cell r="CE996" t="str">
            <v>N/A</v>
          </cell>
          <cell r="CF996" t="str">
            <v>N/A</v>
          </cell>
          <cell r="CG996">
            <v>50</v>
          </cell>
          <cell r="CH996">
            <v>150</v>
          </cell>
          <cell r="CI996">
            <v>0</v>
          </cell>
          <cell r="CJ996" t="str">
            <v>$0 / $0</v>
          </cell>
          <cell r="CK996">
            <v>1</v>
          </cell>
          <cell r="CL996" t="str">
            <v>$2,500 / $5,000</v>
          </cell>
          <cell r="CM996" t="str">
            <v>$1,000 / $2,000</v>
          </cell>
          <cell r="CN996">
            <v>0.8</v>
          </cell>
          <cell r="CO996" t="str">
            <v>$5,000 / $10,000</v>
          </cell>
          <cell r="CP996" t="str">
            <v>Emb</v>
          </cell>
          <cell r="CS996" t="str">
            <v>INS</v>
          </cell>
          <cell r="CT996" t="str">
            <v>Core</v>
          </cell>
          <cell r="CU996">
            <v>0.94199999999999995</v>
          </cell>
          <cell r="CW996" t="str">
            <v>C14&amp;15</v>
          </cell>
          <cell r="CX996">
            <v>0.72950000000000004</v>
          </cell>
        </row>
        <row r="997">
          <cell r="CA997" t="str">
            <v>AKF9</v>
          </cell>
          <cell r="CB997" t="str">
            <v>Core</v>
          </cell>
          <cell r="CC997">
            <v>20</v>
          </cell>
          <cell r="CD997">
            <v>20</v>
          </cell>
          <cell r="CE997" t="str">
            <v>N/A</v>
          </cell>
          <cell r="CF997">
            <v>250</v>
          </cell>
          <cell r="CG997">
            <v>50</v>
          </cell>
          <cell r="CH997">
            <v>100</v>
          </cell>
          <cell r="CI997">
            <v>0</v>
          </cell>
          <cell r="CJ997" t="str">
            <v>$0 / $0</v>
          </cell>
          <cell r="CK997">
            <v>1</v>
          </cell>
          <cell r="CL997" t="str">
            <v>$2,500 / $5,000</v>
          </cell>
          <cell r="CM997" t="str">
            <v>$2,500 / $5,000</v>
          </cell>
          <cell r="CN997">
            <v>0.8</v>
          </cell>
          <cell r="CO997" t="str">
            <v>$7,500 / $15,000</v>
          </cell>
          <cell r="CP997" t="str">
            <v>Emb</v>
          </cell>
          <cell r="CS997" t="str">
            <v>INS</v>
          </cell>
          <cell r="CT997" t="str">
            <v>Core</v>
          </cell>
          <cell r="CU997">
            <v>0.93759999999999999</v>
          </cell>
          <cell r="CW997" t="str">
            <v>C14&amp;15</v>
          </cell>
          <cell r="CX997">
            <v>0.7298</v>
          </cell>
        </row>
        <row r="998">
          <cell r="CA998" t="str">
            <v>AKG3</v>
          </cell>
          <cell r="CB998" t="str">
            <v>Core</v>
          </cell>
          <cell r="CC998">
            <v>20</v>
          </cell>
          <cell r="CD998">
            <v>40</v>
          </cell>
          <cell r="CE998" t="str">
            <v>N/A</v>
          </cell>
          <cell r="CF998" t="str">
            <v>N/A</v>
          </cell>
          <cell r="CG998">
            <v>125</v>
          </cell>
          <cell r="CH998">
            <v>250</v>
          </cell>
          <cell r="CI998" t="str">
            <v>N/A</v>
          </cell>
          <cell r="CJ998" t="str">
            <v>$1,000 / $2,000</v>
          </cell>
          <cell r="CK998">
            <v>0.9</v>
          </cell>
          <cell r="CL998" t="str">
            <v>$3,000 / $6,000</v>
          </cell>
          <cell r="CM998" t="str">
            <v>$2,000 / $4,000</v>
          </cell>
          <cell r="CN998">
            <v>0.7</v>
          </cell>
          <cell r="CO998" t="str">
            <v>$6,000 / $12,000</v>
          </cell>
          <cell r="CP998" t="str">
            <v>Emb</v>
          </cell>
          <cell r="CS998" t="str">
            <v>INS</v>
          </cell>
          <cell r="CT998" t="str">
            <v>Core</v>
          </cell>
          <cell r="CU998">
            <v>0.78239999999999998</v>
          </cell>
          <cell r="CW998" t="str">
            <v>C14&amp;15</v>
          </cell>
          <cell r="CX998">
            <v>0.64190000000000003</v>
          </cell>
        </row>
        <row r="999">
          <cell r="CA999" t="str">
            <v>AKG6</v>
          </cell>
          <cell r="CB999" t="str">
            <v>Core</v>
          </cell>
          <cell r="CC999">
            <v>25</v>
          </cell>
          <cell r="CD999">
            <v>35</v>
          </cell>
          <cell r="CE999" t="str">
            <v>N/A</v>
          </cell>
          <cell r="CF999" t="str">
            <v>N/A</v>
          </cell>
          <cell r="CG999">
            <v>125</v>
          </cell>
          <cell r="CH999">
            <v>250</v>
          </cell>
          <cell r="CI999" t="str">
            <v>N/A</v>
          </cell>
          <cell r="CJ999" t="str">
            <v>$1,000 / $2,000</v>
          </cell>
          <cell r="CK999">
            <v>0.8</v>
          </cell>
          <cell r="CL999" t="str">
            <v>$3,000 / $6,000</v>
          </cell>
          <cell r="CM999" t="str">
            <v>$2,000 / $4,000</v>
          </cell>
          <cell r="CN999">
            <v>0.6</v>
          </cell>
          <cell r="CO999" t="str">
            <v>$3,000 / $6,000</v>
          </cell>
          <cell r="CP999" t="str">
            <v>Emb</v>
          </cell>
          <cell r="CS999" t="str">
            <v>INS</v>
          </cell>
          <cell r="CT999" t="str">
            <v>Core</v>
          </cell>
          <cell r="CU999">
            <v>0.76729999999999998</v>
          </cell>
          <cell r="CW999" t="str">
            <v>C14&amp;15</v>
          </cell>
          <cell r="CX999">
            <v>0.64290000000000003</v>
          </cell>
        </row>
        <row r="1000">
          <cell r="CA1000" t="str">
            <v>AKG9</v>
          </cell>
          <cell r="CB1000" t="str">
            <v>Core</v>
          </cell>
          <cell r="CC1000">
            <v>30</v>
          </cell>
          <cell r="CD1000">
            <v>50</v>
          </cell>
          <cell r="CE1000" t="str">
            <v>N/A</v>
          </cell>
          <cell r="CF1000" t="str">
            <v>N/A</v>
          </cell>
          <cell r="CG1000">
            <v>125</v>
          </cell>
          <cell r="CH1000">
            <v>250</v>
          </cell>
          <cell r="CI1000" t="str">
            <v>N/A</v>
          </cell>
          <cell r="CJ1000" t="str">
            <v>$1,000 / $2,000</v>
          </cell>
          <cell r="CK1000">
            <v>0.8</v>
          </cell>
          <cell r="CL1000" t="str">
            <v>$3,000 / $6,000</v>
          </cell>
          <cell r="CM1000" t="str">
            <v>$2,000 / $4,000</v>
          </cell>
          <cell r="CN1000">
            <v>0.6</v>
          </cell>
          <cell r="CO1000" t="str">
            <v>$6,000 / $12,000</v>
          </cell>
          <cell r="CP1000" t="str">
            <v>Emb</v>
          </cell>
          <cell r="CS1000" t="str">
            <v>INS</v>
          </cell>
          <cell r="CT1000" t="str">
            <v>Core</v>
          </cell>
          <cell r="CU1000">
            <v>0.75449999999999995</v>
          </cell>
          <cell r="CW1000" t="str">
            <v>C14&amp;15</v>
          </cell>
          <cell r="CX1000">
            <v>0.63070000000000004</v>
          </cell>
        </row>
        <row r="1001">
          <cell r="CA1001" t="str">
            <v>AKGA</v>
          </cell>
          <cell r="CB1001" t="str">
            <v>Core</v>
          </cell>
          <cell r="CC1001">
            <v>20</v>
          </cell>
          <cell r="CD1001">
            <v>30</v>
          </cell>
          <cell r="CE1001" t="str">
            <v>N/A</v>
          </cell>
          <cell r="CF1001" t="str">
            <v>N/A</v>
          </cell>
          <cell r="CG1001">
            <v>50</v>
          </cell>
          <cell r="CH1001">
            <v>150</v>
          </cell>
          <cell r="CI1001">
            <v>0</v>
          </cell>
          <cell r="CJ1001" t="str">
            <v>$0 / $0</v>
          </cell>
          <cell r="CK1001">
            <v>1</v>
          </cell>
          <cell r="CL1001" t="str">
            <v>$2,500 / $5,000</v>
          </cell>
          <cell r="CM1001" t="str">
            <v>$1,500 / $3,000</v>
          </cell>
          <cell r="CN1001">
            <v>0.8</v>
          </cell>
          <cell r="CO1001" t="str">
            <v>$5,000 / $10,000</v>
          </cell>
          <cell r="CP1001" t="str">
            <v>Emb</v>
          </cell>
          <cell r="CS1001" t="str">
            <v>INS</v>
          </cell>
          <cell r="CT1001" t="str">
            <v>Core</v>
          </cell>
          <cell r="CU1001">
            <v>0.93240000000000001</v>
          </cell>
          <cell r="CW1001" t="str">
            <v>C14&amp;15</v>
          </cell>
          <cell r="CX1001">
            <v>0.72270000000000001</v>
          </cell>
        </row>
        <row r="1002">
          <cell r="CA1002" t="str">
            <v>AKGU</v>
          </cell>
          <cell r="CB1002" t="str">
            <v>Core</v>
          </cell>
          <cell r="CC1002">
            <v>20</v>
          </cell>
          <cell r="CD1002">
            <v>40</v>
          </cell>
          <cell r="CE1002" t="str">
            <v>N/A</v>
          </cell>
          <cell r="CF1002" t="str">
            <v>N/A</v>
          </cell>
          <cell r="CG1002">
            <v>50</v>
          </cell>
          <cell r="CH1002">
            <v>100</v>
          </cell>
          <cell r="CI1002" t="str">
            <v>N/A</v>
          </cell>
          <cell r="CJ1002" t="str">
            <v>$500 / $1,000</v>
          </cell>
          <cell r="CK1002">
            <v>0.8</v>
          </cell>
          <cell r="CL1002" t="str">
            <v>$4,500 / $9,000</v>
          </cell>
          <cell r="CM1002" t="str">
            <v>$1,000 / $2,000</v>
          </cell>
          <cell r="CN1002">
            <v>0.6</v>
          </cell>
          <cell r="CO1002" t="str">
            <v>$9,000 / $18,000</v>
          </cell>
          <cell r="CP1002" t="str">
            <v>Emb</v>
          </cell>
          <cell r="CS1002" t="str">
            <v>INS</v>
          </cell>
          <cell r="CT1002" t="str">
            <v>Core</v>
          </cell>
          <cell r="CU1002">
            <v>0.76580000000000004</v>
          </cell>
          <cell r="CW1002" t="str">
            <v>C14&amp;15</v>
          </cell>
          <cell r="CX1002">
            <v>0.64910000000000001</v>
          </cell>
        </row>
        <row r="1003">
          <cell r="CA1003" t="str">
            <v>AKGW</v>
          </cell>
          <cell r="CB1003" t="str">
            <v>Core</v>
          </cell>
          <cell r="CC1003">
            <v>20</v>
          </cell>
          <cell r="CD1003">
            <v>30</v>
          </cell>
          <cell r="CE1003" t="str">
            <v>N/A</v>
          </cell>
          <cell r="CF1003" t="str">
            <v>$500 POD</v>
          </cell>
          <cell r="CG1003">
            <v>125</v>
          </cell>
          <cell r="CH1003">
            <v>250</v>
          </cell>
          <cell r="CI1003" t="str">
            <v>N/A</v>
          </cell>
          <cell r="CJ1003" t="str">
            <v>$250 / $500</v>
          </cell>
          <cell r="CK1003">
            <v>0.7</v>
          </cell>
          <cell r="CL1003" t="str">
            <v>$3,500 / $7,000</v>
          </cell>
          <cell r="CM1003" t="str">
            <v>$500 / $1,000</v>
          </cell>
          <cell r="CN1003">
            <v>0.5</v>
          </cell>
          <cell r="CO1003" t="str">
            <v>$7,000 / $14,000</v>
          </cell>
          <cell r="CP1003" t="str">
            <v>Emb</v>
          </cell>
          <cell r="CS1003" t="str">
            <v>INS</v>
          </cell>
          <cell r="CT1003" t="str">
            <v>Core</v>
          </cell>
          <cell r="CU1003">
            <v>0.77310000000000001</v>
          </cell>
          <cell r="CW1003" t="str">
            <v>C14&amp;15</v>
          </cell>
          <cell r="CX1003">
            <v>0.66169999999999995</v>
          </cell>
        </row>
        <row r="1004">
          <cell r="CA1004" t="str">
            <v>AKH1</v>
          </cell>
          <cell r="CB1004" t="str">
            <v>Core</v>
          </cell>
          <cell r="CC1004">
            <v>20</v>
          </cell>
          <cell r="CD1004">
            <v>20</v>
          </cell>
          <cell r="CE1004" t="str">
            <v>N/A</v>
          </cell>
          <cell r="CF1004" t="str">
            <v>$100 POD</v>
          </cell>
          <cell r="CG1004">
            <v>20</v>
          </cell>
          <cell r="CH1004" t="str">
            <v>$100 POD</v>
          </cell>
          <cell r="CI1004" t="str">
            <v>N/A</v>
          </cell>
          <cell r="CJ1004" t="str">
            <v>$500 / $1,000</v>
          </cell>
          <cell r="CK1004">
            <v>0.8</v>
          </cell>
          <cell r="CL1004" t="str">
            <v>$2,500 / $5,000</v>
          </cell>
          <cell r="CM1004" t="str">
            <v>$1,000 / $2,000</v>
          </cell>
          <cell r="CN1004">
            <v>0.6</v>
          </cell>
          <cell r="CO1004" t="str">
            <v>$5,000 / $10,000</v>
          </cell>
          <cell r="CP1004" t="str">
            <v>Emb</v>
          </cell>
          <cell r="CS1004" t="str">
            <v>INS</v>
          </cell>
          <cell r="CT1004" t="str">
            <v>Core</v>
          </cell>
          <cell r="CU1004">
            <v>0.80059999999999998</v>
          </cell>
          <cell r="CW1004" t="str">
            <v>C14&amp;15</v>
          </cell>
          <cell r="CX1004">
            <v>0.67249999999999999</v>
          </cell>
        </row>
        <row r="1005">
          <cell r="CA1005" t="str">
            <v>AKH4</v>
          </cell>
          <cell r="CB1005" t="str">
            <v>Core</v>
          </cell>
          <cell r="CC1005">
            <v>25</v>
          </cell>
          <cell r="CD1005">
            <v>25</v>
          </cell>
          <cell r="CE1005" t="str">
            <v>N/A</v>
          </cell>
          <cell r="CF1005" t="str">
            <v>$100 POD</v>
          </cell>
          <cell r="CG1005">
            <v>25</v>
          </cell>
          <cell r="CH1005" t="str">
            <v>$100 POD</v>
          </cell>
          <cell r="CI1005" t="str">
            <v>N/A</v>
          </cell>
          <cell r="CJ1005" t="str">
            <v>$750 / $1,500</v>
          </cell>
          <cell r="CK1005">
            <v>0.8</v>
          </cell>
          <cell r="CL1005" t="str">
            <v>$4,700 / $9,500</v>
          </cell>
          <cell r="CM1005" t="str">
            <v>$1,500 / $3,000</v>
          </cell>
          <cell r="CN1005">
            <v>0.6</v>
          </cell>
          <cell r="CO1005" t="str">
            <v>$9,500 / $19,000</v>
          </cell>
          <cell r="CP1005" t="str">
            <v>Emb</v>
          </cell>
          <cell r="CS1005" t="str">
            <v>INS</v>
          </cell>
          <cell r="CT1005" t="str">
            <v>Core</v>
          </cell>
          <cell r="CU1005">
            <v>0.72599999999999998</v>
          </cell>
          <cell r="CW1005" t="str">
            <v>C14&amp;15</v>
          </cell>
          <cell r="CX1005">
            <v>0.64429999999999998</v>
          </cell>
        </row>
        <row r="1006">
          <cell r="CA1006" t="str">
            <v>AKH7</v>
          </cell>
          <cell r="CB1006" t="str">
            <v>Core</v>
          </cell>
          <cell r="CC1006">
            <v>10</v>
          </cell>
          <cell r="CD1006">
            <v>10</v>
          </cell>
          <cell r="CE1006" t="str">
            <v>N/A</v>
          </cell>
          <cell r="CF1006">
            <v>100</v>
          </cell>
          <cell r="CG1006">
            <v>10</v>
          </cell>
          <cell r="CH1006">
            <v>100</v>
          </cell>
          <cell r="CI1006" t="str">
            <v>N/A</v>
          </cell>
          <cell r="CJ1006" t="str">
            <v>N/A</v>
          </cell>
          <cell r="CK1006">
            <v>1</v>
          </cell>
          <cell r="CL1006" t="str">
            <v>$500 / $1,000</v>
          </cell>
          <cell r="CM1006" t="str">
            <v>$500 / $1,000</v>
          </cell>
          <cell r="CN1006">
            <v>0.5</v>
          </cell>
          <cell r="CO1006" t="str">
            <v>$2,000 / $4,000</v>
          </cell>
          <cell r="CP1006" t="str">
            <v>Emb</v>
          </cell>
          <cell r="CS1006" t="str">
            <v>INS</v>
          </cell>
          <cell r="CT1006" t="str">
            <v>Core</v>
          </cell>
          <cell r="CU1006">
            <v>1.0065</v>
          </cell>
          <cell r="CW1006" t="str">
            <v>C14&amp;15</v>
          </cell>
          <cell r="CX1006">
            <v>0.74439999999999995</v>
          </cell>
        </row>
        <row r="1007">
          <cell r="CA1007" t="str">
            <v>AKHC</v>
          </cell>
          <cell r="CB1007" t="str">
            <v>Core</v>
          </cell>
          <cell r="CC1007">
            <v>25</v>
          </cell>
          <cell r="CD1007">
            <v>40</v>
          </cell>
          <cell r="CE1007" t="str">
            <v>N/A</v>
          </cell>
          <cell r="CF1007" t="str">
            <v>N/A</v>
          </cell>
          <cell r="CG1007">
            <v>125</v>
          </cell>
          <cell r="CH1007">
            <v>250</v>
          </cell>
          <cell r="CI1007" t="str">
            <v>N/A</v>
          </cell>
          <cell r="CJ1007" t="str">
            <v>$2,000 / $4,000</v>
          </cell>
          <cell r="CK1007">
            <v>0.8</v>
          </cell>
          <cell r="CL1007" t="str">
            <v>$5,000 / $10,000</v>
          </cell>
          <cell r="CM1007" t="str">
            <v>$4,000 / $8,000</v>
          </cell>
          <cell r="CN1007">
            <v>0.5</v>
          </cell>
          <cell r="CO1007" t="str">
            <v>$10,000 / $20,000</v>
          </cell>
          <cell r="CP1007" t="str">
            <v>Emb</v>
          </cell>
          <cell r="CS1007" t="str">
            <v>INS</v>
          </cell>
          <cell r="CT1007" t="str">
            <v>Core</v>
          </cell>
          <cell r="CU1007">
            <v>0.69289999999999996</v>
          </cell>
          <cell r="CW1007" t="str">
            <v>C14&amp;15</v>
          </cell>
          <cell r="CX1007">
            <v>0.60170000000000001</v>
          </cell>
        </row>
        <row r="1008">
          <cell r="CA1008" t="str">
            <v>AKHD</v>
          </cell>
          <cell r="CB1008" t="str">
            <v>Core</v>
          </cell>
          <cell r="CC1008">
            <v>20</v>
          </cell>
          <cell r="CD1008">
            <v>40</v>
          </cell>
          <cell r="CE1008" t="str">
            <v>N/A</v>
          </cell>
          <cell r="CF1008" t="str">
            <v>N/A</v>
          </cell>
          <cell r="CG1008">
            <v>125</v>
          </cell>
          <cell r="CH1008">
            <v>250</v>
          </cell>
          <cell r="CI1008" t="str">
            <v>N/A</v>
          </cell>
          <cell r="CJ1008" t="str">
            <v>$2,500 / $5,000</v>
          </cell>
          <cell r="CK1008">
            <v>0.8</v>
          </cell>
          <cell r="CL1008" t="str">
            <v>$5,000 / $10,000</v>
          </cell>
          <cell r="CM1008" t="str">
            <v>$4,500 / $9,000</v>
          </cell>
          <cell r="CN1008">
            <v>0.5</v>
          </cell>
          <cell r="CO1008" t="str">
            <v>$10,000 / $20,000</v>
          </cell>
          <cell r="CP1008" t="str">
            <v>Emb</v>
          </cell>
          <cell r="CS1008" t="str">
            <v>INS</v>
          </cell>
          <cell r="CT1008" t="str">
            <v>Core</v>
          </cell>
          <cell r="CU1008">
            <v>0.68589999999999995</v>
          </cell>
          <cell r="CW1008" t="str">
            <v>C14&amp;15</v>
          </cell>
          <cell r="CX1008">
            <v>0.59850000000000003</v>
          </cell>
        </row>
        <row r="1009">
          <cell r="CA1009" t="str">
            <v>AKHE</v>
          </cell>
          <cell r="CB1009" t="str">
            <v>Core</v>
          </cell>
          <cell r="CC1009">
            <v>25</v>
          </cell>
          <cell r="CD1009">
            <v>50</v>
          </cell>
          <cell r="CE1009" t="str">
            <v>N/A</v>
          </cell>
          <cell r="CF1009" t="str">
            <v>N/A</v>
          </cell>
          <cell r="CG1009">
            <v>125</v>
          </cell>
          <cell r="CH1009">
            <v>250</v>
          </cell>
          <cell r="CI1009" t="str">
            <v>N/A</v>
          </cell>
          <cell r="CJ1009" t="str">
            <v>$3,000 / $6,000</v>
          </cell>
          <cell r="CK1009">
            <v>0.7</v>
          </cell>
          <cell r="CL1009" t="str">
            <v>$5,000 / $10,000</v>
          </cell>
          <cell r="CM1009" t="str">
            <v>$6,000 / $12,000</v>
          </cell>
          <cell r="CN1009">
            <v>0.5</v>
          </cell>
          <cell r="CO1009" t="str">
            <v>$10,000 / $20,000</v>
          </cell>
          <cell r="CP1009" t="str">
            <v>Emb</v>
          </cell>
          <cell r="CS1009" t="str">
            <v>INS</v>
          </cell>
          <cell r="CT1009" t="str">
            <v>Core</v>
          </cell>
          <cell r="CU1009">
            <v>0.66879999999999995</v>
          </cell>
          <cell r="CW1009" t="str">
            <v>C14&amp;15</v>
          </cell>
          <cell r="CX1009">
            <v>0.58740000000000003</v>
          </cell>
        </row>
        <row r="1010">
          <cell r="CA1010" t="str">
            <v>AKHF</v>
          </cell>
          <cell r="CB1010" t="str">
            <v>Core</v>
          </cell>
          <cell r="CC1010">
            <v>10</v>
          </cell>
          <cell r="CD1010">
            <v>10</v>
          </cell>
          <cell r="CE1010" t="str">
            <v>N/A</v>
          </cell>
          <cell r="CF1010" t="str">
            <v>$100 POD</v>
          </cell>
          <cell r="CG1010">
            <v>10</v>
          </cell>
          <cell r="CH1010" t="str">
            <v>$100 POD</v>
          </cell>
          <cell r="CI1010" t="str">
            <v>N/A</v>
          </cell>
          <cell r="CJ1010" t="str">
            <v>$1,000 / $2,000</v>
          </cell>
          <cell r="CK1010">
            <v>0.9</v>
          </cell>
          <cell r="CL1010" t="str">
            <v>$3,500 / $7,000</v>
          </cell>
          <cell r="CM1010" t="str">
            <v>$1,000 / $2,000</v>
          </cell>
          <cell r="CN1010">
            <v>0.7</v>
          </cell>
          <cell r="CO1010" t="str">
            <v>$6,000 / $12,000</v>
          </cell>
          <cell r="CP1010" t="str">
            <v>Emb</v>
          </cell>
          <cell r="CS1010" t="str">
            <v>INS</v>
          </cell>
          <cell r="CT1010" t="str">
            <v>Core</v>
          </cell>
          <cell r="CU1010">
            <v>0.78259999999999996</v>
          </cell>
          <cell r="CW1010" t="str">
            <v>C14&amp;15</v>
          </cell>
          <cell r="CX1010">
            <v>0.67649999999999999</v>
          </cell>
        </row>
        <row r="1011">
          <cell r="CA1011" t="str">
            <v>AKHG</v>
          </cell>
          <cell r="CB1011" t="str">
            <v>Core</v>
          </cell>
          <cell r="CC1011">
            <v>35</v>
          </cell>
          <cell r="CD1011">
            <v>35</v>
          </cell>
          <cell r="CE1011" t="str">
            <v>N/A</v>
          </cell>
          <cell r="CF1011" t="str">
            <v>$100 POD</v>
          </cell>
          <cell r="CG1011">
            <v>35</v>
          </cell>
          <cell r="CH1011" t="str">
            <v>$100 POD</v>
          </cell>
          <cell r="CI1011" t="str">
            <v>N/A</v>
          </cell>
          <cell r="CJ1011" t="str">
            <v>$1,000 / $2,000</v>
          </cell>
          <cell r="CK1011">
            <v>0.8</v>
          </cell>
          <cell r="CL1011" t="str">
            <v>$5,000 / $10,000</v>
          </cell>
          <cell r="CM1011" t="str">
            <v>$2,000 / $4,000</v>
          </cell>
          <cell r="CN1011">
            <v>0.6</v>
          </cell>
          <cell r="CO1011" t="str">
            <v>$10,000 / $20,000</v>
          </cell>
          <cell r="CP1011" t="str">
            <v>Emb</v>
          </cell>
          <cell r="CS1011" t="str">
            <v>INS</v>
          </cell>
          <cell r="CT1011" t="str">
            <v>Core</v>
          </cell>
          <cell r="CU1011">
            <v>0.69830000000000003</v>
          </cell>
          <cell r="CW1011" t="str">
            <v>C14&amp;15</v>
          </cell>
          <cell r="CX1011">
            <v>0.62290000000000001</v>
          </cell>
        </row>
        <row r="1012">
          <cell r="CA1012" t="str">
            <v>AKHI</v>
          </cell>
          <cell r="CB1012" t="str">
            <v>Core</v>
          </cell>
          <cell r="CC1012">
            <v>15</v>
          </cell>
          <cell r="CD1012">
            <v>15</v>
          </cell>
          <cell r="CE1012" t="str">
            <v>N/A</v>
          </cell>
          <cell r="CF1012" t="str">
            <v>$100 POD</v>
          </cell>
          <cell r="CG1012">
            <v>15</v>
          </cell>
          <cell r="CH1012" t="str">
            <v>$300 POD</v>
          </cell>
          <cell r="CI1012" t="str">
            <v>N/A</v>
          </cell>
          <cell r="CJ1012" t="str">
            <v>$1,500 / $3,000</v>
          </cell>
          <cell r="CK1012">
            <v>0.8</v>
          </cell>
          <cell r="CL1012" t="str">
            <v>$4,500 / $9,000</v>
          </cell>
          <cell r="CM1012" t="str">
            <v>$1,500 / $3,000</v>
          </cell>
          <cell r="CN1012">
            <v>0.5</v>
          </cell>
          <cell r="CO1012" t="str">
            <v>$7,500 / $15,000</v>
          </cell>
          <cell r="CP1012" t="str">
            <v>Emb</v>
          </cell>
          <cell r="CS1012" t="str">
            <v>INS</v>
          </cell>
          <cell r="CT1012" t="str">
            <v>Core</v>
          </cell>
          <cell r="CU1012">
            <v>0.70409999999999995</v>
          </cell>
          <cell r="CW1012" t="str">
            <v>C14&amp;15</v>
          </cell>
          <cell r="CX1012">
            <v>0.63839999999999997</v>
          </cell>
        </row>
        <row r="1013">
          <cell r="CA1013" t="str">
            <v>AKHJ</v>
          </cell>
          <cell r="CB1013" t="str">
            <v>Core</v>
          </cell>
          <cell r="CC1013">
            <v>20</v>
          </cell>
          <cell r="CD1013">
            <v>20</v>
          </cell>
          <cell r="CE1013" t="str">
            <v>N/A</v>
          </cell>
          <cell r="CF1013" t="str">
            <v>$100 POD</v>
          </cell>
          <cell r="CG1013">
            <v>20</v>
          </cell>
          <cell r="CH1013" t="str">
            <v>$100 POD</v>
          </cell>
          <cell r="CI1013" t="str">
            <v>N/A</v>
          </cell>
          <cell r="CJ1013" t="str">
            <v>$2,000 / $4,000</v>
          </cell>
          <cell r="CK1013">
            <v>0.8</v>
          </cell>
          <cell r="CL1013" t="str">
            <v>$5,500 / $11,000</v>
          </cell>
          <cell r="CM1013" t="str">
            <v>$2,000 / $4,000</v>
          </cell>
          <cell r="CN1013">
            <v>0.5</v>
          </cell>
          <cell r="CO1013" t="str">
            <v>$9,000 / $18,000</v>
          </cell>
          <cell r="CP1013" t="str">
            <v>Emb</v>
          </cell>
          <cell r="CS1013" t="str">
            <v>INS</v>
          </cell>
          <cell r="CT1013" t="str">
            <v>Core</v>
          </cell>
          <cell r="CU1013">
            <v>0.66959999999999997</v>
          </cell>
          <cell r="CW1013" t="str">
            <v>C14&amp;15</v>
          </cell>
          <cell r="CX1013">
            <v>0.62060000000000004</v>
          </cell>
        </row>
        <row r="1014">
          <cell r="CA1014" t="str">
            <v>AKHK</v>
          </cell>
          <cell r="CB1014" t="str">
            <v>Core</v>
          </cell>
          <cell r="CC1014">
            <v>25</v>
          </cell>
          <cell r="CD1014">
            <v>25</v>
          </cell>
          <cell r="CE1014" t="str">
            <v>N/A</v>
          </cell>
          <cell r="CF1014" t="str">
            <v>$100 POD</v>
          </cell>
          <cell r="CG1014">
            <v>25</v>
          </cell>
          <cell r="CH1014" t="str">
            <v>$100 POD</v>
          </cell>
          <cell r="CI1014" t="str">
            <v>N/A</v>
          </cell>
          <cell r="CJ1014" t="str">
            <v>$2,500 / $5,000</v>
          </cell>
          <cell r="CK1014">
            <v>0.8</v>
          </cell>
          <cell r="CL1014" t="str">
            <v>$6,350 / $12,700</v>
          </cell>
          <cell r="CM1014" t="str">
            <v>$2,500 / $5,000</v>
          </cell>
          <cell r="CN1014">
            <v>0.5</v>
          </cell>
          <cell r="CO1014" t="str">
            <v>$10,500 / $21,000</v>
          </cell>
          <cell r="CP1014" t="str">
            <v>Emb</v>
          </cell>
          <cell r="CS1014" t="str">
            <v>INS</v>
          </cell>
          <cell r="CT1014" t="str">
            <v>Core</v>
          </cell>
          <cell r="CU1014">
            <v>0.63670000000000004</v>
          </cell>
          <cell r="CW1014" t="str">
            <v>C14&amp;15</v>
          </cell>
          <cell r="CX1014">
            <v>0.60319999999999996</v>
          </cell>
        </row>
        <row r="1015">
          <cell r="CA1015" t="str">
            <v>AKHL</v>
          </cell>
          <cell r="CB1015" t="str">
            <v>Core</v>
          </cell>
          <cell r="CC1015">
            <v>30</v>
          </cell>
          <cell r="CD1015">
            <v>30</v>
          </cell>
          <cell r="CE1015" t="str">
            <v>N/A</v>
          </cell>
          <cell r="CF1015" t="str">
            <v>$100 POD</v>
          </cell>
          <cell r="CG1015">
            <v>30</v>
          </cell>
          <cell r="CH1015" t="str">
            <v>$100 POD</v>
          </cell>
          <cell r="CI1015" t="str">
            <v>N/A</v>
          </cell>
          <cell r="CJ1015" t="str">
            <v>$3,000 / $6,000</v>
          </cell>
          <cell r="CK1015">
            <v>0.8</v>
          </cell>
          <cell r="CL1015" t="str">
            <v>$6,350 / $12,700</v>
          </cell>
          <cell r="CM1015" t="str">
            <v>$3,000 / $6,000</v>
          </cell>
          <cell r="CN1015">
            <v>0.5</v>
          </cell>
          <cell r="CO1015" t="str">
            <v>$13,000 / $26,000</v>
          </cell>
          <cell r="CP1015" t="str">
            <v>Emb</v>
          </cell>
          <cell r="CS1015" t="str">
            <v>INS</v>
          </cell>
          <cell r="CT1015" t="str">
            <v>Core</v>
          </cell>
          <cell r="CU1015">
            <v>0.61739999999999995</v>
          </cell>
          <cell r="CW1015" t="str">
            <v>C14&amp;15</v>
          </cell>
          <cell r="CX1015">
            <v>0.59050000000000002</v>
          </cell>
        </row>
        <row r="1016">
          <cell r="CA1016" t="str">
            <v>AKHM</v>
          </cell>
          <cell r="CB1016" t="str">
            <v>Core</v>
          </cell>
          <cell r="CC1016">
            <v>35</v>
          </cell>
          <cell r="CD1016">
            <v>35</v>
          </cell>
          <cell r="CE1016" t="str">
            <v>N/A</v>
          </cell>
          <cell r="CF1016" t="str">
            <v>$100 POD</v>
          </cell>
          <cell r="CG1016">
            <v>35</v>
          </cell>
          <cell r="CH1016" t="str">
            <v>$100 POD</v>
          </cell>
          <cell r="CI1016" t="str">
            <v>N/A</v>
          </cell>
          <cell r="CJ1016" t="str">
            <v>$3,500 / $7,000</v>
          </cell>
          <cell r="CK1016">
            <v>0.8</v>
          </cell>
          <cell r="CL1016" t="str">
            <v>$6,350 / $12,700</v>
          </cell>
          <cell r="CM1016" t="str">
            <v>$3,500 / $7,000</v>
          </cell>
          <cell r="CN1016">
            <v>0.5</v>
          </cell>
          <cell r="CO1016" t="str">
            <v>$13,500 / $27,000</v>
          </cell>
          <cell r="CP1016" t="str">
            <v>Emb</v>
          </cell>
          <cell r="CS1016" t="str">
            <v>INS</v>
          </cell>
          <cell r="CT1016" t="str">
            <v>Core</v>
          </cell>
          <cell r="CU1016">
            <v>0.60029999999999994</v>
          </cell>
          <cell r="CW1016" t="str">
            <v>C14&amp;15</v>
          </cell>
          <cell r="CX1016">
            <v>0.57940000000000003</v>
          </cell>
        </row>
        <row r="1017">
          <cell r="CA1017" t="str">
            <v>AKHN</v>
          </cell>
          <cell r="CB1017" t="str">
            <v>Core</v>
          </cell>
          <cell r="CC1017">
            <v>40</v>
          </cell>
          <cell r="CD1017">
            <v>40</v>
          </cell>
          <cell r="CE1017" t="str">
            <v>N/A</v>
          </cell>
          <cell r="CF1017" t="str">
            <v>$100 POD</v>
          </cell>
          <cell r="CG1017">
            <v>40</v>
          </cell>
          <cell r="CH1017" t="str">
            <v>$100 POD</v>
          </cell>
          <cell r="CI1017" t="str">
            <v>N/A</v>
          </cell>
          <cell r="CJ1017" t="str">
            <v>$4,000 / $8,000</v>
          </cell>
          <cell r="CK1017">
            <v>0.8</v>
          </cell>
          <cell r="CL1017" t="str">
            <v>$6,350 / $12,700</v>
          </cell>
          <cell r="CM1017" t="str">
            <v>$4,000 / $8,000</v>
          </cell>
          <cell r="CN1017">
            <v>0.5</v>
          </cell>
          <cell r="CO1017" t="str">
            <v>$14,000 / $28,000</v>
          </cell>
          <cell r="CP1017" t="str">
            <v>Emb</v>
          </cell>
          <cell r="CS1017" t="str">
            <v>INS</v>
          </cell>
          <cell r="CT1017" t="str">
            <v>Core</v>
          </cell>
          <cell r="CU1017">
            <v>0.58640000000000003</v>
          </cell>
          <cell r="CW1017" t="str">
            <v>C14&amp;15</v>
          </cell>
          <cell r="CX1017">
            <v>0.5696</v>
          </cell>
        </row>
        <row r="1018">
          <cell r="CA1018" t="str">
            <v>AKHO</v>
          </cell>
          <cell r="CB1018" t="str">
            <v>Core</v>
          </cell>
          <cell r="CC1018" t="str">
            <v>N/A</v>
          </cell>
          <cell r="CD1018" t="str">
            <v>N/A</v>
          </cell>
          <cell r="CE1018" t="str">
            <v>N/A</v>
          </cell>
          <cell r="CF1018" t="str">
            <v>$100 POD</v>
          </cell>
          <cell r="CG1018" t="str">
            <v>N/A</v>
          </cell>
          <cell r="CH1018" t="str">
            <v>$100 POD</v>
          </cell>
          <cell r="CI1018" t="str">
            <v>N/A</v>
          </cell>
          <cell r="CJ1018" t="str">
            <v>$5,500 / $11,000</v>
          </cell>
          <cell r="CK1018">
            <v>0.8</v>
          </cell>
          <cell r="CL1018" t="str">
            <v>$6,350 / $12,700</v>
          </cell>
          <cell r="CM1018" t="str">
            <v>$5,500 / $11,000</v>
          </cell>
          <cell r="CN1018">
            <v>0.5</v>
          </cell>
          <cell r="CO1018" t="str">
            <v>$10,000 / $20,000</v>
          </cell>
          <cell r="CP1018" t="str">
            <v>Emb</v>
          </cell>
          <cell r="CS1018" t="str">
            <v>INS</v>
          </cell>
          <cell r="CT1018" t="str">
            <v>Core</v>
          </cell>
          <cell r="CU1018">
            <v>0.51149999999999995</v>
          </cell>
          <cell r="CW1018" t="str">
            <v>C14&amp;15</v>
          </cell>
          <cell r="CX1018">
            <v>0.49399999999999999</v>
          </cell>
        </row>
        <row r="1019">
          <cell r="CA1019" t="str">
            <v>AKHZ</v>
          </cell>
          <cell r="CB1019" t="str">
            <v>Core</v>
          </cell>
          <cell r="CC1019">
            <v>15</v>
          </cell>
          <cell r="CD1019">
            <v>15</v>
          </cell>
          <cell r="CE1019" t="str">
            <v>N/A</v>
          </cell>
          <cell r="CF1019" t="str">
            <v>$100 POD</v>
          </cell>
          <cell r="CG1019">
            <v>15</v>
          </cell>
          <cell r="CH1019" t="str">
            <v>$100 POD</v>
          </cell>
          <cell r="CI1019" t="str">
            <v>N/A</v>
          </cell>
          <cell r="CJ1019" t="str">
            <v>$500 / $1,000</v>
          </cell>
          <cell r="CK1019">
            <v>0.9</v>
          </cell>
          <cell r="CL1019" t="str">
            <v>$2,500 / $5,000</v>
          </cell>
          <cell r="CM1019" t="str">
            <v>$1,000 / $2,000</v>
          </cell>
          <cell r="CN1019">
            <v>0.6</v>
          </cell>
          <cell r="CO1019" t="str">
            <v>$5,000 / $10,000</v>
          </cell>
          <cell r="CP1019" t="str">
            <v>Emb</v>
          </cell>
          <cell r="CS1019" t="str">
            <v>INS</v>
          </cell>
          <cell r="CT1019" t="str">
            <v>Core</v>
          </cell>
          <cell r="CU1019">
            <v>0.83289999999999997</v>
          </cell>
          <cell r="CW1019" t="str">
            <v>C14&amp;15</v>
          </cell>
          <cell r="CX1019">
            <v>0.69069999999999998</v>
          </cell>
        </row>
        <row r="1024">
          <cell r="CA1024" t="str">
            <v>AH1C</v>
          </cell>
          <cell r="CB1024" t="str">
            <v>Core Essential HSA</v>
          </cell>
          <cell r="CC1024" t="str">
            <v>N/A</v>
          </cell>
          <cell r="CD1024" t="str">
            <v>N/A</v>
          </cell>
          <cell r="CE1024" t="str">
            <v>N/A</v>
          </cell>
          <cell r="CF1024" t="str">
            <v>$100 POD</v>
          </cell>
          <cell r="CG1024" t="str">
            <v>N/A</v>
          </cell>
          <cell r="CH1024" t="str">
            <v>$100 POD</v>
          </cell>
          <cell r="CI1024" t="str">
            <v>N/A</v>
          </cell>
          <cell r="CJ1024" t="str">
            <v>$3,000 / $6,000</v>
          </cell>
          <cell r="CK1024">
            <v>0.8</v>
          </cell>
          <cell r="CL1024" t="str">
            <v>$5,000 / $10,000</v>
          </cell>
          <cell r="CM1024" t="str">
            <v>N/A</v>
          </cell>
          <cell r="CN1024">
            <v>0</v>
          </cell>
          <cell r="CO1024" t="str">
            <v>N/A</v>
          </cell>
          <cell r="CP1024" t="str">
            <v>Emb</v>
          </cell>
          <cell r="CS1024" t="str">
            <v>INS</v>
          </cell>
          <cell r="CT1024" t="str">
            <v>Core Essential</v>
          </cell>
          <cell r="CU1024">
            <v>0.60509999999999997</v>
          </cell>
          <cell r="CV1024" t="str">
            <v>H9-HSA</v>
          </cell>
          <cell r="CW1024" t="str">
            <v>CEHSA14&amp;15</v>
          </cell>
          <cell r="CX1024">
            <v>0.68489999999999995</v>
          </cell>
        </row>
        <row r="1025">
          <cell r="CA1025" t="str">
            <v>AH1D</v>
          </cell>
          <cell r="CB1025" t="str">
            <v>Core Essential HSA</v>
          </cell>
          <cell r="CC1025" t="str">
            <v>N/A</v>
          </cell>
          <cell r="CD1025" t="str">
            <v>N/A</v>
          </cell>
          <cell r="CE1025" t="str">
            <v>N/A</v>
          </cell>
          <cell r="CF1025" t="str">
            <v>$100 POD</v>
          </cell>
          <cell r="CG1025" t="str">
            <v>N/A</v>
          </cell>
          <cell r="CH1025" t="str">
            <v>$100 POD</v>
          </cell>
          <cell r="CI1025" t="str">
            <v>N/A</v>
          </cell>
          <cell r="CJ1025" t="str">
            <v>$3,500 / $7,000</v>
          </cell>
          <cell r="CK1025">
            <v>0.8</v>
          </cell>
          <cell r="CL1025" t="str">
            <v>$5,500 / $11,000</v>
          </cell>
          <cell r="CM1025" t="str">
            <v>N/A</v>
          </cell>
          <cell r="CN1025">
            <v>0</v>
          </cell>
          <cell r="CO1025" t="str">
            <v>N/A</v>
          </cell>
          <cell r="CP1025" t="str">
            <v>Emb</v>
          </cell>
          <cell r="CS1025" t="str">
            <v>INS</v>
          </cell>
          <cell r="CT1025" t="str">
            <v>Core Essential</v>
          </cell>
          <cell r="CU1025">
            <v>0.58440000000000003</v>
          </cell>
          <cell r="CV1025" t="str">
            <v>H9-HSA</v>
          </cell>
          <cell r="CW1025" t="str">
            <v>CEHSA14&amp;15</v>
          </cell>
          <cell r="CX1025">
            <v>0.66159999999999997</v>
          </cell>
        </row>
        <row r="1026">
          <cell r="CA1026" t="str">
            <v>AH1E</v>
          </cell>
          <cell r="CB1026" t="str">
            <v>Core Essential HSA</v>
          </cell>
          <cell r="CC1026" t="str">
            <v>N/A</v>
          </cell>
          <cell r="CD1026" t="str">
            <v>N/A</v>
          </cell>
          <cell r="CE1026" t="str">
            <v>N/A</v>
          </cell>
          <cell r="CF1026" t="str">
            <v>$100 POD</v>
          </cell>
          <cell r="CG1026" t="str">
            <v>N/A</v>
          </cell>
          <cell r="CH1026" t="str">
            <v>$100 POD</v>
          </cell>
          <cell r="CI1026" t="str">
            <v>N/A</v>
          </cell>
          <cell r="CJ1026" t="str">
            <v>$4,000 / $8,000</v>
          </cell>
          <cell r="CK1026">
            <v>0.8</v>
          </cell>
          <cell r="CL1026" t="str">
            <v>$5,500 / $11,000</v>
          </cell>
          <cell r="CM1026" t="str">
            <v>N/A</v>
          </cell>
          <cell r="CN1026">
            <v>0</v>
          </cell>
          <cell r="CO1026" t="str">
            <v>N/A</v>
          </cell>
          <cell r="CP1026" t="str">
            <v>Emb</v>
          </cell>
          <cell r="CS1026" t="str">
            <v>INS</v>
          </cell>
          <cell r="CT1026" t="str">
            <v>Core Essential</v>
          </cell>
          <cell r="CU1026">
            <v>0.57509999999999994</v>
          </cell>
          <cell r="CV1026" t="str">
            <v>H9-HSA</v>
          </cell>
          <cell r="CW1026" t="str">
            <v>CEHSA14&amp;15</v>
          </cell>
          <cell r="CX1026">
            <v>0.64880000000000004</v>
          </cell>
        </row>
        <row r="1027">
          <cell r="CA1027" t="str">
            <v>AH1F</v>
          </cell>
          <cell r="CB1027" t="str">
            <v>Core Essential HSA</v>
          </cell>
          <cell r="CC1027" t="str">
            <v>N/A</v>
          </cell>
          <cell r="CD1027" t="str">
            <v>N/A</v>
          </cell>
          <cell r="CE1027" t="str">
            <v>N/A</v>
          </cell>
          <cell r="CF1027" t="str">
            <v>N/A</v>
          </cell>
          <cell r="CG1027" t="str">
            <v>N/A</v>
          </cell>
          <cell r="CH1027" t="str">
            <v>N/A</v>
          </cell>
          <cell r="CI1027" t="str">
            <v>N/A</v>
          </cell>
          <cell r="CJ1027" t="str">
            <v>$4,500 / $9,000</v>
          </cell>
          <cell r="CK1027">
            <v>0.8</v>
          </cell>
          <cell r="CL1027" t="str">
            <v>$6,350 / $12,700</v>
          </cell>
          <cell r="CM1027" t="str">
            <v>N/A</v>
          </cell>
          <cell r="CN1027">
            <v>0</v>
          </cell>
          <cell r="CO1027" t="str">
            <v>N/A</v>
          </cell>
          <cell r="CP1027" t="str">
            <v>Emb</v>
          </cell>
          <cell r="CS1027" t="str">
            <v>INS</v>
          </cell>
          <cell r="CT1027" t="str">
            <v>Core Essential</v>
          </cell>
          <cell r="CU1027">
            <v>0.55579999999999996</v>
          </cell>
          <cell r="CV1027" t="str">
            <v>H9-HSA</v>
          </cell>
          <cell r="CW1027" t="str">
            <v>CEHSA14&amp;15</v>
          </cell>
          <cell r="CX1027">
            <v>0.624</v>
          </cell>
        </row>
        <row r="1028">
          <cell r="CA1028" t="str">
            <v>AH1G</v>
          </cell>
          <cell r="CB1028" t="str">
            <v>Core Essential HSA</v>
          </cell>
          <cell r="CC1028" t="str">
            <v>N/A</v>
          </cell>
          <cell r="CD1028" t="str">
            <v>N/A</v>
          </cell>
          <cell r="CE1028" t="str">
            <v>N/A</v>
          </cell>
          <cell r="CF1028" t="str">
            <v>N/A</v>
          </cell>
          <cell r="CG1028" t="str">
            <v>N/A</v>
          </cell>
          <cell r="CH1028" t="str">
            <v>$200 POD</v>
          </cell>
          <cell r="CI1028" t="str">
            <v>N/A</v>
          </cell>
          <cell r="CJ1028" t="str">
            <v>$5,500 / $11,000</v>
          </cell>
          <cell r="CK1028">
            <v>0.6</v>
          </cell>
          <cell r="CL1028" t="str">
            <v>$6,350 / $12,700</v>
          </cell>
          <cell r="CM1028" t="str">
            <v>N/A</v>
          </cell>
          <cell r="CN1028">
            <v>0</v>
          </cell>
          <cell r="CO1028" t="str">
            <v>N/A</v>
          </cell>
          <cell r="CP1028" t="str">
            <v>Emb</v>
          </cell>
          <cell r="CS1028" t="str">
            <v>INS</v>
          </cell>
          <cell r="CT1028" t="str">
            <v>Core Essential</v>
          </cell>
          <cell r="CU1028">
            <v>0.54169999999999996</v>
          </cell>
          <cell r="CV1028" t="str">
            <v>H9-HSA</v>
          </cell>
          <cell r="CW1028" t="str">
            <v>CEHSA14&amp;15</v>
          </cell>
          <cell r="CX1028">
            <v>0.6028</v>
          </cell>
        </row>
        <row r="1029">
          <cell r="CA1029" t="str">
            <v>AH1H</v>
          </cell>
          <cell r="CB1029" t="str">
            <v>Core Essential HSA</v>
          </cell>
          <cell r="CC1029" t="str">
            <v>N/A</v>
          </cell>
          <cell r="CD1029" t="str">
            <v>N/A</v>
          </cell>
          <cell r="CE1029" t="str">
            <v>N/A</v>
          </cell>
          <cell r="CF1029" t="str">
            <v>N/A</v>
          </cell>
          <cell r="CG1029" t="str">
            <v>N/A</v>
          </cell>
          <cell r="CH1029" t="str">
            <v>N/A</v>
          </cell>
          <cell r="CI1029" t="str">
            <v>N/A</v>
          </cell>
          <cell r="CJ1029" t="str">
            <v>$6,350 / $12,700</v>
          </cell>
          <cell r="CK1029">
            <v>1</v>
          </cell>
          <cell r="CL1029" t="str">
            <v>$6,350 / $12,700</v>
          </cell>
          <cell r="CM1029" t="str">
            <v>N/A</v>
          </cell>
          <cell r="CN1029">
            <v>0</v>
          </cell>
          <cell r="CO1029" t="str">
            <v>N/A</v>
          </cell>
          <cell r="CP1029" t="str">
            <v>Emb</v>
          </cell>
          <cell r="CS1029" t="str">
            <v>INS</v>
          </cell>
          <cell r="CT1029" t="str">
            <v>Core Essential</v>
          </cell>
          <cell r="CU1029">
            <v>0.54459999999999997</v>
          </cell>
          <cell r="CV1029" t="str">
            <v>H9-HSA</v>
          </cell>
          <cell r="CW1029" t="str">
            <v>CEHSA14&amp;15</v>
          </cell>
          <cell r="CX1029">
            <v>0.60040000000000004</v>
          </cell>
        </row>
        <row r="1030">
          <cell r="CA1030" t="str">
            <v>AHU2</v>
          </cell>
          <cell r="CB1030" t="str">
            <v>Core Essential</v>
          </cell>
          <cell r="CC1030">
            <v>30</v>
          </cell>
          <cell r="CD1030">
            <v>30</v>
          </cell>
          <cell r="CE1030" t="str">
            <v>N/A</v>
          </cell>
          <cell r="CF1030" t="str">
            <v>N/A</v>
          </cell>
          <cell r="CG1030">
            <v>50</v>
          </cell>
          <cell r="CH1030">
            <v>150</v>
          </cell>
          <cell r="CI1030" t="str">
            <v>N/A</v>
          </cell>
          <cell r="CJ1030" t="str">
            <v>$1,000 / $2,000</v>
          </cell>
          <cell r="CK1030">
            <v>0.8</v>
          </cell>
          <cell r="CL1030" t="str">
            <v>$4,000 / $8,000</v>
          </cell>
          <cell r="CM1030" t="str">
            <v>N/A</v>
          </cell>
          <cell r="CN1030">
            <v>0</v>
          </cell>
          <cell r="CO1030" t="str">
            <v>N/A</v>
          </cell>
          <cell r="CP1030" t="str">
            <v>Emb</v>
          </cell>
          <cell r="CS1030" t="str">
            <v>INS</v>
          </cell>
          <cell r="CT1030" t="str">
            <v>Core Essential</v>
          </cell>
          <cell r="CU1030">
            <v>0.72599999999999998</v>
          </cell>
          <cell r="CW1030" t="str">
            <v>CE14&amp;15</v>
          </cell>
          <cell r="CX1030">
            <v>0.63580000000000003</v>
          </cell>
        </row>
        <row r="1031">
          <cell r="CA1031" t="str">
            <v>AHU4</v>
          </cell>
          <cell r="CB1031" t="str">
            <v>Core Essential</v>
          </cell>
          <cell r="CC1031">
            <v>25</v>
          </cell>
          <cell r="CD1031">
            <v>25</v>
          </cell>
          <cell r="CE1031" t="str">
            <v>N/A</v>
          </cell>
          <cell r="CF1031" t="str">
            <v>N/A</v>
          </cell>
          <cell r="CG1031">
            <v>125</v>
          </cell>
          <cell r="CH1031">
            <v>250</v>
          </cell>
          <cell r="CI1031" t="str">
            <v>N/A</v>
          </cell>
          <cell r="CJ1031" t="str">
            <v>$1,000 / $2,000</v>
          </cell>
          <cell r="CK1031">
            <v>0.7</v>
          </cell>
          <cell r="CL1031" t="str">
            <v>$4,000 / $8,000</v>
          </cell>
          <cell r="CM1031" t="str">
            <v>N/A</v>
          </cell>
          <cell r="CN1031">
            <v>0</v>
          </cell>
          <cell r="CO1031" t="str">
            <v>N/A</v>
          </cell>
          <cell r="CP1031" t="str">
            <v>Emb</v>
          </cell>
          <cell r="CS1031" t="str">
            <v>INS</v>
          </cell>
          <cell r="CT1031" t="str">
            <v>Core Essential</v>
          </cell>
          <cell r="CU1031">
            <v>0.71360000000000001</v>
          </cell>
          <cell r="CW1031" t="str">
            <v>CE14&amp;15</v>
          </cell>
          <cell r="CX1031">
            <v>0.63619999999999999</v>
          </cell>
        </row>
        <row r="1032">
          <cell r="CA1032" t="str">
            <v>AHU5</v>
          </cell>
          <cell r="CB1032" t="str">
            <v>Core Essential</v>
          </cell>
          <cell r="CC1032">
            <v>30</v>
          </cell>
          <cell r="CD1032">
            <v>30</v>
          </cell>
          <cell r="CE1032" t="str">
            <v>N/A</v>
          </cell>
          <cell r="CF1032" t="str">
            <v>N/A</v>
          </cell>
          <cell r="CG1032">
            <v>125</v>
          </cell>
          <cell r="CH1032">
            <v>250</v>
          </cell>
          <cell r="CI1032" t="str">
            <v>N/A</v>
          </cell>
          <cell r="CJ1032" t="str">
            <v>$1,500 / $3,000</v>
          </cell>
          <cell r="CK1032">
            <v>0.8</v>
          </cell>
          <cell r="CL1032" t="str">
            <v>$4,000 / $8,000</v>
          </cell>
          <cell r="CM1032" t="str">
            <v>N/A</v>
          </cell>
          <cell r="CN1032">
            <v>0</v>
          </cell>
          <cell r="CO1032" t="str">
            <v>N/A</v>
          </cell>
          <cell r="CP1032" t="str">
            <v>Emb</v>
          </cell>
          <cell r="CS1032" t="str">
            <v>INS</v>
          </cell>
          <cell r="CT1032" t="str">
            <v>Core Essential</v>
          </cell>
          <cell r="CU1032">
            <v>0.70679999999999998</v>
          </cell>
          <cell r="CW1032" t="str">
            <v>CE14&amp;15</v>
          </cell>
          <cell r="CX1032">
            <v>0.62260000000000004</v>
          </cell>
        </row>
        <row r="1033">
          <cell r="CA1033" t="str">
            <v>AHU9</v>
          </cell>
          <cell r="CB1033" t="str">
            <v>Core Essential HRA</v>
          </cell>
          <cell r="CC1033" t="str">
            <v>N/A</v>
          </cell>
          <cell r="CD1033" t="str">
            <v>N/A</v>
          </cell>
          <cell r="CE1033" t="str">
            <v>N/A</v>
          </cell>
          <cell r="CF1033" t="str">
            <v>N/A</v>
          </cell>
          <cell r="CG1033" t="str">
            <v>N/A</v>
          </cell>
          <cell r="CH1033" t="str">
            <v>N/A</v>
          </cell>
          <cell r="CI1033" t="str">
            <v>N/A</v>
          </cell>
          <cell r="CJ1033" t="str">
            <v>$1,500 / $3,000</v>
          </cell>
          <cell r="CK1033">
            <v>0.9</v>
          </cell>
          <cell r="CL1033" t="str">
            <v>$2,500 / $5,000</v>
          </cell>
          <cell r="CM1033" t="str">
            <v>N/A</v>
          </cell>
          <cell r="CN1033">
            <v>0</v>
          </cell>
          <cell r="CO1033" t="str">
            <v>N/A</v>
          </cell>
          <cell r="CP1033" t="str">
            <v>Emb</v>
          </cell>
          <cell r="CS1033" t="str">
            <v>INS</v>
          </cell>
          <cell r="CT1033" t="str">
            <v>Core Essential</v>
          </cell>
          <cell r="CU1033">
            <v>0.6704</v>
          </cell>
          <cell r="CW1033" t="str">
            <v>CENHRA14&amp;15</v>
          </cell>
          <cell r="CX1033">
            <v>0.61880000000000002</v>
          </cell>
        </row>
        <row r="1034">
          <cell r="CA1034" t="str">
            <v>AHUO</v>
          </cell>
          <cell r="CB1034" t="str">
            <v>Core Essential</v>
          </cell>
          <cell r="CC1034">
            <v>15</v>
          </cell>
          <cell r="CD1034">
            <v>15</v>
          </cell>
          <cell r="CE1034" t="str">
            <v>N/A</v>
          </cell>
          <cell r="CF1034" t="str">
            <v>N/A</v>
          </cell>
          <cell r="CG1034">
            <v>35</v>
          </cell>
          <cell r="CH1034">
            <v>100</v>
          </cell>
          <cell r="CI1034" t="str">
            <v>N/A</v>
          </cell>
          <cell r="CJ1034" t="str">
            <v>$250 / $500</v>
          </cell>
          <cell r="CK1034">
            <v>1</v>
          </cell>
          <cell r="CL1034" t="str">
            <v>$250 / $500</v>
          </cell>
          <cell r="CM1034" t="str">
            <v>N/A</v>
          </cell>
          <cell r="CN1034">
            <v>0</v>
          </cell>
          <cell r="CO1034" t="str">
            <v>N/A</v>
          </cell>
          <cell r="CP1034" t="str">
            <v>Emb</v>
          </cell>
          <cell r="CS1034" t="str">
            <v>INS</v>
          </cell>
          <cell r="CT1034" t="str">
            <v>Core Essential</v>
          </cell>
          <cell r="CU1034">
            <v>0.99119999999999997</v>
          </cell>
          <cell r="CW1034" t="str">
            <v>CE14&amp;15</v>
          </cell>
          <cell r="CX1034">
            <v>0.71430000000000005</v>
          </cell>
        </row>
        <row r="1035">
          <cell r="CA1035" t="str">
            <v>AHUQ</v>
          </cell>
          <cell r="CB1035" t="str">
            <v>Core Essential</v>
          </cell>
          <cell r="CC1035">
            <v>15</v>
          </cell>
          <cell r="CD1035">
            <v>15</v>
          </cell>
          <cell r="CE1035" t="str">
            <v>N/A</v>
          </cell>
          <cell r="CF1035" t="str">
            <v>N/A</v>
          </cell>
          <cell r="CG1035">
            <v>50</v>
          </cell>
          <cell r="CH1035">
            <v>100</v>
          </cell>
          <cell r="CI1035" t="str">
            <v>N/A</v>
          </cell>
          <cell r="CJ1035" t="str">
            <v>$250 / $500</v>
          </cell>
          <cell r="CK1035">
            <v>0.9</v>
          </cell>
          <cell r="CL1035" t="str">
            <v>$2,250 / $4,500</v>
          </cell>
          <cell r="CM1035" t="str">
            <v>N/A</v>
          </cell>
          <cell r="CN1035">
            <v>0</v>
          </cell>
          <cell r="CO1035" t="str">
            <v>N/A</v>
          </cell>
          <cell r="CP1035" t="str">
            <v>Emb</v>
          </cell>
          <cell r="CS1035" t="str">
            <v>INS</v>
          </cell>
          <cell r="CT1035" t="str">
            <v>Core Essential</v>
          </cell>
          <cell r="CU1035">
            <v>0.85519999999999996</v>
          </cell>
          <cell r="CW1035" t="str">
            <v>CE14&amp;15</v>
          </cell>
          <cell r="CX1035">
            <v>0.70099999999999996</v>
          </cell>
        </row>
        <row r="1036">
          <cell r="CA1036" t="str">
            <v>AHUT</v>
          </cell>
          <cell r="CB1036" t="str">
            <v>Core Essential</v>
          </cell>
          <cell r="CC1036">
            <v>30</v>
          </cell>
          <cell r="CD1036">
            <v>30</v>
          </cell>
          <cell r="CE1036" t="str">
            <v>N/A</v>
          </cell>
          <cell r="CF1036" t="str">
            <v>$500 POD</v>
          </cell>
          <cell r="CG1036">
            <v>125</v>
          </cell>
          <cell r="CH1036">
            <v>250</v>
          </cell>
          <cell r="CI1036" t="str">
            <v>N/A</v>
          </cell>
          <cell r="CJ1036" t="str">
            <v>$250 / $500</v>
          </cell>
          <cell r="CK1036">
            <v>0.9</v>
          </cell>
          <cell r="CL1036" t="str">
            <v>$3,500 / $7,000</v>
          </cell>
          <cell r="CM1036" t="str">
            <v>N/A</v>
          </cell>
          <cell r="CN1036">
            <v>0</v>
          </cell>
          <cell r="CO1036" t="str">
            <v>N/A</v>
          </cell>
          <cell r="CP1036" t="str">
            <v>Emb</v>
          </cell>
          <cell r="CS1036" t="str">
            <v>INS</v>
          </cell>
          <cell r="CT1036" t="str">
            <v>Core Essential</v>
          </cell>
          <cell r="CU1036">
            <v>0.80010000000000003</v>
          </cell>
          <cell r="CW1036" t="str">
            <v>CE14&amp;15</v>
          </cell>
          <cell r="CX1036">
            <v>0.67200000000000004</v>
          </cell>
        </row>
        <row r="1037">
          <cell r="CA1037" t="str">
            <v>AHUU</v>
          </cell>
          <cell r="CB1037" t="str">
            <v>Core Essential</v>
          </cell>
          <cell r="CC1037">
            <v>30</v>
          </cell>
          <cell r="CD1037">
            <v>30</v>
          </cell>
          <cell r="CE1037" t="str">
            <v>N/A</v>
          </cell>
          <cell r="CF1037" t="str">
            <v>$500 POD</v>
          </cell>
          <cell r="CG1037">
            <v>125</v>
          </cell>
          <cell r="CH1037">
            <v>250</v>
          </cell>
          <cell r="CI1037" t="str">
            <v>N/A</v>
          </cell>
          <cell r="CJ1037" t="str">
            <v>$500 / $1,000</v>
          </cell>
          <cell r="CK1037">
            <v>0.8</v>
          </cell>
          <cell r="CL1037" t="str">
            <v>$5,000 / $10,000</v>
          </cell>
          <cell r="CM1037" t="str">
            <v>N/A</v>
          </cell>
          <cell r="CN1037">
            <v>0</v>
          </cell>
          <cell r="CO1037" t="str">
            <v>N/A</v>
          </cell>
          <cell r="CP1037" t="str">
            <v>Emb</v>
          </cell>
          <cell r="CS1037" t="str">
            <v>INS</v>
          </cell>
          <cell r="CT1037" t="str">
            <v>Core Essential</v>
          </cell>
          <cell r="CU1037">
            <v>0.72589999999999999</v>
          </cell>
          <cell r="CW1037" t="str">
            <v>CE14&amp;15</v>
          </cell>
          <cell r="CX1037">
            <v>0.64429999999999998</v>
          </cell>
        </row>
        <row r="1038">
          <cell r="CA1038" t="str">
            <v>AHUV</v>
          </cell>
          <cell r="CB1038" t="str">
            <v>Core Essential</v>
          </cell>
          <cell r="CC1038">
            <v>20</v>
          </cell>
          <cell r="CD1038">
            <v>20</v>
          </cell>
          <cell r="CE1038" t="str">
            <v>N/A</v>
          </cell>
          <cell r="CF1038" t="str">
            <v>$250 POD</v>
          </cell>
          <cell r="CG1038">
            <v>125</v>
          </cell>
          <cell r="CH1038">
            <v>250</v>
          </cell>
          <cell r="CI1038" t="str">
            <v>N/A</v>
          </cell>
          <cell r="CJ1038" t="str">
            <v>$500 / $1,000</v>
          </cell>
          <cell r="CK1038">
            <v>0.7</v>
          </cell>
          <cell r="CL1038" t="str">
            <v>$4,500 / $9,000</v>
          </cell>
          <cell r="CM1038" t="str">
            <v>N/A</v>
          </cell>
          <cell r="CN1038">
            <v>0</v>
          </cell>
          <cell r="CO1038" t="str">
            <v>N/A</v>
          </cell>
          <cell r="CP1038" t="str">
            <v>Emb</v>
          </cell>
          <cell r="CS1038" t="str">
            <v>INS</v>
          </cell>
          <cell r="CT1038" t="str">
            <v>Core Essential</v>
          </cell>
          <cell r="CU1038">
            <v>0.72340000000000004</v>
          </cell>
          <cell r="CW1038" t="str">
            <v>CE14&amp;15</v>
          </cell>
          <cell r="CX1038">
            <v>0.65110000000000001</v>
          </cell>
        </row>
        <row r="1039">
          <cell r="CA1039" t="str">
            <v>AHUW</v>
          </cell>
          <cell r="CB1039" t="str">
            <v>Core Essential</v>
          </cell>
          <cell r="CC1039">
            <v>25</v>
          </cell>
          <cell r="CD1039">
            <v>25</v>
          </cell>
          <cell r="CE1039" t="str">
            <v>N/A</v>
          </cell>
          <cell r="CF1039" t="str">
            <v>N/A</v>
          </cell>
          <cell r="CG1039">
            <v>125</v>
          </cell>
          <cell r="CH1039">
            <v>250</v>
          </cell>
          <cell r="CI1039" t="str">
            <v>N/A</v>
          </cell>
          <cell r="CJ1039" t="str">
            <v>$1,000 / $2,000</v>
          </cell>
          <cell r="CK1039">
            <v>0.9</v>
          </cell>
          <cell r="CL1039" t="str">
            <v>$2,000 / $4,000</v>
          </cell>
          <cell r="CM1039" t="str">
            <v>N/A</v>
          </cell>
          <cell r="CN1039">
            <v>0</v>
          </cell>
          <cell r="CO1039" t="str">
            <v>N/A</v>
          </cell>
          <cell r="CP1039" t="str">
            <v>Emb</v>
          </cell>
          <cell r="CS1039" t="str">
            <v>INS</v>
          </cell>
          <cell r="CT1039" t="str">
            <v>Core Essential</v>
          </cell>
          <cell r="CU1039">
            <v>0.80330000000000001</v>
          </cell>
          <cell r="CW1039" t="str">
            <v>CE14&amp;15</v>
          </cell>
          <cell r="CX1039">
            <v>0.66259999999999997</v>
          </cell>
        </row>
        <row r="1040">
          <cell r="CA1040" t="str">
            <v>AHUY</v>
          </cell>
          <cell r="CB1040" t="str">
            <v>Core Essential</v>
          </cell>
          <cell r="CC1040">
            <v>25</v>
          </cell>
          <cell r="CD1040">
            <v>25</v>
          </cell>
          <cell r="CE1040" t="str">
            <v>N/A</v>
          </cell>
          <cell r="CF1040" t="str">
            <v>N/A</v>
          </cell>
          <cell r="CG1040">
            <v>50</v>
          </cell>
          <cell r="CH1040">
            <v>100</v>
          </cell>
          <cell r="CI1040" t="str">
            <v>N/A</v>
          </cell>
          <cell r="CJ1040" t="str">
            <v>$1,000 / $2,000</v>
          </cell>
          <cell r="CK1040">
            <v>0.8</v>
          </cell>
          <cell r="CL1040" t="str">
            <v>$3,000 / $6,000</v>
          </cell>
          <cell r="CM1040" t="str">
            <v>N/A</v>
          </cell>
          <cell r="CN1040">
            <v>0</v>
          </cell>
          <cell r="CO1040" t="str">
            <v>N/A</v>
          </cell>
          <cell r="CP1040" t="str">
            <v>Emb</v>
          </cell>
          <cell r="CS1040" t="str">
            <v>INS</v>
          </cell>
          <cell r="CT1040" t="str">
            <v>Core Essential</v>
          </cell>
          <cell r="CU1040">
            <v>0.76180000000000003</v>
          </cell>
          <cell r="CW1040" t="str">
            <v>CE14&amp;15</v>
          </cell>
          <cell r="CX1040">
            <v>0.65259999999999996</v>
          </cell>
        </row>
        <row r="1041">
          <cell r="CA1041" t="str">
            <v>AHUZ</v>
          </cell>
          <cell r="CB1041" t="str">
            <v>Core Essential</v>
          </cell>
          <cell r="CC1041">
            <v>35</v>
          </cell>
          <cell r="CD1041">
            <v>35</v>
          </cell>
          <cell r="CE1041" t="str">
            <v>N/A</v>
          </cell>
          <cell r="CF1041" t="str">
            <v>N/A</v>
          </cell>
          <cell r="CG1041">
            <v>125</v>
          </cell>
          <cell r="CH1041">
            <v>250</v>
          </cell>
          <cell r="CI1041" t="str">
            <v>N/A</v>
          </cell>
          <cell r="CJ1041" t="str">
            <v>$750 / $1,500</v>
          </cell>
          <cell r="CK1041">
            <v>0.8</v>
          </cell>
          <cell r="CL1041" t="str">
            <v>$2,500 / $5,000</v>
          </cell>
          <cell r="CM1041" t="str">
            <v>N/A</v>
          </cell>
          <cell r="CN1041">
            <v>0</v>
          </cell>
          <cell r="CO1041" t="str">
            <v>N/A</v>
          </cell>
          <cell r="CP1041" t="str">
            <v>Emb</v>
          </cell>
          <cell r="CS1041" t="str">
            <v>INS</v>
          </cell>
          <cell r="CT1041" t="str">
            <v>Core Essential</v>
          </cell>
          <cell r="CU1041">
            <v>0.76770000000000005</v>
          </cell>
          <cell r="CW1041" t="str">
            <v>CE14&amp;15</v>
          </cell>
          <cell r="CX1041">
            <v>0.65049999999999997</v>
          </cell>
        </row>
        <row r="1042">
          <cell r="CA1042" t="str">
            <v>AHVA</v>
          </cell>
          <cell r="CB1042" t="str">
            <v>Core Essential HRA</v>
          </cell>
          <cell r="CC1042" t="str">
            <v>N/A</v>
          </cell>
          <cell r="CD1042" t="str">
            <v>N/A</v>
          </cell>
          <cell r="CE1042" t="str">
            <v>N/A</v>
          </cell>
          <cell r="CF1042" t="str">
            <v>N/A</v>
          </cell>
          <cell r="CG1042" t="str">
            <v>N/A</v>
          </cell>
          <cell r="CH1042" t="str">
            <v>N/A</v>
          </cell>
          <cell r="CI1042" t="str">
            <v>N/A</v>
          </cell>
          <cell r="CJ1042" t="str">
            <v>$5,000 / $10,000</v>
          </cell>
          <cell r="CK1042">
            <v>1</v>
          </cell>
          <cell r="CL1042" t="str">
            <v>$5,000 / $10,000</v>
          </cell>
          <cell r="CM1042" t="str">
            <v>N/A</v>
          </cell>
          <cell r="CN1042">
            <v>0</v>
          </cell>
          <cell r="CO1042" t="str">
            <v>N/A</v>
          </cell>
          <cell r="CP1042" t="str">
            <v>Emb</v>
          </cell>
          <cell r="CS1042" t="str">
            <v>INS</v>
          </cell>
          <cell r="CT1042" t="str">
            <v>Core Essential</v>
          </cell>
          <cell r="CU1042">
            <v>0.60570000000000002</v>
          </cell>
          <cell r="CV1042" t="str">
            <v>H9-HRA</v>
          </cell>
          <cell r="CW1042" t="str">
            <v>CEHRA14&amp;15</v>
          </cell>
          <cell r="CX1042">
            <v>0.64239999999999997</v>
          </cell>
        </row>
        <row r="1043">
          <cell r="CA1043" t="str">
            <v>AHVB</v>
          </cell>
          <cell r="CB1043" t="str">
            <v>Core Essential HRA</v>
          </cell>
          <cell r="CC1043" t="str">
            <v>N/A</v>
          </cell>
          <cell r="CD1043" t="str">
            <v>N/A</v>
          </cell>
          <cell r="CE1043" t="str">
            <v>N/A</v>
          </cell>
          <cell r="CF1043" t="str">
            <v>N/A</v>
          </cell>
          <cell r="CG1043" t="str">
            <v>N/A</v>
          </cell>
          <cell r="CH1043" t="str">
            <v>N/A</v>
          </cell>
          <cell r="CI1043" t="str">
            <v>N/A</v>
          </cell>
          <cell r="CJ1043" t="str">
            <v>$2,000 / $4,000</v>
          </cell>
          <cell r="CK1043">
            <v>0.8</v>
          </cell>
          <cell r="CL1043" t="str">
            <v>$4,000 / $8,000</v>
          </cell>
          <cell r="CM1043" t="str">
            <v>N/A</v>
          </cell>
          <cell r="CN1043">
            <v>0</v>
          </cell>
          <cell r="CO1043" t="str">
            <v>N/A</v>
          </cell>
          <cell r="CP1043" t="str">
            <v>Emb</v>
          </cell>
          <cell r="CS1043" t="str">
            <v>INS</v>
          </cell>
          <cell r="CT1043" t="str">
            <v>Core Essential</v>
          </cell>
          <cell r="CU1043">
            <v>0.69720000000000004</v>
          </cell>
          <cell r="CV1043" t="str">
            <v>H9-HRA</v>
          </cell>
          <cell r="CW1043" t="str">
            <v>CEHRA14&amp;15</v>
          </cell>
          <cell r="CX1043">
            <v>0.73860000000000003</v>
          </cell>
        </row>
        <row r="1044">
          <cell r="CA1044" t="str">
            <v>AHVC</v>
          </cell>
          <cell r="CB1044" t="str">
            <v>Core Essential HRA</v>
          </cell>
          <cell r="CC1044" t="str">
            <v>N/A</v>
          </cell>
          <cell r="CD1044" t="str">
            <v>N/A</v>
          </cell>
          <cell r="CE1044" t="str">
            <v>N/A</v>
          </cell>
          <cell r="CF1044" t="str">
            <v>N/A</v>
          </cell>
          <cell r="CG1044" t="str">
            <v>N/A</v>
          </cell>
          <cell r="CH1044" t="str">
            <v>N/A</v>
          </cell>
          <cell r="CI1044" t="str">
            <v>N/A</v>
          </cell>
          <cell r="CJ1044" t="str">
            <v>$2,500 / $5,000</v>
          </cell>
          <cell r="CK1044">
            <v>0.8</v>
          </cell>
          <cell r="CL1044" t="str">
            <v>$5,000 / $10,000</v>
          </cell>
          <cell r="CM1044" t="str">
            <v>N/A</v>
          </cell>
          <cell r="CN1044">
            <v>0</v>
          </cell>
          <cell r="CO1044" t="str">
            <v>N/A</v>
          </cell>
          <cell r="CP1044" t="str">
            <v>Emb</v>
          </cell>
          <cell r="CS1044" t="str">
            <v>INS</v>
          </cell>
          <cell r="CT1044" t="str">
            <v>Core Essential</v>
          </cell>
          <cell r="CU1044">
            <v>0.64449999999999996</v>
          </cell>
          <cell r="CV1044" t="str">
            <v>H9-HRA</v>
          </cell>
          <cell r="CW1044" t="str">
            <v>CEHRA14&amp;15</v>
          </cell>
          <cell r="CX1044">
            <v>0.70230000000000004</v>
          </cell>
        </row>
        <row r="1045">
          <cell r="CA1045" t="str">
            <v>AHVD</v>
          </cell>
          <cell r="CB1045" t="str">
            <v>Core Essential HRA</v>
          </cell>
          <cell r="CC1045" t="str">
            <v>N/A</v>
          </cell>
          <cell r="CD1045" t="str">
            <v>N/A</v>
          </cell>
          <cell r="CE1045" t="str">
            <v>N/A</v>
          </cell>
          <cell r="CF1045" t="str">
            <v>N/A</v>
          </cell>
          <cell r="CG1045" t="str">
            <v>N/A</v>
          </cell>
          <cell r="CH1045" t="str">
            <v>N/A</v>
          </cell>
          <cell r="CI1045" t="str">
            <v>N/A</v>
          </cell>
          <cell r="CJ1045" t="str">
            <v>$3,000 / $6,000</v>
          </cell>
          <cell r="CK1045">
            <v>0.9</v>
          </cell>
          <cell r="CL1045" t="str">
            <v>$5,000 / $10,000</v>
          </cell>
          <cell r="CM1045" t="str">
            <v>N/A</v>
          </cell>
          <cell r="CN1045">
            <v>0</v>
          </cell>
          <cell r="CO1045" t="str">
            <v>N/A</v>
          </cell>
          <cell r="CP1045" t="str">
            <v>Emb</v>
          </cell>
          <cell r="CS1045" t="str">
            <v>INS</v>
          </cell>
          <cell r="CT1045" t="str">
            <v>Core Essential</v>
          </cell>
          <cell r="CU1045">
            <v>0.63870000000000005</v>
          </cell>
          <cell r="CV1045" t="str">
            <v>H9-HRA</v>
          </cell>
          <cell r="CW1045" t="str">
            <v>CEHRA14&amp;15</v>
          </cell>
          <cell r="CX1045">
            <v>0.69389999999999996</v>
          </cell>
        </row>
        <row r="1046">
          <cell r="CA1046" t="str">
            <v>AHVE</v>
          </cell>
          <cell r="CB1046" t="str">
            <v>Core Essential HSA</v>
          </cell>
          <cell r="CC1046" t="str">
            <v>N/A</v>
          </cell>
          <cell r="CD1046" t="str">
            <v>N/A</v>
          </cell>
          <cell r="CE1046" t="str">
            <v>N/A</v>
          </cell>
          <cell r="CF1046" t="str">
            <v>N/A</v>
          </cell>
          <cell r="CG1046" t="str">
            <v>N/A</v>
          </cell>
          <cell r="CH1046" t="str">
            <v>N/A</v>
          </cell>
          <cell r="CI1046" t="str">
            <v>N/A</v>
          </cell>
          <cell r="CJ1046" t="str">
            <v>$5,000 / $10,000</v>
          </cell>
          <cell r="CK1046">
            <v>0.7</v>
          </cell>
          <cell r="CL1046" t="str">
            <v>$6,350 / $12,700</v>
          </cell>
          <cell r="CM1046" t="str">
            <v>N/A</v>
          </cell>
          <cell r="CN1046">
            <v>0</v>
          </cell>
          <cell r="CO1046" t="str">
            <v>N/A</v>
          </cell>
          <cell r="CP1046" t="str">
            <v>Emb</v>
          </cell>
          <cell r="CS1046" t="str">
            <v>INS</v>
          </cell>
          <cell r="CT1046" t="str">
            <v>Core Essential</v>
          </cell>
          <cell r="CU1046">
            <v>0.54569999999999996</v>
          </cell>
          <cell r="CV1046" t="str">
            <v>H9-HSA</v>
          </cell>
          <cell r="CW1046" t="str">
            <v>CEHSA14&amp;15</v>
          </cell>
          <cell r="CX1046">
            <v>0.61019999999999996</v>
          </cell>
        </row>
        <row r="1047">
          <cell r="CA1047" t="str">
            <v>AHVF</v>
          </cell>
          <cell r="CB1047" t="str">
            <v>Core Essential HSA</v>
          </cell>
          <cell r="CC1047" t="str">
            <v>N/A</v>
          </cell>
          <cell r="CD1047" t="str">
            <v>N/A</v>
          </cell>
          <cell r="CE1047" t="str">
            <v>N/A</v>
          </cell>
          <cell r="CF1047" t="str">
            <v>N/A</v>
          </cell>
          <cell r="CG1047" t="str">
            <v>N/A</v>
          </cell>
          <cell r="CH1047" t="str">
            <v>N/A</v>
          </cell>
          <cell r="CI1047" t="str">
            <v>N/A</v>
          </cell>
          <cell r="CJ1047" t="str">
            <v>$5,500 / $11,000</v>
          </cell>
          <cell r="CK1047">
            <v>0.7</v>
          </cell>
          <cell r="CL1047" t="str">
            <v>$6,350 / $12,700</v>
          </cell>
          <cell r="CM1047" t="str">
            <v>N/A</v>
          </cell>
          <cell r="CN1047">
            <v>0</v>
          </cell>
          <cell r="CO1047" t="str">
            <v>N/A</v>
          </cell>
          <cell r="CP1047" t="str">
            <v>Emb</v>
          </cell>
          <cell r="CS1047" t="str">
            <v>INS</v>
          </cell>
          <cell r="CT1047" t="str">
            <v>Core Essential</v>
          </cell>
          <cell r="CU1047">
            <v>0.54179999999999995</v>
          </cell>
          <cell r="CV1047" t="str">
            <v>H9-HSA</v>
          </cell>
          <cell r="CW1047" t="str">
            <v>CEHSA14&amp;15</v>
          </cell>
          <cell r="CX1047">
            <v>0.60470000000000002</v>
          </cell>
        </row>
        <row r="1048">
          <cell r="CA1048" t="str">
            <v>AHVG</v>
          </cell>
          <cell r="CB1048" t="str">
            <v>Core Essential HSA</v>
          </cell>
          <cell r="CC1048" t="str">
            <v>N/A</v>
          </cell>
          <cell r="CD1048" t="str">
            <v>N/A</v>
          </cell>
          <cell r="CE1048" t="str">
            <v>N/A</v>
          </cell>
          <cell r="CF1048" t="str">
            <v>N/A</v>
          </cell>
          <cell r="CG1048" t="str">
            <v>N/A</v>
          </cell>
          <cell r="CH1048" t="str">
            <v>N/A</v>
          </cell>
          <cell r="CI1048" t="str">
            <v>N/A</v>
          </cell>
          <cell r="CJ1048" t="str">
            <v>$6,000 / $12,000</v>
          </cell>
          <cell r="CK1048">
            <v>0.65</v>
          </cell>
          <cell r="CL1048" t="str">
            <v>$6,350 / $12,700</v>
          </cell>
          <cell r="CM1048" t="str">
            <v>N/A</v>
          </cell>
          <cell r="CN1048">
            <v>0</v>
          </cell>
          <cell r="CO1048" t="str">
            <v>N/A</v>
          </cell>
          <cell r="CP1048" t="str">
            <v>Emb</v>
          </cell>
          <cell r="CS1048" t="str">
            <v>INS</v>
          </cell>
          <cell r="CT1048" t="str">
            <v>Core Essential</v>
          </cell>
          <cell r="CU1048">
            <v>0.53949999999999998</v>
          </cell>
          <cell r="CV1048" t="str">
            <v>H9-HSA</v>
          </cell>
          <cell r="CW1048" t="str">
            <v>CEHSA14&amp;15</v>
          </cell>
          <cell r="CX1048">
            <v>0.60109999999999997</v>
          </cell>
        </row>
        <row r="1049">
          <cell r="CA1049" t="str">
            <v>AHVH</v>
          </cell>
          <cell r="CB1049" t="str">
            <v>Core Essential HSA</v>
          </cell>
          <cell r="CC1049" t="str">
            <v>N/A</v>
          </cell>
          <cell r="CD1049" t="str">
            <v>N/A</v>
          </cell>
          <cell r="CE1049" t="str">
            <v>N/A</v>
          </cell>
          <cell r="CF1049" t="str">
            <v>N/A</v>
          </cell>
          <cell r="CG1049" t="str">
            <v>N/A</v>
          </cell>
          <cell r="CH1049" t="str">
            <v>N/A</v>
          </cell>
          <cell r="CI1049" t="str">
            <v>N/A</v>
          </cell>
          <cell r="CJ1049" t="str">
            <v>$6,250 / $12,500</v>
          </cell>
          <cell r="CK1049">
            <v>0.6</v>
          </cell>
          <cell r="CL1049" t="str">
            <v>$6,350 / $12,700</v>
          </cell>
          <cell r="CM1049" t="str">
            <v>N/A</v>
          </cell>
          <cell r="CN1049">
            <v>0</v>
          </cell>
          <cell r="CO1049" t="str">
            <v>N/A</v>
          </cell>
          <cell r="CP1049" t="str">
            <v>Emb</v>
          </cell>
          <cell r="CS1049" t="str">
            <v>INS</v>
          </cell>
          <cell r="CT1049" t="str">
            <v>Core Essential</v>
          </cell>
          <cell r="CU1049">
            <v>0.53920000000000001</v>
          </cell>
          <cell r="CV1049" t="str">
            <v>H9-HSA</v>
          </cell>
          <cell r="CW1049" t="str">
            <v>CEHSA14&amp;15</v>
          </cell>
          <cell r="CX1049">
            <v>0.60050000000000003</v>
          </cell>
        </row>
        <row r="1050">
          <cell r="CA1050" t="str">
            <v>AHY1</v>
          </cell>
          <cell r="CB1050" t="str">
            <v>Core Essential HRA</v>
          </cell>
          <cell r="CC1050" t="str">
            <v>N/A</v>
          </cell>
          <cell r="CD1050" t="str">
            <v>N/A</v>
          </cell>
          <cell r="CE1050" t="str">
            <v>N/A</v>
          </cell>
          <cell r="CF1050" t="str">
            <v>N/A</v>
          </cell>
          <cell r="CG1050" t="str">
            <v>N/A</v>
          </cell>
          <cell r="CH1050" t="str">
            <v>N/A</v>
          </cell>
          <cell r="CI1050" t="str">
            <v>N/A</v>
          </cell>
          <cell r="CJ1050" t="str">
            <v>$3,000 / $6,000</v>
          </cell>
          <cell r="CK1050">
            <v>1</v>
          </cell>
          <cell r="CL1050" t="str">
            <v>$4,000 / $8,000</v>
          </cell>
          <cell r="CM1050" t="str">
            <v>N/A</v>
          </cell>
          <cell r="CN1050">
            <v>0</v>
          </cell>
          <cell r="CO1050" t="str">
            <v>N/A</v>
          </cell>
          <cell r="CP1050" t="str">
            <v>Emb</v>
          </cell>
          <cell r="CS1050" t="str">
            <v>INS</v>
          </cell>
          <cell r="CT1050" t="str">
            <v>Core Essential</v>
          </cell>
          <cell r="CU1050">
            <v>0.59709999999999996</v>
          </cell>
          <cell r="CW1050" t="str">
            <v>CENHRA14&amp;15</v>
          </cell>
          <cell r="CX1050">
            <v>0.57820000000000005</v>
          </cell>
        </row>
        <row r="1051">
          <cell r="CA1051" t="str">
            <v>AHY2</v>
          </cell>
          <cell r="CB1051" t="str">
            <v>Core Essential HRA</v>
          </cell>
          <cell r="CC1051">
            <v>20</v>
          </cell>
          <cell r="CD1051">
            <v>20</v>
          </cell>
          <cell r="CE1051" t="str">
            <v>N/A</v>
          </cell>
          <cell r="CF1051" t="str">
            <v>N/A</v>
          </cell>
          <cell r="CG1051">
            <v>20</v>
          </cell>
          <cell r="CH1051" t="str">
            <v>N/A</v>
          </cell>
          <cell r="CI1051" t="str">
            <v>N/A</v>
          </cell>
          <cell r="CJ1051" t="str">
            <v>$3,000 / $6,000</v>
          </cell>
          <cell r="CK1051">
            <v>1</v>
          </cell>
          <cell r="CL1051" t="str">
            <v>$6,000 / $12,000</v>
          </cell>
          <cell r="CM1051" t="str">
            <v>N/A</v>
          </cell>
          <cell r="CN1051">
            <v>0</v>
          </cell>
          <cell r="CO1051" t="str">
            <v>N/A</v>
          </cell>
          <cell r="CP1051" t="str">
            <v>Emb</v>
          </cell>
          <cell r="CS1051" t="str">
            <v>INS</v>
          </cell>
          <cell r="CT1051" t="str">
            <v>Core Essential</v>
          </cell>
          <cell r="CU1051">
            <v>0.67310000000000003</v>
          </cell>
          <cell r="CW1051" t="str">
            <v>CENHRA14&amp;15</v>
          </cell>
          <cell r="CX1051">
            <v>0.63470000000000004</v>
          </cell>
        </row>
        <row r="1052">
          <cell r="CA1052" t="str">
            <v>AHY7</v>
          </cell>
          <cell r="CB1052" t="str">
            <v>Core Essential HSA</v>
          </cell>
          <cell r="CC1052" t="str">
            <v>N/A</v>
          </cell>
          <cell r="CD1052" t="str">
            <v>N/A</v>
          </cell>
          <cell r="CE1052" t="str">
            <v>N/A</v>
          </cell>
          <cell r="CF1052" t="str">
            <v>N/A</v>
          </cell>
          <cell r="CG1052" t="str">
            <v>N/A</v>
          </cell>
          <cell r="CH1052" t="str">
            <v>N/A</v>
          </cell>
          <cell r="CI1052" t="str">
            <v>N/A</v>
          </cell>
          <cell r="CJ1052" t="str">
            <v>$3,000 / $6,000</v>
          </cell>
          <cell r="CK1052">
            <v>0.8</v>
          </cell>
          <cell r="CL1052" t="str">
            <v>$5,000 / $10,000</v>
          </cell>
          <cell r="CM1052" t="str">
            <v>N/A</v>
          </cell>
          <cell r="CN1052">
            <v>0</v>
          </cell>
          <cell r="CO1052" t="str">
            <v>N/A</v>
          </cell>
          <cell r="CP1052" t="str">
            <v>Emb</v>
          </cell>
          <cell r="CS1052" t="str">
            <v>INS</v>
          </cell>
          <cell r="CT1052" t="str">
            <v>Core Essential</v>
          </cell>
          <cell r="CU1052">
            <v>0.60629999999999995</v>
          </cell>
          <cell r="CV1052" t="str">
            <v>H9-HSA</v>
          </cell>
          <cell r="CW1052" t="str">
            <v>CEHSA14&amp;15</v>
          </cell>
          <cell r="CX1052">
            <v>0.68559999999999999</v>
          </cell>
        </row>
        <row r="1053">
          <cell r="CA1053" t="str">
            <v>AHY8</v>
          </cell>
          <cell r="CB1053" t="str">
            <v>Core Essential HSA</v>
          </cell>
          <cell r="CC1053" t="str">
            <v>N/A</v>
          </cell>
          <cell r="CD1053" t="str">
            <v>N/A</v>
          </cell>
          <cell r="CE1053" t="str">
            <v>N/A</v>
          </cell>
          <cell r="CF1053" t="str">
            <v>N/A</v>
          </cell>
          <cell r="CG1053" t="str">
            <v>N/A</v>
          </cell>
          <cell r="CH1053" t="str">
            <v>N/A</v>
          </cell>
          <cell r="CI1053" t="str">
            <v>N/A</v>
          </cell>
          <cell r="CJ1053" t="str">
            <v>$3,000 / $6,000</v>
          </cell>
          <cell r="CK1053">
            <v>1</v>
          </cell>
          <cell r="CL1053" t="str">
            <v>$5,000 / $10,000</v>
          </cell>
          <cell r="CM1053" t="str">
            <v>N/A</v>
          </cell>
          <cell r="CN1053">
            <v>0</v>
          </cell>
          <cell r="CO1053" t="str">
            <v>N/A</v>
          </cell>
          <cell r="CP1053" t="str">
            <v>Emb</v>
          </cell>
          <cell r="CS1053" t="str">
            <v>INS</v>
          </cell>
          <cell r="CT1053" t="str">
            <v>Core Essential</v>
          </cell>
          <cell r="CU1053">
            <v>0.70760000000000001</v>
          </cell>
          <cell r="CV1053" t="str">
            <v>H9-HSA</v>
          </cell>
          <cell r="CW1053" t="str">
            <v>CEHSA14&amp;15</v>
          </cell>
          <cell r="CX1053">
            <v>0.74170000000000003</v>
          </cell>
        </row>
        <row r="1054">
          <cell r="CA1054" t="str">
            <v>AHY9</v>
          </cell>
          <cell r="CB1054" t="str">
            <v>Core Essential</v>
          </cell>
          <cell r="CC1054">
            <v>15</v>
          </cell>
          <cell r="CD1054">
            <v>15</v>
          </cell>
          <cell r="CE1054" t="str">
            <v>N/A</v>
          </cell>
          <cell r="CF1054" t="str">
            <v>N/A</v>
          </cell>
          <cell r="CG1054">
            <v>15</v>
          </cell>
          <cell r="CH1054" t="str">
            <v>$100 POD</v>
          </cell>
          <cell r="CI1054" t="str">
            <v>N/A</v>
          </cell>
          <cell r="CJ1054" t="str">
            <v>$150 / $300</v>
          </cell>
          <cell r="CK1054">
            <v>0.9</v>
          </cell>
          <cell r="CL1054" t="str">
            <v>$1,150 / $2,300</v>
          </cell>
          <cell r="CM1054" t="str">
            <v>N/A</v>
          </cell>
          <cell r="CN1054">
            <v>0</v>
          </cell>
          <cell r="CO1054" t="str">
            <v>N/A</v>
          </cell>
          <cell r="CP1054" t="str">
            <v>Emb</v>
          </cell>
          <cell r="CS1054" t="str">
            <v>INS</v>
          </cell>
          <cell r="CT1054" t="str">
            <v>Core Essential</v>
          </cell>
          <cell r="CU1054">
            <v>0.89059999999999995</v>
          </cell>
          <cell r="CW1054" t="str">
            <v>CE14&amp;15</v>
          </cell>
          <cell r="CX1054">
            <v>0.71819999999999995</v>
          </cell>
        </row>
        <row r="1055">
          <cell r="CA1055" t="str">
            <v>AHYM</v>
          </cell>
          <cell r="CB1055" t="str">
            <v>Core Essential</v>
          </cell>
          <cell r="CC1055">
            <v>35</v>
          </cell>
          <cell r="CD1055">
            <v>50</v>
          </cell>
          <cell r="CE1055" t="str">
            <v>N/A</v>
          </cell>
          <cell r="CF1055" t="str">
            <v>N/A</v>
          </cell>
          <cell r="CG1055">
            <v>50</v>
          </cell>
          <cell r="CH1055" t="str">
            <v>$150 POD</v>
          </cell>
          <cell r="CI1055" t="str">
            <v>N/A</v>
          </cell>
          <cell r="CJ1055" t="str">
            <v>$1,250 / $2,500</v>
          </cell>
          <cell r="CK1055">
            <v>0.7</v>
          </cell>
          <cell r="CL1055" t="str">
            <v>$6,350 / $12,700</v>
          </cell>
          <cell r="CM1055" t="str">
            <v>N/A</v>
          </cell>
          <cell r="CN1055">
            <v>0</v>
          </cell>
          <cell r="CO1055" t="str">
            <v>N/A</v>
          </cell>
          <cell r="CP1055" t="str">
            <v>Emb</v>
          </cell>
          <cell r="CS1055" t="str">
            <v>INS</v>
          </cell>
          <cell r="CT1055" t="str">
            <v>Core Essential</v>
          </cell>
          <cell r="CU1055">
            <v>0.62580000000000002</v>
          </cell>
          <cell r="CW1055" t="str">
            <v>CE14&amp;15</v>
          </cell>
          <cell r="CX1055">
            <v>0.58689999999999998</v>
          </cell>
        </row>
        <row r="1056">
          <cell r="CA1056" t="str">
            <v>AHYU</v>
          </cell>
          <cell r="CB1056" t="str">
            <v>Core Essential</v>
          </cell>
          <cell r="CC1056">
            <v>35</v>
          </cell>
          <cell r="CD1056">
            <v>35</v>
          </cell>
          <cell r="CE1056" t="str">
            <v>N/A</v>
          </cell>
          <cell r="CF1056" t="str">
            <v>N/A</v>
          </cell>
          <cell r="CG1056" t="str">
            <v>N/A</v>
          </cell>
          <cell r="CH1056" t="str">
            <v>N/A</v>
          </cell>
          <cell r="CI1056" t="str">
            <v>N/A</v>
          </cell>
          <cell r="CJ1056" t="str">
            <v>$5,900 / $11,800</v>
          </cell>
          <cell r="CK1056">
            <v>1</v>
          </cell>
          <cell r="CL1056" t="str">
            <v>$6,350 / $12,700</v>
          </cell>
          <cell r="CM1056" t="str">
            <v>N/A</v>
          </cell>
          <cell r="CN1056">
            <v>0</v>
          </cell>
          <cell r="CO1056" t="str">
            <v>N/A</v>
          </cell>
          <cell r="CP1056" t="str">
            <v>Emb</v>
          </cell>
          <cell r="CS1056" t="str">
            <v>INS</v>
          </cell>
          <cell r="CT1056" t="str">
            <v>Core Essential</v>
          </cell>
          <cell r="CU1056">
            <v>0.53490000000000004</v>
          </cell>
          <cell r="CW1056" t="str">
            <v>CE14&amp;15</v>
          </cell>
          <cell r="CX1056">
            <v>0.54110000000000003</v>
          </cell>
        </row>
        <row r="1057">
          <cell r="CA1057" t="str">
            <v>AHYV</v>
          </cell>
          <cell r="CB1057" t="str">
            <v>Core Essential</v>
          </cell>
          <cell r="CC1057">
            <v>35</v>
          </cell>
          <cell r="CD1057">
            <v>60</v>
          </cell>
          <cell r="CE1057" t="str">
            <v>N/A</v>
          </cell>
          <cell r="CF1057" t="str">
            <v>N/A</v>
          </cell>
          <cell r="CG1057">
            <v>60</v>
          </cell>
          <cell r="CH1057" t="str">
            <v>N/A</v>
          </cell>
          <cell r="CI1057" t="str">
            <v>N/A</v>
          </cell>
          <cell r="CJ1057" t="str">
            <v>$6,000 / $12,000</v>
          </cell>
          <cell r="CK1057">
            <v>1</v>
          </cell>
          <cell r="CL1057" t="str">
            <v>$6,350 / $12,700</v>
          </cell>
          <cell r="CM1057" t="str">
            <v>N/A</v>
          </cell>
          <cell r="CN1057">
            <v>0</v>
          </cell>
          <cell r="CO1057" t="str">
            <v>N/A</v>
          </cell>
          <cell r="CP1057" t="str">
            <v>Emb</v>
          </cell>
          <cell r="CS1057" t="str">
            <v>INS</v>
          </cell>
          <cell r="CT1057" t="str">
            <v>Core Essential</v>
          </cell>
          <cell r="CU1057">
            <v>0.5595</v>
          </cell>
          <cell r="CW1057" t="str">
            <v>CE14&amp;15</v>
          </cell>
          <cell r="CX1057">
            <v>0.54930000000000001</v>
          </cell>
        </row>
        <row r="1058">
          <cell r="CA1058" t="str">
            <v>AHYW</v>
          </cell>
          <cell r="CB1058" t="str">
            <v>Core Essential HRA</v>
          </cell>
          <cell r="CC1058" t="str">
            <v>N/A</v>
          </cell>
          <cell r="CD1058" t="str">
            <v>N/A</v>
          </cell>
          <cell r="CE1058" t="str">
            <v>N/A</v>
          </cell>
          <cell r="CF1058" t="str">
            <v>N/A</v>
          </cell>
          <cell r="CG1058" t="str">
            <v>N/A</v>
          </cell>
          <cell r="CH1058" t="str">
            <v>N/A</v>
          </cell>
          <cell r="CI1058" t="str">
            <v>N/A</v>
          </cell>
          <cell r="CJ1058" t="str">
            <v>$1,500 / $3,000</v>
          </cell>
          <cell r="CK1058">
            <v>0.9</v>
          </cell>
          <cell r="CL1058" t="str">
            <v>$3,000 / $6,000</v>
          </cell>
          <cell r="CM1058" t="str">
            <v>N/A</v>
          </cell>
          <cell r="CN1058">
            <v>0</v>
          </cell>
          <cell r="CO1058" t="str">
            <v>N/A</v>
          </cell>
          <cell r="CP1058" t="str">
            <v>Emb</v>
          </cell>
          <cell r="CS1058" t="str">
            <v>INS</v>
          </cell>
          <cell r="CT1058" t="str">
            <v>Core Essential</v>
          </cell>
          <cell r="CU1058">
            <v>0.65780000000000005</v>
          </cell>
          <cell r="CW1058" t="str">
            <v>CENHRA14&amp;15</v>
          </cell>
          <cell r="CX1058">
            <v>0.61439999999999995</v>
          </cell>
        </row>
        <row r="1059">
          <cell r="CA1059" t="str">
            <v>AHYX</v>
          </cell>
          <cell r="CB1059" t="str">
            <v>Core Essential HRA</v>
          </cell>
          <cell r="CC1059">
            <v>20</v>
          </cell>
          <cell r="CD1059">
            <v>20</v>
          </cell>
          <cell r="CE1059" t="str">
            <v>N/A</v>
          </cell>
          <cell r="CF1059" t="str">
            <v>N/A</v>
          </cell>
          <cell r="CG1059">
            <v>30</v>
          </cell>
          <cell r="CH1059" t="str">
            <v>N/A</v>
          </cell>
          <cell r="CI1059" t="str">
            <v>N/A</v>
          </cell>
          <cell r="CJ1059" t="str">
            <v>$1,500 / $3,000</v>
          </cell>
          <cell r="CK1059">
            <v>0.9</v>
          </cell>
          <cell r="CL1059" t="str">
            <v>$3,500 / $7,000</v>
          </cell>
          <cell r="CM1059" t="str">
            <v>N/A</v>
          </cell>
          <cell r="CN1059">
            <v>0</v>
          </cell>
          <cell r="CO1059" t="str">
            <v>N/A</v>
          </cell>
          <cell r="CP1059" t="str">
            <v>Emb</v>
          </cell>
          <cell r="CS1059" t="str">
            <v>INS</v>
          </cell>
          <cell r="CT1059" t="str">
            <v>Core Essential</v>
          </cell>
          <cell r="CU1059">
            <v>0.73460000000000003</v>
          </cell>
          <cell r="CW1059" t="str">
            <v>CENHRA14&amp;15</v>
          </cell>
          <cell r="CX1059">
            <v>0.65200000000000002</v>
          </cell>
        </row>
        <row r="1060">
          <cell r="CA1060" t="str">
            <v>AHYY</v>
          </cell>
          <cell r="CB1060" t="str">
            <v>Core Essential HRA</v>
          </cell>
          <cell r="CC1060" t="str">
            <v>N/A</v>
          </cell>
          <cell r="CD1060" t="str">
            <v>N/A</v>
          </cell>
          <cell r="CE1060" t="str">
            <v>N/A</v>
          </cell>
          <cell r="CF1060" t="str">
            <v>N/A</v>
          </cell>
          <cell r="CG1060" t="str">
            <v>N/A</v>
          </cell>
          <cell r="CH1060" t="str">
            <v>N/A</v>
          </cell>
          <cell r="CI1060" t="str">
            <v>N/A</v>
          </cell>
          <cell r="CJ1060" t="str">
            <v>$2,000 / $4,000</v>
          </cell>
          <cell r="CK1060">
            <v>0.8</v>
          </cell>
          <cell r="CL1060" t="str">
            <v>$5,000 / $10,000</v>
          </cell>
          <cell r="CM1060" t="str">
            <v>N/A</v>
          </cell>
          <cell r="CN1060">
            <v>0</v>
          </cell>
          <cell r="CO1060" t="str">
            <v>N/A</v>
          </cell>
          <cell r="CP1060" t="str">
            <v>Emb</v>
          </cell>
          <cell r="CS1060" t="str">
            <v>INS</v>
          </cell>
          <cell r="CT1060" t="str">
            <v>Core Essential</v>
          </cell>
          <cell r="CU1060">
            <v>0.56589999999999996</v>
          </cell>
          <cell r="CW1060" t="str">
            <v>CENHRA14&amp;15</v>
          </cell>
          <cell r="CX1060">
            <v>0.55730000000000002</v>
          </cell>
        </row>
        <row r="1061">
          <cell r="CA1061" t="str">
            <v>AHYZ</v>
          </cell>
          <cell r="CB1061" t="str">
            <v>Core Essential HRA</v>
          </cell>
          <cell r="CC1061">
            <v>30</v>
          </cell>
          <cell r="CD1061">
            <v>30</v>
          </cell>
          <cell r="CE1061" t="str">
            <v>N/A</v>
          </cell>
          <cell r="CF1061" t="str">
            <v>N/A</v>
          </cell>
          <cell r="CG1061">
            <v>30</v>
          </cell>
          <cell r="CH1061" t="str">
            <v>N/A</v>
          </cell>
          <cell r="CI1061" t="str">
            <v>N/A</v>
          </cell>
          <cell r="CJ1061" t="str">
            <v>$2,000 / $4,000</v>
          </cell>
          <cell r="CK1061">
            <v>0.8</v>
          </cell>
          <cell r="CL1061" t="str">
            <v>$5,000 / $10,000</v>
          </cell>
          <cell r="CM1061" t="str">
            <v>N/A</v>
          </cell>
          <cell r="CN1061">
            <v>0</v>
          </cell>
          <cell r="CO1061" t="str">
            <v>N/A</v>
          </cell>
          <cell r="CP1061" t="str">
            <v>Emb</v>
          </cell>
          <cell r="CS1061" t="str">
            <v>INS</v>
          </cell>
          <cell r="CT1061" t="str">
            <v>Core Essential</v>
          </cell>
          <cell r="CU1061">
            <v>0.66379999999999995</v>
          </cell>
          <cell r="CW1061" t="str">
            <v>CENHRA14&amp;15</v>
          </cell>
          <cell r="CX1061">
            <v>0.61150000000000004</v>
          </cell>
        </row>
        <row r="1062">
          <cell r="CA1062" t="str">
            <v>AHZA</v>
          </cell>
          <cell r="CB1062" t="str">
            <v>Core Essential</v>
          </cell>
          <cell r="CC1062">
            <v>15</v>
          </cell>
          <cell r="CD1062">
            <v>30</v>
          </cell>
          <cell r="CE1062" t="str">
            <v>N/A</v>
          </cell>
          <cell r="CF1062" t="str">
            <v>N/A</v>
          </cell>
          <cell r="CG1062">
            <v>30</v>
          </cell>
          <cell r="CH1062" t="str">
            <v>$100 POD</v>
          </cell>
          <cell r="CI1062" t="str">
            <v>N/A</v>
          </cell>
          <cell r="CJ1062" t="str">
            <v>$150 / $300</v>
          </cell>
          <cell r="CK1062">
            <v>0.9</v>
          </cell>
          <cell r="CL1062" t="str">
            <v>$3,000 / $6,000</v>
          </cell>
          <cell r="CM1062" t="str">
            <v>N/A</v>
          </cell>
          <cell r="CN1062">
            <v>0</v>
          </cell>
          <cell r="CO1062" t="str">
            <v>N/A</v>
          </cell>
          <cell r="CP1062" t="str">
            <v>Emb</v>
          </cell>
          <cell r="CS1062" t="str">
            <v>INS</v>
          </cell>
          <cell r="CT1062" t="str">
            <v>Core Essential</v>
          </cell>
          <cell r="CU1062">
            <v>0.83089999999999997</v>
          </cell>
          <cell r="CW1062" t="str">
            <v>CE14&amp;15</v>
          </cell>
          <cell r="CX1062">
            <v>0.69620000000000004</v>
          </cell>
        </row>
        <row r="1063">
          <cell r="CA1063" t="str">
            <v>AHZB</v>
          </cell>
          <cell r="CB1063" t="str">
            <v>Core Essential</v>
          </cell>
          <cell r="CC1063">
            <v>20</v>
          </cell>
          <cell r="CD1063">
            <v>20</v>
          </cell>
          <cell r="CE1063" t="str">
            <v>N/A</v>
          </cell>
          <cell r="CF1063" t="str">
            <v>N/A</v>
          </cell>
          <cell r="CG1063">
            <v>20</v>
          </cell>
          <cell r="CH1063" t="str">
            <v>$100 POD</v>
          </cell>
          <cell r="CI1063" t="str">
            <v>N/A</v>
          </cell>
          <cell r="CJ1063" t="str">
            <v>$200 / $400</v>
          </cell>
          <cell r="CK1063">
            <v>0.9</v>
          </cell>
          <cell r="CL1063" t="str">
            <v>$2,200 / $4,400</v>
          </cell>
          <cell r="CM1063" t="str">
            <v>N/A</v>
          </cell>
          <cell r="CN1063">
            <v>0</v>
          </cell>
          <cell r="CO1063" t="str">
            <v>N/A</v>
          </cell>
          <cell r="CP1063" t="str">
            <v>Emb</v>
          </cell>
          <cell r="CS1063" t="str">
            <v>INS</v>
          </cell>
          <cell r="CT1063" t="str">
            <v>Core Essential</v>
          </cell>
          <cell r="CU1063">
            <v>0.84119999999999995</v>
          </cell>
          <cell r="CW1063" t="str">
            <v>CE14&amp;15</v>
          </cell>
          <cell r="CX1063">
            <v>0.70020000000000004</v>
          </cell>
        </row>
        <row r="1064">
          <cell r="CA1064" t="str">
            <v>AHZC</v>
          </cell>
          <cell r="CB1064" t="str">
            <v>Core Essential</v>
          </cell>
          <cell r="CC1064">
            <v>10</v>
          </cell>
          <cell r="CD1064">
            <v>10</v>
          </cell>
          <cell r="CE1064" t="str">
            <v>N/A</v>
          </cell>
          <cell r="CF1064" t="str">
            <v>N/A</v>
          </cell>
          <cell r="CG1064">
            <v>10</v>
          </cell>
          <cell r="CH1064" t="str">
            <v>$100 POD</v>
          </cell>
          <cell r="CI1064" t="str">
            <v>N/A</v>
          </cell>
          <cell r="CJ1064" t="str">
            <v>$250 / $500</v>
          </cell>
          <cell r="CK1064">
            <v>0.9</v>
          </cell>
          <cell r="CL1064" t="str">
            <v>$1,750 / $3,500</v>
          </cell>
          <cell r="CM1064" t="str">
            <v>N/A</v>
          </cell>
          <cell r="CN1064">
            <v>0</v>
          </cell>
          <cell r="CO1064" t="str">
            <v>N/A</v>
          </cell>
          <cell r="CP1064" t="str">
            <v>Emb</v>
          </cell>
          <cell r="CS1064" t="str">
            <v>INS</v>
          </cell>
          <cell r="CT1064" t="str">
            <v>Core Essential</v>
          </cell>
          <cell r="CU1064">
            <v>0.86299999999999999</v>
          </cell>
          <cell r="CW1064" t="str">
            <v>CE14&amp;15</v>
          </cell>
          <cell r="CX1064">
            <v>0.71260000000000001</v>
          </cell>
        </row>
        <row r="1065">
          <cell r="CA1065" t="str">
            <v>AHZD</v>
          </cell>
          <cell r="CB1065" t="str">
            <v>Core Essential</v>
          </cell>
          <cell r="CC1065">
            <v>25</v>
          </cell>
          <cell r="CD1065">
            <v>25</v>
          </cell>
          <cell r="CE1065" t="str">
            <v>N/A</v>
          </cell>
          <cell r="CF1065" t="str">
            <v>N/A</v>
          </cell>
          <cell r="CG1065">
            <v>25</v>
          </cell>
          <cell r="CH1065" t="str">
            <v>$100 POD</v>
          </cell>
          <cell r="CI1065" t="str">
            <v>N/A</v>
          </cell>
          <cell r="CJ1065" t="str">
            <v>$250 / $500</v>
          </cell>
          <cell r="CK1065">
            <v>0.9</v>
          </cell>
          <cell r="CL1065" t="str">
            <v>$3,250 / $6,500</v>
          </cell>
          <cell r="CM1065" t="str">
            <v>N/A</v>
          </cell>
          <cell r="CN1065">
            <v>0</v>
          </cell>
          <cell r="CO1065" t="str">
            <v>N/A</v>
          </cell>
          <cell r="CP1065" t="str">
            <v>Emb</v>
          </cell>
          <cell r="CS1065" t="str">
            <v>INS</v>
          </cell>
          <cell r="CT1065" t="str">
            <v>Core Essential</v>
          </cell>
          <cell r="CU1065">
            <v>0.81020000000000003</v>
          </cell>
          <cell r="CW1065" t="str">
            <v>CE14&amp;15</v>
          </cell>
          <cell r="CX1065">
            <v>0.68689999999999996</v>
          </cell>
        </row>
        <row r="1066">
          <cell r="CA1066" t="str">
            <v>AHZG</v>
          </cell>
          <cell r="CB1066" t="str">
            <v>Core Essential</v>
          </cell>
          <cell r="CC1066">
            <v>30</v>
          </cell>
          <cell r="CD1066">
            <v>30</v>
          </cell>
          <cell r="CE1066" t="str">
            <v>N/A</v>
          </cell>
          <cell r="CF1066" t="str">
            <v>N/A</v>
          </cell>
          <cell r="CG1066">
            <v>30</v>
          </cell>
          <cell r="CH1066" t="str">
            <v>$100 POD</v>
          </cell>
          <cell r="CI1066" t="str">
            <v>N/A</v>
          </cell>
          <cell r="CJ1066" t="str">
            <v>$500 / $1,000</v>
          </cell>
          <cell r="CK1066">
            <v>0.9</v>
          </cell>
          <cell r="CL1066" t="str">
            <v>$3,500 / $7,000</v>
          </cell>
          <cell r="CM1066" t="str">
            <v>N/A</v>
          </cell>
          <cell r="CN1066">
            <v>0</v>
          </cell>
          <cell r="CO1066" t="str">
            <v>N/A</v>
          </cell>
          <cell r="CP1066" t="str">
            <v>Emb</v>
          </cell>
          <cell r="CS1066" t="str">
            <v>INS</v>
          </cell>
          <cell r="CT1066" t="str">
            <v>Core Essential</v>
          </cell>
          <cell r="CU1066">
            <v>0.77400000000000002</v>
          </cell>
          <cell r="CW1066" t="str">
            <v>CE14&amp;15</v>
          </cell>
          <cell r="CX1066">
            <v>0.6673</v>
          </cell>
        </row>
        <row r="1067">
          <cell r="CA1067" t="str">
            <v>AHZH</v>
          </cell>
          <cell r="CB1067" t="str">
            <v>Core Essential</v>
          </cell>
          <cell r="CC1067">
            <v>35</v>
          </cell>
          <cell r="CD1067">
            <v>35</v>
          </cell>
          <cell r="CE1067" t="str">
            <v>N/A</v>
          </cell>
          <cell r="CF1067" t="str">
            <v>N/A</v>
          </cell>
          <cell r="CG1067">
            <v>35</v>
          </cell>
          <cell r="CH1067" t="str">
            <v>$100 POD</v>
          </cell>
          <cell r="CI1067" t="str">
            <v>N/A</v>
          </cell>
          <cell r="CJ1067" t="str">
            <v>$500 / $1,000</v>
          </cell>
          <cell r="CK1067">
            <v>0.8</v>
          </cell>
          <cell r="CL1067" t="str">
            <v>$3,500 / $7,000</v>
          </cell>
          <cell r="CM1067" t="str">
            <v>N/A</v>
          </cell>
          <cell r="CN1067">
            <v>0</v>
          </cell>
          <cell r="CO1067" t="str">
            <v>N/A</v>
          </cell>
          <cell r="CP1067" t="str">
            <v>Emb</v>
          </cell>
          <cell r="CS1067" t="str">
            <v>INS</v>
          </cell>
          <cell r="CT1067" t="str">
            <v>Core Essential</v>
          </cell>
          <cell r="CU1067">
            <v>0.73089999999999999</v>
          </cell>
          <cell r="CW1067" t="str">
            <v>CE14&amp;15</v>
          </cell>
          <cell r="CX1067">
            <v>0.64580000000000004</v>
          </cell>
        </row>
        <row r="1068">
          <cell r="CA1068" t="str">
            <v>AHZJ</v>
          </cell>
          <cell r="CB1068" t="str">
            <v>Core Essential</v>
          </cell>
          <cell r="CC1068">
            <v>20</v>
          </cell>
          <cell r="CD1068">
            <v>35</v>
          </cell>
          <cell r="CE1068" t="str">
            <v>N/A</v>
          </cell>
          <cell r="CF1068" t="str">
            <v>N/A</v>
          </cell>
          <cell r="CG1068">
            <v>35</v>
          </cell>
          <cell r="CH1068" t="str">
            <v>$100 POD</v>
          </cell>
          <cell r="CI1068" t="str">
            <v>N/A</v>
          </cell>
          <cell r="CJ1068" t="str">
            <v>$750 / $1,500</v>
          </cell>
          <cell r="CK1068">
            <v>0.8</v>
          </cell>
          <cell r="CL1068" t="str">
            <v>$6,350 / $12,700</v>
          </cell>
          <cell r="CM1068" t="str">
            <v>N/A</v>
          </cell>
          <cell r="CN1068">
            <v>0</v>
          </cell>
          <cell r="CO1068" t="str">
            <v>N/A</v>
          </cell>
          <cell r="CP1068" t="str">
            <v>Emb</v>
          </cell>
          <cell r="CS1068" t="str">
            <v>INS</v>
          </cell>
          <cell r="CT1068" t="str">
            <v>Core Essential</v>
          </cell>
          <cell r="CU1068">
            <v>0.69320000000000004</v>
          </cell>
          <cell r="CW1068" t="str">
            <v>CE14&amp;15</v>
          </cell>
          <cell r="CX1068">
            <v>0.63429999999999997</v>
          </cell>
        </row>
        <row r="1069">
          <cell r="CA1069" t="str">
            <v>AHZK</v>
          </cell>
          <cell r="CB1069" t="str">
            <v>Core Essential</v>
          </cell>
          <cell r="CC1069">
            <v>20</v>
          </cell>
          <cell r="CD1069">
            <v>45</v>
          </cell>
          <cell r="CE1069" t="str">
            <v>N/A</v>
          </cell>
          <cell r="CF1069" t="str">
            <v>N/A</v>
          </cell>
          <cell r="CG1069">
            <v>45</v>
          </cell>
          <cell r="CH1069" t="str">
            <v>$100 POD</v>
          </cell>
          <cell r="CI1069" t="str">
            <v>N/A</v>
          </cell>
          <cell r="CJ1069" t="str">
            <v>N/A</v>
          </cell>
          <cell r="CK1069">
            <v>0.75</v>
          </cell>
          <cell r="CL1069" t="str">
            <v>$5,000 / $10,000</v>
          </cell>
          <cell r="CM1069" t="str">
            <v>N/A</v>
          </cell>
          <cell r="CN1069">
            <v>0</v>
          </cell>
          <cell r="CO1069" t="str">
            <v>N/A</v>
          </cell>
          <cell r="CP1069" t="str">
            <v>Emb</v>
          </cell>
          <cell r="CS1069" t="str">
            <v>INS</v>
          </cell>
          <cell r="CT1069" t="str">
            <v>Core Essential</v>
          </cell>
          <cell r="CU1069">
            <v>0.73629999999999995</v>
          </cell>
          <cell r="CW1069" t="str">
            <v>CE14&amp;15</v>
          </cell>
          <cell r="CX1069">
            <v>0.65839999999999999</v>
          </cell>
        </row>
        <row r="1070">
          <cell r="CA1070" t="str">
            <v>AKF3</v>
          </cell>
          <cell r="CB1070" t="str">
            <v>Core Essential</v>
          </cell>
          <cell r="CC1070">
            <v>25</v>
          </cell>
          <cell r="CD1070">
            <v>40</v>
          </cell>
          <cell r="CE1070" t="str">
            <v>N/A</v>
          </cell>
          <cell r="CF1070" t="str">
            <v>N/A</v>
          </cell>
          <cell r="CG1070">
            <v>125</v>
          </cell>
          <cell r="CH1070">
            <v>250</v>
          </cell>
          <cell r="CI1070" t="str">
            <v>N/A</v>
          </cell>
          <cell r="CJ1070" t="str">
            <v>$2,000 / $4,000</v>
          </cell>
          <cell r="CK1070">
            <v>0.8</v>
          </cell>
          <cell r="CL1070" t="str">
            <v>$5,000 / $10,000</v>
          </cell>
          <cell r="CM1070" t="str">
            <v>N/A</v>
          </cell>
          <cell r="CN1070">
            <v>0</v>
          </cell>
          <cell r="CO1070" t="str">
            <v>N/A</v>
          </cell>
          <cell r="CP1070" t="str">
            <v>Emb</v>
          </cell>
          <cell r="CS1070" t="str">
            <v>INS</v>
          </cell>
          <cell r="CT1070" t="str">
            <v>Core Essential</v>
          </cell>
          <cell r="CU1070">
            <v>0.67710000000000004</v>
          </cell>
          <cell r="CW1070" t="str">
            <v>CE14&amp;15</v>
          </cell>
          <cell r="CX1070">
            <v>0.60170000000000001</v>
          </cell>
        </row>
        <row r="1071">
          <cell r="CA1071" t="str">
            <v>AKF4</v>
          </cell>
          <cell r="CB1071" t="str">
            <v>Core Essential</v>
          </cell>
          <cell r="CC1071">
            <v>20</v>
          </cell>
          <cell r="CD1071">
            <v>40</v>
          </cell>
          <cell r="CE1071" t="str">
            <v>N/A</v>
          </cell>
          <cell r="CF1071" t="str">
            <v>N/A</v>
          </cell>
          <cell r="CG1071">
            <v>125</v>
          </cell>
          <cell r="CH1071">
            <v>250</v>
          </cell>
          <cell r="CI1071" t="str">
            <v>N/A</v>
          </cell>
          <cell r="CJ1071" t="str">
            <v>$2,500 / $5,000</v>
          </cell>
          <cell r="CK1071">
            <v>0.8</v>
          </cell>
          <cell r="CL1071" t="str">
            <v>$5,000 / $10,000</v>
          </cell>
          <cell r="CM1071" t="str">
            <v>N/A</v>
          </cell>
          <cell r="CN1071">
            <v>0</v>
          </cell>
          <cell r="CO1071" t="str">
            <v>N/A</v>
          </cell>
          <cell r="CP1071" t="str">
            <v>Emb</v>
          </cell>
          <cell r="CS1071" t="str">
            <v>INS</v>
          </cell>
          <cell r="CT1071" t="str">
            <v>Core Essential</v>
          </cell>
          <cell r="CU1071">
            <v>0.67030000000000001</v>
          </cell>
          <cell r="CW1071" t="str">
            <v>CE14&amp;15</v>
          </cell>
          <cell r="CX1071">
            <v>0.59850000000000003</v>
          </cell>
        </row>
        <row r="1072">
          <cell r="CA1072" t="str">
            <v>AKF5</v>
          </cell>
          <cell r="CB1072" t="str">
            <v>Core Essential</v>
          </cell>
          <cell r="CC1072">
            <v>25</v>
          </cell>
          <cell r="CD1072">
            <v>50</v>
          </cell>
          <cell r="CE1072" t="str">
            <v>N/A</v>
          </cell>
          <cell r="CF1072" t="str">
            <v>N/A</v>
          </cell>
          <cell r="CG1072">
            <v>125</v>
          </cell>
          <cell r="CH1072">
            <v>250</v>
          </cell>
          <cell r="CI1072" t="str">
            <v>N/A</v>
          </cell>
          <cell r="CJ1072" t="str">
            <v>$3,000 / $6,000</v>
          </cell>
          <cell r="CK1072">
            <v>0.7</v>
          </cell>
          <cell r="CL1072" t="str">
            <v>$5,000 / $10,000</v>
          </cell>
          <cell r="CM1072" t="str">
            <v>N/A</v>
          </cell>
          <cell r="CN1072">
            <v>0</v>
          </cell>
          <cell r="CO1072" t="str">
            <v>N/A</v>
          </cell>
          <cell r="CP1072" t="str">
            <v>Emb</v>
          </cell>
          <cell r="CS1072" t="str">
            <v>INS</v>
          </cell>
          <cell r="CT1072" t="str">
            <v>Core Essential</v>
          </cell>
          <cell r="CU1072">
            <v>0.65349999999999997</v>
          </cell>
          <cell r="CW1072" t="str">
            <v>CE14&amp;15</v>
          </cell>
          <cell r="CX1072">
            <v>0.58740000000000003</v>
          </cell>
        </row>
        <row r="1073">
          <cell r="CA1073" t="str">
            <v>AKFH</v>
          </cell>
          <cell r="CB1073" t="str">
            <v>Core Essential</v>
          </cell>
          <cell r="CC1073">
            <v>15</v>
          </cell>
          <cell r="CD1073">
            <v>15</v>
          </cell>
          <cell r="CE1073" t="str">
            <v>N/A</v>
          </cell>
          <cell r="CF1073">
            <v>250</v>
          </cell>
          <cell r="CG1073">
            <v>35</v>
          </cell>
          <cell r="CH1073">
            <v>75</v>
          </cell>
          <cell r="CI1073" t="str">
            <v>N/A</v>
          </cell>
          <cell r="CJ1073" t="str">
            <v>$0 / $0</v>
          </cell>
          <cell r="CK1073">
            <v>1</v>
          </cell>
          <cell r="CL1073" t="str">
            <v>$2,500 / $5,000</v>
          </cell>
          <cell r="CM1073" t="str">
            <v>N/A</v>
          </cell>
          <cell r="CN1073">
            <v>0</v>
          </cell>
          <cell r="CO1073" t="str">
            <v>N/A</v>
          </cell>
          <cell r="CP1073" t="str">
            <v>Emb</v>
          </cell>
          <cell r="CS1073" t="str">
            <v>INS</v>
          </cell>
          <cell r="CT1073" t="str">
            <v>Core Essential</v>
          </cell>
          <cell r="CU1073">
            <v>0.93110000000000004</v>
          </cell>
          <cell r="CW1073" t="str">
            <v>CE14&amp;15</v>
          </cell>
          <cell r="CX1073">
            <v>0.73750000000000004</v>
          </cell>
        </row>
        <row r="1074">
          <cell r="CA1074" t="str">
            <v>AKFI</v>
          </cell>
          <cell r="CB1074" t="str">
            <v>Core Essential</v>
          </cell>
          <cell r="CC1074">
            <v>15</v>
          </cell>
          <cell r="CD1074">
            <v>25</v>
          </cell>
          <cell r="CE1074" t="str">
            <v>N/A</v>
          </cell>
          <cell r="CF1074">
            <v>0</v>
          </cell>
          <cell r="CG1074">
            <v>50</v>
          </cell>
          <cell r="CH1074">
            <v>150</v>
          </cell>
          <cell r="CI1074" t="str">
            <v>N/A</v>
          </cell>
          <cell r="CJ1074" t="str">
            <v>$0 / $0</v>
          </cell>
          <cell r="CK1074">
            <v>1</v>
          </cell>
          <cell r="CL1074" t="str">
            <v>$2,500 / $5,000</v>
          </cell>
          <cell r="CM1074" t="str">
            <v>N/A</v>
          </cell>
          <cell r="CN1074">
            <v>0</v>
          </cell>
          <cell r="CO1074" t="str">
            <v>N/A</v>
          </cell>
          <cell r="CP1074" t="str">
            <v>Emb</v>
          </cell>
          <cell r="CS1074" t="str">
            <v>INS</v>
          </cell>
          <cell r="CT1074" t="str">
            <v>Core Essential</v>
          </cell>
          <cell r="CU1074">
            <v>0.92220000000000002</v>
          </cell>
          <cell r="CW1074" t="str">
            <v>CE14&amp;15</v>
          </cell>
          <cell r="CX1074">
            <v>0.72950000000000004</v>
          </cell>
        </row>
        <row r="1075">
          <cell r="CA1075" t="str">
            <v>AKFJ</v>
          </cell>
          <cell r="CB1075" t="str">
            <v>Core Essential</v>
          </cell>
          <cell r="CC1075">
            <v>20</v>
          </cell>
          <cell r="CD1075">
            <v>20</v>
          </cell>
          <cell r="CE1075" t="str">
            <v>N/A</v>
          </cell>
          <cell r="CF1075">
            <v>250</v>
          </cell>
          <cell r="CG1075">
            <v>50</v>
          </cell>
          <cell r="CH1075">
            <v>100</v>
          </cell>
          <cell r="CI1075" t="str">
            <v>N/A</v>
          </cell>
          <cell r="CJ1075" t="str">
            <v>$0 / $0</v>
          </cell>
          <cell r="CK1075">
            <v>1</v>
          </cell>
          <cell r="CL1075" t="str">
            <v>$2,500 / $5,000</v>
          </cell>
          <cell r="CM1075" t="str">
            <v>N/A</v>
          </cell>
          <cell r="CN1075">
            <v>0</v>
          </cell>
          <cell r="CO1075" t="str">
            <v>N/A</v>
          </cell>
          <cell r="CP1075" t="str">
            <v>Emb</v>
          </cell>
          <cell r="CS1075" t="str">
            <v>INS</v>
          </cell>
          <cell r="CT1075" t="str">
            <v>Core Essential</v>
          </cell>
          <cell r="CU1075">
            <v>0.91979999999999995</v>
          </cell>
          <cell r="CW1075" t="str">
            <v>CE14&amp;15</v>
          </cell>
          <cell r="CX1075">
            <v>0.7298</v>
          </cell>
        </row>
        <row r="1076">
          <cell r="CA1076" t="str">
            <v>AKFK</v>
          </cell>
          <cell r="CB1076" t="str">
            <v>Core Essential</v>
          </cell>
          <cell r="CC1076">
            <v>20</v>
          </cell>
          <cell r="CD1076">
            <v>30</v>
          </cell>
          <cell r="CE1076" t="str">
            <v>N/A</v>
          </cell>
          <cell r="CF1076">
            <v>0</v>
          </cell>
          <cell r="CG1076">
            <v>50</v>
          </cell>
          <cell r="CH1076">
            <v>150</v>
          </cell>
          <cell r="CI1076" t="str">
            <v>N/A</v>
          </cell>
          <cell r="CJ1076" t="str">
            <v>$0 / $0</v>
          </cell>
          <cell r="CK1076">
            <v>1</v>
          </cell>
          <cell r="CL1076" t="str">
            <v>$2,500 / $5,000</v>
          </cell>
          <cell r="CM1076" t="str">
            <v>N/A</v>
          </cell>
          <cell r="CN1076">
            <v>0</v>
          </cell>
          <cell r="CO1076" t="str">
            <v>N/A</v>
          </cell>
          <cell r="CP1076" t="str">
            <v>Emb</v>
          </cell>
          <cell r="CS1076" t="str">
            <v>INS</v>
          </cell>
          <cell r="CT1076" t="str">
            <v>Core Essential</v>
          </cell>
          <cell r="CU1076">
            <v>0.91320000000000001</v>
          </cell>
          <cell r="CW1076" t="str">
            <v>CE14&amp;15</v>
          </cell>
          <cell r="CX1076">
            <v>0.72270000000000001</v>
          </cell>
        </row>
        <row r="1077">
          <cell r="CA1077" t="str">
            <v>AKFU</v>
          </cell>
          <cell r="CB1077" t="str">
            <v>Core Essential</v>
          </cell>
          <cell r="CC1077">
            <v>20</v>
          </cell>
          <cell r="CD1077">
            <v>40</v>
          </cell>
          <cell r="CE1077" t="str">
            <v>N/A</v>
          </cell>
          <cell r="CF1077" t="str">
            <v>N/A</v>
          </cell>
          <cell r="CG1077">
            <v>125</v>
          </cell>
          <cell r="CH1077">
            <v>250</v>
          </cell>
          <cell r="CI1077" t="str">
            <v>N/A</v>
          </cell>
          <cell r="CJ1077" t="str">
            <v>$1,000 / $2,000</v>
          </cell>
          <cell r="CK1077">
            <v>0.9</v>
          </cell>
          <cell r="CL1077" t="str">
            <v>$3,000 / $6,000</v>
          </cell>
          <cell r="CM1077" t="str">
            <v>N/A</v>
          </cell>
          <cell r="CN1077">
            <v>0</v>
          </cell>
          <cell r="CO1077" t="str">
            <v>N/A</v>
          </cell>
          <cell r="CP1077" t="str">
            <v>Emb</v>
          </cell>
          <cell r="CS1077" t="str">
            <v>INS</v>
          </cell>
          <cell r="CT1077" t="str">
            <v>Core Essential</v>
          </cell>
          <cell r="CU1077">
            <v>0.76400000000000001</v>
          </cell>
          <cell r="CW1077" t="str">
            <v>CE14&amp;15</v>
          </cell>
          <cell r="CX1077">
            <v>0.64190000000000003</v>
          </cell>
        </row>
        <row r="1078">
          <cell r="CA1078" t="str">
            <v>AKFX</v>
          </cell>
          <cell r="CB1078" t="str">
            <v>Core Essential</v>
          </cell>
          <cell r="CC1078">
            <v>25</v>
          </cell>
          <cell r="CD1078">
            <v>35</v>
          </cell>
          <cell r="CE1078" t="str">
            <v>N/A</v>
          </cell>
          <cell r="CF1078" t="str">
            <v>N/A</v>
          </cell>
          <cell r="CG1078">
            <v>125</v>
          </cell>
          <cell r="CH1078">
            <v>250</v>
          </cell>
          <cell r="CI1078" t="str">
            <v>N/A</v>
          </cell>
          <cell r="CJ1078" t="str">
            <v>$1,000 / $2,000</v>
          </cell>
          <cell r="CK1078">
            <v>0.8</v>
          </cell>
          <cell r="CL1078" t="str">
            <v>$3,000 / $6,000</v>
          </cell>
          <cell r="CM1078" t="str">
            <v>N/A</v>
          </cell>
          <cell r="CN1078">
            <v>0</v>
          </cell>
          <cell r="CO1078" t="str">
            <v>N/A</v>
          </cell>
          <cell r="CP1078" t="str">
            <v>Emb</v>
          </cell>
          <cell r="CS1078" t="str">
            <v>INS</v>
          </cell>
          <cell r="CT1078" t="str">
            <v>Core Essential</v>
          </cell>
          <cell r="CU1078">
            <v>0.74729999999999996</v>
          </cell>
          <cell r="CW1078" t="str">
            <v>CE14&amp;15</v>
          </cell>
          <cell r="CX1078">
            <v>0.64290000000000003</v>
          </cell>
        </row>
        <row r="1079">
          <cell r="CA1079" t="str">
            <v>AKFZ</v>
          </cell>
          <cell r="CB1079" t="str">
            <v>Core Essential</v>
          </cell>
          <cell r="CC1079">
            <v>30</v>
          </cell>
          <cell r="CD1079">
            <v>50</v>
          </cell>
          <cell r="CE1079" t="str">
            <v>N/A</v>
          </cell>
          <cell r="CF1079" t="str">
            <v>N/A</v>
          </cell>
          <cell r="CG1079">
            <v>125</v>
          </cell>
          <cell r="CH1079">
            <v>250</v>
          </cell>
          <cell r="CI1079" t="str">
            <v>N/A</v>
          </cell>
          <cell r="CJ1079" t="str">
            <v>$1,000 / $2,000</v>
          </cell>
          <cell r="CK1079">
            <v>0.8</v>
          </cell>
          <cell r="CL1079" t="str">
            <v>$3,000 / $6,000</v>
          </cell>
          <cell r="CM1079" t="str">
            <v>N/A</v>
          </cell>
          <cell r="CN1079">
            <v>0</v>
          </cell>
          <cell r="CO1079" t="str">
            <v>N/A</v>
          </cell>
          <cell r="CP1079" t="str">
            <v>Emb</v>
          </cell>
          <cell r="CS1079" t="str">
            <v>INS</v>
          </cell>
          <cell r="CT1079" t="str">
            <v>Core Essential</v>
          </cell>
          <cell r="CU1079">
            <v>0.73629999999999995</v>
          </cell>
          <cell r="CW1079" t="str">
            <v>CE14&amp;15</v>
          </cell>
          <cell r="CX1079">
            <v>0.63070000000000004</v>
          </cell>
        </row>
        <row r="1080">
          <cell r="CA1080" t="str">
            <v>AKH8</v>
          </cell>
          <cell r="CB1080" t="str">
            <v>Core Essential</v>
          </cell>
          <cell r="CC1080">
            <v>10</v>
          </cell>
          <cell r="CD1080">
            <v>10</v>
          </cell>
          <cell r="CE1080" t="str">
            <v>N/A</v>
          </cell>
          <cell r="CF1080" t="str">
            <v>$100 POD</v>
          </cell>
          <cell r="CG1080">
            <v>10</v>
          </cell>
          <cell r="CH1080" t="str">
            <v>$100 POD</v>
          </cell>
          <cell r="CI1080" t="str">
            <v>N/A</v>
          </cell>
          <cell r="CJ1080" t="str">
            <v>$1,000 / $2,000</v>
          </cell>
          <cell r="CK1080">
            <v>0.9</v>
          </cell>
          <cell r="CL1080" t="str">
            <v>$3,500 / $7,000</v>
          </cell>
          <cell r="CM1080" t="str">
            <v>N/A</v>
          </cell>
          <cell r="CN1080">
            <v>0</v>
          </cell>
          <cell r="CO1080" t="str">
            <v>N/A</v>
          </cell>
          <cell r="CP1080" t="str">
            <v>Emb</v>
          </cell>
          <cell r="CS1080" t="str">
            <v>INS</v>
          </cell>
          <cell r="CT1080" t="str">
            <v>Core Essential</v>
          </cell>
          <cell r="CU1080">
            <v>0.76359999999999995</v>
          </cell>
          <cell r="CW1080" t="str">
            <v>CE14&amp;15</v>
          </cell>
          <cell r="CX1080">
            <v>0.67649999999999999</v>
          </cell>
        </row>
        <row r="1081">
          <cell r="CA1081" t="str">
            <v>AKH9</v>
          </cell>
          <cell r="CB1081" t="str">
            <v>Core Essential</v>
          </cell>
          <cell r="CC1081">
            <v>35</v>
          </cell>
          <cell r="CD1081">
            <v>35</v>
          </cell>
          <cell r="CE1081" t="str">
            <v>N/A</v>
          </cell>
          <cell r="CF1081" t="str">
            <v>$100 POD</v>
          </cell>
          <cell r="CG1081">
            <v>35</v>
          </cell>
          <cell r="CH1081" t="str">
            <v>$100 POD</v>
          </cell>
          <cell r="CI1081" t="str">
            <v>N/A</v>
          </cell>
          <cell r="CJ1081" t="str">
            <v>$1,000 / $2,000</v>
          </cell>
          <cell r="CK1081">
            <v>0.8</v>
          </cell>
          <cell r="CL1081" t="str">
            <v>$5,000 / $10,000</v>
          </cell>
          <cell r="CM1081" t="str">
            <v>N/A</v>
          </cell>
          <cell r="CN1081">
            <v>0</v>
          </cell>
          <cell r="CO1081" t="str">
            <v>N/A</v>
          </cell>
          <cell r="CP1081" t="str">
            <v>Emb</v>
          </cell>
          <cell r="CS1081" t="str">
            <v>INS</v>
          </cell>
          <cell r="CT1081" t="str">
            <v>Core Essential</v>
          </cell>
          <cell r="CU1081">
            <v>0.68189999999999995</v>
          </cell>
          <cell r="CW1081" t="str">
            <v>CE14&amp;15</v>
          </cell>
          <cell r="CX1081">
            <v>0.62290000000000001</v>
          </cell>
        </row>
        <row r="1082">
          <cell r="CA1082" t="str">
            <v>AKIB</v>
          </cell>
          <cell r="CB1082" t="str">
            <v>Core Essential</v>
          </cell>
          <cell r="CC1082">
            <v>15</v>
          </cell>
          <cell r="CD1082">
            <v>15</v>
          </cell>
          <cell r="CE1082" t="str">
            <v>N/A</v>
          </cell>
          <cell r="CF1082" t="str">
            <v>$100 POD</v>
          </cell>
          <cell r="CG1082">
            <v>15</v>
          </cell>
          <cell r="CH1082" t="str">
            <v>$300 POD</v>
          </cell>
          <cell r="CI1082" t="str">
            <v>N/A</v>
          </cell>
          <cell r="CJ1082" t="str">
            <v>$1,500 / $3,000</v>
          </cell>
          <cell r="CK1082">
            <v>0.8</v>
          </cell>
          <cell r="CL1082" t="str">
            <v>$4,500 / $9,000</v>
          </cell>
          <cell r="CM1082" t="str">
            <v>N/A</v>
          </cell>
          <cell r="CN1082">
            <v>0</v>
          </cell>
          <cell r="CO1082" t="str">
            <v>N/A</v>
          </cell>
          <cell r="CP1082" t="str">
            <v>Emb</v>
          </cell>
          <cell r="CS1082" t="str">
            <v>INS</v>
          </cell>
          <cell r="CT1082" t="str">
            <v>Core Essential</v>
          </cell>
          <cell r="CU1082">
            <v>0.68710000000000004</v>
          </cell>
          <cell r="CW1082" t="str">
            <v>CE14&amp;15</v>
          </cell>
          <cell r="CX1082">
            <v>0.63839999999999997</v>
          </cell>
        </row>
        <row r="1083">
          <cell r="CA1083" t="str">
            <v>AKIC</v>
          </cell>
          <cell r="CB1083" t="str">
            <v>Core Essential</v>
          </cell>
          <cell r="CC1083">
            <v>20</v>
          </cell>
          <cell r="CD1083">
            <v>20</v>
          </cell>
          <cell r="CE1083" t="str">
            <v>N/A</v>
          </cell>
          <cell r="CF1083" t="str">
            <v>$100 POD</v>
          </cell>
          <cell r="CG1083">
            <v>20</v>
          </cell>
          <cell r="CH1083" t="str">
            <v>$100 POD</v>
          </cell>
          <cell r="CI1083" t="str">
            <v>N/A</v>
          </cell>
          <cell r="CJ1083" t="str">
            <v>$2,000 / $4,000</v>
          </cell>
          <cell r="CK1083">
            <v>0.8</v>
          </cell>
          <cell r="CL1083" t="str">
            <v>$5,500 / $11,000</v>
          </cell>
          <cell r="CM1083" t="str">
            <v>N/A</v>
          </cell>
          <cell r="CN1083">
            <v>0</v>
          </cell>
          <cell r="CO1083" t="str">
            <v>N/A</v>
          </cell>
          <cell r="CP1083" t="str">
            <v>Emb</v>
          </cell>
          <cell r="CS1083" t="str">
            <v>INS</v>
          </cell>
          <cell r="CT1083" t="str">
            <v>Core Essential</v>
          </cell>
          <cell r="CU1083">
            <v>0.65349999999999997</v>
          </cell>
          <cell r="CW1083" t="str">
            <v>CE14&amp;15</v>
          </cell>
          <cell r="CX1083">
            <v>0.62060000000000004</v>
          </cell>
        </row>
        <row r="1084">
          <cell r="CA1084" t="str">
            <v>AKID</v>
          </cell>
          <cell r="CB1084" t="str">
            <v>Core Essential</v>
          </cell>
          <cell r="CC1084">
            <v>25</v>
          </cell>
          <cell r="CD1084">
            <v>25</v>
          </cell>
          <cell r="CE1084" t="str">
            <v>N/A</v>
          </cell>
          <cell r="CF1084" t="str">
            <v>$100 POD</v>
          </cell>
          <cell r="CG1084">
            <v>25</v>
          </cell>
          <cell r="CH1084" t="str">
            <v>$100 POD</v>
          </cell>
          <cell r="CI1084" t="str">
            <v>N/A</v>
          </cell>
          <cell r="CJ1084" t="str">
            <v>$2,500 / $5,000</v>
          </cell>
          <cell r="CK1084">
            <v>0.8</v>
          </cell>
          <cell r="CL1084" t="str">
            <v>$6,350 / $12,700</v>
          </cell>
          <cell r="CM1084" t="str">
            <v>N/A</v>
          </cell>
          <cell r="CN1084">
            <v>0</v>
          </cell>
          <cell r="CO1084" t="str">
            <v>N/A</v>
          </cell>
          <cell r="CP1084" t="str">
            <v>Emb</v>
          </cell>
          <cell r="CS1084" t="str">
            <v>INS</v>
          </cell>
          <cell r="CT1084" t="str">
            <v>Core Essential</v>
          </cell>
          <cell r="CU1084">
            <v>0.62119999999999997</v>
          </cell>
          <cell r="CW1084" t="str">
            <v>CE14&amp;15</v>
          </cell>
          <cell r="CX1084">
            <v>0.60319999999999996</v>
          </cell>
        </row>
        <row r="1085">
          <cell r="CA1085" t="str">
            <v>AKIE</v>
          </cell>
          <cell r="CB1085" t="str">
            <v>Core Essential</v>
          </cell>
          <cell r="CC1085">
            <v>30</v>
          </cell>
          <cell r="CD1085">
            <v>30</v>
          </cell>
          <cell r="CE1085" t="str">
            <v>N/A</v>
          </cell>
          <cell r="CF1085" t="str">
            <v>$100 POD</v>
          </cell>
          <cell r="CG1085">
            <v>30</v>
          </cell>
          <cell r="CH1085" t="str">
            <v>$100 POD</v>
          </cell>
          <cell r="CI1085" t="str">
            <v>N/A</v>
          </cell>
          <cell r="CJ1085" t="str">
            <v>$3,000 / $6,000</v>
          </cell>
          <cell r="CK1085">
            <v>0.8</v>
          </cell>
          <cell r="CL1085" t="str">
            <v>$6,350 / $12,700</v>
          </cell>
          <cell r="CM1085" t="str">
            <v>N/A</v>
          </cell>
          <cell r="CN1085">
            <v>0</v>
          </cell>
          <cell r="CO1085" t="str">
            <v>N/A</v>
          </cell>
          <cell r="CP1085" t="str">
            <v>Emb</v>
          </cell>
          <cell r="CS1085" t="str">
            <v>INS</v>
          </cell>
          <cell r="CT1085" t="str">
            <v>Core Essential</v>
          </cell>
          <cell r="CU1085">
            <v>0.6028</v>
          </cell>
          <cell r="CW1085" t="str">
            <v>CE14&amp;15</v>
          </cell>
          <cell r="CX1085">
            <v>0.59050000000000002</v>
          </cell>
        </row>
        <row r="1086">
          <cell r="CA1086" t="str">
            <v>AKIF</v>
          </cell>
          <cell r="CB1086" t="str">
            <v>Core Essential</v>
          </cell>
          <cell r="CC1086">
            <v>35</v>
          </cell>
          <cell r="CD1086">
            <v>35</v>
          </cell>
          <cell r="CE1086" t="str">
            <v>N/A</v>
          </cell>
          <cell r="CF1086" t="str">
            <v>$100 POD</v>
          </cell>
          <cell r="CG1086">
            <v>35</v>
          </cell>
          <cell r="CH1086" t="str">
            <v>$100 POD</v>
          </cell>
          <cell r="CI1086" t="str">
            <v>N/A</v>
          </cell>
          <cell r="CJ1086" t="str">
            <v>$3,500 / $7,000</v>
          </cell>
          <cell r="CK1086">
            <v>0.8</v>
          </cell>
          <cell r="CL1086" t="str">
            <v>$6,350 / $12,700</v>
          </cell>
          <cell r="CM1086" t="str">
            <v>N/A</v>
          </cell>
          <cell r="CN1086">
            <v>0</v>
          </cell>
          <cell r="CO1086" t="str">
            <v>N/A</v>
          </cell>
          <cell r="CP1086" t="str">
            <v>Emb</v>
          </cell>
          <cell r="CS1086" t="str">
            <v>INS</v>
          </cell>
          <cell r="CT1086" t="str">
            <v>Core Essential</v>
          </cell>
          <cell r="CU1086">
            <v>0.58599999999999997</v>
          </cell>
          <cell r="CW1086" t="str">
            <v>CE14&amp;15</v>
          </cell>
          <cell r="CX1086">
            <v>0.57940000000000003</v>
          </cell>
        </row>
        <row r="1087">
          <cell r="CA1087" t="str">
            <v>AKIG</v>
          </cell>
          <cell r="CB1087" t="str">
            <v>Core Essential</v>
          </cell>
          <cell r="CC1087">
            <v>40</v>
          </cell>
          <cell r="CD1087">
            <v>40</v>
          </cell>
          <cell r="CE1087" t="str">
            <v>N/A</v>
          </cell>
          <cell r="CF1087" t="str">
            <v>$100 POD</v>
          </cell>
          <cell r="CG1087">
            <v>40</v>
          </cell>
          <cell r="CH1087" t="str">
            <v>$100 POD</v>
          </cell>
          <cell r="CI1087" t="str">
            <v>N/A</v>
          </cell>
          <cell r="CJ1087" t="str">
            <v>$4,000 / $8,000</v>
          </cell>
          <cell r="CK1087">
            <v>0.8</v>
          </cell>
          <cell r="CL1087" t="str">
            <v>$6,350 / $12,700</v>
          </cell>
          <cell r="CM1087" t="str">
            <v>N/A</v>
          </cell>
          <cell r="CN1087">
            <v>0</v>
          </cell>
          <cell r="CO1087" t="str">
            <v>N/A</v>
          </cell>
          <cell r="CP1087" t="str">
            <v>Emb</v>
          </cell>
          <cell r="CS1087" t="str">
            <v>INS</v>
          </cell>
          <cell r="CT1087" t="str">
            <v>Core Essential</v>
          </cell>
          <cell r="CU1087">
            <v>0.57250000000000001</v>
          </cell>
          <cell r="CW1087" t="str">
            <v>CE14&amp;15</v>
          </cell>
          <cell r="CX1087">
            <v>0.5696</v>
          </cell>
        </row>
        <row r="1088">
          <cell r="CA1088" t="str">
            <v>AKIH</v>
          </cell>
          <cell r="CB1088" t="str">
            <v>Core Essential</v>
          </cell>
          <cell r="CC1088" t="str">
            <v>N/A</v>
          </cell>
          <cell r="CD1088" t="str">
            <v>N/A</v>
          </cell>
          <cell r="CE1088" t="str">
            <v>N/A</v>
          </cell>
          <cell r="CF1088" t="str">
            <v>$100 POD</v>
          </cell>
          <cell r="CG1088" t="str">
            <v>N/A</v>
          </cell>
          <cell r="CH1088" t="str">
            <v>$100 POD</v>
          </cell>
          <cell r="CI1088" t="str">
            <v>N/A</v>
          </cell>
          <cell r="CJ1088" t="str">
            <v>$5,500 / $11,000</v>
          </cell>
          <cell r="CK1088">
            <v>0.8</v>
          </cell>
          <cell r="CL1088" t="str">
            <v>$6,350 / $12,700</v>
          </cell>
          <cell r="CM1088" t="str">
            <v>N/A</v>
          </cell>
          <cell r="CN1088">
            <v>0</v>
          </cell>
          <cell r="CO1088" t="str">
            <v>N/A</v>
          </cell>
          <cell r="CP1088" t="str">
            <v>Emb</v>
          </cell>
          <cell r="CS1088" t="str">
            <v>INS</v>
          </cell>
          <cell r="CT1088" t="str">
            <v>Core Essential</v>
          </cell>
          <cell r="CU1088">
            <v>0.49669999999999997</v>
          </cell>
          <cell r="CW1088" t="str">
            <v>CE14&amp;15</v>
          </cell>
          <cell r="CX1088">
            <v>0.49399999999999999</v>
          </cell>
        </row>
        <row r="1089">
          <cell r="CA1089" t="str">
            <v>AKIS</v>
          </cell>
          <cell r="CB1089" t="str">
            <v>Core Essential</v>
          </cell>
          <cell r="CC1089">
            <v>15</v>
          </cell>
          <cell r="CD1089">
            <v>15</v>
          </cell>
          <cell r="CE1089" t="str">
            <v>N/A</v>
          </cell>
          <cell r="CF1089" t="str">
            <v>$100 POD</v>
          </cell>
          <cell r="CG1089">
            <v>15</v>
          </cell>
          <cell r="CH1089" t="str">
            <v>$100 POD</v>
          </cell>
          <cell r="CI1089" t="str">
            <v>N/A</v>
          </cell>
          <cell r="CJ1089" t="str">
            <v>$500 / $1,000</v>
          </cell>
          <cell r="CK1089">
            <v>0.9</v>
          </cell>
          <cell r="CL1089" t="str">
            <v>$2,500 / $5,000</v>
          </cell>
          <cell r="CM1089" t="str">
            <v>N/A</v>
          </cell>
          <cell r="CN1089">
            <v>0</v>
          </cell>
          <cell r="CO1089" t="str">
            <v>N/A</v>
          </cell>
          <cell r="CP1089" t="str">
            <v>Emb</v>
          </cell>
          <cell r="CS1089" t="str">
            <v>INS</v>
          </cell>
          <cell r="CT1089" t="str">
            <v>Core Essential</v>
          </cell>
          <cell r="CU1089">
            <v>0.81399999999999995</v>
          </cell>
          <cell r="CW1089" t="str">
            <v>CE14&amp;15</v>
          </cell>
          <cell r="CX1089">
            <v>0.69069999999999998</v>
          </cell>
        </row>
        <row r="1090">
          <cell r="CA1090" t="str">
            <v>AKIT</v>
          </cell>
          <cell r="CB1090" t="str">
            <v>Core Essential</v>
          </cell>
          <cell r="CC1090">
            <v>20</v>
          </cell>
          <cell r="CD1090">
            <v>20</v>
          </cell>
          <cell r="CE1090" t="str">
            <v>N/A</v>
          </cell>
          <cell r="CF1090" t="str">
            <v>$100 POD</v>
          </cell>
          <cell r="CG1090">
            <v>20</v>
          </cell>
          <cell r="CH1090" t="str">
            <v>$100 POD</v>
          </cell>
          <cell r="CI1090" t="str">
            <v>N/A</v>
          </cell>
          <cell r="CJ1090" t="str">
            <v>$500 / $1,000</v>
          </cell>
          <cell r="CK1090">
            <v>0.8</v>
          </cell>
          <cell r="CL1090" t="str">
            <v>$2,500 / $5,000</v>
          </cell>
          <cell r="CM1090" t="str">
            <v>N/A</v>
          </cell>
          <cell r="CN1090">
            <v>0</v>
          </cell>
          <cell r="CO1090" t="str">
            <v>N/A</v>
          </cell>
          <cell r="CP1090" t="str">
            <v>Emb</v>
          </cell>
          <cell r="CS1090" t="str">
            <v>INS</v>
          </cell>
          <cell r="CT1090" t="str">
            <v>Core Essential</v>
          </cell>
          <cell r="CU1090">
            <v>0.78169999999999995</v>
          </cell>
          <cell r="CW1090" t="str">
            <v>CE14&amp;15</v>
          </cell>
          <cell r="CX1090">
            <v>0.67249999999999999</v>
          </cell>
        </row>
        <row r="1091">
          <cell r="CA1091" t="str">
            <v>AKIW</v>
          </cell>
          <cell r="CB1091" t="str">
            <v>Core Essential</v>
          </cell>
          <cell r="CC1091">
            <v>25</v>
          </cell>
          <cell r="CD1091">
            <v>25</v>
          </cell>
          <cell r="CE1091" t="str">
            <v>N/A</v>
          </cell>
          <cell r="CF1091" t="str">
            <v>$100 POD</v>
          </cell>
          <cell r="CG1091">
            <v>25</v>
          </cell>
          <cell r="CH1091" t="str">
            <v>$100 POD</v>
          </cell>
          <cell r="CI1091" t="str">
            <v>N/A</v>
          </cell>
          <cell r="CJ1091" t="str">
            <v>$750 / $1,500</v>
          </cell>
          <cell r="CK1091">
            <v>0.8</v>
          </cell>
          <cell r="CL1091" t="str">
            <v>$4,700 / $9,500</v>
          </cell>
          <cell r="CM1091" t="str">
            <v>N/A</v>
          </cell>
          <cell r="CN1091">
            <v>0</v>
          </cell>
          <cell r="CO1091" t="str">
            <v>N/A</v>
          </cell>
          <cell r="CP1091" t="str">
            <v>Emb</v>
          </cell>
          <cell r="CS1091" t="str">
            <v>INS</v>
          </cell>
          <cell r="CT1091" t="str">
            <v>Core Essential</v>
          </cell>
          <cell r="CU1091">
            <v>0.70909999999999995</v>
          </cell>
          <cell r="CW1091" t="str">
            <v>CE14&amp;15</v>
          </cell>
          <cell r="CX1091">
            <v>0.63839999999999997</v>
          </cell>
        </row>
        <row r="1092">
          <cell r="CA1092" t="str">
            <v>AKIZ</v>
          </cell>
          <cell r="CB1092" t="str">
            <v>Core Essential</v>
          </cell>
          <cell r="CC1092">
            <v>10</v>
          </cell>
          <cell r="CD1092">
            <v>10</v>
          </cell>
          <cell r="CE1092" t="str">
            <v>N/A</v>
          </cell>
          <cell r="CF1092">
            <v>100</v>
          </cell>
          <cell r="CG1092">
            <v>10</v>
          </cell>
          <cell r="CH1092">
            <v>100</v>
          </cell>
          <cell r="CI1092" t="str">
            <v>N/A</v>
          </cell>
          <cell r="CJ1092" t="str">
            <v>N/A</v>
          </cell>
          <cell r="CK1092">
            <v>1</v>
          </cell>
          <cell r="CL1092" t="str">
            <v>$500 / $1,000</v>
          </cell>
          <cell r="CM1092" t="str">
            <v>N/A</v>
          </cell>
          <cell r="CN1092">
            <v>0</v>
          </cell>
          <cell r="CO1092" t="str">
            <v>N/A</v>
          </cell>
          <cell r="CP1092" t="str">
            <v>Emb</v>
          </cell>
          <cell r="CS1092" t="str">
            <v>INS</v>
          </cell>
          <cell r="CT1092" t="str">
            <v>Core Essential</v>
          </cell>
          <cell r="CU1092">
            <v>0.98509999999999998</v>
          </cell>
          <cell r="CW1092" t="str">
            <v>CE14&amp;15</v>
          </cell>
          <cell r="CX1092">
            <v>0.74439999999999995</v>
          </cell>
        </row>
        <row r="1093">
          <cell r="CA1093" t="str">
            <v>AHUP</v>
          </cell>
          <cell r="CB1093" t="str">
            <v>Core Essential</v>
          </cell>
          <cell r="CC1093">
            <v>10</v>
          </cell>
          <cell r="CD1093">
            <v>10</v>
          </cell>
          <cell r="CE1093" t="str">
            <v>N/A</v>
          </cell>
          <cell r="CF1093" t="str">
            <v>N/A</v>
          </cell>
          <cell r="CG1093">
            <v>35</v>
          </cell>
          <cell r="CH1093">
            <v>100</v>
          </cell>
          <cell r="CI1093" t="str">
            <v>N/A</v>
          </cell>
          <cell r="CJ1093" t="str">
            <v>$250 / $500</v>
          </cell>
          <cell r="CK1093">
            <v>0.9</v>
          </cell>
          <cell r="CL1093" t="str">
            <v>$1,250 / $2,500</v>
          </cell>
          <cell r="CM1093" t="str">
            <v>N/A</v>
          </cell>
          <cell r="CN1093">
            <v>0</v>
          </cell>
          <cell r="CO1093" t="str">
            <v>N/A</v>
          </cell>
          <cell r="CP1093" t="str">
            <v>Emb</v>
          </cell>
          <cell r="CS1093" t="str">
            <v>INS</v>
          </cell>
          <cell r="CT1093" t="str">
            <v>Core Essential</v>
          </cell>
          <cell r="CU1093">
            <v>0.89529999999999998</v>
          </cell>
          <cell r="CW1093" t="str">
            <v>CE14&amp;15</v>
          </cell>
          <cell r="CX1093">
            <v>0.71709999999999996</v>
          </cell>
        </row>
        <row r="1094">
          <cell r="CA1094" t="str">
            <v>AHUR</v>
          </cell>
          <cell r="CB1094" t="str">
            <v>Core Essential</v>
          </cell>
          <cell r="CC1094">
            <v>20</v>
          </cell>
          <cell r="CD1094">
            <v>20</v>
          </cell>
          <cell r="CE1094" t="str">
            <v>N/A</v>
          </cell>
          <cell r="CF1094" t="str">
            <v>$250 POD</v>
          </cell>
          <cell r="CG1094">
            <v>125</v>
          </cell>
          <cell r="CH1094">
            <v>250</v>
          </cell>
          <cell r="CI1094" t="str">
            <v>N/A</v>
          </cell>
          <cell r="CJ1094" t="str">
            <v>$250 / $500</v>
          </cell>
          <cell r="CK1094">
            <v>0.9</v>
          </cell>
          <cell r="CL1094" t="str">
            <v>$2,500 / $5,000</v>
          </cell>
          <cell r="CM1094" t="str">
            <v>N/A</v>
          </cell>
          <cell r="CN1094">
            <v>0</v>
          </cell>
          <cell r="CO1094" t="str">
            <v>N/A</v>
          </cell>
          <cell r="CP1094" t="str">
            <v>Emb</v>
          </cell>
          <cell r="CS1094" t="str">
            <v>INS</v>
          </cell>
          <cell r="CT1094" t="str">
            <v>Core Essential</v>
          </cell>
          <cell r="CU1094">
            <v>0.83130000000000004</v>
          </cell>
          <cell r="CW1094" t="str">
            <v>CE14&amp;15</v>
          </cell>
          <cell r="CX1094">
            <v>0.68910000000000005</v>
          </cell>
        </row>
        <row r="1095">
          <cell r="CA1095" t="str">
            <v>AHUS</v>
          </cell>
          <cell r="CB1095" t="str">
            <v>Core Essential</v>
          </cell>
          <cell r="CC1095">
            <v>20</v>
          </cell>
          <cell r="CD1095">
            <v>20</v>
          </cell>
          <cell r="CE1095" t="str">
            <v>N/A</v>
          </cell>
          <cell r="CF1095" t="str">
            <v>N/A</v>
          </cell>
          <cell r="CG1095">
            <v>50</v>
          </cell>
          <cell r="CH1095">
            <v>100</v>
          </cell>
          <cell r="CI1095" t="str">
            <v>N/A</v>
          </cell>
          <cell r="CJ1095" t="str">
            <v>$500 / $1,000</v>
          </cell>
          <cell r="CK1095">
            <v>0.8</v>
          </cell>
          <cell r="CL1095" t="str">
            <v>$2,500 / $5,000</v>
          </cell>
          <cell r="CM1095" t="str">
            <v>N/A</v>
          </cell>
          <cell r="CN1095">
            <v>0</v>
          </cell>
          <cell r="CO1095" t="str">
            <v>N/A</v>
          </cell>
          <cell r="CP1095" t="str">
            <v>Emb</v>
          </cell>
          <cell r="CS1095" t="str">
            <v>INS</v>
          </cell>
          <cell r="CT1095" t="str">
            <v>Core Essential</v>
          </cell>
          <cell r="CU1095">
            <v>0.80459999999999998</v>
          </cell>
          <cell r="CW1095" t="str">
            <v>CE14&amp;15</v>
          </cell>
          <cell r="CX1095">
            <v>0.6774</v>
          </cell>
        </row>
        <row r="1102">
          <cell r="CA1102" t="str">
            <v>PU1</v>
          </cell>
          <cell r="CB1102" t="str">
            <v>Non-Differential PPO</v>
          </cell>
          <cell r="CC1102" t="str">
            <v>N/A</v>
          </cell>
          <cell r="CD1102" t="str">
            <v>N/A</v>
          </cell>
          <cell r="CE1102" t="str">
            <v>N/A</v>
          </cell>
          <cell r="CF1102" t="str">
            <v>N/A</v>
          </cell>
          <cell r="CG1102" t="str">
            <v>N/A</v>
          </cell>
          <cell r="CH1102" t="str">
            <v>N/A</v>
          </cell>
          <cell r="CI1102" t="str">
            <v>N/A</v>
          </cell>
          <cell r="CJ1102" t="str">
            <v>$500 / $1,000</v>
          </cell>
          <cell r="CK1102">
            <v>0.8</v>
          </cell>
          <cell r="CL1102" t="str">
            <v>$3,000 / $6,000</v>
          </cell>
          <cell r="CM1102" t="str">
            <v>$500 / $1,000</v>
          </cell>
          <cell r="CN1102">
            <v>0.8</v>
          </cell>
          <cell r="CO1102" t="str">
            <v>$3,000 / $6,000</v>
          </cell>
          <cell r="CP1102" t="str">
            <v>Emb</v>
          </cell>
          <cell r="CS1102" t="str">
            <v>INS</v>
          </cell>
          <cell r="CT1102" t="str">
            <v>ND PPO</v>
          </cell>
          <cell r="CU1102">
            <v>0.72409999999999997</v>
          </cell>
          <cell r="CW1102" t="str">
            <v>NDPPO14W</v>
          </cell>
          <cell r="CX1102">
            <v>0.64400000000000002</v>
          </cell>
        </row>
        <row r="1103">
          <cell r="CA1103" t="str">
            <v>PU2</v>
          </cell>
          <cell r="CB1103" t="str">
            <v>Non-Differential PPO</v>
          </cell>
          <cell r="CC1103" t="str">
            <v>N/A</v>
          </cell>
          <cell r="CD1103" t="str">
            <v>N/A</v>
          </cell>
          <cell r="CE1103" t="str">
            <v>N/A</v>
          </cell>
          <cell r="CF1103" t="str">
            <v>N/A</v>
          </cell>
          <cell r="CG1103" t="str">
            <v>N/A</v>
          </cell>
          <cell r="CH1103" t="str">
            <v>N/A</v>
          </cell>
          <cell r="CI1103" t="str">
            <v>N/A</v>
          </cell>
          <cell r="CJ1103" t="str">
            <v>$1,500 / $3,000</v>
          </cell>
          <cell r="CK1103">
            <v>0.8</v>
          </cell>
          <cell r="CL1103" t="str">
            <v>$4,000 / $8,000</v>
          </cell>
          <cell r="CM1103" t="str">
            <v>$1,500 / $3,000</v>
          </cell>
          <cell r="CN1103">
            <v>0.8</v>
          </cell>
          <cell r="CO1103" t="str">
            <v>$4,000 / $8,000</v>
          </cell>
          <cell r="CP1103" t="str">
            <v>Emb</v>
          </cell>
          <cell r="CS1103" t="str">
            <v>INS</v>
          </cell>
          <cell r="CT1103" t="str">
            <v>ND PPO</v>
          </cell>
          <cell r="CU1103">
            <v>0.62680000000000002</v>
          </cell>
          <cell r="CW1103" t="str">
            <v>NDPPO14W</v>
          </cell>
          <cell r="CX1103">
            <v>0.58450000000000002</v>
          </cell>
        </row>
        <row r="1104">
          <cell r="CA1104" t="str">
            <v>PU3</v>
          </cell>
          <cell r="CB1104" t="str">
            <v>Non-Differential PPO</v>
          </cell>
          <cell r="CC1104" t="str">
            <v>N/A</v>
          </cell>
          <cell r="CD1104" t="str">
            <v>N/A</v>
          </cell>
          <cell r="CE1104" t="str">
            <v>N/A</v>
          </cell>
          <cell r="CF1104" t="str">
            <v>N/A</v>
          </cell>
          <cell r="CG1104" t="str">
            <v>N/A</v>
          </cell>
          <cell r="CH1104" t="str">
            <v>N/A</v>
          </cell>
          <cell r="CI1104" t="str">
            <v>N/A</v>
          </cell>
          <cell r="CJ1104" t="str">
            <v>$2,000 / $4,000</v>
          </cell>
          <cell r="CK1104">
            <v>0.8</v>
          </cell>
          <cell r="CL1104" t="str">
            <v>$4,000 / $8,000</v>
          </cell>
          <cell r="CM1104" t="str">
            <v>$2,000 / $4,000</v>
          </cell>
          <cell r="CN1104">
            <v>0.8</v>
          </cell>
          <cell r="CO1104" t="str">
            <v>$4,000 / $8,000</v>
          </cell>
          <cell r="CP1104" t="str">
            <v>Emb</v>
          </cell>
          <cell r="CS1104" t="str">
            <v>INS</v>
          </cell>
          <cell r="CT1104" t="str">
            <v>ND PPO</v>
          </cell>
          <cell r="CU1104">
            <v>0.60160000000000002</v>
          </cell>
          <cell r="CW1104" t="str">
            <v>NDPPO14W</v>
          </cell>
          <cell r="CX1104">
            <v>0.56910000000000005</v>
          </cell>
        </row>
        <row r="1105">
          <cell r="CA1105" t="str">
            <v>PU4</v>
          </cell>
          <cell r="CB1105" t="str">
            <v>Non-Differential PPO</v>
          </cell>
          <cell r="CC1105" t="str">
            <v>N/A</v>
          </cell>
          <cell r="CD1105" t="str">
            <v>N/A</v>
          </cell>
          <cell r="CE1105" t="str">
            <v>N/A</v>
          </cell>
          <cell r="CF1105" t="str">
            <v>N/A</v>
          </cell>
          <cell r="CG1105" t="str">
            <v>N/A</v>
          </cell>
          <cell r="CH1105" t="str">
            <v>N/A</v>
          </cell>
          <cell r="CI1105" t="str">
            <v>N/A</v>
          </cell>
          <cell r="CJ1105" t="str">
            <v>$3,000 / $6,000</v>
          </cell>
          <cell r="CK1105">
            <v>0.8</v>
          </cell>
          <cell r="CL1105" t="str">
            <v>$5,000 / $10,000</v>
          </cell>
          <cell r="CM1105" t="str">
            <v>$3,000 / $6,000</v>
          </cell>
          <cell r="CN1105">
            <v>0.8</v>
          </cell>
          <cell r="CO1105" t="str">
            <v>$5,000 / $10,000</v>
          </cell>
          <cell r="CP1105" t="str">
            <v>Emb</v>
          </cell>
          <cell r="CS1105" t="str">
            <v>INS</v>
          </cell>
          <cell r="CT1105" t="str">
            <v>ND PPO</v>
          </cell>
          <cell r="CU1105">
            <v>0.53979999999999995</v>
          </cell>
          <cell r="CW1105" t="str">
            <v>NDPPO14W</v>
          </cell>
          <cell r="CX1105">
            <v>0.53100000000000003</v>
          </cell>
        </row>
        <row r="1106">
          <cell r="CA1106" t="str">
            <v>PUZ</v>
          </cell>
          <cell r="CB1106" t="str">
            <v>Non-Differential PPO</v>
          </cell>
          <cell r="CC1106" t="str">
            <v>N/A</v>
          </cell>
          <cell r="CD1106" t="str">
            <v>N/A</v>
          </cell>
          <cell r="CE1106" t="str">
            <v>N/A</v>
          </cell>
          <cell r="CF1106" t="str">
            <v>N/A</v>
          </cell>
          <cell r="CG1106" t="str">
            <v>N/A</v>
          </cell>
          <cell r="CH1106" t="str">
            <v>N/A</v>
          </cell>
          <cell r="CI1106" t="str">
            <v>N/A</v>
          </cell>
          <cell r="CJ1106" t="str">
            <v>$250 / $500</v>
          </cell>
          <cell r="CK1106">
            <v>0.8</v>
          </cell>
          <cell r="CL1106" t="str">
            <v>$2,000 / $4,000</v>
          </cell>
          <cell r="CM1106" t="str">
            <v>$250 / $500</v>
          </cell>
          <cell r="CN1106">
            <v>0.8</v>
          </cell>
          <cell r="CO1106" t="str">
            <v>$2,000 / $4,000</v>
          </cell>
          <cell r="CP1106" t="str">
            <v>Emb</v>
          </cell>
          <cell r="CS1106" t="str">
            <v>INS</v>
          </cell>
          <cell r="CT1106" t="str">
            <v>ND PPO</v>
          </cell>
          <cell r="CU1106">
            <v>0.79339999999999999</v>
          </cell>
          <cell r="CW1106" t="str">
            <v>NDPPO14W</v>
          </cell>
          <cell r="CX1106">
            <v>0.67630000000000001</v>
          </cell>
        </row>
        <row r="1111">
          <cell r="CA1111" t="str">
            <v>PU5</v>
          </cell>
          <cell r="CB1111" t="str">
            <v>Traditional</v>
          </cell>
          <cell r="CC1111">
            <v>20</v>
          </cell>
          <cell r="CD1111">
            <v>20</v>
          </cell>
          <cell r="CE1111" t="str">
            <v>N/A</v>
          </cell>
          <cell r="CF1111">
            <v>250</v>
          </cell>
          <cell r="CG1111">
            <v>50</v>
          </cell>
          <cell r="CH1111">
            <v>100</v>
          </cell>
          <cell r="CI1111" t="str">
            <v>N/A</v>
          </cell>
          <cell r="CJ1111" t="str">
            <v>$0 / $0</v>
          </cell>
          <cell r="CK1111">
            <v>1</v>
          </cell>
          <cell r="CL1111" t="str">
            <v>$2,500 / $5,000</v>
          </cell>
          <cell r="CM1111" t="str">
            <v>$2,500 / $5,000</v>
          </cell>
          <cell r="CN1111">
            <v>0.8</v>
          </cell>
          <cell r="CO1111" t="str">
            <v>$7,500 / $15,000</v>
          </cell>
          <cell r="CP1111" t="str">
            <v>Emb</v>
          </cell>
          <cell r="CS1111" t="str">
            <v>INS</v>
          </cell>
          <cell r="CT1111" t="str">
            <v>PPO</v>
          </cell>
          <cell r="CU1111">
            <v>0.93759999999999999</v>
          </cell>
          <cell r="CW1111" t="str">
            <v>PPO14W</v>
          </cell>
          <cell r="CX1111">
            <v>0.7298</v>
          </cell>
        </row>
        <row r="1112">
          <cell r="CA1112" t="str">
            <v>PU6</v>
          </cell>
          <cell r="CB1112" t="str">
            <v>Traditional with Deductible</v>
          </cell>
          <cell r="CC1112">
            <v>15</v>
          </cell>
          <cell r="CD1112">
            <v>15</v>
          </cell>
          <cell r="CE1112" t="str">
            <v>N/A</v>
          </cell>
          <cell r="CF1112" t="str">
            <v>N/A</v>
          </cell>
          <cell r="CG1112">
            <v>50</v>
          </cell>
          <cell r="CH1112">
            <v>100</v>
          </cell>
          <cell r="CI1112" t="str">
            <v>N/A</v>
          </cell>
          <cell r="CJ1112" t="str">
            <v>$500 / $1,000</v>
          </cell>
          <cell r="CK1112">
            <v>0.8</v>
          </cell>
          <cell r="CL1112" t="str">
            <v>$1,500 / $3,000</v>
          </cell>
          <cell r="CM1112" t="str">
            <v>$1,000 / $2,000</v>
          </cell>
          <cell r="CN1112">
            <v>0.6</v>
          </cell>
          <cell r="CO1112" t="str">
            <v>$5,000 / $10,000</v>
          </cell>
          <cell r="CP1112" t="str">
            <v>Emb</v>
          </cell>
          <cell r="CS1112" t="str">
            <v>INS</v>
          </cell>
          <cell r="CT1112" t="str">
            <v>PPO</v>
          </cell>
          <cell r="CU1112">
            <v>0.87929999999999997</v>
          </cell>
          <cell r="CW1112" t="str">
            <v>PPO14W</v>
          </cell>
          <cell r="CX1112">
            <v>0.69899999999999995</v>
          </cell>
        </row>
        <row r="1113">
          <cell r="CA1113" t="str">
            <v>PU7</v>
          </cell>
          <cell r="CB1113" t="str">
            <v>Balanced 100</v>
          </cell>
          <cell r="CC1113">
            <v>25</v>
          </cell>
          <cell r="CD1113">
            <v>25</v>
          </cell>
          <cell r="CE1113" t="str">
            <v>N/A</v>
          </cell>
          <cell r="CF1113" t="str">
            <v>N/A</v>
          </cell>
          <cell r="CG1113">
            <v>75</v>
          </cell>
          <cell r="CH1113">
            <v>125</v>
          </cell>
          <cell r="CI1113" t="str">
            <v>N/A</v>
          </cell>
          <cell r="CJ1113" t="str">
            <v>$2,000 / $4,000</v>
          </cell>
          <cell r="CK1113">
            <v>1</v>
          </cell>
          <cell r="CL1113" t="str">
            <v>$2,000 / $4,000</v>
          </cell>
          <cell r="CM1113" t="str">
            <v>$4,000 / $8,000</v>
          </cell>
          <cell r="CN1113">
            <v>0.8</v>
          </cell>
          <cell r="CO1113" t="str">
            <v>$8,000 / $16,000</v>
          </cell>
          <cell r="CP1113" t="str">
            <v>Emb</v>
          </cell>
          <cell r="CS1113" t="str">
            <v>INS</v>
          </cell>
          <cell r="CT1113" t="str">
            <v>PPO</v>
          </cell>
          <cell r="CU1113">
            <v>0.83040000000000003</v>
          </cell>
          <cell r="CW1113" t="str">
            <v>PPO14W</v>
          </cell>
          <cell r="CX1113">
            <v>0.62990000000000002</v>
          </cell>
        </row>
        <row r="1114">
          <cell r="CA1114" t="str">
            <v>PU8</v>
          </cell>
          <cell r="CB1114" t="str">
            <v>Balanced</v>
          </cell>
          <cell r="CC1114">
            <v>30</v>
          </cell>
          <cell r="CD1114">
            <v>30</v>
          </cell>
          <cell r="CE1114" t="str">
            <v>N/A</v>
          </cell>
          <cell r="CF1114" t="str">
            <v>N/A</v>
          </cell>
          <cell r="CG1114">
            <v>50</v>
          </cell>
          <cell r="CH1114">
            <v>150</v>
          </cell>
          <cell r="CI1114" t="str">
            <v>N/A</v>
          </cell>
          <cell r="CJ1114" t="str">
            <v>$1,000 / $2,000</v>
          </cell>
          <cell r="CK1114">
            <v>0.8</v>
          </cell>
          <cell r="CL1114" t="str">
            <v>$4,000 / $8,000</v>
          </cell>
          <cell r="CM1114" t="str">
            <v>$2,000 / $4,000</v>
          </cell>
          <cell r="CN1114">
            <v>0.6</v>
          </cell>
          <cell r="CO1114" t="str">
            <v>$10,000 / $20,000</v>
          </cell>
          <cell r="CP1114" t="str">
            <v>Emb</v>
          </cell>
          <cell r="CS1114" t="str">
            <v>INS</v>
          </cell>
          <cell r="CT1114" t="str">
            <v>PPO</v>
          </cell>
          <cell r="CU1114">
            <v>0.7429</v>
          </cell>
          <cell r="CW1114" t="str">
            <v>PPO14W</v>
          </cell>
          <cell r="CX1114">
            <v>0.63580000000000003</v>
          </cell>
        </row>
        <row r="1115">
          <cell r="CA1115" t="str">
            <v>PU9</v>
          </cell>
          <cell r="CB1115" t="str">
            <v>Consumer</v>
          </cell>
          <cell r="CC1115" t="str">
            <v>N/A</v>
          </cell>
          <cell r="CD1115" t="str">
            <v>N/A</v>
          </cell>
          <cell r="CE1115" t="str">
            <v>N/A</v>
          </cell>
          <cell r="CF1115" t="str">
            <v>N/A</v>
          </cell>
          <cell r="CG1115" t="str">
            <v>N/A</v>
          </cell>
          <cell r="CH1115" t="str">
            <v>N/A</v>
          </cell>
          <cell r="CI1115" t="str">
            <v>N/A</v>
          </cell>
          <cell r="CJ1115" t="str">
            <v>$2,000 / $4,000</v>
          </cell>
          <cell r="CK1115">
            <v>0.8</v>
          </cell>
          <cell r="CL1115" t="str">
            <v>$4,000 / $8,000</v>
          </cell>
          <cell r="CM1115" t="str">
            <v>$3,000 / $6,000</v>
          </cell>
          <cell r="CN1115">
            <v>0.6</v>
          </cell>
          <cell r="CO1115" t="str">
            <v>$6,000 / $12,000</v>
          </cell>
          <cell r="CP1115" t="str">
            <v>Emb</v>
          </cell>
          <cell r="CS1115" t="str">
            <v>INS</v>
          </cell>
          <cell r="CT1115" t="str">
            <v>PPO</v>
          </cell>
          <cell r="CU1115">
            <v>0.60470000000000002</v>
          </cell>
          <cell r="CW1115" t="str">
            <v>PPONHRA14W</v>
          </cell>
          <cell r="CX1115">
            <v>0.56910000000000005</v>
          </cell>
        </row>
        <row r="1116">
          <cell r="CA1116" t="str">
            <v/>
          </cell>
        </row>
        <row r="1117">
          <cell r="CA1117" t="str">
            <v/>
          </cell>
        </row>
        <row r="1118">
          <cell r="CA1118" t="str">
            <v/>
          </cell>
        </row>
        <row r="1119">
          <cell r="CA1119" t="str">
            <v/>
          </cell>
        </row>
        <row r="1120">
          <cell r="CA1120" t="str">
            <v/>
          </cell>
        </row>
        <row r="1121">
          <cell r="CA1121" t="str">
            <v>AG-RO</v>
          </cell>
          <cell r="CB1121" t="str">
            <v>Hawaii PPO</v>
          </cell>
          <cell r="CC1121" t="str">
            <v>N/A</v>
          </cell>
          <cell r="CD1121" t="str">
            <v>N/A</v>
          </cell>
          <cell r="CE1121" t="str">
            <v>N/A</v>
          </cell>
          <cell r="CF1121" t="str">
            <v>N/A</v>
          </cell>
          <cell r="CG1121" t="str">
            <v>N/A</v>
          </cell>
          <cell r="CH1121" t="str">
            <v>N/A</v>
          </cell>
          <cell r="CI1121" t="str">
            <v>N/A</v>
          </cell>
          <cell r="CJ1121" t="str">
            <v>$100 / $300</v>
          </cell>
          <cell r="CK1121">
            <v>0.9</v>
          </cell>
          <cell r="CL1121" t="str">
            <v>$2,500 / $7,500</v>
          </cell>
          <cell r="CM1121" t="str">
            <v>$100 / $300</v>
          </cell>
          <cell r="CN1121">
            <v>0.7</v>
          </cell>
          <cell r="CO1121" t="str">
            <v>$2,500 / $7,500</v>
          </cell>
          <cell r="CP1121" t="str">
            <v>Emb</v>
          </cell>
          <cell r="CS1121" t="str">
            <v>INS</v>
          </cell>
          <cell r="CT1121" t="str">
            <v>PPO</v>
          </cell>
          <cell r="CW1121" t="str">
            <v>AG-RO</v>
          </cell>
        </row>
        <row r="1122">
          <cell r="CA1122" t="str">
            <v/>
          </cell>
        </row>
        <row r="1123">
          <cell r="CA1123" t="str">
            <v/>
          </cell>
        </row>
        <row r="1124">
          <cell r="CA1124" t="str">
            <v>HANNA1</v>
          </cell>
          <cell r="CB1124" t="str">
            <v>Traditional with Deductible</v>
          </cell>
          <cell r="CC1124">
            <v>10</v>
          </cell>
          <cell r="CD1124">
            <v>10</v>
          </cell>
          <cell r="CE1124">
            <v>0</v>
          </cell>
          <cell r="CF1124">
            <v>0</v>
          </cell>
          <cell r="CG1124">
            <v>50</v>
          </cell>
          <cell r="CH1124">
            <v>100</v>
          </cell>
          <cell r="CI1124" t="str">
            <v>N/A</v>
          </cell>
          <cell r="CJ1124" t="str">
            <v>$100 / $300</v>
          </cell>
          <cell r="CK1124">
            <v>0.9</v>
          </cell>
          <cell r="CL1124" t="str">
            <v>$1,000 / $3,000</v>
          </cell>
          <cell r="CM1124" t="str">
            <v>$200 / $600</v>
          </cell>
          <cell r="CN1124">
            <v>0.7</v>
          </cell>
          <cell r="CO1124" t="str">
            <v>$2,000 / $6,000</v>
          </cell>
          <cell r="CP1124" t="str">
            <v>Emb</v>
          </cell>
          <cell r="CS1124" t="str">
            <v>INS</v>
          </cell>
          <cell r="CT1124" t="str">
            <v>Choice +</v>
          </cell>
          <cell r="CU1124">
            <v>0.89449999999999996</v>
          </cell>
          <cell r="CW1124" t="str">
            <v>HANCP</v>
          </cell>
          <cell r="CX1124">
            <v>0.7722</v>
          </cell>
        </row>
        <row r="1125">
          <cell r="CA1125" t="str">
            <v>HANNA2</v>
          </cell>
          <cell r="CB1125" t="str">
            <v>Traditional with Deductible</v>
          </cell>
          <cell r="CC1125">
            <v>20</v>
          </cell>
          <cell r="CD1125">
            <v>20</v>
          </cell>
          <cell r="CE1125">
            <v>0</v>
          </cell>
          <cell r="CF1125">
            <v>0</v>
          </cell>
          <cell r="CG1125">
            <v>50</v>
          </cell>
          <cell r="CH1125">
            <v>100</v>
          </cell>
          <cell r="CI1125" t="str">
            <v>N/A</v>
          </cell>
          <cell r="CJ1125" t="str">
            <v>$500 / $1,500</v>
          </cell>
          <cell r="CK1125">
            <v>0.8</v>
          </cell>
          <cell r="CL1125" t="str">
            <v>$2,000 / $6,000</v>
          </cell>
          <cell r="CM1125" t="str">
            <v>$1,000 / $3,000</v>
          </cell>
          <cell r="CN1125">
            <v>0.6</v>
          </cell>
          <cell r="CO1125" t="str">
            <v>$4,000 / $12,000</v>
          </cell>
          <cell r="CP1125" t="str">
            <v>Emb</v>
          </cell>
          <cell r="CS1125" t="str">
            <v>INS</v>
          </cell>
          <cell r="CT1125" t="str">
            <v>Choice +</v>
          </cell>
          <cell r="CU1125">
            <v>0.79310000000000003</v>
          </cell>
          <cell r="CW1125" t="str">
            <v>HANCP</v>
          </cell>
          <cell r="CX1125">
            <v>0.75039999999999996</v>
          </cell>
        </row>
        <row r="1126">
          <cell r="CA1126" t="str">
            <v>HANNA3</v>
          </cell>
          <cell r="CB1126" t="str">
            <v>HSA</v>
          </cell>
          <cell r="CC1126">
            <v>0</v>
          </cell>
          <cell r="CD1126">
            <v>0</v>
          </cell>
          <cell r="CE1126">
            <v>0</v>
          </cell>
          <cell r="CF1126">
            <v>0</v>
          </cell>
          <cell r="CG1126">
            <v>0</v>
          </cell>
          <cell r="CH1126">
            <v>0</v>
          </cell>
          <cell r="CI1126">
            <v>0</v>
          </cell>
          <cell r="CJ1126" t="str">
            <v>$1,500 / $3,000</v>
          </cell>
          <cell r="CK1126">
            <v>0.8</v>
          </cell>
          <cell r="CL1126" t="str">
            <v>$3,000 / $6,000</v>
          </cell>
          <cell r="CM1126" t="str">
            <v>$3,000 / $6,000</v>
          </cell>
          <cell r="CN1126">
            <v>0.5</v>
          </cell>
          <cell r="CO1126" t="str">
            <v>$6,000 / $12,000</v>
          </cell>
          <cell r="CP1126" t="str">
            <v>Emb</v>
          </cell>
          <cell r="CS1126" t="str">
            <v>INS</v>
          </cell>
          <cell r="CT1126" t="str">
            <v>Choice +</v>
          </cell>
          <cell r="CU1126">
            <v>0.77159999999999995</v>
          </cell>
          <cell r="CV1126" t="str">
            <v>H9-HSA</v>
          </cell>
          <cell r="CW1126" t="str">
            <v>HANHSA</v>
          </cell>
          <cell r="CX1126">
            <v>0.77580000000000005</v>
          </cell>
        </row>
        <row r="1127">
          <cell r="CA1127" t="str">
            <v>HANNA4</v>
          </cell>
          <cell r="CB1127" t="str">
            <v>HSA</v>
          </cell>
          <cell r="CC1127">
            <v>0</v>
          </cell>
          <cell r="CD1127">
            <v>0</v>
          </cell>
          <cell r="CE1127">
            <v>0</v>
          </cell>
          <cell r="CF1127">
            <v>0</v>
          </cell>
          <cell r="CG1127">
            <v>0</v>
          </cell>
          <cell r="CH1127">
            <v>0</v>
          </cell>
          <cell r="CI1127">
            <v>0</v>
          </cell>
          <cell r="CJ1127" t="str">
            <v>$2,000 / $4,000</v>
          </cell>
          <cell r="CK1127">
            <v>0.7</v>
          </cell>
          <cell r="CL1127" t="str">
            <v>$4,000 / $8,000</v>
          </cell>
          <cell r="CM1127" t="str">
            <v>$4,000 / $8,000</v>
          </cell>
          <cell r="CN1127">
            <v>0.5</v>
          </cell>
          <cell r="CO1127" t="str">
            <v>$8,000 / $16,000</v>
          </cell>
          <cell r="CP1127" t="str">
            <v>Emb</v>
          </cell>
          <cell r="CS1127" t="str">
            <v>INS</v>
          </cell>
          <cell r="CT1127" t="str">
            <v>Choice +</v>
          </cell>
          <cell r="CU1127">
            <v>0.68179999999999996</v>
          </cell>
          <cell r="CV1127" t="str">
            <v>H9-HSA</v>
          </cell>
          <cell r="CW1127" t="str">
            <v>HANHSA</v>
          </cell>
          <cell r="CX1127">
            <v>0.74199999999999999</v>
          </cell>
        </row>
        <row r="1128">
          <cell r="CA1128" t="str">
            <v>HANNA5</v>
          </cell>
          <cell r="CB1128" t="str">
            <v>HSA</v>
          </cell>
          <cell r="CC1128">
            <v>0</v>
          </cell>
          <cell r="CD1128">
            <v>0</v>
          </cell>
          <cell r="CE1128">
            <v>0</v>
          </cell>
          <cell r="CF1128">
            <v>0</v>
          </cell>
          <cell r="CG1128">
            <v>0</v>
          </cell>
          <cell r="CH1128">
            <v>0</v>
          </cell>
          <cell r="CI1128">
            <v>0</v>
          </cell>
          <cell r="CJ1128" t="str">
            <v>$3,000 / $6,000</v>
          </cell>
          <cell r="CK1128">
            <v>0.7</v>
          </cell>
          <cell r="CL1128" t="str">
            <v>$5,000 / $10,000</v>
          </cell>
          <cell r="CM1128" t="str">
            <v>$4,000 / $8,000</v>
          </cell>
          <cell r="CN1128">
            <v>0.5</v>
          </cell>
          <cell r="CO1128" t="str">
            <v>$12,800 / $25,600</v>
          </cell>
          <cell r="CP1128" t="str">
            <v>Emb</v>
          </cell>
          <cell r="CS1128" t="str">
            <v>INS</v>
          </cell>
          <cell r="CT1128" t="str">
            <v>Choice +</v>
          </cell>
          <cell r="CU1128">
            <v>0.62629999999999997</v>
          </cell>
          <cell r="CV1128" t="str">
            <v>H9-HSA</v>
          </cell>
          <cell r="CW1128" t="str">
            <v>HANHSA</v>
          </cell>
          <cell r="CX1128">
            <v>0.71740000000000004</v>
          </cell>
        </row>
        <row r="1129">
          <cell r="CA1129" t="str">
            <v/>
          </cell>
        </row>
        <row r="1130">
          <cell r="CA1130" t="str">
            <v/>
          </cell>
        </row>
        <row r="1131">
          <cell r="CA1131" t="str">
            <v>MMX15 01</v>
          </cell>
          <cell r="CB1131" t="str">
            <v>Traditional</v>
          </cell>
          <cell r="CC1131">
            <v>15</v>
          </cell>
          <cell r="CD1131">
            <v>25</v>
          </cell>
          <cell r="CE1131">
            <v>100</v>
          </cell>
          <cell r="CF1131">
            <v>200</v>
          </cell>
          <cell r="CG1131">
            <v>50</v>
          </cell>
          <cell r="CH1131">
            <v>100</v>
          </cell>
          <cell r="CI1131">
            <v>0</v>
          </cell>
          <cell r="CJ1131" t="str">
            <v>$0 / $0</v>
          </cell>
          <cell r="CK1131">
            <v>1</v>
          </cell>
          <cell r="CL1131" t="str">
            <v>$1,500 / $3,000</v>
          </cell>
          <cell r="CM1131" t="str">
            <v>$1,500 / $3,000</v>
          </cell>
          <cell r="CN1131">
            <v>0.7</v>
          </cell>
          <cell r="CO1131" t="str">
            <v>$3,000 / $6,000</v>
          </cell>
          <cell r="CP1131" t="str">
            <v>Emb</v>
          </cell>
          <cell r="CQ1131" t="str">
            <v>ENRP, Acupuncture ( 12 Visits Per Year ), Wig ( $300 Per Year ), Infertility ( $15k Lifetime ), Bariatric Surgery</v>
          </cell>
          <cell r="CS1131" t="str">
            <v>INS</v>
          </cell>
          <cell r="CT1131" t="str">
            <v>Select +</v>
          </cell>
          <cell r="CU1131">
            <v>0.96120000000000005</v>
          </cell>
          <cell r="CW1131" t="str">
            <v>MMX15SP</v>
          </cell>
          <cell r="CX1131">
            <v>0.77149999999999996</v>
          </cell>
        </row>
        <row r="1132">
          <cell r="CA1132" t="str">
            <v>MMX15 02</v>
          </cell>
          <cell r="CB1132" t="str">
            <v>Traditional With Deductible</v>
          </cell>
          <cell r="CC1132">
            <v>15</v>
          </cell>
          <cell r="CD1132">
            <v>30</v>
          </cell>
          <cell r="CE1132" t="str">
            <v>80%, after Ded</v>
          </cell>
          <cell r="CF1132" t="str">
            <v>Ded + Co-Ins</v>
          </cell>
          <cell r="CG1132">
            <v>50</v>
          </cell>
          <cell r="CH1132" t="str">
            <v>$100, then 80%, after Ded</v>
          </cell>
          <cell r="CI1132" t="str">
            <v>N/A</v>
          </cell>
          <cell r="CJ1132" t="str">
            <v>$350 / $700</v>
          </cell>
          <cell r="CK1132">
            <v>0.8</v>
          </cell>
          <cell r="CL1132" t="str">
            <v>$2,000 / $4,000</v>
          </cell>
          <cell r="CM1132" t="str">
            <v>$2,000 / $4,000</v>
          </cell>
          <cell r="CN1132">
            <v>0.6</v>
          </cell>
          <cell r="CO1132" t="str">
            <v>$4,000 / $8,000</v>
          </cell>
          <cell r="CP1132" t="str">
            <v>Emb</v>
          </cell>
          <cell r="CQ1132" t="str">
            <v>ENRP, Acupuncture ( 12 Visits Per Year ), Wig ( $300 Per Year ), Infertility ( $15k Lifetime ), Bariatric Surgery</v>
          </cell>
          <cell r="CS1132" t="str">
            <v>INS</v>
          </cell>
          <cell r="CT1132" t="str">
            <v>Select +</v>
          </cell>
          <cell r="CU1132">
            <v>0.84940000000000004</v>
          </cell>
          <cell r="CW1132" t="str">
            <v>MMX15SP</v>
          </cell>
          <cell r="CX1132">
            <v>0.72450000000000003</v>
          </cell>
        </row>
        <row r="1133">
          <cell r="CA1133" t="str">
            <v>MMX15 03</v>
          </cell>
          <cell r="CB1133" t="str">
            <v>Balanced</v>
          </cell>
          <cell r="CC1133" t="str">
            <v>80%, after Ded</v>
          </cell>
          <cell r="CD1133" t="str">
            <v>80%, after Ded</v>
          </cell>
          <cell r="CE1133" t="str">
            <v>80%, after Ded</v>
          </cell>
          <cell r="CF1133" t="str">
            <v>Ded + Co-Ins</v>
          </cell>
          <cell r="CG1133" t="str">
            <v>80%, after Ded</v>
          </cell>
          <cell r="CH1133" t="str">
            <v>80%, after Ded</v>
          </cell>
          <cell r="CI1133" t="str">
            <v>N/A</v>
          </cell>
          <cell r="CJ1133" t="str">
            <v>$800 / $1,600</v>
          </cell>
          <cell r="CK1133">
            <v>0.8</v>
          </cell>
          <cell r="CL1133" t="str">
            <v>$2,400 / $4,800</v>
          </cell>
          <cell r="CM1133" t="str">
            <v>$2,400 / $4,800</v>
          </cell>
          <cell r="CN1133">
            <v>0.6</v>
          </cell>
          <cell r="CO1133" t="str">
            <v>$4,800 / $9,600</v>
          </cell>
          <cell r="CP1133" t="str">
            <v>Emb</v>
          </cell>
          <cell r="CQ1133" t="str">
            <v>ENRP, Acupuncture ( 12 Visits Per Year ), Wig ( $300 Per Year ), Infertility ( $15k Lifetime ), Bariatric Surgery</v>
          </cell>
          <cell r="CS1133" t="str">
            <v>INS</v>
          </cell>
          <cell r="CT1133" t="str">
            <v>Select +</v>
          </cell>
          <cell r="CU1133">
            <v>0.76500000000000001</v>
          </cell>
          <cell r="CW1133" t="str">
            <v>MMX15SP</v>
          </cell>
          <cell r="CX1133">
            <v>0.65049999999999997</v>
          </cell>
        </row>
        <row r="1134">
          <cell r="CA1134" t="str">
            <v>MMX15 04</v>
          </cell>
          <cell r="CB1134" t="str">
            <v>Balanced</v>
          </cell>
          <cell r="CC1134" t="str">
            <v>80%, after Ded</v>
          </cell>
          <cell r="CD1134" t="str">
            <v>80%, after Ded</v>
          </cell>
          <cell r="CE1134" t="str">
            <v>80%, after Ded</v>
          </cell>
          <cell r="CF1134" t="str">
            <v>Ded + Co-Ins</v>
          </cell>
          <cell r="CG1134" t="str">
            <v>80%, after Ded</v>
          </cell>
          <cell r="CH1134" t="str">
            <v>80%, after Ded</v>
          </cell>
          <cell r="CI1134" t="str">
            <v>N/A</v>
          </cell>
          <cell r="CJ1134" t="str">
            <v>$800 / $1,600</v>
          </cell>
          <cell r="CK1134">
            <v>0.8</v>
          </cell>
          <cell r="CL1134" t="str">
            <v>$3,800 / $7,600</v>
          </cell>
          <cell r="CM1134" t="str">
            <v>$2,400 / $4,800</v>
          </cell>
          <cell r="CN1134">
            <v>0.6</v>
          </cell>
          <cell r="CO1134" t="str">
            <v>$7,600 / $15,200</v>
          </cell>
          <cell r="CP1134" t="str">
            <v>Emb</v>
          </cell>
          <cell r="CQ1134" t="str">
            <v>ENRP, Acupuncture ( 12 Visits Per Year ), Wig ( $300 Per Year ), Infertility ( $15k Lifetime ), Bariatric Surgery</v>
          </cell>
          <cell r="CS1134" t="str">
            <v>INS</v>
          </cell>
          <cell r="CT1134" t="str">
            <v>Select +</v>
          </cell>
          <cell r="CU1134">
            <v>0.72199999999999998</v>
          </cell>
          <cell r="CW1134" t="str">
            <v>MMX15SP</v>
          </cell>
          <cell r="CX1134">
            <v>0.65049999999999997</v>
          </cell>
        </row>
        <row r="1135">
          <cell r="CA1135" t="str">
            <v>MMX15 05</v>
          </cell>
          <cell r="CB1135" t="str">
            <v>HSA</v>
          </cell>
          <cell r="CC1135" t="str">
            <v>80%, after Ded</v>
          </cell>
          <cell r="CD1135" t="str">
            <v>80%, after Ded</v>
          </cell>
          <cell r="CE1135" t="str">
            <v>80%, after Ded</v>
          </cell>
          <cell r="CF1135" t="str">
            <v>Ded + Co-Ins</v>
          </cell>
          <cell r="CG1135" t="str">
            <v>80%, after Ded</v>
          </cell>
          <cell r="CH1135" t="str">
            <v>80%, after Ded</v>
          </cell>
          <cell r="CI1135" t="str">
            <v>N/A</v>
          </cell>
          <cell r="CJ1135" t="str">
            <v>$1,500 / $3,000</v>
          </cell>
          <cell r="CK1135">
            <v>0.8</v>
          </cell>
          <cell r="CL1135" t="str">
            <v>$3,000 / $6,000</v>
          </cell>
          <cell r="CM1135" t="str">
            <v>$3,000 / $6,000</v>
          </cell>
          <cell r="CN1135">
            <v>0.6</v>
          </cell>
          <cell r="CO1135" t="str">
            <v>$6,000 / $12,000</v>
          </cell>
          <cell r="CP1135" t="str">
            <v>NonEmb</v>
          </cell>
          <cell r="CQ1135" t="str">
            <v>ENRP, Acupuncture ( 12 Visits Per Year ), Wig ( $300 Per Year ), Infertility ( $15k Lifetime ), Bariatric Surgery</v>
          </cell>
          <cell r="CS1135" t="str">
            <v>INS</v>
          </cell>
          <cell r="CT1135" t="str">
            <v>Select +</v>
          </cell>
        </row>
        <row r="1136">
          <cell r="CA1136" t="str">
            <v>MMX15 06</v>
          </cell>
          <cell r="CB1136" t="str">
            <v>HSA</v>
          </cell>
          <cell r="CC1136" t="str">
            <v>80%, after Ded</v>
          </cell>
          <cell r="CD1136" t="str">
            <v>80%, after Ded</v>
          </cell>
          <cell r="CE1136" t="str">
            <v>80%, after Ded</v>
          </cell>
          <cell r="CF1136" t="str">
            <v>Ded + Co-Ins</v>
          </cell>
          <cell r="CG1136" t="str">
            <v>80%, after Ded</v>
          </cell>
          <cell r="CH1136" t="str">
            <v>80%, after Ded</v>
          </cell>
          <cell r="CI1136" t="str">
            <v>N/A</v>
          </cell>
          <cell r="CJ1136" t="str">
            <v>$1,500 / $3,000</v>
          </cell>
          <cell r="CK1136">
            <v>0.8</v>
          </cell>
          <cell r="CL1136" t="str">
            <v>$5,200 / $10,400</v>
          </cell>
          <cell r="CM1136" t="str">
            <v>$3,000 / $6,000</v>
          </cell>
          <cell r="CN1136">
            <v>0.6</v>
          </cell>
          <cell r="CO1136" t="str">
            <v>$10,400 / $20,800</v>
          </cell>
          <cell r="CP1136" t="str">
            <v>NonEmb</v>
          </cell>
          <cell r="CQ1136" t="str">
            <v>ENRP, Acupuncture ( 12 Visits Per Year ), Wig ( $300 Per Year ), Infertility ( $15k Lifetime ), Bariatric Surgery</v>
          </cell>
          <cell r="CS1136" t="str">
            <v>INS</v>
          </cell>
          <cell r="CT1136" t="str">
            <v>Select +</v>
          </cell>
        </row>
        <row r="1137">
          <cell r="CA1137" t="str">
            <v>MMX15 07</v>
          </cell>
          <cell r="CB1137" t="str">
            <v>HSA</v>
          </cell>
          <cell r="CC1137" t="str">
            <v>70%, after Ded</v>
          </cell>
          <cell r="CD1137" t="str">
            <v>70%, after Ded</v>
          </cell>
          <cell r="CE1137" t="str">
            <v>70%, after Ded</v>
          </cell>
          <cell r="CF1137" t="str">
            <v>Ded + Co-Ins</v>
          </cell>
          <cell r="CG1137" t="str">
            <v>70%, after Ded</v>
          </cell>
          <cell r="CH1137" t="str">
            <v>70%, after Ded</v>
          </cell>
          <cell r="CI1137" t="str">
            <v>N/A</v>
          </cell>
          <cell r="CJ1137" t="str">
            <v>$2,500 / $5,000</v>
          </cell>
          <cell r="CK1137">
            <v>0.7</v>
          </cell>
          <cell r="CL1137" t="str">
            <v>$4,500 / $9,000</v>
          </cell>
          <cell r="CM1137" t="str">
            <v>$4,500 / $9,000</v>
          </cell>
          <cell r="CN1137">
            <v>0.5</v>
          </cell>
          <cell r="CO1137" t="str">
            <v>$9,000 / $18,000</v>
          </cell>
          <cell r="CP1137" t="str">
            <v>NonEmb</v>
          </cell>
          <cell r="CQ1137" t="str">
            <v>ENRP, Acupuncture ( 12 Visits Per Year ), Wig ( $300 Per Year ), Infertility ( $15k Lifetime ), Bariatric Surgery</v>
          </cell>
          <cell r="CS1137" t="str">
            <v>INS</v>
          </cell>
          <cell r="CT1137" t="str">
            <v>Select +</v>
          </cell>
        </row>
        <row r="1138">
          <cell r="CA1138" t="str">
            <v>MMX15 08</v>
          </cell>
          <cell r="CB1138" t="str">
            <v>HSA</v>
          </cell>
          <cell r="CC1138" t="str">
            <v>70%, after Ded</v>
          </cell>
          <cell r="CD1138" t="str">
            <v>70%, after Ded</v>
          </cell>
          <cell r="CE1138" t="str">
            <v>70%, after Ded</v>
          </cell>
          <cell r="CF1138" t="str">
            <v>Ded + Co-Ins</v>
          </cell>
          <cell r="CG1138" t="str">
            <v>70%, after Ded</v>
          </cell>
          <cell r="CH1138" t="str">
            <v>70%, after Ded</v>
          </cell>
          <cell r="CI1138" t="str">
            <v>N/A</v>
          </cell>
          <cell r="CJ1138" t="str">
            <v>$2,500 / $5,000</v>
          </cell>
          <cell r="CK1138">
            <v>0.7</v>
          </cell>
          <cell r="CL1138" t="str">
            <v>$6,200 / $12,400</v>
          </cell>
          <cell r="CM1138" t="str">
            <v>$4,500 / $9,000</v>
          </cell>
          <cell r="CN1138">
            <v>0.5</v>
          </cell>
          <cell r="CO1138" t="str">
            <v>$12,400 / $24,800</v>
          </cell>
          <cell r="CP1138" t="str">
            <v>NonEmb</v>
          </cell>
          <cell r="CQ1138" t="str">
            <v>ENRP, Acupuncture ( 12 Visits Per Year ), Wig ( $300 Per Year ), Infertility ( $15k Lifetime ), Bariatric Surgery</v>
          </cell>
          <cell r="CS1138" t="str">
            <v>INS</v>
          </cell>
          <cell r="CT1138" t="str">
            <v>Select +</v>
          </cell>
        </row>
        <row r="1139">
          <cell r="CA1139" t="str">
            <v>MMX15 09</v>
          </cell>
          <cell r="CB1139" t="str">
            <v>Balanced</v>
          </cell>
          <cell r="CC1139" t="str">
            <v>80%, after Ded</v>
          </cell>
          <cell r="CD1139" t="str">
            <v>80%, after Ded</v>
          </cell>
          <cell r="CE1139" t="str">
            <v>80%, after Ded</v>
          </cell>
          <cell r="CF1139" t="str">
            <v>Ded + Co-Ins</v>
          </cell>
          <cell r="CG1139" t="str">
            <v>80%, after Ded</v>
          </cell>
          <cell r="CH1139" t="str">
            <v>80%, after Ded</v>
          </cell>
          <cell r="CI1139" t="str">
            <v>N/A</v>
          </cell>
          <cell r="CJ1139" t="str">
            <v>$1,500 / $3,000</v>
          </cell>
          <cell r="CK1139">
            <v>0.8</v>
          </cell>
          <cell r="CL1139" t="str">
            <v>$3,000 / $6,000</v>
          </cell>
          <cell r="CM1139" t="str">
            <v>$3,000 / $6,000</v>
          </cell>
          <cell r="CN1139">
            <v>0.6</v>
          </cell>
          <cell r="CO1139" t="str">
            <v>$6,000 / $12,000</v>
          </cell>
          <cell r="CP1139" t="str">
            <v>Emb</v>
          </cell>
          <cell r="CQ1139" t="str">
            <v>ENRP, Acupuncture ( 12 Visits Per Year ), Wig ( $300 Per Year ), Infertility ( $15k Lifetime ), Bariatric Surgery</v>
          </cell>
          <cell r="CS1139" t="str">
            <v>INS</v>
          </cell>
          <cell r="CT1139" t="str">
            <v>Select +</v>
          </cell>
          <cell r="CU1139">
            <v>0.70740000000000003</v>
          </cell>
          <cell r="CW1139" t="str">
            <v>MMX15SP</v>
          </cell>
          <cell r="CX1139">
            <v>0.62250000000000005</v>
          </cell>
        </row>
        <row r="1140">
          <cell r="CA1140" t="str">
            <v>MMX15 10</v>
          </cell>
          <cell r="CB1140" t="str">
            <v>Balanced</v>
          </cell>
          <cell r="CC1140" t="str">
            <v>80%, after Ded</v>
          </cell>
          <cell r="CD1140" t="str">
            <v>80%, after Ded</v>
          </cell>
          <cell r="CE1140" t="str">
            <v>80%, after Ded</v>
          </cell>
          <cell r="CF1140" t="str">
            <v>Ded + Co-Ins</v>
          </cell>
          <cell r="CG1140" t="str">
            <v>80%, after Ded</v>
          </cell>
          <cell r="CH1140" t="str">
            <v>80%, after Ded</v>
          </cell>
          <cell r="CI1140" t="str">
            <v>N/A</v>
          </cell>
          <cell r="CJ1140" t="str">
            <v>$1,500 / $3,000</v>
          </cell>
          <cell r="CK1140">
            <v>0.8</v>
          </cell>
          <cell r="CL1140" t="str">
            <v>$5,200 / $10,400</v>
          </cell>
          <cell r="CM1140" t="str">
            <v>$3,000 / $6,000</v>
          </cell>
          <cell r="CN1140">
            <v>0.6</v>
          </cell>
          <cell r="CO1140" t="str">
            <v>$10,400 / $20,800</v>
          </cell>
          <cell r="CP1140" t="str">
            <v>Emb</v>
          </cell>
          <cell r="CQ1140" t="str">
            <v>ENRP, Acupuncture ( 12 Visits Per Year ), Wig ( $300 Per Year ), Infertility ( $15k Lifetime ), Bariatric Surgery</v>
          </cell>
          <cell r="CS1140" t="str">
            <v>INS</v>
          </cell>
          <cell r="CT1140" t="str">
            <v>Select +</v>
          </cell>
          <cell r="CU1140">
            <v>0.65949999999999998</v>
          </cell>
          <cell r="CW1140" t="str">
            <v>MMX15SP</v>
          </cell>
          <cell r="CX1140">
            <v>0.58069999999999999</v>
          </cell>
        </row>
        <row r="1141">
          <cell r="CA1141" t="str">
            <v>MMX15 11</v>
          </cell>
          <cell r="CB1141" t="str">
            <v>Balanced</v>
          </cell>
          <cell r="CC1141" t="str">
            <v>70%, after Ded</v>
          </cell>
          <cell r="CD1141" t="str">
            <v>70%, after Ded</v>
          </cell>
          <cell r="CE1141" t="str">
            <v>70%, after Ded</v>
          </cell>
          <cell r="CF1141" t="str">
            <v>Ded + Co-Ins</v>
          </cell>
          <cell r="CG1141" t="str">
            <v>70%, after Ded</v>
          </cell>
          <cell r="CH1141" t="str">
            <v>70%, after Ded</v>
          </cell>
          <cell r="CI1141" t="str">
            <v>N/A</v>
          </cell>
          <cell r="CJ1141" t="str">
            <v>$2,500 / $5,000</v>
          </cell>
          <cell r="CK1141">
            <v>0.7</v>
          </cell>
          <cell r="CL1141" t="str">
            <v>$4,500 / $9,000</v>
          </cell>
          <cell r="CM1141" t="str">
            <v>$4,500 / $9,000</v>
          </cell>
          <cell r="CN1141">
            <v>0.5</v>
          </cell>
          <cell r="CO1141" t="str">
            <v>$9,000 / $18,000</v>
          </cell>
          <cell r="CP1141" t="str">
            <v>Emb</v>
          </cell>
          <cell r="CQ1141" t="str">
            <v>ENRP, Acupuncture ( 12 Visits Per Year ), Wig ( $300 Per Year ), Infertility ( $15k Lifetime ), Bariatric Surgery</v>
          </cell>
          <cell r="CS1141" t="str">
            <v>INS</v>
          </cell>
          <cell r="CT1141" t="str">
            <v>Select +</v>
          </cell>
          <cell r="CU1141">
            <v>0.61919999999999997</v>
          </cell>
          <cell r="CW1141" t="str">
            <v>MMX15SP</v>
          </cell>
          <cell r="CX1141">
            <v>0.55269999999999997</v>
          </cell>
        </row>
        <row r="1142">
          <cell r="CA1142" t="str">
            <v>MMX15 12</v>
          </cell>
          <cell r="CB1142" t="str">
            <v>Balanced</v>
          </cell>
          <cell r="CC1142" t="str">
            <v>70%, after Ded</v>
          </cell>
          <cell r="CD1142" t="str">
            <v>70%, after Ded</v>
          </cell>
          <cell r="CE1142" t="str">
            <v>70%, after Ded</v>
          </cell>
          <cell r="CF1142" t="str">
            <v>Ded + Co-Ins</v>
          </cell>
          <cell r="CG1142" t="str">
            <v>70%, after Ded</v>
          </cell>
          <cell r="CH1142" t="str">
            <v>70%, after Ded</v>
          </cell>
          <cell r="CI1142" t="str">
            <v>N/A</v>
          </cell>
          <cell r="CJ1142" t="str">
            <v>$2,500 / $5,000</v>
          </cell>
          <cell r="CK1142">
            <v>0.7</v>
          </cell>
          <cell r="CL1142" t="str">
            <v>$6,200 / $12,400</v>
          </cell>
          <cell r="CM1142" t="str">
            <v>$4,500 / $9,000</v>
          </cell>
          <cell r="CN1142">
            <v>0.5</v>
          </cell>
          <cell r="CO1142" t="str">
            <v>$12,400 / $24,800</v>
          </cell>
          <cell r="CP1142" t="str">
            <v>Emb</v>
          </cell>
          <cell r="CQ1142" t="str">
            <v>ENRP, Acupuncture ( 12 Visits Per Year ), Wig ( $300 Per Year ), Infertility ( $15k Lifetime ), Bariatric Surgery</v>
          </cell>
          <cell r="CS1142" t="str">
            <v>INS</v>
          </cell>
          <cell r="CT1142" t="str">
            <v>Select +</v>
          </cell>
          <cell r="CU1142">
            <v>0.57879999999999998</v>
          </cell>
          <cell r="CW1142" t="str">
            <v>MMX15SP</v>
          </cell>
          <cell r="CX1142">
            <v>0.51690000000000003</v>
          </cell>
        </row>
        <row r="1146">
          <cell r="CA1146" t="str">
            <v>Plan 1a H Tier T1 Pl 1</v>
          </cell>
          <cell r="CB1146" t="str">
            <v>Choice / NexusACO R Tiered (Gated)</v>
          </cell>
          <cell r="CC1146">
            <v>25</v>
          </cell>
          <cell r="CD1146">
            <v>50</v>
          </cell>
          <cell r="CE1146" t="str">
            <v>N/A</v>
          </cell>
          <cell r="CF1146" t="str">
            <v>N/A</v>
          </cell>
          <cell r="CG1146" t="str">
            <v>N/A</v>
          </cell>
          <cell r="CH1146" t="str">
            <v>N/A</v>
          </cell>
          <cell r="CI1146" t="str">
            <v>N/A</v>
          </cell>
          <cell r="CJ1146" t="str">
            <v>$1,250 / $2,500</v>
          </cell>
          <cell r="CK1146" t="str">
            <v>90%</v>
          </cell>
          <cell r="CL1146" t="str">
            <v>$4,000 / $8,000</v>
          </cell>
          <cell r="CM1146" t="str">
            <v>N/A</v>
          </cell>
          <cell r="CN1146" t="str">
            <v>N/A</v>
          </cell>
          <cell r="CO1146" t="str">
            <v>N/A</v>
          </cell>
          <cell r="CP1146" t="str">
            <v>Emb</v>
          </cell>
          <cell r="CS1146" t="str">
            <v>INS</v>
          </cell>
          <cell r="CT1146" t="str">
            <v>Choice</v>
          </cell>
          <cell r="CU1146">
            <v>0.59550000000000003</v>
          </cell>
          <cell r="CV1146" t="str">
            <v/>
          </cell>
          <cell r="CX1146">
            <v>0.8054</v>
          </cell>
        </row>
        <row r="1147">
          <cell r="CA1147" t="str">
            <v>Plan 1b H Tier T1 Pl 2</v>
          </cell>
          <cell r="CB1147" t="str">
            <v>Choice / NexusACO R Tiered (Gated)</v>
          </cell>
          <cell r="CC1147">
            <v>30</v>
          </cell>
          <cell r="CD1147">
            <v>60</v>
          </cell>
          <cell r="CE1147" t="str">
            <v>N/A</v>
          </cell>
          <cell r="CF1147" t="str">
            <v>N/A</v>
          </cell>
          <cell r="CG1147" t="str">
            <v>N/A</v>
          </cell>
          <cell r="CH1147" t="str">
            <v>N/A</v>
          </cell>
          <cell r="CI1147" t="str">
            <v>N/A</v>
          </cell>
          <cell r="CJ1147" t="str">
            <v>$3,000 / $6,000</v>
          </cell>
          <cell r="CK1147" t="str">
            <v>80%</v>
          </cell>
          <cell r="CL1147" t="str">
            <v>$6,500 / $13,000</v>
          </cell>
          <cell r="CM1147" t="str">
            <v>N/A</v>
          </cell>
          <cell r="CN1147" t="str">
            <v>N/A</v>
          </cell>
          <cell r="CO1147" t="str">
            <v>N/A</v>
          </cell>
          <cell r="CP1147" t="str">
            <v>Emb</v>
          </cell>
          <cell r="CS1147" t="str">
            <v>INS</v>
          </cell>
          <cell r="CT1147" t="str">
            <v>Choice</v>
          </cell>
          <cell r="CU1147">
            <v>0.50549999999999995</v>
          </cell>
          <cell r="CV1147" t="str">
            <v/>
          </cell>
          <cell r="CX1147">
            <v>0.73850000000000005</v>
          </cell>
        </row>
        <row r="1148">
          <cell r="CA1148" t="str">
            <v>Plan 1a H Tier T1 Pl 3</v>
          </cell>
          <cell r="CB1148" t="str">
            <v>Choice / NexusACO RB Tiered (Gated)</v>
          </cell>
          <cell r="CC1148">
            <v>25</v>
          </cell>
          <cell r="CD1148">
            <v>50</v>
          </cell>
          <cell r="CE1148" t="str">
            <v>N/A</v>
          </cell>
          <cell r="CF1148" t="str">
            <v>N/A</v>
          </cell>
          <cell r="CG1148" t="str">
            <v>N/A</v>
          </cell>
          <cell r="CH1148" t="str">
            <v>N/A</v>
          </cell>
          <cell r="CI1148" t="str">
            <v>N/A</v>
          </cell>
          <cell r="CJ1148" t="str">
            <v>$1,250 / $2,500</v>
          </cell>
          <cell r="CK1148" t="str">
            <v>90%</v>
          </cell>
          <cell r="CL1148" t="str">
            <v>$4,000 / $8,000</v>
          </cell>
          <cell r="CM1148" t="str">
            <v>N/A</v>
          </cell>
          <cell r="CN1148" t="str">
            <v>N/A</v>
          </cell>
          <cell r="CO1148" t="str">
            <v>N/A</v>
          </cell>
          <cell r="CP1148" t="str">
            <v>Emb</v>
          </cell>
          <cell r="CS1148" t="str">
            <v>INS</v>
          </cell>
          <cell r="CT1148" t="str">
            <v>Choice</v>
          </cell>
          <cell r="CU1148">
            <v>0.6018</v>
          </cell>
          <cell r="CV1148" t="str">
            <v/>
          </cell>
          <cell r="CX1148">
            <v>0.80520000000000003</v>
          </cell>
        </row>
        <row r="1149">
          <cell r="CA1149" t="str">
            <v>Plan 1a H Tier T1 Pl 4</v>
          </cell>
          <cell r="CB1149" t="str">
            <v>Choice+ / NexusACO RP Tiered (Gated)</v>
          </cell>
          <cell r="CC1149">
            <v>25</v>
          </cell>
          <cell r="CD1149">
            <v>50</v>
          </cell>
          <cell r="CE1149" t="str">
            <v>N/A</v>
          </cell>
          <cell r="CF1149" t="str">
            <v>N/A</v>
          </cell>
          <cell r="CG1149" t="str">
            <v>N/A</v>
          </cell>
          <cell r="CH1149" t="str">
            <v>N/A</v>
          </cell>
          <cell r="CI1149" t="str">
            <v>N/A</v>
          </cell>
          <cell r="CJ1149" t="str">
            <v>$1,250 / $2,500</v>
          </cell>
          <cell r="CK1149" t="str">
            <v>90%</v>
          </cell>
          <cell r="CL1149" t="str">
            <v>$4,000 / $8,000</v>
          </cell>
          <cell r="CM1149" t="str">
            <v>$2,500 / $2,500</v>
          </cell>
          <cell r="CN1149">
            <v>0.5</v>
          </cell>
          <cell r="CO1149" t="str">
            <v>$8,000 / $8,000</v>
          </cell>
          <cell r="CP1149" t="str">
            <v>Emb</v>
          </cell>
          <cell r="CS1149" t="str">
            <v>INS</v>
          </cell>
          <cell r="CT1149" t="str">
            <v>Choice+</v>
          </cell>
          <cell r="CU1149">
            <v>0.6149</v>
          </cell>
          <cell r="CV1149" t="str">
            <v/>
          </cell>
          <cell r="CX1149">
            <v>0.80520000000000003</v>
          </cell>
        </row>
        <row r="1150">
          <cell r="CA1150" t="str">
            <v>Plan 1a T1 Pl 5</v>
          </cell>
          <cell r="CB1150" t="str">
            <v>Choice / NexusACO R Tiered (Gated)</v>
          </cell>
          <cell r="CC1150">
            <v>25</v>
          </cell>
          <cell r="CD1150">
            <v>50</v>
          </cell>
          <cell r="CE1150" t="str">
            <v>N/A</v>
          </cell>
          <cell r="CF1150" t="str">
            <v>N/A</v>
          </cell>
          <cell r="CG1150" t="str">
            <v>N/A</v>
          </cell>
          <cell r="CH1150" t="str">
            <v>N/A</v>
          </cell>
          <cell r="CI1150" t="str">
            <v>N/A</v>
          </cell>
          <cell r="CJ1150" t="str">
            <v>$1,250 / $2,500</v>
          </cell>
          <cell r="CK1150" t="str">
            <v>90%</v>
          </cell>
          <cell r="CL1150" t="str">
            <v>$4,000 / $8,000</v>
          </cell>
          <cell r="CM1150" t="str">
            <v>N/A</v>
          </cell>
          <cell r="CN1150" t="str">
            <v>N/A</v>
          </cell>
          <cell r="CO1150" t="str">
            <v>N/A</v>
          </cell>
          <cell r="CP1150" t="str">
            <v>Emb</v>
          </cell>
          <cell r="CS1150" t="str">
            <v>INS</v>
          </cell>
          <cell r="CT1150" t="str">
            <v>Choice</v>
          </cell>
          <cell r="CU1150">
            <v>0.5978</v>
          </cell>
          <cell r="CV1150" t="str">
            <v/>
          </cell>
          <cell r="CX1150">
            <v>0.80589999999999995</v>
          </cell>
        </row>
        <row r="1151">
          <cell r="CA1151" t="str">
            <v>Plan 1b T1 Pl 6</v>
          </cell>
          <cell r="CB1151" t="str">
            <v>Choice / NexusACO  R Tiered (Gated)</v>
          </cell>
          <cell r="CC1151">
            <v>30</v>
          </cell>
          <cell r="CD1151">
            <v>60</v>
          </cell>
          <cell r="CE1151" t="str">
            <v>N/A</v>
          </cell>
          <cell r="CF1151" t="str">
            <v>N/A</v>
          </cell>
          <cell r="CG1151" t="str">
            <v>N/A</v>
          </cell>
          <cell r="CH1151" t="str">
            <v>N/A</v>
          </cell>
          <cell r="CI1151" t="str">
            <v>N/A</v>
          </cell>
          <cell r="CJ1151" t="str">
            <v>$3,000 / $6,000</v>
          </cell>
          <cell r="CK1151" t="str">
            <v>80%</v>
          </cell>
          <cell r="CL1151" t="str">
            <v>$6,500 / $13,000</v>
          </cell>
          <cell r="CM1151" t="str">
            <v>N/A</v>
          </cell>
          <cell r="CN1151" t="str">
            <v>N/A</v>
          </cell>
          <cell r="CO1151" t="str">
            <v>N/A</v>
          </cell>
          <cell r="CP1151" t="str">
            <v>Emb</v>
          </cell>
          <cell r="CS1151" t="str">
            <v>INS</v>
          </cell>
          <cell r="CT1151" t="str">
            <v>Choice</v>
          </cell>
          <cell r="CU1151">
            <v>0.50639999999999996</v>
          </cell>
          <cell r="CV1151" t="str">
            <v/>
          </cell>
          <cell r="CX1151">
            <v>0.73829999999999996</v>
          </cell>
        </row>
        <row r="1152">
          <cell r="CA1152" t="str">
            <v>Plan 1a T1 Pl 7</v>
          </cell>
          <cell r="CB1152" t="str">
            <v>Choice / NexusACO  RB Tiered (Gated)</v>
          </cell>
          <cell r="CC1152">
            <v>25</v>
          </cell>
          <cell r="CD1152">
            <v>50</v>
          </cell>
          <cell r="CE1152" t="str">
            <v>N/A</v>
          </cell>
          <cell r="CF1152" t="str">
            <v>N/A</v>
          </cell>
          <cell r="CG1152" t="str">
            <v>N/A</v>
          </cell>
          <cell r="CH1152" t="str">
            <v>N/A</v>
          </cell>
          <cell r="CI1152" t="str">
            <v>N/A</v>
          </cell>
          <cell r="CJ1152" t="str">
            <v>$1,250 / $2,500</v>
          </cell>
          <cell r="CK1152" t="str">
            <v>90%</v>
          </cell>
          <cell r="CL1152" t="str">
            <v>$4,000 / $8,000</v>
          </cell>
          <cell r="CM1152" t="str">
            <v>N/A</v>
          </cell>
          <cell r="CN1152" t="str">
            <v>N/A</v>
          </cell>
          <cell r="CO1152" t="str">
            <v>N/A</v>
          </cell>
          <cell r="CP1152" t="str">
            <v>Emb</v>
          </cell>
          <cell r="CS1152" t="str">
            <v>INS</v>
          </cell>
          <cell r="CT1152" t="str">
            <v>Choice</v>
          </cell>
          <cell r="CU1152">
            <v>0.6038</v>
          </cell>
          <cell r="CV1152" t="str">
            <v/>
          </cell>
          <cell r="CX1152">
            <v>0.80569999999999997</v>
          </cell>
        </row>
        <row r="1153">
          <cell r="CA1153" t="str">
            <v>Plan 1a T1 Pl 8</v>
          </cell>
          <cell r="CB1153" t="str">
            <v>Choice+ / NexusACO  RP Tiered (Gated)</v>
          </cell>
          <cell r="CC1153">
            <v>25</v>
          </cell>
          <cell r="CD1153">
            <v>50</v>
          </cell>
          <cell r="CE1153" t="str">
            <v>N/A</v>
          </cell>
          <cell r="CF1153" t="str">
            <v>N/A</v>
          </cell>
          <cell r="CG1153" t="str">
            <v>N/A</v>
          </cell>
          <cell r="CH1153" t="str">
            <v>N/A</v>
          </cell>
          <cell r="CI1153" t="str">
            <v>N/A</v>
          </cell>
          <cell r="CJ1153" t="str">
            <v>$1,250 / $2,500</v>
          </cell>
          <cell r="CK1153" t="str">
            <v>90%</v>
          </cell>
          <cell r="CL1153" t="str">
            <v>$4,000 / $8,000</v>
          </cell>
          <cell r="CM1153" t="str">
            <v>$2,500 / $2,500</v>
          </cell>
          <cell r="CN1153">
            <v>0.5</v>
          </cell>
          <cell r="CO1153" t="str">
            <v>$8,000 / $8,000</v>
          </cell>
          <cell r="CP1153" t="str">
            <v>Emb</v>
          </cell>
          <cell r="CS1153" t="str">
            <v>INS</v>
          </cell>
          <cell r="CT1153" t="str">
            <v>Choice+</v>
          </cell>
          <cell r="CU1153">
            <v>0.6169</v>
          </cell>
          <cell r="CV1153" t="str">
            <v/>
          </cell>
          <cell r="CX1153">
            <v>0.80569999999999997</v>
          </cell>
        </row>
        <row r="1154">
          <cell r="CA1154" t="str">
            <v>HSA Plan 1 H Tier T1 Pl 9</v>
          </cell>
          <cell r="CB1154" t="str">
            <v>Choice / NexusACO R Tiered HSA (Gated)</v>
          </cell>
          <cell r="CC1154" t="str">
            <v>N/A</v>
          </cell>
          <cell r="CD1154" t="str">
            <v>N/A</v>
          </cell>
          <cell r="CE1154" t="str">
            <v>N/A</v>
          </cell>
          <cell r="CF1154" t="str">
            <v>N/A</v>
          </cell>
          <cell r="CG1154" t="str">
            <v>N/A</v>
          </cell>
          <cell r="CH1154" t="str">
            <v>N/A</v>
          </cell>
          <cell r="CI1154" t="str">
            <v>N/A</v>
          </cell>
          <cell r="CJ1154" t="str">
            <v>$2,000 / $4,000</v>
          </cell>
          <cell r="CK1154" t="str">
            <v>80%</v>
          </cell>
          <cell r="CL1154" t="str">
            <v>$4,500 / $9,000</v>
          </cell>
          <cell r="CM1154" t="str">
            <v>N/A</v>
          </cell>
          <cell r="CN1154" t="str">
            <v>N/A</v>
          </cell>
          <cell r="CO1154" t="str">
            <v>N/A</v>
          </cell>
          <cell r="CP1154" t="str">
            <v>Non-Emb Ded (Emb OOP)</v>
          </cell>
          <cell r="CS1154" t="str">
            <v>INS</v>
          </cell>
          <cell r="CT1154" t="str">
            <v>Choice</v>
          </cell>
          <cell r="CU1154">
            <v>0.4788</v>
          </cell>
          <cell r="CV1154" t="str">
            <v>2V</v>
          </cell>
          <cell r="CX1154">
            <v>0.72619999999999996</v>
          </cell>
        </row>
        <row r="1155">
          <cell r="CA1155" t="str">
            <v>HSA Plan 2 H Tier T1 Pl 10</v>
          </cell>
          <cell r="CB1155" t="str">
            <v>Choice / NexusACO R Tiered HSA (Gated)</v>
          </cell>
          <cell r="CC1155" t="str">
            <v>N/A</v>
          </cell>
          <cell r="CD1155" t="str">
            <v>N/A</v>
          </cell>
          <cell r="CE1155" t="str">
            <v>N/A</v>
          </cell>
          <cell r="CF1155" t="str">
            <v>N/A</v>
          </cell>
          <cell r="CG1155" t="str">
            <v>N/A</v>
          </cell>
          <cell r="CH1155" t="str">
            <v>N/A</v>
          </cell>
          <cell r="CI1155" t="str">
            <v>N/A</v>
          </cell>
          <cell r="CJ1155" t="str">
            <v>$3,000 / $6,000</v>
          </cell>
          <cell r="CK1155" t="str">
            <v>80%</v>
          </cell>
          <cell r="CL1155" t="str">
            <v>$5,500 / $11,000</v>
          </cell>
          <cell r="CM1155" t="str">
            <v>N/A</v>
          </cell>
          <cell r="CN1155" t="str">
            <v>N/A</v>
          </cell>
          <cell r="CO1155" t="str">
            <v>N/A</v>
          </cell>
          <cell r="CP1155" t="str">
            <v>Non-Emb Ded (Emb OOP)</v>
          </cell>
          <cell r="CS1155" t="str">
            <v>INS</v>
          </cell>
          <cell r="CT1155" t="str">
            <v>Choice</v>
          </cell>
          <cell r="CU1155">
            <v>0.43070000000000003</v>
          </cell>
          <cell r="CV1155" t="str">
            <v>2V</v>
          </cell>
          <cell r="CX1155">
            <v>0.67449999999999999</v>
          </cell>
        </row>
        <row r="1156">
          <cell r="CA1156" t="str">
            <v>HSA 1 Tier EPO T1 Pl 11</v>
          </cell>
          <cell r="CB1156" t="str">
            <v>Choice / NexusACO R Tiered HSA (Gated)</v>
          </cell>
          <cell r="CC1156" t="str">
            <v>N/A</v>
          </cell>
          <cell r="CD1156" t="str">
            <v>N/A</v>
          </cell>
          <cell r="CE1156" t="str">
            <v>N/A</v>
          </cell>
          <cell r="CF1156" t="str">
            <v>N/A</v>
          </cell>
          <cell r="CG1156" t="str">
            <v>N/A</v>
          </cell>
          <cell r="CH1156" t="str">
            <v>N/A</v>
          </cell>
          <cell r="CI1156" t="str">
            <v>N/A</v>
          </cell>
          <cell r="CJ1156" t="str">
            <v>$2,000 / $4,000</v>
          </cell>
          <cell r="CK1156" t="str">
            <v>80%</v>
          </cell>
          <cell r="CL1156" t="str">
            <v>$4,500 / $9,000</v>
          </cell>
          <cell r="CM1156" t="str">
            <v>N/A</v>
          </cell>
          <cell r="CN1156" t="str">
            <v>N/A</v>
          </cell>
          <cell r="CO1156" t="str">
            <v>N/A</v>
          </cell>
          <cell r="CP1156" t="str">
            <v>Non-Emb Ded (Emb OOP)</v>
          </cell>
          <cell r="CS1156" t="str">
            <v>INS</v>
          </cell>
          <cell r="CT1156" t="str">
            <v>Choice</v>
          </cell>
          <cell r="CU1156">
            <v>0.47920000000000001</v>
          </cell>
          <cell r="CV1156" t="str">
            <v>2V</v>
          </cell>
          <cell r="CX1156">
            <v>0.72550000000000003</v>
          </cell>
        </row>
        <row r="1157">
          <cell r="CA1157" t="str">
            <v>HSA 2 Tier EPO T1 Pl 12</v>
          </cell>
          <cell r="CB1157" t="str">
            <v>Choice / NexusACO R Tiered HSA (Gated)</v>
          </cell>
          <cell r="CC1157" t="str">
            <v>N/A</v>
          </cell>
          <cell r="CD1157" t="str">
            <v>N/A</v>
          </cell>
          <cell r="CE1157" t="str">
            <v>N/A</v>
          </cell>
          <cell r="CF1157" t="str">
            <v>N/A</v>
          </cell>
          <cell r="CG1157" t="str">
            <v>N/A</v>
          </cell>
          <cell r="CH1157" t="str">
            <v>N/A</v>
          </cell>
          <cell r="CI1157" t="str">
            <v>N/A</v>
          </cell>
          <cell r="CJ1157" t="str">
            <v>$3,000 / $6,000</v>
          </cell>
          <cell r="CK1157" t="str">
            <v>80%</v>
          </cell>
          <cell r="CL1157" t="str">
            <v>$5,500 / $11,000</v>
          </cell>
          <cell r="CM1157" t="str">
            <v>N/A</v>
          </cell>
          <cell r="CN1157" t="str">
            <v>N/A</v>
          </cell>
          <cell r="CO1157" t="str">
            <v>N/A</v>
          </cell>
          <cell r="CP1157" t="str">
            <v>Non-Emb Ded (Emb OOP)</v>
          </cell>
          <cell r="CS1157" t="str">
            <v>INS</v>
          </cell>
          <cell r="CT1157" t="str">
            <v>Choice</v>
          </cell>
          <cell r="CU1157">
            <v>0.43109999999999998</v>
          </cell>
          <cell r="CV1157" t="str">
            <v>2V</v>
          </cell>
          <cell r="CX1157">
            <v>0.67400000000000004</v>
          </cell>
        </row>
        <row r="1158">
          <cell r="CA1158" t="str">
            <v>Plan 3a D H Tier T1 Pl 13</v>
          </cell>
          <cell r="CB1158" t="str">
            <v>Choice / NexusACO R  Tiered (Gated)</v>
          </cell>
          <cell r="CC1158">
            <v>25</v>
          </cell>
          <cell r="CD1158">
            <v>50</v>
          </cell>
          <cell r="CE1158" t="str">
            <v>N/A</v>
          </cell>
          <cell r="CF1158" t="str">
            <v>N/A</v>
          </cell>
          <cell r="CG1158" t="str">
            <v>N/A</v>
          </cell>
          <cell r="CH1158" t="str">
            <v>N/A</v>
          </cell>
          <cell r="CI1158" t="str">
            <v>N/A</v>
          </cell>
          <cell r="CJ1158" t="str">
            <v>$1,250 / $2,500</v>
          </cell>
          <cell r="CK1158" t="str">
            <v>90%</v>
          </cell>
          <cell r="CL1158" t="str">
            <v>$2,500 / $5,000</v>
          </cell>
          <cell r="CM1158" t="str">
            <v>N/A</v>
          </cell>
          <cell r="CN1158" t="str">
            <v>N/A</v>
          </cell>
          <cell r="CO1158" t="str">
            <v>N/A</v>
          </cell>
          <cell r="CP1158" t="str">
            <v>Emb</v>
          </cell>
          <cell r="CS1158" t="str">
            <v>INS</v>
          </cell>
          <cell r="CT1158" t="str">
            <v>Choice</v>
          </cell>
          <cell r="CU1158">
            <v>0.60780000000000001</v>
          </cell>
          <cell r="CV1158" t="str">
            <v/>
          </cell>
          <cell r="CX1158">
            <v>0.8115</v>
          </cell>
        </row>
        <row r="1159">
          <cell r="CA1159" t="str">
            <v>Plan 3b D H Tier T1 Pl 14</v>
          </cell>
          <cell r="CB1159" t="str">
            <v>Choice / NexusACO R Tiered (Gated)</v>
          </cell>
          <cell r="CC1159">
            <v>30</v>
          </cell>
          <cell r="CD1159">
            <v>60</v>
          </cell>
          <cell r="CE1159" t="str">
            <v>N/A</v>
          </cell>
          <cell r="CF1159" t="str">
            <v>N/A</v>
          </cell>
          <cell r="CG1159" t="str">
            <v>N/A</v>
          </cell>
          <cell r="CH1159" t="str">
            <v>N/A</v>
          </cell>
          <cell r="CI1159" t="str">
            <v>N/A</v>
          </cell>
          <cell r="CJ1159" t="str">
            <v>$2,000 / $4,000</v>
          </cell>
          <cell r="CK1159" t="str">
            <v>80%</v>
          </cell>
          <cell r="CL1159" t="str">
            <v>$4,000 / $8,000</v>
          </cell>
          <cell r="CM1159" t="str">
            <v>N/A</v>
          </cell>
          <cell r="CN1159" t="str">
            <v>N/A</v>
          </cell>
          <cell r="CO1159" t="str">
            <v>N/A</v>
          </cell>
          <cell r="CP1159" t="str">
            <v>Emb</v>
          </cell>
          <cell r="CS1159" t="str">
            <v>INS</v>
          </cell>
          <cell r="CT1159" t="str">
            <v>Choice</v>
          </cell>
          <cell r="CU1159">
            <v>0.54300000000000004</v>
          </cell>
          <cell r="CV1159" t="str">
            <v/>
          </cell>
          <cell r="CX1159">
            <v>0.76200000000000001</v>
          </cell>
        </row>
        <row r="1160">
          <cell r="CA1160" t="str">
            <v>Plan D 3a Tier T1 Pl 15</v>
          </cell>
          <cell r="CB1160" t="str">
            <v>Choice / NexusACO R Tiered (Gated)</v>
          </cell>
          <cell r="CC1160">
            <v>25</v>
          </cell>
          <cell r="CD1160">
            <v>50</v>
          </cell>
          <cell r="CE1160" t="str">
            <v>N/A</v>
          </cell>
          <cell r="CF1160" t="str">
            <v>N/A</v>
          </cell>
          <cell r="CG1160" t="str">
            <v>N/A</v>
          </cell>
          <cell r="CH1160" t="str">
            <v>N/A</v>
          </cell>
          <cell r="CI1160" t="str">
            <v>N/A</v>
          </cell>
          <cell r="CJ1160" t="str">
            <v>$1,250 / $2,500</v>
          </cell>
          <cell r="CK1160" t="str">
            <v>90%</v>
          </cell>
          <cell r="CL1160" t="str">
            <v>$2,500 / $5,000</v>
          </cell>
          <cell r="CM1160" t="str">
            <v>N/A</v>
          </cell>
          <cell r="CN1160" t="str">
            <v>N/A</v>
          </cell>
          <cell r="CO1160" t="str">
            <v>N/A</v>
          </cell>
          <cell r="CP1160" t="str">
            <v>Emb</v>
          </cell>
          <cell r="CS1160" t="str">
            <v>INS</v>
          </cell>
          <cell r="CT1160" t="str">
            <v>Choice</v>
          </cell>
          <cell r="CU1160">
            <v>0.60829999999999995</v>
          </cell>
          <cell r="CV1160" t="str">
            <v/>
          </cell>
          <cell r="CX1160">
            <v>0.81069999999999998</v>
          </cell>
        </row>
        <row r="1161">
          <cell r="CA1161" t="str">
            <v>Plan D 3b Tier T1 Pl 16</v>
          </cell>
          <cell r="CB1161" t="str">
            <v>Choice / NexusACO  R Tiered (Gated)</v>
          </cell>
          <cell r="CC1161">
            <v>30</v>
          </cell>
          <cell r="CD1161">
            <v>60</v>
          </cell>
          <cell r="CE1161" t="str">
            <v>N/A</v>
          </cell>
          <cell r="CF1161" t="str">
            <v>N/A</v>
          </cell>
          <cell r="CG1161" t="str">
            <v>N/A</v>
          </cell>
          <cell r="CH1161" t="str">
            <v>N/A</v>
          </cell>
          <cell r="CI1161" t="str">
            <v>N/A</v>
          </cell>
          <cell r="CJ1161" t="str">
            <v>$2,000 / $4,000</v>
          </cell>
          <cell r="CK1161" t="str">
            <v>80%</v>
          </cell>
          <cell r="CL1161" t="str">
            <v>$4,000 / $8,000</v>
          </cell>
          <cell r="CM1161" t="str">
            <v>N/A</v>
          </cell>
          <cell r="CN1161" t="str">
            <v>N/A</v>
          </cell>
          <cell r="CO1161" t="str">
            <v>N/A</v>
          </cell>
          <cell r="CP1161" t="str">
            <v>Emb</v>
          </cell>
          <cell r="CS1161" t="str">
            <v>INS</v>
          </cell>
          <cell r="CT1161" t="str">
            <v>Choice</v>
          </cell>
          <cell r="CU1161">
            <v>0.54379999999999995</v>
          </cell>
          <cell r="CV1161" t="str">
            <v/>
          </cell>
          <cell r="CX1161">
            <v>0.76149999999999995</v>
          </cell>
        </row>
        <row r="1162">
          <cell r="CA1162" t="str">
            <v>HSA D Plan 3 Tier T1 Pl 17</v>
          </cell>
          <cell r="CB1162" t="str">
            <v>Choice / NexusACO R Tiered HSA (Gated)</v>
          </cell>
          <cell r="CC1162" t="str">
            <v>N/A</v>
          </cell>
          <cell r="CD1162" t="str">
            <v>N/A</v>
          </cell>
          <cell r="CE1162" t="str">
            <v>N/A</v>
          </cell>
          <cell r="CF1162" t="str">
            <v>N/A</v>
          </cell>
          <cell r="CG1162" t="str">
            <v>N/A</v>
          </cell>
          <cell r="CH1162" t="str">
            <v>N/A</v>
          </cell>
          <cell r="CI1162" t="str">
            <v>N/A</v>
          </cell>
          <cell r="CJ1162" t="str">
            <v>$1,500 / $3,000</v>
          </cell>
          <cell r="CK1162" t="str">
            <v>80%</v>
          </cell>
          <cell r="CL1162" t="str">
            <v>$3,000 / $6,000</v>
          </cell>
          <cell r="CM1162" t="str">
            <v>N/A</v>
          </cell>
          <cell r="CN1162" t="str">
            <v>N/A</v>
          </cell>
          <cell r="CO1162" t="str">
            <v>N/A</v>
          </cell>
          <cell r="CP1162" t="str">
            <v>Non-Emb Ded (Emb OOP)</v>
          </cell>
          <cell r="CS1162" t="str">
            <v>INS</v>
          </cell>
          <cell r="CT1162" t="str">
            <v>Choice</v>
          </cell>
          <cell r="CU1162">
            <v>0.50460000000000005</v>
          </cell>
          <cell r="CV1162" t="str">
            <v>2V</v>
          </cell>
          <cell r="CX1162">
            <v>0.74480000000000002</v>
          </cell>
        </row>
        <row r="1163">
          <cell r="CA1163" t="str">
            <v>Plan 1a H Tier T1 Pl 18</v>
          </cell>
          <cell r="CB1163" t="str">
            <v>Choice / NexusACO OA Tiered (Non Gated)</v>
          </cell>
          <cell r="CC1163">
            <v>25</v>
          </cell>
          <cell r="CD1163">
            <v>50</v>
          </cell>
          <cell r="CE1163" t="str">
            <v>N/A</v>
          </cell>
          <cell r="CF1163" t="str">
            <v>N/A</v>
          </cell>
          <cell r="CG1163" t="str">
            <v>N/A</v>
          </cell>
          <cell r="CH1163" t="str">
            <v>N/A</v>
          </cell>
          <cell r="CI1163" t="str">
            <v>N/A</v>
          </cell>
          <cell r="CJ1163" t="str">
            <v>$1,250 / $2,500</v>
          </cell>
          <cell r="CK1163" t="str">
            <v>90%</v>
          </cell>
          <cell r="CL1163" t="str">
            <v>$4,000 / $8,000</v>
          </cell>
          <cell r="CM1163" t="str">
            <v>N/A</v>
          </cell>
          <cell r="CN1163" t="str">
            <v>N/A</v>
          </cell>
          <cell r="CO1163" t="str">
            <v>N/A</v>
          </cell>
          <cell r="CP1163" t="str">
            <v>Emb</v>
          </cell>
          <cell r="CS1163" t="str">
            <v>INS</v>
          </cell>
          <cell r="CT1163" t="str">
            <v>Choice</v>
          </cell>
          <cell r="CU1163">
            <v>0.62680000000000002</v>
          </cell>
          <cell r="CV1163" t="str">
            <v/>
          </cell>
          <cell r="CX1163">
            <v>0.8054</v>
          </cell>
        </row>
        <row r="1164">
          <cell r="CA1164" t="str">
            <v>Plan 1b H Tier T1 Pl 19</v>
          </cell>
          <cell r="CB1164" t="str">
            <v>Choice / NexusACO OA Tiered (Non Gated)</v>
          </cell>
          <cell r="CC1164">
            <v>30</v>
          </cell>
          <cell r="CD1164">
            <v>60</v>
          </cell>
          <cell r="CE1164" t="str">
            <v>N/A</v>
          </cell>
          <cell r="CF1164" t="str">
            <v>N/A</v>
          </cell>
          <cell r="CG1164" t="str">
            <v>N/A</v>
          </cell>
          <cell r="CH1164" t="str">
            <v>N/A</v>
          </cell>
          <cell r="CI1164" t="str">
            <v>N/A</v>
          </cell>
          <cell r="CJ1164" t="str">
            <v>$3,000 / $6,000</v>
          </cell>
          <cell r="CK1164" t="str">
            <v>80%</v>
          </cell>
          <cell r="CL1164" t="str">
            <v>$6,500 / $13,000</v>
          </cell>
          <cell r="CM1164" t="str">
            <v>N/A</v>
          </cell>
          <cell r="CN1164" t="str">
            <v>N/A</v>
          </cell>
          <cell r="CO1164" t="str">
            <v>N/A</v>
          </cell>
          <cell r="CP1164" t="str">
            <v>Emb</v>
          </cell>
          <cell r="CS1164" t="str">
            <v>INS</v>
          </cell>
          <cell r="CT1164" t="str">
            <v>Choice</v>
          </cell>
          <cell r="CU1164">
            <v>0.53210000000000002</v>
          </cell>
          <cell r="CV1164" t="str">
            <v/>
          </cell>
          <cell r="CX1164">
            <v>0.73850000000000005</v>
          </cell>
        </row>
        <row r="1165">
          <cell r="CA1165" t="str">
            <v>Plan 1a H Tier T1 Pl 20</v>
          </cell>
          <cell r="CB1165" t="str">
            <v>Choice+ / NexusACO OAP Tiered (Non Gated)</v>
          </cell>
          <cell r="CC1165">
            <v>25</v>
          </cell>
          <cell r="CD1165">
            <v>50</v>
          </cell>
          <cell r="CE1165" t="str">
            <v>N/A</v>
          </cell>
          <cell r="CF1165" t="str">
            <v>N/A</v>
          </cell>
          <cell r="CG1165" t="str">
            <v>N/A</v>
          </cell>
          <cell r="CH1165" t="str">
            <v>N/A</v>
          </cell>
          <cell r="CI1165" t="str">
            <v>N/A</v>
          </cell>
          <cell r="CJ1165" t="str">
            <v>$1,250 / $2,500</v>
          </cell>
          <cell r="CK1165" t="str">
            <v>90%</v>
          </cell>
          <cell r="CL1165" t="str">
            <v>$4,000 / $8,000</v>
          </cell>
          <cell r="CM1165" t="str">
            <v>$2,500 / $2,500</v>
          </cell>
          <cell r="CN1165">
            <v>0.5</v>
          </cell>
          <cell r="CO1165" t="str">
            <v>$8,000 / $8,000</v>
          </cell>
          <cell r="CP1165" t="str">
            <v>Emb</v>
          </cell>
          <cell r="CS1165" t="str">
            <v>INS</v>
          </cell>
          <cell r="CT1165" t="str">
            <v>Choice+</v>
          </cell>
          <cell r="CU1165">
            <v>0.64049999999999996</v>
          </cell>
          <cell r="CV1165" t="str">
            <v/>
          </cell>
          <cell r="CX1165">
            <v>0.8054</v>
          </cell>
        </row>
        <row r="1166">
          <cell r="CA1166" t="str">
            <v>Plan 1a T1 Pl 21</v>
          </cell>
          <cell r="CB1166" t="str">
            <v>Choice / NexusACO OA Tiered (Non Gated)</v>
          </cell>
          <cell r="CC1166">
            <v>25</v>
          </cell>
          <cell r="CD1166">
            <v>50</v>
          </cell>
          <cell r="CE1166" t="str">
            <v>N/A</v>
          </cell>
          <cell r="CF1166" t="str">
            <v>N/A</v>
          </cell>
          <cell r="CG1166" t="str">
            <v>N/A</v>
          </cell>
          <cell r="CH1166" t="str">
            <v>N/A</v>
          </cell>
          <cell r="CI1166" t="str">
            <v>N/A</v>
          </cell>
          <cell r="CJ1166" t="str">
            <v>$1,250 / $2,500</v>
          </cell>
          <cell r="CK1166" t="str">
            <v>90%</v>
          </cell>
          <cell r="CL1166" t="str">
            <v>$4,000 / $8,000</v>
          </cell>
          <cell r="CM1166" t="str">
            <v>N/A</v>
          </cell>
          <cell r="CN1166" t="str">
            <v>N/A</v>
          </cell>
          <cell r="CO1166" t="str">
            <v>N/A</v>
          </cell>
          <cell r="CP1166" t="str">
            <v>Emb</v>
          </cell>
          <cell r="CS1166" t="str">
            <v>INS</v>
          </cell>
          <cell r="CT1166" t="str">
            <v>Choice</v>
          </cell>
          <cell r="CU1166">
            <v>0.62929999999999997</v>
          </cell>
          <cell r="CV1166" t="str">
            <v/>
          </cell>
          <cell r="CX1166">
            <v>0.80589999999999995</v>
          </cell>
        </row>
        <row r="1167">
          <cell r="CA1167" t="str">
            <v xml:space="preserve">Plan 1b T1 Pl 22 </v>
          </cell>
          <cell r="CB1167" t="str">
            <v>Choice / NexusACO OA Tiered (Non Gated)</v>
          </cell>
          <cell r="CC1167">
            <v>30</v>
          </cell>
          <cell r="CD1167">
            <v>60</v>
          </cell>
          <cell r="CE1167" t="str">
            <v>N/A</v>
          </cell>
          <cell r="CF1167" t="str">
            <v>N/A</v>
          </cell>
          <cell r="CG1167" t="str">
            <v>N/A</v>
          </cell>
          <cell r="CH1167" t="str">
            <v>N/A</v>
          </cell>
          <cell r="CI1167" t="str">
            <v>N/A</v>
          </cell>
          <cell r="CJ1167" t="str">
            <v>$3,000 / $6,000</v>
          </cell>
          <cell r="CK1167" t="str">
            <v>80%</v>
          </cell>
          <cell r="CL1167" t="str">
            <v>$6,500 / $13,000</v>
          </cell>
          <cell r="CM1167" t="str">
            <v>N/A</v>
          </cell>
          <cell r="CN1167" t="str">
            <v>N/A</v>
          </cell>
          <cell r="CO1167" t="str">
            <v>N/A</v>
          </cell>
          <cell r="CP1167" t="str">
            <v>Emb</v>
          </cell>
          <cell r="CS1167" t="str">
            <v>INS</v>
          </cell>
          <cell r="CT1167" t="str">
            <v>Choice</v>
          </cell>
          <cell r="CU1167">
            <v>0.53300000000000003</v>
          </cell>
          <cell r="CV1167" t="str">
            <v/>
          </cell>
          <cell r="CX1167">
            <v>0.73829999999999996</v>
          </cell>
        </row>
        <row r="1168">
          <cell r="CA1168" t="str">
            <v>Plan 1a T1 Pl 23</v>
          </cell>
          <cell r="CB1168" t="str">
            <v>Choice+ / NexusACO OA Tiered (Non Gated)</v>
          </cell>
          <cell r="CC1168">
            <v>25</v>
          </cell>
          <cell r="CD1168">
            <v>50</v>
          </cell>
          <cell r="CE1168" t="str">
            <v>N/A</v>
          </cell>
          <cell r="CF1168" t="str">
            <v>N/A</v>
          </cell>
          <cell r="CG1168" t="str">
            <v>N/A</v>
          </cell>
          <cell r="CH1168" t="str">
            <v>N/A</v>
          </cell>
          <cell r="CI1168" t="str">
            <v>N/A</v>
          </cell>
          <cell r="CJ1168" t="str">
            <v>$1,250 / $2,500</v>
          </cell>
          <cell r="CK1168" t="str">
            <v>90%</v>
          </cell>
          <cell r="CL1168" t="str">
            <v>$4,000 / $8,000</v>
          </cell>
          <cell r="CM1168" t="str">
            <v>$2,500 / $2,500</v>
          </cell>
          <cell r="CN1168">
            <v>0.5</v>
          </cell>
          <cell r="CO1168" t="str">
            <v>$8,000 / $8,000</v>
          </cell>
          <cell r="CP1168" t="str">
            <v>Emb</v>
          </cell>
          <cell r="CS1168" t="str">
            <v>INS</v>
          </cell>
          <cell r="CT1168" t="str">
            <v>Choice+</v>
          </cell>
          <cell r="CU1168">
            <v>0.64270000000000005</v>
          </cell>
          <cell r="CV1168" t="str">
            <v/>
          </cell>
          <cell r="CX1168">
            <v>0.80620000000000003</v>
          </cell>
        </row>
        <row r="1169">
          <cell r="CA1169" t="str">
            <v>HSA Plan 1 H Tier T1 Pl 24</v>
          </cell>
          <cell r="CB1169" t="str">
            <v>Choice / NexusACO OA Tiered HSA (Non Gated)</v>
          </cell>
          <cell r="CC1169" t="str">
            <v>N/A</v>
          </cell>
          <cell r="CD1169" t="str">
            <v>N/A</v>
          </cell>
          <cell r="CE1169" t="str">
            <v>N/A</v>
          </cell>
          <cell r="CF1169" t="str">
            <v>N/A</v>
          </cell>
          <cell r="CG1169" t="str">
            <v>N/A</v>
          </cell>
          <cell r="CH1169" t="str">
            <v>N/A</v>
          </cell>
          <cell r="CI1169" t="str">
            <v>N/A</v>
          </cell>
          <cell r="CJ1169" t="str">
            <v>$2,000 / $4,000</v>
          </cell>
          <cell r="CK1169" t="str">
            <v>80%</v>
          </cell>
          <cell r="CL1169" t="str">
            <v>$4,500 / $9,000</v>
          </cell>
          <cell r="CM1169" t="str">
            <v>N/A</v>
          </cell>
          <cell r="CN1169" t="str">
            <v>N/A</v>
          </cell>
          <cell r="CO1169" t="str">
            <v>N/A</v>
          </cell>
          <cell r="CP1169" t="str">
            <v>Non-Emb Ded (Emb OOP)</v>
          </cell>
          <cell r="CS1169" t="str">
            <v>INS</v>
          </cell>
          <cell r="CT1169" t="str">
            <v>Choice</v>
          </cell>
          <cell r="CU1169">
            <v>0.504</v>
          </cell>
          <cell r="CV1169" t="str">
            <v>2V</v>
          </cell>
          <cell r="CX1169">
            <v>0.72619999999999996</v>
          </cell>
        </row>
        <row r="1170">
          <cell r="CA1170" t="str">
            <v>HSA Plan 2 H Tier T1 Pl 25</v>
          </cell>
          <cell r="CB1170" t="str">
            <v>Choice / NexusACO OA Tiered HSA (Non Gated)</v>
          </cell>
          <cell r="CC1170" t="str">
            <v>N/A</v>
          </cell>
          <cell r="CD1170" t="str">
            <v>N/A</v>
          </cell>
          <cell r="CE1170" t="str">
            <v>N/A</v>
          </cell>
          <cell r="CF1170" t="str">
            <v>N/A</v>
          </cell>
          <cell r="CG1170" t="str">
            <v>N/A</v>
          </cell>
          <cell r="CH1170" t="str">
            <v>N/A</v>
          </cell>
          <cell r="CI1170" t="str">
            <v>N/A</v>
          </cell>
          <cell r="CJ1170" t="str">
            <v>$3,000 / $6,000</v>
          </cell>
          <cell r="CK1170" t="str">
            <v>80%</v>
          </cell>
          <cell r="CL1170" t="str">
            <v>$5,500 / $11,000</v>
          </cell>
          <cell r="CM1170" t="str">
            <v>N/A</v>
          </cell>
          <cell r="CN1170" t="str">
            <v>N/A</v>
          </cell>
          <cell r="CO1170" t="str">
            <v>N/A</v>
          </cell>
          <cell r="CP1170" t="str">
            <v>Non-Emb Ded (Emb OOP)</v>
          </cell>
          <cell r="CS1170" t="str">
            <v>INS</v>
          </cell>
          <cell r="CT1170" t="str">
            <v>Choice</v>
          </cell>
          <cell r="CU1170">
            <v>0.45340000000000003</v>
          </cell>
          <cell r="CV1170" t="str">
            <v>2V</v>
          </cell>
          <cell r="CX1170">
            <v>0.67449999999999999</v>
          </cell>
        </row>
        <row r="1171">
          <cell r="CA1171" t="str">
            <v>HSA 1 Tiered EPO T1 Pl 26</v>
          </cell>
          <cell r="CB1171" t="str">
            <v>Choice / NexusACO OA Tiered HSA (Non Gated)</v>
          </cell>
          <cell r="CC1171" t="str">
            <v>N/A</v>
          </cell>
          <cell r="CD1171" t="str">
            <v>N/A</v>
          </cell>
          <cell r="CE1171" t="str">
            <v>N/A</v>
          </cell>
          <cell r="CF1171" t="str">
            <v>N/A</v>
          </cell>
          <cell r="CG1171" t="str">
            <v>N/A</v>
          </cell>
          <cell r="CH1171" t="str">
            <v>N/A</v>
          </cell>
          <cell r="CI1171" t="str">
            <v>N/A</v>
          </cell>
          <cell r="CJ1171" t="str">
            <v>$2,000 / $4,000</v>
          </cell>
          <cell r="CK1171" t="str">
            <v>80%</v>
          </cell>
          <cell r="CL1171" t="str">
            <v>$4,500 / $9,000</v>
          </cell>
          <cell r="CM1171" t="str">
            <v>N/A</v>
          </cell>
          <cell r="CN1171" t="str">
            <v>N/A</v>
          </cell>
          <cell r="CO1171" t="str">
            <v>N/A</v>
          </cell>
          <cell r="CP1171" t="str">
            <v>Non-Emb Ded (Emb OOP)</v>
          </cell>
          <cell r="CS1171" t="str">
            <v>INS</v>
          </cell>
          <cell r="CT1171" t="str">
            <v>Choice</v>
          </cell>
          <cell r="CU1171">
            <v>0.50449999999999995</v>
          </cell>
          <cell r="CV1171" t="str">
            <v>2V</v>
          </cell>
          <cell r="CX1171">
            <v>0.72750000000000004</v>
          </cell>
        </row>
        <row r="1172">
          <cell r="CA1172" t="str">
            <v>HSA 2 Tiered EPO T1 Pl 27</v>
          </cell>
          <cell r="CB1172" t="str">
            <v>Choice / NexusACO OA Tiered HSA (Non Gated)</v>
          </cell>
          <cell r="CC1172" t="str">
            <v>N/A</v>
          </cell>
          <cell r="CD1172" t="str">
            <v>N/A</v>
          </cell>
          <cell r="CE1172" t="str">
            <v>N/A</v>
          </cell>
          <cell r="CF1172" t="str">
            <v>N/A</v>
          </cell>
          <cell r="CG1172" t="str">
            <v>N/A</v>
          </cell>
          <cell r="CH1172" t="str">
            <v>N/A</v>
          </cell>
          <cell r="CI1172" t="str">
            <v>N/A</v>
          </cell>
          <cell r="CJ1172" t="str">
            <v>$3,000 / $6,000</v>
          </cell>
          <cell r="CK1172" t="str">
            <v>80%</v>
          </cell>
          <cell r="CL1172" t="str">
            <v>$5,500 / $11,000</v>
          </cell>
          <cell r="CM1172" t="str">
            <v>N/A</v>
          </cell>
          <cell r="CN1172" t="str">
            <v>N/A</v>
          </cell>
          <cell r="CO1172" t="str">
            <v>N/A</v>
          </cell>
          <cell r="CP1172" t="str">
            <v>Non-Emb Ded (Emb OOP)</v>
          </cell>
          <cell r="CS1172" t="str">
            <v>INS</v>
          </cell>
          <cell r="CT1172" t="str">
            <v>Choice</v>
          </cell>
          <cell r="CU1172">
            <v>0.45379999999999998</v>
          </cell>
          <cell r="CV1172" t="str">
            <v>2V</v>
          </cell>
          <cell r="CX1172">
            <v>0.67549999999999999</v>
          </cell>
        </row>
        <row r="1173">
          <cell r="CA1173" t="str">
            <v>Plan 3a D H Tier T1 Pl 28</v>
          </cell>
          <cell r="CB1173" t="str">
            <v>Choice / NexusACO OA Tiered (Non Gated)</v>
          </cell>
          <cell r="CC1173">
            <v>25</v>
          </cell>
          <cell r="CD1173">
            <v>50</v>
          </cell>
          <cell r="CE1173" t="str">
            <v>N/A</v>
          </cell>
          <cell r="CF1173" t="str">
            <v>N/A</v>
          </cell>
          <cell r="CG1173" t="str">
            <v>N/A</v>
          </cell>
          <cell r="CH1173" t="str">
            <v>N/A</v>
          </cell>
          <cell r="CI1173" t="str">
            <v>N/A</v>
          </cell>
          <cell r="CJ1173" t="str">
            <v>$1,250 / $2,500</v>
          </cell>
          <cell r="CK1173" t="str">
            <v>90%</v>
          </cell>
          <cell r="CL1173" t="str">
            <v>$2,500 / $5,000</v>
          </cell>
          <cell r="CM1173" t="str">
            <v>N/A</v>
          </cell>
          <cell r="CN1173" t="str">
            <v>N/A</v>
          </cell>
          <cell r="CO1173" t="str">
            <v>N/A</v>
          </cell>
          <cell r="CP1173" t="str">
            <v>Emb</v>
          </cell>
          <cell r="CS1173" t="str">
            <v>INS</v>
          </cell>
          <cell r="CT1173" t="str">
            <v>Choice</v>
          </cell>
          <cell r="CU1173">
            <v>0.63980000000000004</v>
          </cell>
          <cell r="CV1173" t="str">
            <v/>
          </cell>
          <cell r="CX1173">
            <v>0.8115</v>
          </cell>
        </row>
        <row r="1174">
          <cell r="CA1174" t="str">
            <v>Plan 3b D H Tier T1 Pl 29</v>
          </cell>
          <cell r="CB1174" t="str">
            <v>Choice / NexusACO OA Tiered (Non Gated)</v>
          </cell>
          <cell r="CC1174">
            <v>30</v>
          </cell>
          <cell r="CD1174">
            <v>60</v>
          </cell>
          <cell r="CE1174" t="str">
            <v>N/A</v>
          </cell>
          <cell r="CF1174" t="str">
            <v>N/A</v>
          </cell>
          <cell r="CG1174" t="str">
            <v>N/A</v>
          </cell>
          <cell r="CH1174" t="str">
            <v>N/A</v>
          </cell>
          <cell r="CI1174" t="str">
            <v>N/A</v>
          </cell>
          <cell r="CJ1174" t="str">
            <v>$2,000 / $4,000</v>
          </cell>
          <cell r="CK1174" t="str">
            <v>80%</v>
          </cell>
          <cell r="CL1174" t="str">
            <v>$4,000 / $8,000</v>
          </cell>
          <cell r="CM1174" t="str">
            <v>N/A</v>
          </cell>
          <cell r="CN1174" t="str">
            <v>N/A</v>
          </cell>
          <cell r="CO1174" t="str">
            <v>N/A</v>
          </cell>
          <cell r="CP1174" t="str">
            <v>Emb</v>
          </cell>
          <cell r="CS1174" t="str">
            <v>INS</v>
          </cell>
          <cell r="CT1174" t="str">
            <v>Choice</v>
          </cell>
          <cell r="CU1174">
            <v>0.5716</v>
          </cell>
          <cell r="CV1174" t="str">
            <v/>
          </cell>
          <cell r="CX1174">
            <v>0.76200000000000001</v>
          </cell>
        </row>
        <row r="1175">
          <cell r="CA1175" t="str">
            <v>Plan D 3a Tier T1 Pl 30</v>
          </cell>
          <cell r="CB1175" t="str">
            <v>Choice / NexusACO OA Tiered (Non Gated)</v>
          </cell>
          <cell r="CC1175">
            <v>25</v>
          </cell>
          <cell r="CD1175">
            <v>50</v>
          </cell>
          <cell r="CE1175" t="str">
            <v>N/A</v>
          </cell>
          <cell r="CF1175" t="str">
            <v>N/A</v>
          </cell>
          <cell r="CG1175" t="str">
            <v>N/A</v>
          </cell>
          <cell r="CH1175" t="str">
            <v>N/A</v>
          </cell>
          <cell r="CI1175" t="str">
            <v>N/A</v>
          </cell>
          <cell r="CJ1175" t="str">
            <v>$1,250 / $2,500</v>
          </cell>
          <cell r="CK1175" t="str">
            <v>90%</v>
          </cell>
          <cell r="CL1175" t="str">
            <v>$2,500 / $5,000</v>
          </cell>
          <cell r="CM1175" t="str">
            <v>N/A</v>
          </cell>
          <cell r="CN1175" t="str">
            <v>N/A</v>
          </cell>
          <cell r="CO1175" t="str">
            <v>N/A</v>
          </cell>
          <cell r="CP1175" t="str">
            <v>Emb</v>
          </cell>
          <cell r="CS1175" t="str">
            <v>INS</v>
          </cell>
          <cell r="CT1175" t="str">
            <v>Choice</v>
          </cell>
          <cell r="CU1175">
            <v>0.64029999999999998</v>
          </cell>
          <cell r="CV1175" t="str">
            <v/>
          </cell>
          <cell r="CX1175">
            <v>0.81069999999999998</v>
          </cell>
        </row>
        <row r="1176">
          <cell r="CA1176" t="str">
            <v>Plan D 3b Tier T1 Pl 31</v>
          </cell>
          <cell r="CB1176" t="str">
            <v>Choice / NexusACO OA Tiered (Non Gated)</v>
          </cell>
          <cell r="CC1176">
            <v>30</v>
          </cell>
          <cell r="CD1176">
            <v>60</v>
          </cell>
          <cell r="CE1176" t="str">
            <v>N/A</v>
          </cell>
          <cell r="CF1176" t="str">
            <v>N/A</v>
          </cell>
          <cell r="CG1176" t="str">
            <v>N/A</v>
          </cell>
          <cell r="CH1176" t="str">
            <v>N/A</v>
          </cell>
          <cell r="CI1176" t="str">
            <v>N/A</v>
          </cell>
          <cell r="CJ1176" t="str">
            <v>$2,000 / $4,000</v>
          </cell>
          <cell r="CK1176" t="str">
            <v>80%</v>
          </cell>
          <cell r="CL1176" t="str">
            <v>$4,000 / $8,000</v>
          </cell>
          <cell r="CM1176" t="str">
            <v>N/A</v>
          </cell>
          <cell r="CN1176" t="str">
            <v>N/A</v>
          </cell>
          <cell r="CO1176" t="str">
            <v>N/A</v>
          </cell>
          <cell r="CP1176" t="str">
            <v>Emb</v>
          </cell>
          <cell r="CS1176" t="str">
            <v>INS</v>
          </cell>
          <cell r="CT1176" t="str">
            <v>Choice</v>
          </cell>
          <cell r="CU1176">
            <v>0.57240000000000002</v>
          </cell>
          <cell r="CV1176" t="str">
            <v/>
          </cell>
          <cell r="CX1176">
            <v>0.76149999999999995</v>
          </cell>
        </row>
        <row r="1177">
          <cell r="CA1177" t="str">
            <v>Plan D 3a H Tier T1 Pl 32</v>
          </cell>
          <cell r="CB1177" t="str">
            <v>Choice+ / UHPD Tier 1ah (Non Gated)</v>
          </cell>
          <cell r="CC1177">
            <v>25</v>
          </cell>
          <cell r="CD1177">
            <v>50</v>
          </cell>
          <cell r="CE1177" t="str">
            <v>N/A</v>
          </cell>
          <cell r="CF1177" t="str">
            <v>N/A</v>
          </cell>
          <cell r="CG1177" t="str">
            <v>N/A</v>
          </cell>
          <cell r="CH1177" t="str">
            <v>N/A</v>
          </cell>
          <cell r="CI1177" t="str">
            <v>N/A</v>
          </cell>
          <cell r="CJ1177" t="str">
            <v>$1,250 / $2,500</v>
          </cell>
          <cell r="CK1177" t="str">
            <v>90%</v>
          </cell>
          <cell r="CL1177" t="str">
            <v>$2,500 / $5,000</v>
          </cell>
          <cell r="CM1177" t="str">
            <v>$2,500 / $2,500</v>
          </cell>
          <cell r="CN1177">
            <v>0.5</v>
          </cell>
          <cell r="CO1177" t="str">
            <v>$8,000 / $8,000</v>
          </cell>
          <cell r="CP1177" t="str">
            <v>Emb</v>
          </cell>
          <cell r="CS1177" t="str">
            <v>INS</v>
          </cell>
          <cell r="CT1177" t="str">
            <v>Choice+</v>
          </cell>
          <cell r="CU1177">
            <v>0.65210000000000001</v>
          </cell>
          <cell r="CV1177" t="str">
            <v/>
          </cell>
          <cell r="CX1177">
            <v>0.8115</v>
          </cell>
        </row>
        <row r="1178">
          <cell r="CA1178" t="str">
            <v>Plan D 3a Tier T1 Pl 33</v>
          </cell>
          <cell r="CB1178" t="str">
            <v>Choice+ / UHPD Tier 1a (Non Gated)</v>
          </cell>
          <cell r="CC1178">
            <v>25</v>
          </cell>
          <cell r="CD1178">
            <v>50</v>
          </cell>
          <cell r="CE1178" t="str">
            <v>N/A</v>
          </cell>
          <cell r="CF1178" t="str">
            <v>N/A</v>
          </cell>
          <cell r="CG1178" t="str">
            <v>N/A</v>
          </cell>
          <cell r="CH1178" t="str">
            <v>N/A</v>
          </cell>
          <cell r="CI1178" t="str">
            <v>N/A</v>
          </cell>
          <cell r="CJ1178" t="str">
            <v>$2,000 / $4,000</v>
          </cell>
          <cell r="CK1178" t="str">
            <v>90%</v>
          </cell>
          <cell r="CL1178" t="str">
            <v>$4,000 / $8,000</v>
          </cell>
          <cell r="CM1178" t="str">
            <v>$4,000 / $5,000</v>
          </cell>
          <cell r="CN1178">
            <v>0.5</v>
          </cell>
          <cell r="CO1178" t="str">
            <v>$8,000 / $8,000</v>
          </cell>
          <cell r="CP1178" t="str">
            <v>Emb</v>
          </cell>
          <cell r="CS1178" t="str">
            <v>INS</v>
          </cell>
          <cell r="CT1178" t="str">
            <v>Choice+</v>
          </cell>
          <cell r="CU1178">
            <v>0.59619999999999995</v>
          </cell>
          <cell r="CV1178" t="str">
            <v/>
          </cell>
          <cell r="CX1178">
            <v>0.77280000000000004</v>
          </cell>
        </row>
        <row r="1179">
          <cell r="CA1179" t="str">
            <v>HSA D Plan 3 H Tier T1 Pl 34</v>
          </cell>
          <cell r="CB1179" t="str">
            <v>Choice / UHPD HSA Tier 1ah (Non Gated)</v>
          </cell>
          <cell r="CC1179" t="str">
            <v>N/A</v>
          </cell>
          <cell r="CD1179" t="str">
            <v>N/A</v>
          </cell>
          <cell r="CE1179" t="str">
            <v>N/A</v>
          </cell>
          <cell r="CF1179" t="str">
            <v>N/A</v>
          </cell>
          <cell r="CG1179" t="str">
            <v>N/A</v>
          </cell>
          <cell r="CH1179" t="str">
            <v>N/A</v>
          </cell>
          <cell r="CI1179" t="str">
            <v>N/A</v>
          </cell>
          <cell r="CJ1179" t="str">
            <v>$1,500 / $3,000</v>
          </cell>
          <cell r="CK1179" t="str">
            <v>80%</v>
          </cell>
          <cell r="CL1179" t="str">
            <v>$3,000 / $6,000</v>
          </cell>
          <cell r="CM1179" t="str">
            <v>N/A</v>
          </cell>
          <cell r="CN1179" t="str">
            <v>N/A</v>
          </cell>
          <cell r="CO1179" t="str">
            <v>N/A</v>
          </cell>
          <cell r="CP1179" t="str">
            <v>Non-Emb Ded (Emb OOP)</v>
          </cell>
          <cell r="CS1179" t="str">
            <v>INS</v>
          </cell>
          <cell r="CT1179" t="str">
            <v>Choice</v>
          </cell>
          <cell r="CU1179">
            <v>0.53069999999999995</v>
          </cell>
          <cell r="CV1179" t="str">
            <v>2V</v>
          </cell>
          <cell r="CX1179">
            <v>0.74529999999999996</v>
          </cell>
        </row>
        <row r="1180">
          <cell r="CA1180" t="str">
            <v>HSA D Plan 3 Tier T1 Pl 35</v>
          </cell>
          <cell r="CB1180" t="str">
            <v>Choice / UHPD HSA Tier 1a (Non Gated)</v>
          </cell>
          <cell r="CC1180" t="str">
            <v>N/A</v>
          </cell>
          <cell r="CD1180" t="str">
            <v>N/A</v>
          </cell>
          <cell r="CE1180" t="str">
            <v>N/A</v>
          </cell>
          <cell r="CF1180" t="str">
            <v>N/A</v>
          </cell>
          <cell r="CG1180" t="str">
            <v>N/A</v>
          </cell>
          <cell r="CH1180" t="str">
            <v>N/A</v>
          </cell>
          <cell r="CI1180" t="str">
            <v>N/A</v>
          </cell>
          <cell r="CJ1180" t="str">
            <v>$1,500 / $3,000</v>
          </cell>
          <cell r="CK1180" t="str">
            <v>80%</v>
          </cell>
          <cell r="CL1180" t="str">
            <v>$3,000 / $6,000</v>
          </cell>
          <cell r="CM1180" t="str">
            <v>N/A</v>
          </cell>
          <cell r="CN1180" t="str">
            <v>N/A</v>
          </cell>
          <cell r="CO1180" t="str">
            <v>N/A</v>
          </cell>
          <cell r="CP1180" t="str">
            <v>Non-Emb Ded (Emb OOP)</v>
          </cell>
          <cell r="CS1180" t="str">
            <v>INS</v>
          </cell>
          <cell r="CT1180" t="str">
            <v>Choice</v>
          </cell>
          <cell r="CU1180">
            <v>0.53120000000000001</v>
          </cell>
          <cell r="CV1180" t="str">
            <v>2V</v>
          </cell>
          <cell r="CX1180">
            <v>0.74480000000000002</v>
          </cell>
        </row>
        <row r="1196">
          <cell r="CA1196" t="str">
            <v>AHTO</v>
          </cell>
          <cell r="CB1196" t="str">
            <v>Select HSA</v>
          </cell>
          <cell r="CC1196" t="str">
            <v>N/A</v>
          </cell>
          <cell r="CD1196" t="str">
            <v>N/A</v>
          </cell>
          <cell r="CE1196" t="str">
            <v>N/A</v>
          </cell>
          <cell r="CF1196" t="str">
            <v>N/A</v>
          </cell>
          <cell r="CG1196" t="str">
            <v>N/A</v>
          </cell>
          <cell r="CH1196" t="str">
            <v>N/A</v>
          </cell>
          <cell r="CI1196" t="str">
            <v>N/A</v>
          </cell>
          <cell r="CJ1196" t="str">
            <v>$1,500 / $3,000</v>
          </cell>
          <cell r="CK1196">
            <v>0.8</v>
          </cell>
          <cell r="CL1196" t="str">
            <v>$3,500 / $6,850</v>
          </cell>
          <cell r="CM1196" t="str">
            <v>N/A</v>
          </cell>
          <cell r="CN1196">
            <v>0</v>
          </cell>
          <cell r="CO1196" t="str">
            <v>N/A</v>
          </cell>
          <cell r="CP1196" t="str">
            <v>NonEmb</v>
          </cell>
          <cell r="CS1196" t="str">
            <v>INS</v>
          </cell>
          <cell r="CT1196" t="str">
            <v>Select</v>
          </cell>
        </row>
        <row r="1197">
          <cell r="CA1197" t="str">
            <v>AHTP</v>
          </cell>
          <cell r="CB1197" t="str">
            <v>Select HSA</v>
          </cell>
          <cell r="CC1197" t="str">
            <v>N/A</v>
          </cell>
          <cell r="CD1197" t="str">
            <v>N/A</v>
          </cell>
          <cell r="CE1197" t="str">
            <v>N/A</v>
          </cell>
          <cell r="CF1197" t="str">
            <v>N/A</v>
          </cell>
          <cell r="CG1197" t="str">
            <v>N/A</v>
          </cell>
          <cell r="CH1197" t="str">
            <v>N/A</v>
          </cell>
          <cell r="CI1197" t="str">
            <v>N/A</v>
          </cell>
          <cell r="CJ1197" t="str">
            <v>$2,000 / $4,000</v>
          </cell>
          <cell r="CK1197">
            <v>0.8</v>
          </cell>
          <cell r="CL1197" t="str">
            <v>$4,000 / $6,850</v>
          </cell>
          <cell r="CM1197" t="str">
            <v>N/A</v>
          </cell>
          <cell r="CN1197">
            <v>0</v>
          </cell>
          <cell r="CO1197" t="str">
            <v>N/A</v>
          </cell>
          <cell r="CP1197" t="str">
            <v>NonEmb</v>
          </cell>
          <cell r="CS1197" t="str">
            <v>INS</v>
          </cell>
          <cell r="CT1197" t="str">
            <v>Select</v>
          </cell>
        </row>
        <row r="1198">
          <cell r="CA1198" t="str">
            <v>AHTQ</v>
          </cell>
          <cell r="CB1198" t="str">
            <v>Select HSA</v>
          </cell>
          <cell r="CC1198" t="str">
            <v>N/A</v>
          </cell>
          <cell r="CD1198" t="str">
            <v>N/A</v>
          </cell>
          <cell r="CE1198" t="str">
            <v>N/A</v>
          </cell>
          <cell r="CF1198" t="str">
            <v>N/A</v>
          </cell>
          <cell r="CG1198" t="str">
            <v>N/A</v>
          </cell>
          <cell r="CH1198" t="str">
            <v>N/A</v>
          </cell>
          <cell r="CI1198" t="str">
            <v>N/A</v>
          </cell>
          <cell r="CJ1198" t="str">
            <v>$3,000 / $6,000</v>
          </cell>
          <cell r="CK1198">
            <v>0.8</v>
          </cell>
          <cell r="CL1198" t="str">
            <v>$4,000 / $6,850</v>
          </cell>
          <cell r="CM1198" t="str">
            <v>N/A</v>
          </cell>
          <cell r="CN1198">
            <v>0</v>
          </cell>
          <cell r="CO1198" t="str">
            <v>N/A</v>
          </cell>
          <cell r="CP1198" t="str">
            <v>NonEmb</v>
          </cell>
          <cell r="CS1198" t="str">
            <v>INS</v>
          </cell>
          <cell r="CT1198" t="str">
            <v>Select</v>
          </cell>
        </row>
        <row r="1199">
          <cell r="CA1199" t="str">
            <v>AHTR</v>
          </cell>
          <cell r="CB1199" t="str">
            <v>Select HSA</v>
          </cell>
          <cell r="CC1199" t="str">
            <v>N/A</v>
          </cell>
          <cell r="CD1199" t="str">
            <v>N/A</v>
          </cell>
          <cell r="CE1199" t="str">
            <v>N/A</v>
          </cell>
          <cell r="CF1199" t="str">
            <v>N/A</v>
          </cell>
          <cell r="CG1199" t="str">
            <v>N/A</v>
          </cell>
          <cell r="CH1199" t="str">
            <v>N/A</v>
          </cell>
          <cell r="CI1199" t="str">
            <v>N/A</v>
          </cell>
          <cell r="CJ1199" t="str">
            <v>$2,600 / $5,200</v>
          </cell>
          <cell r="CK1199">
            <v>0.8</v>
          </cell>
          <cell r="CL1199" t="str">
            <v>$5,000 / $10,000</v>
          </cell>
          <cell r="CM1199" t="str">
            <v>N/A</v>
          </cell>
          <cell r="CN1199">
            <v>0</v>
          </cell>
          <cell r="CO1199" t="str">
            <v>N/A</v>
          </cell>
          <cell r="CP1199" t="str">
            <v>Emb</v>
          </cell>
          <cell r="CS1199" t="str">
            <v>INS</v>
          </cell>
          <cell r="CT1199" t="str">
            <v>Select</v>
          </cell>
          <cell r="CV1199" t="str">
            <v>H9-HSA</v>
          </cell>
          <cell r="CW1199" t="str">
            <v>SHSA14&amp;15</v>
          </cell>
        </row>
        <row r="1200">
          <cell r="CA1200" t="str">
            <v>AHUA</v>
          </cell>
          <cell r="CB1200" t="str">
            <v>Select HSA</v>
          </cell>
          <cell r="CC1200" t="str">
            <v>N/A</v>
          </cell>
          <cell r="CD1200" t="str">
            <v>N/A</v>
          </cell>
          <cell r="CE1200">
            <v>100</v>
          </cell>
          <cell r="CF1200" t="str">
            <v>$100 POD</v>
          </cell>
          <cell r="CG1200" t="str">
            <v>N/A</v>
          </cell>
          <cell r="CH1200" t="str">
            <v>$100 POD</v>
          </cell>
          <cell r="CI1200" t="str">
            <v>N/A</v>
          </cell>
          <cell r="CJ1200" t="str">
            <v>$1,800 / $3,600</v>
          </cell>
          <cell r="CK1200">
            <v>0.8</v>
          </cell>
          <cell r="CL1200" t="str">
            <v>$4,000 / $6,850</v>
          </cell>
          <cell r="CM1200" t="str">
            <v>N/A</v>
          </cell>
          <cell r="CN1200">
            <v>0</v>
          </cell>
          <cell r="CO1200" t="str">
            <v>N/A</v>
          </cell>
          <cell r="CP1200" t="str">
            <v>NonEmb</v>
          </cell>
          <cell r="CS1200" t="str">
            <v>INS</v>
          </cell>
          <cell r="CT1200" t="str">
            <v>Select</v>
          </cell>
        </row>
        <row r="1201">
          <cell r="CA1201" t="str">
            <v>AHUB</v>
          </cell>
          <cell r="CB1201" t="str">
            <v>Select HSA</v>
          </cell>
          <cell r="CC1201" t="str">
            <v>N/A</v>
          </cell>
          <cell r="CD1201" t="str">
            <v>N/A</v>
          </cell>
          <cell r="CE1201" t="str">
            <v>N/A</v>
          </cell>
          <cell r="CF1201" t="str">
            <v>N/A</v>
          </cell>
          <cell r="CG1201" t="str">
            <v>N/A</v>
          </cell>
          <cell r="CH1201" t="str">
            <v>N/A</v>
          </cell>
          <cell r="CI1201" t="str">
            <v>N/A</v>
          </cell>
          <cell r="CJ1201" t="str">
            <v>$2,500 / $5,000</v>
          </cell>
          <cell r="CK1201">
            <v>1</v>
          </cell>
          <cell r="CL1201" t="str">
            <v>$3,500 / $6,850</v>
          </cell>
          <cell r="CM1201" t="str">
            <v>N/A</v>
          </cell>
          <cell r="CN1201">
            <v>0</v>
          </cell>
          <cell r="CO1201" t="str">
            <v>N/A</v>
          </cell>
          <cell r="CP1201" t="str">
            <v>NonEmb</v>
          </cell>
          <cell r="CS1201" t="str">
            <v>INS</v>
          </cell>
          <cell r="CT1201" t="str">
            <v>Select</v>
          </cell>
        </row>
        <row r="1202">
          <cell r="CA1202" t="str">
            <v>AHUC</v>
          </cell>
          <cell r="CB1202" t="str">
            <v>Select HSA</v>
          </cell>
          <cell r="CC1202" t="str">
            <v>N/A</v>
          </cell>
          <cell r="CD1202" t="str">
            <v>N/A</v>
          </cell>
          <cell r="CE1202">
            <v>100</v>
          </cell>
          <cell r="CF1202" t="str">
            <v>$100 POD</v>
          </cell>
          <cell r="CG1202" t="str">
            <v>N/A</v>
          </cell>
          <cell r="CH1202" t="str">
            <v>$100 POD</v>
          </cell>
          <cell r="CI1202" t="str">
            <v>N/A</v>
          </cell>
          <cell r="CJ1202" t="str">
            <v>$2,600 / $5,200</v>
          </cell>
          <cell r="CK1202">
            <v>0.8</v>
          </cell>
          <cell r="CL1202" t="str">
            <v>$5,000 / $10,000</v>
          </cell>
          <cell r="CM1202" t="str">
            <v>N/A</v>
          </cell>
          <cell r="CN1202">
            <v>0</v>
          </cell>
          <cell r="CO1202" t="str">
            <v>N/A</v>
          </cell>
          <cell r="CP1202" t="str">
            <v>Emb</v>
          </cell>
          <cell r="CS1202" t="str">
            <v>INS</v>
          </cell>
          <cell r="CT1202" t="str">
            <v>Select</v>
          </cell>
          <cell r="CV1202" t="str">
            <v>H9-HSA</v>
          </cell>
          <cell r="CW1202" t="str">
            <v>SHSA14&amp;15</v>
          </cell>
        </row>
        <row r="1203">
          <cell r="CA1203" t="str">
            <v>AHUD</v>
          </cell>
          <cell r="CB1203" t="str">
            <v>Select HSA</v>
          </cell>
          <cell r="CC1203">
            <v>20</v>
          </cell>
          <cell r="CD1203">
            <v>20</v>
          </cell>
          <cell r="CE1203" t="str">
            <v>N/A</v>
          </cell>
          <cell r="CF1203" t="str">
            <v>N/A</v>
          </cell>
          <cell r="CG1203">
            <v>20</v>
          </cell>
          <cell r="CH1203">
            <v>20</v>
          </cell>
          <cell r="CI1203" t="str">
            <v>N/A</v>
          </cell>
          <cell r="CJ1203" t="str">
            <v>$2,500 / $5,000</v>
          </cell>
          <cell r="CK1203">
            <v>1</v>
          </cell>
          <cell r="CL1203" t="str">
            <v>$5,000 / $6,850</v>
          </cell>
          <cell r="CM1203" t="str">
            <v>N/A</v>
          </cell>
          <cell r="CN1203">
            <v>0</v>
          </cell>
          <cell r="CO1203" t="str">
            <v>N/A</v>
          </cell>
          <cell r="CP1203" t="str">
            <v>NonEmb</v>
          </cell>
          <cell r="CS1203" t="str">
            <v>INS</v>
          </cell>
          <cell r="CT1203" t="str">
            <v>Select</v>
          </cell>
        </row>
        <row r="1204">
          <cell r="CA1204" t="str">
            <v>AJ3K</v>
          </cell>
          <cell r="CB1204" t="str">
            <v>Select HSA</v>
          </cell>
          <cell r="CC1204" t="str">
            <v>N/A</v>
          </cell>
          <cell r="CD1204" t="str">
            <v>N/A</v>
          </cell>
          <cell r="CE1204" t="str">
            <v>N/A</v>
          </cell>
          <cell r="CF1204" t="str">
            <v>N/A</v>
          </cell>
          <cell r="CG1204" t="str">
            <v>N/A</v>
          </cell>
          <cell r="CH1204" t="str">
            <v>N/A</v>
          </cell>
          <cell r="CI1204" t="str">
            <v>N/A</v>
          </cell>
          <cell r="CJ1204" t="str">
            <v>$2,600 / $5,200</v>
          </cell>
          <cell r="CK1204">
            <v>1</v>
          </cell>
          <cell r="CL1204" t="str">
            <v>$3,600 / $7,200</v>
          </cell>
          <cell r="CM1204" t="str">
            <v>N/A</v>
          </cell>
          <cell r="CN1204">
            <v>0</v>
          </cell>
          <cell r="CO1204" t="str">
            <v>N/A</v>
          </cell>
          <cell r="CP1204" t="str">
            <v>Emb</v>
          </cell>
          <cell r="CS1204" t="str">
            <v>INS</v>
          </cell>
          <cell r="CT1204" t="str">
            <v>Select</v>
          </cell>
          <cell r="CV1204" t="str">
            <v>H9-HSA</v>
          </cell>
          <cell r="CW1204" t="str">
            <v>SHSA14&amp;15</v>
          </cell>
        </row>
        <row r="1205">
          <cell r="CA1205" t="str">
            <v>AJ3L</v>
          </cell>
          <cell r="CB1205" t="str">
            <v>Select HSA</v>
          </cell>
          <cell r="CC1205" t="str">
            <v>N/A</v>
          </cell>
          <cell r="CD1205" t="str">
            <v>N/A</v>
          </cell>
          <cell r="CE1205" t="str">
            <v>N/A</v>
          </cell>
          <cell r="CF1205" t="str">
            <v>N/A</v>
          </cell>
          <cell r="CG1205" t="str">
            <v>N/A</v>
          </cell>
          <cell r="CH1205" t="str">
            <v>N/A</v>
          </cell>
          <cell r="CI1205" t="str">
            <v>N/A</v>
          </cell>
          <cell r="CJ1205" t="str">
            <v>$2,600 / $5,200</v>
          </cell>
          <cell r="CK1205">
            <v>0.9</v>
          </cell>
          <cell r="CL1205" t="str">
            <v>$3,600 / $7,200</v>
          </cell>
          <cell r="CM1205" t="str">
            <v>N/A</v>
          </cell>
          <cell r="CN1205">
            <v>0</v>
          </cell>
          <cell r="CO1205" t="str">
            <v>N/A</v>
          </cell>
          <cell r="CP1205" t="str">
            <v>Emb</v>
          </cell>
          <cell r="CS1205" t="str">
            <v>INS</v>
          </cell>
          <cell r="CT1205" t="str">
            <v>Select</v>
          </cell>
          <cell r="CV1205" t="str">
            <v>H9-HSA</v>
          </cell>
          <cell r="CW1205" t="str">
            <v>SHSA14&amp;15</v>
          </cell>
        </row>
        <row r="1206">
          <cell r="CA1206" t="str">
            <v>AJ3M</v>
          </cell>
          <cell r="CB1206" t="str">
            <v>Select HSA</v>
          </cell>
          <cell r="CC1206" t="str">
            <v>N/A</v>
          </cell>
          <cell r="CD1206" t="str">
            <v>N/A</v>
          </cell>
          <cell r="CE1206" t="str">
            <v>N/A</v>
          </cell>
          <cell r="CF1206" t="str">
            <v>$100 POD</v>
          </cell>
          <cell r="CG1206" t="str">
            <v>N/A</v>
          </cell>
          <cell r="CH1206" t="str">
            <v>$100 POD</v>
          </cell>
          <cell r="CI1206" t="str">
            <v>N/A</v>
          </cell>
          <cell r="CJ1206" t="str">
            <v>$2,600 / $5,200</v>
          </cell>
          <cell r="CK1206">
            <v>0.9</v>
          </cell>
          <cell r="CL1206" t="str">
            <v>$4,100 / $8,200</v>
          </cell>
          <cell r="CM1206" t="str">
            <v>N/A</v>
          </cell>
          <cell r="CN1206">
            <v>0</v>
          </cell>
          <cell r="CO1206" t="str">
            <v>N/A</v>
          </cell>
          <cell r="CP1206" t="str">
            <v>Emb</v>
          </cell>
          <cell r="CS1206" t="str">
            <v>INS</v>
          </cell>
          <cell r="CT1206" t="str">
            <v>Select</v>
          </cell>
          <cell r="CV1206" t="str">
            <v>H9-HSA</v>
          </cell>
          <cell r="CW1206" t="str">
            <v>SHSA14&amp;15</v>
          </cell>
        </row>
        <row r="1207">
          <cell r="CA1207" t="str">
            <v>AJ3N</v>
          </cell>
          <cell r="CB1207" t="str">
            <v>Select HSA</v>
          </cell>
          <cell r="CC1207" t="str">
            <v>N/A</v>
          </cell>
          <cell r="CD1207" t="str">
            <v>N/A</v>
          </cell>
          <cell r="CE1207" t="str">
            <v>N/A</v>
          </cell>
          <cell r="CF1207" t="str">
            <v>N/A</v>
          </cell>
          <cell r="CG1207" t="str">
            <v>N/A</v>
          </cell>
          <cell r="CH1207" t="str">
            <v>N/A</v>
          </cell>
          <cell r="CI1207" t="str">
            <v>N/A</v>
          </cell>
          <cell r="CJ1207" t="str">
            <v>$2,600 / $5,200</v>
          </cell>
          <cell r="CK1207">
            <v>0.8</v>
          </cell>
          <cell r="CL1207" t="str">
            <v>$4,600 / $9,200</v>
          </cell>
          <cell r="CM1207" t="str">
            <v>N/A</v>
          </cell>
          <cell r="CN1207">
            <v>0</v>
          </cell>
          <cell r="CO1207" t="str">
            <v>N/A</v>
          </cell>
          <cell r="CP1207" t="str">
            <v>Emb</v>
          </cell>
          <cell r="CS1207" t="str">
            <v>INS</v>
          </cell>
          <cell r="CT1207" t="str">
            <v>Select</v>
          </cell>
          <cell r="CV1207" t="str">
            <v>H9-HSA</v>
          </cell>
          <cell r="CW1207" t="str">
            <v>SHSA14&amp;15</v>
          </cell>
        </row>
        <row r="1208">
          <cell r="CA1208" t="str">
            <v>AJ3O</v>
          </cell>
          <cell r="CB1208" t="str">
            <v>Select HSA</v>
          </cell>
          <cell r="CC1208" t="str">
            <v>N/A</v>
          </cell>
          <cell r="CD1208" t="str">
            <v>N/A</v>
          </cell>
          <cell r="CE1208" t="str">
            <v>N/A</v>
          </cell>
          <cell r="CF1208" t="str">
            <v>N/A</v>
          </cell>
          <cell r="CG1208" t="str">
            <v>N/A</v>
          </cell>
          <cell r="CH1208" t="str">
            <v>N/A</v>
          </cell>
          <cell r="CI1208" t="str">
            <v>N/A</v>
          </cell>
          <cell r="CJ1208" t="str">
            <v>$2,600 / $5,200</v>
          </cell>
          <cell r="CK1208">
            <v>0.9</v>
          </cell>
          <cell r="CL1208" t="str">
            <v>$6,550 / $13,100</v>
          </cell>
          <cell r="CM1208" t="str">
            <v>N/A</v>
          </cell>
          <cell r="CN1208">
            <v>0</v>
          </cell>
          <cell r="CO1208" t="str">
            <v>N/A</v>
          </cell>
          <cell r="CP1208" t="str">
            <v>Emb</v>
          </cell>
          <cell r="CS1208" t="str">
            <v>INS</v>
          </cell>
          <cell r="CT1208" t="str">
            <v>Select</v>
          </cell>
          <cell r="CV1208" t="str">
            <v>H9-HSA</v>
          </cell>
          <cell r="CW1208" t="str">
            <v>SHSA14&amp;15</v>
          </cell>
        </row>
        <row r="1209">
          <cell r="CA1209" t="str">
            <v>AKMI</v>
          </cell>
          <cell r="CB1209" t="str">
            <v>Select HSA</v>
          </cell>
          <cell r="CC1209" t="str">
            <v>N/A</v>
          </cell>
          <cell r="CD1209" t="str">
            <v>N/A</v>
          </cell>
          <cell r="CE1209" t="str">
            <v>N/A</v>
          </cell>
          <cell r="CF1209" t="str">
            <v>$100 POD</v>
          </cell>
          <cell r="CG1209" t="str">
            <v>N/A</v>
          </cell>
          <cell r="CH1209" t="str">
            <v>$100 POD</v>
          </cell>
          <cell r="CI1209" t="str">
            <v>N/A</v>
          </cell>
          <cell r="CJ1209" t="str">
            <v>$1,500 / $3,000</v>
          </cell>
          <cell r="CK1209">
            <v>0.9</v>
          </cell>
          <cell r="CL1209" t="str">
            <v>$2,500 / $5,000</v>
          </cell>
          <cell r="CM1209" t="str">
            <v>N/A</v>
          </cell>
          <cell r="CN1209">
            <v>0</v>
          </cell>
          <cell r="CO1209" t="str">
            <v>N/A</v>
          </cell>
          <cell r="CP1209" t="str">
            <v>NonEmb</v>
          </cell>
          <cell r="CS1209" t="str">
            <v>INS</v>
          </cell>
          <cell r="CT1209" t="str">
            <v>Select</v>
          </cell>
        </row>
        <row r="1210">
          <cell r="CA1210" t="str">
            <v>AKMJ</v>
          </cell>
          <cell r="CB1210" t="str">
            <v>Select HSA</v>
          </cell>
          <cell r="CC1210" t="str">
            <v>N/A</v>
          </cell>
          <cell r="CD1210" t="str">
            <v>N/A</v>
          </cell>
          <cell r="CE1210" t="str">
            <v>N/A</v>
          </cell>
          <cell r="CF1210" t="str">
            <v>$100 POD</v>
          </cell>
          <cell r="CG1210" t="str">
            <v>N/A</v>
          </cell>
          <cell r="CH1210" t="str">
            <v>$100 POD</v>
          </cell>
          <cell r="CI1210" t="str">
            <v>N/A</v>
          </cell>
          <cell r="CJ1210" t="str">
            <v>$1,500 / $3,000</v>
          </cell>
          <cell r="CK1210">
            <v>0.9</v>
          </cell>
          <cell r="CL1210" t="str">
            <v>$3,000 / $6,000</v>
          </cell>
          <cell r="CM1210" t="str">
            <v>N/A</v>
          </cell>
          <cell r="CN1210">
            <v>0</v>
          </cell>
          <cell r="CO1210" t="str">
            <v>N/A</v>
          </cell>
          <cell r="CP1210" t="str">
            <v>NonEmb</v>
          </cell>
          <cell r="CS1210" t="str">
            <v>INS</v>
          </cell>
          <cell r="CT1210" t="str">
            <v>Select</v>
          </cell>
        </row>
        <row r="1211">
          <cell r="CA1211" t="str">
            <v>AKMK</v>
          </cell>
          <cell r="CB1211" t="str">
            <v>Select HSA</v>
          </cell>
          <cell r="CC1211" t="str">
            <v>N/A</v>
          </cell>
          <cell r="CD1211" t="str">
            <v>N/A</v>
          </cell>
          <cell r="CE1211">
            <v>100</v>
          </cell>
          <cell r="CF1211" t="str">
            <v>$100 POD</v>
          </cell>
          <cell r="CG1211" t="str">
            <v>N/A</v>
          </cell>
          <cell r="CH1211" t="str">
            <v>$100 POD</v>
          </cell>
          <cell r="CI1211" t="str">
            <v>N/A</v>
          </cell>
          <cell r="CJ1211" t="str">
            <v>$2,250 / $4,500</v>
          </cell>
          <cell r="CK1211">
            <v>0.8</v>
          </cell>
          <cell r="CL1211" t="str">
            <v>$3,000 / $6,000</v>
          </cell>
          <cell r="CM1211" t="str">
            <v>N/A</v>
          </cell>
          <cell r="CN1211">
            <v>0</v>
          </cell>
          <cell r="CO1211" t="str">
            <v>N/A</v>
          </cell>
          <cell r="CP1211" t="str">
            <v>NonEmb</v>
          </cell>
          <cell r="CS1211" t="str">
            <v>INS</v>
          </cell>
          <cell r="CT1211" t="str">
            <v>Select</v>
          </cell>
        </row>
        <row r="1212">
          <cell r="CA1212" t="str">
            <v>AKML</v>
          </cell>
          <cell r="CB1212" t="str">
            <v>Select HSA</v>
          </cell>
          <cell r="CC1212" t="str">
            <v>N/A</v>
          </cell>
          <cell r="CD1212" t="str">
            <v>N/A</v>
          </cell>
          <cell r="CE1212">
            <v>100</v>
          </cell>
          <cell r="CF1212" t="str">
            <v>$100 POD</v>
          </cell>
          <cell r="CG1212" t="str">
            <v>N/A</v>
          </cell>
          <cell r="CH1212" t="str">
            <v>$100 POD</v>
          </cell>
          <cell r="CI1212" t="str">
            <v>N/A</v>
          </cell>
          <cell r="CJ1212" t="str">
            <v>$2,500 / $5,000</v>
          </cell>
          <cell r="CK1212">
            <v>0.8</v>
          </cell>
          <cell r="CL1212" t="str">
            <v>$3,000 / $6,000</v>
          </cell>
          <cell r="CM1212" t="str">
            <v>N/A</v>
          </cell>
          <cell r="CN1212">
            <v>0</v>
          </cell>
          <cell r="CO1212" t="str">
            <v>N/A</v>
          </cell>
          <cell r="CP1212" t="str">
            <v>NonEmb</v>
          </cell>
          <cell r="CS1212" t="str">
            <v>INS</v>
          </cell>
          <cell r="CT1212" t="str">
            <v>Select</v>
          </cell>
        </row>
        <row r="1214">
          <cell r="CA1214" t="str">
            <v>AHT1</v>
          </cell>
          <cell r="CB1214" t="str">
            <v>Select Plus HSA</v>
          </cell>
          <cell r="CC1214" t="str">
            <v>N/A</v>
          </cell>
          <cell r="CD1214" t="str">
            <v>N/A</v>
          </cell>
          <cell r="CE1214">
            <v>100</v>
          </cell>
          <cell r="CF1214" t="str">
            <v>$100 POD</v>
          </cell>
          <cell r="CG1214" t="str">
            <v>N/A</v>
          </cell>
          <cell r="CH1214" t="str">
            <v>$100 POD</v>
          </cell>
          <cell r="CI1214" t="str">
            <v>N/A</v>
          </cell>
          <cell r="CJ1214" t="str">
            <v>$2,600 / $5,200</v>
          </cell>
          <cell r="CK1214">
            <v>0.8</v>
          </cell>
          <cell r="CL1214" t="str">
            <v>$5,000 / $10,000</v>
          </cell>
          <cell r="CM1214" t="str">
            <v>$5,000 / $10,000</v>
          </cell>
          <cell r="CN1214">
            <v>0.5</v>
          </cell>
          <cell r="CO1214" t="str">
            <v>$15,000 / $30,000</v>
          </cell>
          <cell r="CP1214" t="str">
            <v>Emb</v>
          </cell>
          <cell r="CS1214" t="str">
            <v>INS</v>
          </cell>
          <cell r="CT1214" t="str">
            <v>Select +</v>
          </cell>
          <cell r="CV1214" t="str">
            <v>H9-HSA</v>
          </cell>
          <cell r="CW1214" t="str">
            <v>SPHSA14&amp;15</v>
          </cell>
        </row>
        <row r="1215">
          <cell r="CA1215" t="str">
            <v>AHT2</v>
          </cell>
          <cell r="CB1215" t="str">
            <v>Select Plus HSA</v>
          </cell>
          <cell r="CC1215">
            <v>20</v>
          </cell>
          <cell r="CD1215">
            <v>20</v>
          </cell>
          <cell r="CE1215" t="str">
            <v>N/A</v>
          </cell>
          <cell r="CF1215" t="str">
            <v>N/A</v>
          </cell>
          <cell r="CG1215">
            <v>20</v>
          </cell>
          <cell r="CH1215">
            <v>20</v>
          </cell>
          <cell r="CI1215" t="str">
            <v>N/A</v>
          </cell>
          <cell r="CJ1215" t="str">
            <v>$2,500 / $5,000</v>
          </cell>
          <cell r="CK1215">
            <v>1</v>
          </cell>
          <cell r="CL1215" t="str">
            <v>$5,000 / $6,850</v>
          </cell>
          <cell r="CM1215" t="str">
            <v>$5,000 / $10,000</v>
          </cell>
          <cell r="CN1215">
            <v>0.7</v>
          </cell>
          <cell r="CO1215" t="str">
            <v>$10,000 / $20,000</v>
          </cell>
          <cell r="CP1215" t="str">
            <v>NonEmb</v>
          </cell>
          <cell r="CS1215" t="str">
            <v>INS</v>
          </cell>
          <cell r="CT1215" t="str">
            <v>Select +</v>
          </cell>
        </row>
        <row r="1216">
          <cell r="CA1216" t="str">
            <v>AHTS</v>
          </cell>
          <cell r="CB1216" t="str">
            <v>Select Plus HSA</v>
          </cell>
          <cell r="CC1216" t="str">
            <v>N/A</v>
          </cell>
          <cell r="CD1216" t="str">
            <v>N/A</v>
          </cell>
          <cell r="CE1216" t="str">
            <v>N/A</v>
          </cell>
          <cell r="CF1216" t="str">
            <v>N/A</v>
          </cell>
          <cell r="CG1216" t="str">
            <v>N/A</v>
          </cell>
          <cell r="CH1216" t="str">
            <v>N/A</v>
          </cell>
          <cell r="CI1216" t="str">
            <v>N/A</v>
          </cell>
          <cell r="CJ1216" t="str">
            <v>$1,500 / $3,000</v>
          </cell>
          <cell r="CK1216">
            <v>0.8</v>
          </cell>
          <cell r="CL1216" t="str">
            <v>$3,500 / $6,850</v>
          </cell>
          <cell r="CM1216" t="str">
            <v>$3,500 / $7,000</v>
          </cell>
          <cell r="CN1216">
            <v>0.6</v>
          </cell>
          <cell r="CO1216" t="str">
            <v>$6,000 / $12,000</v>
          </cell>
          <cell r="CP1216" t="str">
            <v>NonEmb</v>
          </cell>
          <cell r="CS1216" t="str">
            <v>INS</v>
          </cell>
          <cell r="CT1216" t="str">
            <v>Select +</v>
          </cell>
        </row>
        <row r="1217">
          <cell r="CA1217" t="str">
            <v>AHTT</v>
          </cell>
          <cell r="CB1217" t="str">
            <v>Select Plus HSA</v>
          </cell>
          <cell r="CC1217" t="str">
            <v>N/A</v>
          </cell>
          <cell r="CD1217" t="str">
            <v>N/A</v>
          </cell>
          <cell r="CE1217" t="str">
            <v>N/A</v>
          </cell>
          <cell r="CF1217" t="str">
            <v>N/A</v>
          </cell>
          <cell r="CG1217" t="str">
            <v>N/A</v>
          </cell>
          <cell r="CH1217" t="str">
            <v>N/A</v>
          </cell>
          <cell r="CI1217" t="str">
            <v>N/A</v>
          </cell>
          <cell r="CJ1217" t="str">
            <v>$2,000 / $4,000</v>
          </cell>
          <cell r="CK1217">
            <v>0.9</v>
          </cell>
          <cell r="CL1217" t="str">
            <v>$4,000 / $6,850</v>
          </cell>
          <cell r="CM1217" t="str">
            <v>$4,000 / $8,000</v>
          </cell>
          <cell r="CN1217">
            <v>0.7</v>
          </cell>
          <cell r="CO1217" t="str">
            <v>$8,000 / $16,000</v>
          </cell>
          <cell r="CP1217" t="str">
            <v>NonEmb</v>
          </cell>
          <cell r="CS1217" t="str">
            <v>INS</v>
          </cell>
          <cell r="CT1217" t="str">
            <v>Select +</v>
          </cell>
        </row>
        <row r="1218">
          <cell r="CA1218" t="str">
            <v>AHTU</v>
          </cell>
          <cell r="CB1218" t="str">
            <v>Select Plus HSA</v>
          </cell>
          <cell r="CC1218" t="str">
            <v>N/A</v>
          </cell>
          <cell r="CD1218" t="str">
            <v>N/A</v>
          </cell>
          <cell r="CE1218" t="str">
            <v>N/A</v>
          </cell>
          <cell r="CF1218" t="str">
            <v>N/A</v>
          </cell>
          <cell r="CG1218" t="str">
            <v>N/A</v>
          </cell>
          <cell r="CH1218" t="str">
            <v>N/A</v>
          </cell>
          <cell r="CI1218" t="str">
            <v>N/A</v>
          </cell>
          <cell r="CJ1218" t="str">
            <v>$2,000 / $4,000</v>
          </cell>
          <cell r="CK1218">
            <v>0.8</v>
          </cell>
          <cell r="CL1218" t="str">
            <v>$4,000 / $6,850</v>
          </cell>
          <cell r="CM1218" t="str">
            <v>$4,000 / $8,000</v>
          </cell>
          <cell r="CN1218">
            <v>0.6</v>
          </cell>
          <cell r="CO1218" t="str">
            <v>$9,000 / $18,000</v>
          </cell>
          <cell r="CP1218" t="str">
            <v>NonEmb</v>
          </cell>
          <cell r="CS1218" t="str">
            <v>INS</v>
          </cell>
          <cell r="CT1218" t="str">
            <v>Select +</v>
          </cell>
        </row>
        <row r="1219">
          <cell r="CA1219" t="str">
            <v>AHTV</v>
          </cell>
          <cell r="CB1219" t="str">
            <v>Select Plus HSA</v>
          </cell>
          <cell r="CC1219" t="str">
            <v>N/A</v>
          </cell>
          <cell r="CD1219" t="str">
            <v>N/A</v>
          </cell>
          <cell r="CE1219" t="str">
            <v>N/A</v>
          </cell>
          <cell r="CF1219" t="str">
            <v>N/A</v>
          </cell>
          <cell r="CG1219" t="str">
            <v>N/A</v>
          </cell>
          <cell r="CH1219" t="str">
            <v>N/A</v>
          </cell>
          <cell r="CI1219" t="str">
            <v>N/A</v>
          </cell>
          <cell r="CJ1219" t="str">
            <v>$2,500 / $5,000</v>
          </cell>
          <cell r="CK1219">
            <v>0.9</v>
          </cell>
          <cell r="CL1219" t="str">
            <v>$5,000 / $6,850</v>
          </cell>
          <cell r="CM1219" t="str">
            <v>$5,000 / $10,000</v>
          </cell>
          <cell r="CN1219">
            <v>0.7</v>
          </cell>
          <cell r="CO1219" t="str">
            <v>$10,000 / $20,000</v>
          </cell>
          <cell r="CP1219" t="str">
            <v>NonEmb</v>
          </cell>
          <cell r="CS1219" t="str">
            <v>INS</v>
          </cell>
          <cell r="CT1219" t="str">
            <v>Select +</v>
          </cell>
        </row>
        <row r="1220">
          <cell r="CA1220" t="str">
            <v>AHTW</v>
          </cell>
          <cell r="CB1220" t="str">
            <v>Select Plus HSA</v>
          </cell>
          <cell r="CC1220" t="str">
            <v>N/A</v>
          </cell>
          <cell r="CD1220" t="str">
            <v>N/A</v>
          </cell>
          <cell r="CE1220" t="str">
            <v>N/A</v>
          </cell>
          <cell r="CF1220" t="str">
            <v>N/A</v>
          </cell>
          <cell r="CG1220" t="str">
            <v>N/A</v>
          </cell>
          <cell r="CH1220" t="str">
            <v>N/A</v>
          </cell>
          <cell r="CI1220" t="str">
            <v>N/A</v>
          </cell>
          <cell r="CJ1220" t="str">
            <v>$3,000 / $6,000</v>
          </cell>
          <cell r="CK1220">
            <v>0.8</v>
          </cell>
          <cell r="CL1220" t="str">
            <v>$4,000 / $6,850</v>
          </cell>
          <cell r="CM1220" t="str">
            <v>$5,000 / $10,000</v>
          </cell>
          <cell r="CN1220">
            <v>0.6</v>
          </cell>
          <cell r="CO1220" t="str">
            <v>$6,000 / $12,000</v>
          </cell>
          <cell r="CP1220" t="str">
            <v>NonEmb</v>
          </cell>
          <cell r="CS1220" t="str">
            <v>INS</v>
          </cell>
          <cell r="CT1220" t="str">
            <v>Select +</v>
          </cell>
        </row>
        <row r="1221">
          <cell r="CA1221" t="str">
            <v>AHTX</v>
          </cell>
          <cell r="CB1221" t="str">
            <v>Select Plus HSA</v>
          </cell>
          <cell r="CC1221" t="str">
            <v>N/A</v>
          </cell>
          <cell r="CD1221" t="str">
            <v>N/A</v>
          </cell>
          <cell r="CE1221" t="str">
            <v>N/A</v>
          </cell>
          <cell r="CF1221" t="str">
            <v>N/A</v>
          </cell>
          <cell r="CG1221" t="str">
            <v>N/A</v>
          </cell>
          <cell r="CH1221" t="str">
            <v>N/A</v>
          </cell>
          <cell r="CI1221" t="str">
            <v>N/A</v>
          </cell>
          <cell r="CJ1221" t="str">
            <v>$2,600 / $5,200</v>
          </cell>
          <cell r="CK1221">
            <v>0.8</v>
          </cell>
          <cell r="CL1221" t="str">
            <v>$5,000 / $10,000</v>
          </cell>
          <cell r="CM1221" t="str">
            <v>$6,000 / $12,000</v>
          </cell>
          <cell r="CN1221">
            <v>0.6</v>
          </cell>
          <cell r="CO1221" t="str">
            <v>$10,000 / $20,000</v>
          </cell>
          <cell r="CP1221" t="str">
            <v>Emb</v>
          </cell>
          <cell r="CS1221" t="str">
            <v>INS</v>
          </cell>
          <cell r="CT1221" t="str">
            <v>Select +</v>
          </cell>
          <cell r="CV1221" t="str">
            <v>H9-HSA</v>
          </cell>
          <cell r="CW1221" t="str">
            <v>SPHSA14&amp;15</v>
          </cell>
        </row>
        <row r="1222">
          <cell r="CA1222" t="str">
            <v>AHTY</v>
          </cell>
          <cell r="CB1222" t="str">
            <v>Select Plus HSA</v>
          </cell>
          <cell r="CC1222" t="str">
            <v>N/A</v>
          </cell>
          <cell r="CD1222" t="str">
            <v>N/A</v>
          </cell>
          <cell r="CE1222">
            <v>100</v>
          </cell>
          <cell r="CF1222" t="str">
            <v>$100 POD</v>
          </cell>
          <cell r="CG1222" t="str">
            <v>N/A</v>
          </cell>
          <cell r="CH1222" t="str">
            <v>$100 POD</v>
          </cell>
          <cell r="CI1222" t="str">
            <v>N/A</v>
          </cell>
          <cell r="CJ1222" t="str">
            <v>$1,800 / $3,600</v>
          </cell>
          <cell r="CK1222">
            <v>0.8</v>
          </cell>
          <cell r="CL1222" t="str">
            <v>$4,000 / $6,850</v>
          </cell>
          <cell r="CM1222" t="str">
            <v>$1,800 / $3,600</v>
          </cell>
          <cell r="CN1222">
            <v>0.6</v>
          </cell>
          <cell r="CO1222" t="str">
            <v>$8,000 / $16,000</v>
          </cell>
          <cell r="CP1222" t="str">
            <v>NonEmb</v>
          </cell>
          <cell r="CS1222" t="str">
            <v>INS</v>
          </cell>
          <cell r="CT1222" t="str">
            <v>Select +</v>
          </cell>
        </row>
        <row r="1223">
          <cell r="CA1223" t="str">
            <v>AHTZ</v>
          </cell>
          <cell r="CB1223" t="str">
            <v>Select Plus HSA</v>
          </cell>
          <cell r="CC1223" t="str">
            <v>N/A</v>
          </cell>
          <cell r="CD1223" t="str">
            <v>N/A</v>
          </cell>
          <cell r="CE1223" t="str">
            <v>N/A</v>
          </cell>
          <cell r="CF1223" t="str">
            <v>N/A</v>
          </cell>
          <cell r="CG1223" t="str">
            <v>N/A</v>
          </cell>
          <cell r="CH1223" t="str">
            <v>N/A</v>
          </cell>
          <cell r="CI1223" t="str">
            <v>N/A</v>
          </cell>
          <cell r="CJ1223" t="str">
            <v>$2,500 / $5,000</v>
          </cell>
          <cell r="CK1223">
            <v>1</v>
          </cell>
          <cell r="CL1223" t="str">
            <v>$3,500 / $6,850</v>
          </cell>
          <cell r="CM1223" t="str">
            <v>$2,500 / $5,000</v>
          </cell>
          <cell r="CN1223">
            <v>0.7</v>
          </cell>
          <cell r="CO1223" t="str">
            <v>$7,000 / $14,000</v>
          </cell>
          <cell r="CP1223" t="str">
            <v>NonEmb</v>
          </cell>
          <cell r="CS1223" t="str">
            <v>INS</v>
          </cell>
          <cell r="CT1223" t="str">
            <v>Select +</v>
          </cell>
        </row>
        <row r="1224">
          <cell r="CA1224" t="str">
            <v>AJ3E</v>
          </cell>
          <cell r="CB1224" t="str">
            <v>Select Plus HSA</v>
          </cell>
          <cell r="CC1224" t="str">
            <v>N/A</v>
          </cell>
          <cell r="CD1224" t="str">
            <v>N/A</v>
          </cell>
          <cell r="CE1224" t="str">
            <v>N/A</v>
          </cell>
          <cell r="CF1224" t="str">
            <v>N/A</v>
          </cell>
          <cell r="CG1224" t="str">
            <v>N/A</v>
          </cell>
          <cell r="CH1224" t="str">
            <v>N/A</v>
          </cell>
          <cell r="CI1224" t="str">
            <v>N/A</v>
          </cell>
          <cell r="CJ1224" t="str">
            <v>$2,600 / $5,200</v>
          </cell>
          <cell r="CK1224">
            <v>1</v>
          </cell>
          <cell r="CL1224" t="str">
            <v>$3,600 / $7,200</v>
          </cell>
          <cell r="CM1224" t="str">
            <v>$3,600 / $7,200</v>
          </cell>
          <cell r="CN1224">
            <v>0.8</v>
          </cell>
          <cell r="CO1224" t="str">
            <v>$4,600 / $9,200</v>
          </cell>
          <cell r="CP1224" t="str">
            <v>Emb</v>
          </cell>
          <cell r="CS1224" t="str">
            <v>INS</v>
          </cell>
          <cell r="CT1224" t="str">
            <v>Select +</v>
          </cell>
          <cell r="CU1224">
            <v>0.76980000000000004</v>
          </cell>
          <cell r="CV1224" t="str">
            <v>H9-HSA</v>
          </cell>
          <cell r="CW1224" t="str">
            <v>SPHSA14&amp;15</v>
          </cell>
          <cell r="CX1224">
            <v>0.72840000000000005</v>
          </cell>
        </row>
        <row r="1225">
          <cell r="CA1225" t="str">
            <v>AJ3F</v>
          </cell>
          <cell r="CB1225" t="str">
            <v>Select Plus HSA</v>
          </cell>
          <cell r="CC1225" t="str">
            <v>N/A</v>
          </cell>
          <cell r="CD1225" t="str">
            <v>N/A</v>
          </cell>
          <cell r="CE1225" t="str">
            <v>N/A</v>
          </cell>
          <cell r="CF1225" t="str">
            <v>N/A</v>
          </cell>
          <cell r="CG1225" t="str">
            <v>N/A</v>
          </cell>
          <cell r="CH1225" t="str">
            <v>N/A</v>
          </cell>
          <cell r="CI1225" t="str">
            <v>N/A</v>
          </cell>
          <cell r="CJ1225" t="str">
            <v>$2,600 / $5,200</v>
          </cell>
          <cell r="CK1225">
            <v>0.9</v>
          </cell>
          <cell r="CL1225" t="str">
            <v>$3,600 / $7,200</v>
          </cell>
          <cell r="CM1225" t="str">
            <v>$5,200 / $10,400</v>
          </cell>
          <cell r="CN1225">
            <v>0.7</v>
          </cell>
          <cell r="CO1225" t="str">
            <v>$7,200 / $14,400</v>
          </cell>
          <cell r="CP1225" t="str">
            <v>Emb</v>
          </cell>
          <cell r="CS1225" t="str">
            <v>INS</v>
          </cell>
          <cell r="CT1225" t="str">
            <v>Select +</v>
          </cell>
          <cell r="CV1225" t="str">
            <v>H9-HSA</v>
          </cell>
          <cell r="CW1225" t="str">
            <v>SPHSA14&amp;15</v>
          </cell>
        </row>
        <row r="1226">
          <cell r="CA1226" t="str">
            <v>AJ3G</v>
          </cell>
          <cell r="CB1226" t="str">
            <v>Select Plus HSA</v>
          </cell>
          <cell r="CC1226" t="str">
            <v>N/A</v>
          </cell>
          <cell r="CD1226" t="str">
            <v>N/A</v>
          </cell>
          <cell r="CE1226" t="str">
            <v>N/A</v>
          </cell>
          <cell r="CF1226" t="str">
            <v>$100 POD</v>
          </cell>
          <cell r="CG1226" t="str">
            <v>N/A</v>
          </cell>
          <cell r="CH1226" t="str">
            <v>$100 POD</v>
          </cell>
          <cell r="CI1226" t="str">
            <v>N/A</v>
          </cell>
          <cell r="CJ1226" t="str">
            <v>$2,600 / $5,200</v>
          </cell>
          <cell r="CK1226">
            <v>0.9</v>
          </cell>
          <cell r="CL1226" t="str">
            <v>$4,100 / $8,200</v>
          </cell>
          <cell r="CM1226" t="str">
            <v>$5,200 / $10,400</v>
          </cell>
          <cell r="CN1226">
            <v>0.7</v>
          </cell>
          <cell r="CO1226" t="str">
            <v>$8,200 / $16,400</v>
          </cell>
          <cell r="CP1226" t="str">
            <v>Emb</v>
          </cell>
          <cell r="CS1226" t="str">
            <v>INS</v>
          </cell>
          <cell r="CT1226" t="str">
            <v>Select +</v>
          </cell>
          <cell r="CV1226" t="str">
            <v>H9-HSA</v>
          </cell>
          <cell r="CW1226" t="str">
            <v>SPHSA14&amp;15</v>
          </cell>
        </row>
        <row r="1227">
          <cell r="CA1227" t="str">
            <v>AJ3H</v>
          </cell>
          <cell r="CB1227" t="str">
            <v>Select Plus HSA</v>
          </cell>
          <cell r="CC1227" t="str">
            <v>N/A</v>
          </cell>
          <cell r="CD1227" t="str">
            <v>N/A</v>
          </cell>
          <cell r="CE1227" t="str">
            <v>N/A</v>
          </cell>
          <cell r="CF1227" t="str">
            <v>N/A</v>
          </cell>
          <cell r="CG1227" t="str">
            <v>N/A</v>
          </cell>
          <cell r="CH1227" t="str">
            <v>N/A</v>
          </cell>
          <cell r="CI1227" t="str">
            <v>N/A</v>
          </cell>
          <cell r="CJ1227" t="str">
            <v>$2,600 / $5,200</v>
          </cell>
          <cell r="CK1227">
            <v>0.9</v>
          </cell>
          <cell r="CL1227" t="str">
            <v>$3,600 / $7,200</v>
          </cell>
          <cell r="CM1227" t="str">
            <v>$3,600 / $7,200</v>
          </cell>
          <cell r="CN1227">
            <v>0.7</v>
          </cell>
          <cell r="CO1227" t="str">
            <v>$5,600 / $11,200</v>
          </cell>
          <cell r="CP1227" t="str">
            <v>Emb</v>
          </cell>
          <cell r="CS1227" t="str">
            <v>INS</v>
          </cell>
          <cell r="CT1227" t="str">
            <v>Select +</v>
          </cell>
          <cell r="CV1227" t="str">
            <v>H9-HSA</v>
          </cell>
          <cell r="CW1227" t="str">
            <v>SPHSA14&amp;15</v>
          </cell>
        </row>
        <row r="1228">
          <cell r="CA1228" t="str">
            <v>AJ3I</v>
          </cell>
          <cell r="CB1228" t="str">
            <v>Select Plus HSA</v>
          </cell>
          <cell r="CC1228" t="str">
            <v>N/A</v>
          </cell>
          <cell r="CD1228" t="str">
            <v>N/A</v>
          </cell>
          <cell r="CE1228" t="str">
            <v>N/A</v>
          </cell>
          <cell r="CF1228" t="str">
            <v>N/A</v>
          </cell>
          <cell r="CG1228" t="str">
            <v>N/A</v>
          </cell>
          <cell r="CH1228" t="str">
            <v>N/A</v>
          </cell>
          <cell r="CI1228" t="str">
            <v>N/A</v>
          </cell>
          <cell r="CJ1228" t="str">
            <v>$2,600 / $5,200</v>
          </cell>
          <cell r="CK1228">
            <v>0.8</v>
          </cell>
          <cell r="CL1228" t="str">
            <v>$4,600 / $9,200</v>
          </cell>
          <cell r="CM1228" t="str">
            <v>$4,600 / $9,200</v>
          </cell>
          <cell r="CN1228">
            <v>0.6</v>
          </cell>
          <cell r="CO1228" t="str">
            <v>$6,000 / $12,000</v>
          </cell>
          <cell r="CP1228" t="str">
            <v>Emb</v>
          </cell>
          <cell r="CS1228" t="str">
            <v>INS</v>
          </cell>
          <cell r="CT1228" t="str">
            <v>Select +</v>
          </cell>
          <cell r="CV1228" t="str">
            <v>H9-HSA</v>
          </cell>
          <cell r="CW1228" t="str">
            <v>SPHSA14&amp;15</v>
          </cell>
        </row>
        <row r="1229">
          <cell r="CA1229" t="str">
            <v>AJ3J</v>
          </cell>
          <cell r="CB1229" t="str">
            <v>Select Plus HSA</v>
          </cell>
          <cell r="CC1229" t="str">
            <v>N/A</v>
          </cell>
          <cell r="CD1229" t="str">
            <v>N/A</v>
          </cell>
          <cell r="CE1229" t="str">
            <v>N/A</v>
          </cell>
          <cell r="CF1229" t="str">
            <v>N/A</v>
          </cell>
          <cell r="CG1229" t="str">
            <v>N/A</v>
          </cell>
          <cell r="CH1229" t="str">
            <v>N/A</v>
          </cell>
          <cell r="CI1229" t="str">
            <v>N/A</v>
          </cell>
          <cell r="CJ1229" t="str">
            <v>$2,600 / $5,200</v>
          </cell>
          <cell r="CK1229">
            <v>0.9</v>
          </cell>
          <cell r="CL1229" t="str">
            <v>$6,550 / $13,100</v>
          </cell>
          <cell r="CM1229" t="str">
            <v>$5,200 / $10,400</v>
          </cell>
          <cell r="CN1229">
            <v>0.7</v>
          </cell>
          <cell r="CO1229" t="str">
            <v>$13,100 / $26,200</v>
          </cell>
          <cell r="CP1229" t="str">
            <v>Emb</v>
          </cell>
          <cell r="CS1229" t="str">
            <v>INS</v>
          </cell>
          <cell r="CT1229" t="str">
            <v>Select +</v>
          </cell>
          <cell r="CV1229" t="str">
            <v>H9-HSA</v>
          </cell>
          <cell r="CW1229" t="str">
            <v>SPHSA14&amp;15</v>
          </cell>
        </row>
        <row r="1230">
          <cell r="CA1230" t="str">
            <v>AKLK</v>
          </cell>
          <cell r="CB1230" t="str">
            <v>Select Plus HSA</v>
          </cell>
          <cell r="CC1230" t="str">
            <v>N/A</v>
          </cell>
          <cell r="CD1230" t="str">
            <v>N/A</v>
          </cell>
          <cell r="CE1230" t="str">
            <v>N/A</v>
          </cell>
          <cell r="CF1230" t="str">
            <v>$100 POD</v>
          </cell>
          <cell r="CG1230" t="str">
            <v>N/A</v>
          </cell>
          <cell r="CH1230" t="str">
            <v>$100 POD</v>
          </cell>
          <cell r="CI1230" t="str">
            <v>N/A</v>
          </cell>
          <cell r="CJ1230" t="str">
            <v>$1,500 / $3,000</v>
          </cell>
          <cell r="CK1230">
            <v>0.9</v>
          </cell>
          <cell r="CL1230" t="str">
            <v>$2,500 / $5,000</v>
          </cell>
          <cell r="CM1230" t="str">
            <v>$1,500 / $3,000</v>
          </cell>
          <cell r="CN1230">
            <v>0.7</v>
          </cell>
          <cell r="CO1230" t="str">
            <v>$5,000 / $10,000</v>
          </cell>
          <cell r="CP1230" t="str">
            <v>NonEmb</v>
          </cell>
          <cell r="CS1230" t="str">
            <v>INS</v>
          </cell>
          <cell r="CT1230" t="str">
            <v>Select +</v>
          </cell>
        </row>
        <row r="1231">
          <cell r="CA1231" t="str">
            <v>AKLL</v>
          </cell>
          <cell r="CB1231" t="str">
            <v>Select Plus HSA</v>
          </cell>
          <cell r="CC1231" t="str">
            <v>N/A</v>
          </cell>
          <cell r="CD1231" t="str">
            <v>N/A</v>
          </cell>
          <cell r="CE1231" t="str">
            <v>N/A</v>
          </cell>
          <cell r="CF1231" t="str">
            <v>$100 POD</v>
          </cell>
          <cell r="CG1231" t="str">
            <v>N/A</v>
          </cell>
          <cell r="CH1231" t="str">
            <v>$100 POD</v>
          </cell>
          <cell r="CI1231" t="str">
            <v>N/A</v>
          </cell>
          <cell r="CJ1231" t="str">
            <v>$1,500 / $3,000</v>
          </cell>
          <cell r="CK1231">
            <v>0.9</v>
          </cell>
          <cell r="CL1231" t="str">
            <v>$3,000 / $6,000</v>
          </cell>
          <cell r="CM1231" t="str">
            <v>$3,000 / $6,000</v>
          </cell>
          <cell r="CN1231">
            <v>0.7</v>
          </cell>
          <cell r="CO1231" t="str">
            <v>$9,000 / $18,000</v>
          </cell>
          <cell r="CP1231" t="str">
            <v>NonEmb</v>
          </cell>
          <cell r="CS1231" t="str">
            <v>INS</v>
          </cell>
          <cell r="CT1231" t="str">
            <v>Select +</v>
          </cell>
        </row>
        <row r="1232">
          <cell r="CA1232" t="str">
            <v>AKLM</v>
          </cell>
          <cell r="CB1232" t="str">
            <v>Select Plus HSA</v>
          </cell>
          <cell r="CC1232" t="str">
            <v>N/A</v>
          </cell>
          <cell r="CD1232" t="str">
            <v>N/A</v>
          </cell>
          <cell r="CE1232" t="str">
            <v>N/A</v>
          </cell>
          <cell r="CF1232" t="str">
            <v>$100 POD</v>
          </cell>
          <cell r="CG1232" t="str">
            <v>N/A</v>
          </cell>
          <cell r="CH1232" t="str">
            <v>$100 POD</v>
          </cell>
          <cell r="CI1232" t="str">
            <v>N/A</v>
          </cell>
          <cell r="CJ1232" t="str">
            <v>$1,500 / $3,000</v>
          </cell>
          <cell r="CK1232">
            <v>0.9</v>
          </cell>
          <cell r="CL1232" t="str">
            <v>$3,000 / $6,000</v>
          </cell>
          <cell r="CM1232" t="str">
            <v>$1,500 / $3,000</v>
          </cell>
          <cell r="CN1232">
            <v>0.6</v>
          </cell>
          <cell r="CO1232" t="str">
            <v>$6,000 / $12,000</v>
          </cell>
          <cell r="CP1232" t="str">
            <v>NonEmb</v>
          </cell>
          <cell r="CS1232" t="str">
            <v>INS</v>
          </cell>
          <cell r="CT1232" t="str">
            <v>Select +</v>
          </cell>
        </row>
        <row r="1233">
          <cell r="CA1233" t="str">
            <v>AKLN</v>
          </cell>
          <cell r="CB1233" t="str">
            <v>Select Plus HSA</v>
          </cell>
          <cell r="CC1233" t="str">
            <v>N/A</v>
          </cell>
          <cell r="CD1233" t="str">
            <v>N/A</v>
          </cell>
          <cell r="CE1233">
            <v>100</v>
          </cell>
          <cell r="CF1233" t="str">
            <v>$100 POD</v>
          </cell>
          <cell r="CG1233" t="str">
            <v>N/A</v>
          </cell>
          <cell r="CH1233" t="str">
            <v>$100 POD</v>
          </cell>
          <cell r="CI1233" t="str">
            <v>N/A</v>
          </cell>
          <cell r="CJ1233" t="str">
            <v>$2,250 / $4,500</v>
          </cell>
          <cell r="CK1233">
            <v>0.8</v>
          </cell>
          <cell r="CL1233" t="str">
            <v>$3,000 / $6,000</v>
          </cell>
          <cell r="CM1233" t="str">
            <v>$2,250 / $4,500</v>
          </cell>
          <cell r="CN1233">
            <v>0.5</v>
          </cell>
          <cell r="CO1233" t="str">
            <v>$6,000 / $12,000</v>
          </cell>
          <cell r="CP1233" t="str">
            <v>NonEmb</v>
          </cell>
          <cell r="CS1233" t="str">
            <v>INS</v>
          </cell>
          <cell r="CT1233" t="str">
            <v>Select +</v>
          </cell>
        </row>
        <row r="1234">
          <cell r="CA1234" t="str">
            <v>AKLO</v>
          </cell>
          <cell r="CB1234" t="str">
            <v>Select Plus HSA</v>
          </cell>
          <cell r="CC1234" t="str">
            <v>N/A</v>
          </cell>
          <cell r="CD1234" t="str">
            <v>N/A</v>
          </cell>
          <cell r="CE1234">
            <v>100</v>
          </cell>
          <cell r="CF1234" t="str">
            <v>$100 POD</v>
          </cell>
          <cell r="CG1234" t="str">
            <v>N/A</v>
          </cell>
          <cell r="CH1234" t="str">
            <v>$100 POD</v>
          </cell>
          <cell r="CI1234" t="str">
            <v>N/A</v>
          </cell>
          <cell r="CJ1234" t="str">
            <v>$2,500 / $5,000</v>
          </cell>
          <cell r="CK1234">
            <v>0.8</v>
          </cell>
          <cell r="CL1234" t="str">
            <v>$3,000 / $6,000</v>
          </cell>
          <cell r="CM1234" t="str">
            <v>$3,500 / $7,000</v>
          </cell>
          <cell r="CN1234">
            <v>0.6</v>
          </cell>
          <cell r="CO1234" t="str">
            <v>$7,000 / $14,000</v>
          </cell>
          <cell r="CP1234" t="str">
            <v>NonEmb</v>
          </cell>
          <cell r="CS1234" t="str">
            <v>INS</v>
          </cell>
          <cell r="CT1234" t="str">
            <v>Select +</v>
          </cell>
        </row>
        <row r="1235">
          <cell r="CA1235" t="str">
            <v>ANGP</v>
          </cell>
          <cell r="CB1235" t="str">
            <v>Select Plus HSA</v>
          </cell>
          <cell r="CC1235" t="str">
            <v>N/A</v>
          </cell>
          <cell r="CD1235" t="str">
            <v>N/A</v>
          </cell>
          <cell r="CE1235" t="str">
            <v>N/A</v>
          </cell>
          <cell r="CF1235" t="str">
            <v>N/A</v>
          </cell>
          <cell r="CG1235" t="str">
            <v>N/A</v>
          </cell>
          <cell r="CH1235" t="str">
            <v>N/A</v>
          </cell>
          <cell r="CI1235" t="str">
            <v>N/A</v>
          </cell>
          <cell r="CJ1235" t="str">
            <v>$1,300 / $2,600</v>
          </cell>
          <cell r="CK1235">
            <v>0.9</v>
          </cell>
          <cell r="CL1235" t="str">
            <v>$6,550 / $6,550</v>
          </cell>
          <cell r="CM1235" t="str">
            <v>$2,600 / $5,200</v>
          </cell>
          <cell r="CN1235">
            <v>0.7</v>
          </cell>
          <cell r="CO1235" t="str">
            <v>$6,550 / $6,550</v>
          </cell>
          <cell r="CP1235" t="str">
            <v>NonEmb</v>
          </cell>
          <cell r="CS1235" t="str">
            <v>INS</v>
          </cell>
          <cell r="CT1235" t="str">
            <v>Select +</v>
          </cell>
          <cell r="CV1235" t="str">
            <v>H9-HSA</v>
          </cell>
          <cell r="CW1235" t="str">
            <v>SPHSA14&amp;15</v>
          </cell>
        </row>
        <row r="1236">
          <cell r="CA1236" t="str">
            <v>ANGQ</v>
          </cell>
          <cell r="CB1236" t="str">
            <v>Select Plus HSA</v>
          </cell>
          <cell r="CC1236" t="str">
            <v>N/A</v>
          </cell>
          <cell r="CD1236" t="str">
            <v>N/A</v>
          </cell>
          <cell r="CE1236" t="str">
            <v>N/A</v>
          </cell>
          <cell r="CF1236" t="str">
            <v>N/A</v>
          </cell>
          <cell r="CG1236" t="str">
            <v>N/A</v>
          </cell>
          <cell r="CH1236" t="str">
            <v>N/A</v>
          </cell>
          <cell r="CI1236" t="str">
            <v>N/A</v>
          </cell>
          <cell r="CJ1236" t="str">
            <v>$1,500 / $2,600</v>
          </cell>
          <cell r="CK1236">
            <v>0.9</v>
          </cell>
          <cell r="CL1236" t="str">
            <v>$6,000 / $6,000</v>
          </cell>
          <cell r="CM1236" t="str">
            <v>$3,000 / $6,550</v>
          </cell>
          <cell r="CN1236">
            <v>0.7</v>
          </cell>
          <cell r="CO1236" t="str">
            <v>$6,550 / $6,550</v>
          </cell>
          <cell r="CP1236" t="str">
            <v>NonEmb</v>
          </cell>
          <cell r="CS1236" t="str">
            <v>INS</v>
          </cell>
          <cell r="CT1236" t="str">
            <v>Select +</v>
          </cell>
          <cell r="CV1236" t="str">
            <v>H9-HSA</v>
          </cell>
          <cell r="CW1236" t="str">
            <v>SPHSA14&amp;15</v>
          </cell>
        </row>
        <row r="1237">
          <cell r="CA1237" t="str">
            <v>ANGR</v>
          </cell>
          <cell r="CB1237" t="str">
            <v>Select Plus HSA</v>
          </cell>
          <cell r="CC1237" t="str">
            <v>N/A</v>
          </cell>
          <cell r="CD1237" t="str">
            <v>N/A</v>
          </cell>
          <cell r="CE1237" t="str">
            <v>N/A</v>
          </cell>
          <cell r="CF1237" t="str">
            <v>N/A</v>
          </cell>
          <cell r="CG1237" t="str">
            <v>N/A</v>
          </cell>
          <cell r="CH1237" t="str">
            <v>N/A</v>
          </cell>
          <cell r="CI1237" t="str">
            <v>N/A</v>
          </cell>
          <cell r="CJ1237" t="str">
            <v>$1,500 / $2,600</v>
          </cell>
          <cell r="CK1237">
            <v>0.8</v>
          </cell>
          <cell r="CL1237" t="str">
            <v>$6,000 / $6,000</v>
          </cell>
          <cell r="CM1237" t="str">
            <v>$3,000 / $6,550</v>
          </cell>
          <cell r="CN1237">
            <v>0.6</v>
          </cell>
          <cell r="CO1237" t="str">
            <v>$6,550 / $6,550</v>
          </cell>
          <cell r="CP1237" t="str">
            <v>NonEmb</v>
          </cell>
          <cell r="CS1237" t="str">
            <v>INS</v>
          </cell>
          <cell r="CT1237" t="str">
            <v>Select +</v>
          </cell>
          <cell r="CV1237" t="str">
            <v>H9-HSA</v>
          </cell>
          <cell r="CW1237" t="str">
            <v>SPHSA14&amp;15</v>
          </cell>
        </row>
        <row r="1238">
          <cell r="CA1238" t="str">
            <v>ANGS</v>
          </cell>
          <cell r="CB1238" t="str">
            <v>Select Plus HSA</v>
          </cell>
          <cell r="CC1238" t="str">
            <v>N/A</v>
          </cell>
          <cell r="CD1238" t="str">
            <v>N/A</v>
          </cell>
          <cell r="CE1238" t="str">
            <v>N/A</v>
          </cell>
          <cell r="CF1238" t="str">
            <v>N/A</v>
          </cell>
          <cell r="CG1238" t="str">
            <v>N/A</v>
          </cell>
          <cell r="CH1238" t="str">
            <v>N/A</v>
          </cell>
          <cell r="CI1238" t="str">
            <v>N/A</v>
          </cell>
          <cell r="CJ1238" t="str">
            <v>$2,000 / $2,600</v>
          </cell>
          <cell r="CK1238">
            <v>0.8</v>
          </cell>
          <cell r="CL1238" t="str">
            <v>$4,000 / $4,000</v>
          </cell>
          <cell r="CM1238" t="str">
            <v>$4,000 / $6,550</v>
          </cell>
          <cell r="CN1238">
            <v>0.6</v>
          </cell>
          <cell r="CO1238" t="str">
            <v>$6,550 / $6,550</v>
          </cell>
          <cell r="CP1238" t="str">
            <v>NonEmb</v>
          </cell>
          <cell r="CS1238" t="str">
            <v>INS</v>
          </cell>
          <cell r="CT1238" t="str">
            <v>Select +</v>
          </cell>
          <cell r="CV1238" t="str">
            <v>H9-HSA</v>
          </cell>
          <cell r="CW1238" t="str">
            <v>SPHSA14&amp;15</v>
          </cell>
        </row>
        <row r="1239">
          <cell r="CA1239" t="str">
            <v>ANGT</v>
          </cell>
          <cell r="CB1239" t="str">
            <v>Select Plus HSA</v>
          </cell>
          <cell r="CC1239" t="str">
            <v>N/A</v>
          </cell>
          <cell r="CD1239" t="str">
            <v>N/A</v>
          </cell>
          <cell r="CE1239" t="str">
            <v>N/A</v>
          </cell>
          <cell r="CF1239" t="str">
            <v>N/A</v>
          </cell>
          <cell r="CG1239" t="str">
            <v>N/A</v>
          </cell>
          <cell r="CH1239" t="str">
            <v>N/A</v>
          </cell>
          <cell r="CI1239" t="str">
            <v>N/A</v>
          </cell>
          <cell r="CJ1239" t="str">
            <v>$1,300 / $2,600</v>
          </cell>
          <cell r="CK1239">
            <v>0.8</v>
          </cell>
          <cell r="CL1239" t="str">
            <v>$6,550 / $6,550</v>
          </cell>
          <cell r="CM1239" t="str">
            <v>$2,600 / $5,200</v>
          </cell>
          <cell r="CN1239">
            <v>0.6</v>
          </cell>
          <cell r="CO1239" t="str">
            <v>$13,100 / $13,100</v>
          </cell>
          <cell r="CP1239" t="str">
            <v>NonEmb</v>
          </cell>
          <cell r="CS1239" t="str">
            <v>INS</v>
          </cell>
          <cell r="CT1239" t="str">
            <v>Select +</v>
          </cell>
          <cell r="CV1239" t="str">
            <v>H9-HSA</v>
          </cell>
          <cell r="CW1239" t="str">
            <v>SPHSA14&amp;15</v>
          </cell>
        </row>
        <row r="1240">
          <cell r="CA1240" t="str">
            <v>AOO8</v>
          </cell>
          <cell r="CB1240" t="str">
            <v>Select Plus HSA</v>
          </cell>
          <cell r="CC1240" t="str">
            <v>N/A</v>
          </cell>
          <cell r="CD1240" t="str">
            <v>N/A</v>
          </cell>
          <cell r="CE1240" t="str">
            <v>N/A</v>
          </cell>
          <cell r="CF1240" t="str">
            <v>N/A</v>
          </cell>
          <cell r="CG1240" t="str">
            <v>N/A</v>
          </cell>
          <cell r="CH1240" t="str">
            <v>N/A</v>
          </cell>
          <cell r="CI1240" t="str">
            <v>N/A</v>
          </cell>
          <cell r="CJ1240" t="str">
            <v>$1,300 / $2,600</v>
          </cell>
          <cell r="CK1240">
            <v>0.9</v>
          </cell>
          <cell r="CL1240" t="str">
            <v>$6,550 / $13,100</v>
          </cell>
          <cell r="CM1240" t="str">
            <v>$2,600 / $5,200</v>
          </cell>
          <cell r="CN1240">
            <v>0.7</v>
          </cell>
          <cell r="CO1240" t="str">
            <v>$13,100 / $26,200</v>
          </cell>
          <cell r="CP1240" t="str">
            <v>NonEmb</v>
          </cell>
          <cell r="CS1240" t="str">
            <v>INS</v>
          </cell>
          <cell r="CT1240" t="str">
            <v>Select +</v>
          </cell>
          <cell r="CV1240" t="str">
            <v>H9-HSA</v>
          </cell>
          <cell r="CW1240" t="str">
            <v>SPHSA17</v>
          </cell>
        </row>
        <row r="1241">
          <cell r="CA1241" t="str">
            <v>AOO9</v>
          </cell>
          <cell r="CB1241" t="str">
            <v>Select Plus HSA</v>
          </cell>
          <cell r="CC1241" t="str">
            <v>N/A</v>
          </cell>
          <cell r="CD1241" t="str">
            <v>N/A</v>
          </cell>
          <cell r="CE1241" t="str">
            <v>N/A</v>
          </cell>
          <cell r="CF1241" t="str">
            <v>N/A</v>
          </cell>
          <cell r="CG1241" t="str">
            <v>N/A</v>
          </cell>
          <cell r="CH1241" t="str">
            <v>N/A</v>
          </cell>
          <cell r="CI1241" t="str">
            <v>N/A</v>
          </cell>
          <cell r="CJ1241" t="str">
            <v>$1,500 / $2,600</v>
          </cell>
          <cell r="CK1241">
            <v>0.9</v>
          </cell>
          <cell r="CL1241" t="str">
            <v>$6,000 / $12,000</v>
          </cell>
          <cell r="CM1241" t="str">
            <v>$3,000 / $6,000</v>
          </cell>
          <cell r="CN1241">
            <v>0.7</v>
          </cell>
          <cell r="CO1241" t="str">
            <v>$12,000 / $24,000</v>
          </cell>
          <cell r="CP1241" t="str">
            <v>NonEmb</v>
          </cell>
          <cell r="CS1241" t="str">
            <v>INS</v>
          </cell>
          <cell r="CT1241" t="str">
            <v>Select +</v>
          </cell>
          <cell r="CV1241" t="str">
            <v>H9-HSA</v>
          </cell>
          <cell r="CW1241" t="str">
            <v>SPHSA17</v>
          </cell>
        </row>
        <row r="1242">
          <cell r="CA1242" t="str">
            <v>AOPA</v>
          </cell>
          <cell r="CB1242" t="str">
            <v>Select Plus HSA</v>
          </cell>
          <cell r="CC1242" t="str">
            <v>N/A</v>
          </cell>
          <cell r="CD1242" t="str">
            <v>N/A</v>
          </cell>
          <cell r="CE1242" t="str">
            <v>N/A</v>
          </cell>
          <cell r="CF1242" t="str">
            <v>N/A</v>
          </cell>
          <cell r="CG1242" t="str">
            <v>N/A</v>
          </cell>
          <cell r="CH1242" t="str">
            <v>N/A</v>
          </cell>
          <cell r="CI1242" t="str">
            <v>N/A</v>
          </cell>
          <cell r="CJ1242" t="str">
            <v>$1,300 / $2,600</v>
          </cell>
          <cell r="CK1242">
            <v>0.8</v>
          </cell>
          <cell r="CL1242" t="str">
            <v>$6,550 / $13,100</v>
          </cell>
          <cell r="CM1242" t="str">
            <v>$2,600 / $5,200</v>
          </cell>
          <cell r="CN1242">
            <v>0.6</v>
          </cell>
          <cell r="CO1242" t="str">
            <v>$13,100 / $26,200</v>
          </cell>
          <cell r="CP1242" t="str">
            <v>NonEmb</v>
          </cell>
          <cell r="CS1242" t="str">
            <v>INS</v>
          </cell>
          <cell r="CT1242" t="str">
            <v>Select +</v>
          </cell>
          <cell r="CV1242" t="str">
            <v>H9-HSA</v>
          </cell>
          <cell r="CW1242" t="str">
            <v>SPHSA17</v>
          </cell>
        </row>
        <row r="1243">
          <cell r="CA1243" t="str">
            <v>AOPB</v>
          </cell>
          <cell r="CB1243" t="str">
            <v>Select Plus HSA</v>
          </cell>
          <cell r="CC1243" t="str">
            <v>N/A</v>
          </cell>
          <cell r="CD1243" t="str">
            <v>N/A</v>
          </cell>
          <cell r="CE1243" t="str">
            <v>N/A</v>
          </cell>
          <cell r="CF1243" t="str">
            <v>N/A</v>
          </cell>
          <cell r="CG1243" t="str">
            <v>N/A</v>
          </cell>
          <cell r="CH1243" t="str">
            <v>N/A</v>
          </cell>
          <cell r="CI1243" t="str">
            <v>N/A</v>
          </cell>
          <cell r="CJ1243" t="str">
            <v>$1,500 / $2,600</v>
          </cell>
          <cell r="CK1243">
            <v>0.8</v>
          </cell>
          <cell r="CL1243" t="str">
            <v>$6,000 / $12,000</v>
          </cell>
          <cell r="CM1243" t="str">
            <v>$3,000 / $6,000</v>
          </cell>
          <cell r="CN1243">
            <v>0.6</v>
          </cell>
          <cell r="CO1243" t="str">
            <v>$12,000 / $24,000</v>
          </cell>
          <cell r="CP1243" t="str">
            <v>NonEmb</v>
          </cell>
          <cell r="CS1243" t="str">
            <v>INS</v>
          </cell>
          <cell r="CT1243" t="str">
            <v>Select +</v>
          </cell>
          <cell r="CV1243" t="str">
            <v>H9-HSA</v>
          </cell>
          <cell r="CW1243" t="str">
            <v>SPHSA17</v>
          </cell>
        </row>
        <row r="1244">
          <cell r="CA1244" t="str">
            <v>AOPC</v>
          </cell>
          <cell r="CB1244" t="str">
            <v>Select Plus HSA</v>
          </cell>
          <cell r="CC1244" t="str">
            <v>N/A</v>
          </cell>
          <cell r="CD1244" t="str">
            <v>N/A</v>
          </cell>
          <cell r="CE1244" t="str">
            <v>N/A</v>
          </cell>
          <cell r="CF1244" t="str">
            <v>N/A</v>
          </cell>
          <cell r="CG1244" t="str">
            <v>N/A</v>
          </cell>
          <cell r="CH1244" t="str">
            <v>N/A</v>
          </cell>
          <cell r="CI1244" t="str">
            <v>N/A</v>
          </cell>
          <cell r="CJ1244" t="str">
            <v>$2,000 / $2,600</v>
          </cell>
          <cell r="CK1244">
            <v>0.8</v>
          </cell>
          <cell r="CL1244" t="str">
            <v>$4,000 / $8,000</v>
          </cell>
          <cell r="CM1244" t="str">
            <v>$4,000 / $8,000</v>
          </cell>
          <cell r="CN1244">
            <v>0.6</v>
          </cell>
          <cell r="CO1244" t="str">
            <v>$8,000 / $16,000</v>
          </cell>
          <cell r="CP1244" t="str">
            <v>NonEmb</v>
          </cell>
          <cell r="CS1244" t="str">
            <v>INS</v>
          </cell>
          <cell r="CT1244" t="str">
            <v>Select +</v>
          </cell>
          <cell r="CV1244" t="str">
            <v>H9-HSA</v>
          </cell>
          <cell r="CW1244" t="str">
            <v>SPHSA17</v>
          </cell>
        </row>
        <row r="1245">
          <cell r="CA1245" t="str">
            <v>ULG</v>
          </cell>
          <cell r="CB1245" t="str">
            <v>Select Plus HSA</v>
          </cell>
          <cell r="CC1245" t="str">
            <v>N/A</v>
          </cell>
          <cell r="CD1245" t="str">
            <v>N/A</v>
          </cell>
          <cell r="CE1245" t="str">
            <v>N/A</v>
          </cell>
          <cell r="CF1245" t="str">
            <v>N/A</v>
          </cell>
          <cell r="CG1245" t="str">
            <v>N/A</v>
          </cell>
          <cell r="CH1245" t="str">
            <v>N/A</v>
          </cell>
          <cell r="CI1245" t="str">
            <v>N/A</v>
          </cell>
          <cell r="CJ1245" t="str">
            <v>$1,500 / $3,000</v>
          </cell>
          <cell r="CK1245">
            <v>1</v>
          </cell>
          <cell r="CL1245" t="str">
            <v>$2,500 / $5,000</v>
          </cell>
          <cell r="CM1245" t="str">
            <v>$3,500 / $7,000</v>
          </cell>
          <cell r="CN1245">
            <v>0.8</v>
          </cell>
          <cell r="CO1245" t="str">
            <v>$4,500 / $9,000</v>
          </cell>
          <cell r="CP1245" t="str">
            <v>NonEmb</v>
          </cell>
          <cell r="CS1245" t="str">
            <v>INS</v>
          </cell>
          <cell r="CT1245" t="str">
            <v>Select +</v>
          </cell>
        </row>
        <row r="1246">
          <cell r="CA1246" t="str">
            <v>ULH</v>
          </cell>
          <cell r="CB1246" t="str">
            <v>Select Plus HSA</v>
          </cell>
          <cell r="CC1246" t="str">
            <v>N/A</v>
          </cell>
          <cell r="CD1246" t="str">
            <v>N/A</v>
          </cell>
          <cell r="CE1246" t="str">
            <v>N/A</v>
          </cell>
          <cell r="CF1246" t="str">
            <v>N/A</v>
          </cell>
          <cell r="CG1246" t="str">
            <v>N/A</v>
          </cell>
          <cell r="CH1246" t="str">
            <v>N/A</v>
          </cell>
          <cell r="CI1246" t="str">
            <v>N/A</v>
          </cell>
          <cell r="CJ1246" t="str">
            <v>$2,000 / $4,000</v>
          </cell>
          <cell r="CK1246">
            <v>1</v>
          </cell>
          <cell r="CL1246" t="str">
            <v>$3,000 / $6,000</v>
          </cell>
          <cell r="CM1246" t="str">
            <v>$4,000 / $8,000</v>
          </cell>
          <cell r="CN1246">
            <v>0.8</v>
          </cell>
          <cell r="CO1246" t="str">
            <v>$8,000 / $16,000</v>
          </cell>
          <cell r="CP1246" t="str">
            <v>NonEmb</v>
          </cell>
          <cell r="CS1246" t="str">
            <v>INS</v>
          </cell>
          <cell r="CT1246" t="str">
            <v>Select +</v>
          </cell>
        </row>
        <row r="1247">
          <cell r="CA1247" t="str">
            <v>ULK</v>
          </cell>
          <cell r="CB1247" t="str">
            <v>Select Plus HSA</v>
          </cell>
          <cell r="CC1247" t="str">
            <v>N/A</v>
          </cell>
          <cell r="CD1247" t="str">
            <v>N/A</v>
          </cell>
          <cell r="CE1247" t="str">
            <v>N/A</v>
          </cell>
          <cell r="CF1247" t="str">
            <v>N/A</v>
          </cell>
          <cell r="CG1247" t="str">
            <v>N/A</v>
          </cell>
          <cell r="CH1247" t="str">
            <v>N/A</v>
          </cell>
          <cell r="CI1247" t="str">
            <v>N/A</v>
          </cell>
          <cell r="CJ1247" t="str">
            <v>$1,500 / $3,000</v>
          </cell>
          <cell r="CK1247">
            <v>0.9</v>
          </cell>
          <cell r="CL1247" t="str">
            <v>$2,500 / $5,000</v>
          </cell>
          <cell r="CM1247" t="str">
            <v>$3,500 / $7,000</v>
          </cell>
          <cell r="CN1247">
            <v>0.7</v>
          </cell>
          <cell r="CO1247" t="str">
            <v>$4,500 / $9,000</v>
          </cell>
          <cell r="CP1247" t="str">
            <v>NonEmb</v>
          </cell>
          <cell r="CS1247" t="str">
            <v>INS</v>
          </cell>
          <cell r="CT1247" t="str">
            <v>Select +</v>
          </cell>
        </row>
        <row r="1248">
          <cell r="CA1248" t="str">
            <v>ULM</v>
          </cell>
          <cell r="CB1248" t="str">
            <v>Select Plus HSA</v>
          </cell>
          <cell r="CC1248" t="str">
            <v>N/A</v>
          </cell>
          <cell r="CD1248" t="str">
            <v>N/A</v>
          </cell>
          <cell r="CE1248" t="str">
            <v>N/A</v>
          </cell>
          <cell r="CF1248" t="str">
            <v>N/A</v>
          </cell>
          <cell r="CG1248" t="str">
            <v>N/A</v>
          </cell>
          <cell r="CH1248" t="str">
            <v>N/A</v>
          </cell>
          <cell r="CI1248" t="str">
            <v>N/A</v>
          </cell>
          <cell r="CJ1248" t="str">
            <v>$2,000 / $4,000</v>
          </cell>
          <cell r="CK1248">
            <v>0.7</v>
          </cell>
          <cell r="CL1248" t="str">
            <v>$3,000 / $6,000</v>
          </cell>
          <cell r="CM1248" t="str">
            <v>$4,000 / $8,000</v>
          </cell>
          <cell r="CN1248">
            <v>0.5</v>
          </cell>
          <cell r="CO1248" t="str">
            <v>$6,000 / $12,000</v>
          </cell>
          <cell r="CP1248" t="str">
            <v>NonEmb</v>
          </cell>
          <cell r="CS1248" t="str">
            <v>INS</v>
          </cell>
          <cell r="CT1248" t="str">
            <v>Select +</v>
          </cell>
        </row>
        <row r="1250">
          <cell r="CA1250" t="str">
            <v>1149A</v>
          </cell>
          <cell r="CB1250" t="str">
            <v>Choice HSA</v>
          </cell>
          <cell r="CC1250">
            <v>0</v>
          </cell>
          <cell r="CD1250">
            <v>0</v>
          </cell>
          <cell r="CE1250" t="str">
            <v>N/A</v>
          </cell>
          <cell r="CF1250" t="str">
            <v>N/A</v>
          </cell>
          <cell r="CG1250" t="str">
            <v>N/A</v>
          </cell>
          <cell r="CH1250" t="str">
            <v>N/A</v>
          </cell>
          <cell r="CI1250" t="str">
            <v>N/A</v>
          </cell>
          <cell r="CJ1250" t="str">
            <v>$1,500 / $3,000</v>
          </cell>
          <cell r="CK1250">
            <v>0.8</v>
          </cell>
          <cell r="CL1250" t="str">
            <v>$3,500 / $6,850</v>
          </cell>
          <cell r="CM1250" t="str">
            <v>$0 / $0</v>
          </cell>
          <cell r="CN1250">
            <v>0</v>
          </cell>
          <cell r="CO1250" t="str">
            <v>$0 / $0</v>
          </cell>
          <cell r="CP1250" t="str">
            <v>NonEmb</v>
          </cell>
          <cell r="CS1250" t="str">
            <v>INS</v>
          </cell>
          <cell r="CT1250" t="str">
            <v>Choice</v>
          </cell>
        </row>
        <row r="1251">
          <cell r="CA1251" t="str">
            <v>1150A</v>
          </cell>
          <cell r="CB1251" t="str">
            <v>Choice HSA</v>
          </cell>
          <cell r="CC1251">
            <v>0</v>
          </cell>
          <cell r="CD1251">
            <v>0</v>
          </cell>
          <cell r="CE1251" t="str">
            <v>N/A</v>
          </cell>
          <cell r="CF1251" t="str">
            <v>N/A</v>
          </cell>
          <cell r="CG1251" t="str">
            <v>N/A</v>
          </cell>
          <cell r="CH1251" t="str">
            <v>N/A</v>
          </cell>
          <cell r="CI1251" t="str">
            <v>N/A</v>
          </cell>
          <cell r="CJ1251" t="str">
            <v>$2,000 / $4,000</v>
          </cell>
          <cell r="CK1251">
            <v>0.8</v>
          </cell>
          <cell r="CL1251" t="str">
            <v>$4,000 / $6,850</v>
          </cell>
          <cell r="CM1251" t="str">
            <v>$0 / $0</v>
          </cell>
          <cell r="CN1251">
            <v>0</v>
          </cell>
          <cell r="CO1251" t="str">
            <v>$0 / $0</v>
          </cell>
          <cell r="CP1251" t="str">
            <v>NonEmb</v>
          </cell>
          <cell r="CS1251" t="str">
            <v>INS</v>
          </cell>
          <cell r="CT1251" t="str">
            <v>Choice</v>
          </cell>
        </row>
        <row r="1252">
          <cell r="CA1252" t="str">
            <v>1151A</v>
          </cell>
          <cell r="CB1252" t="str">
            <v>Choice HSA</v>
          </cell>
          <cell r="CC1252">
            <v>0</v>
          </cell>
          <cell r="CD1252">
            <v>0</v>
          </cell>
          <cell r="CE1252" t="str">
            <v>N/A</v>
          </cell>
          <cell r="CF1252" t="str">
            <v>N/A</v>
          </cell>
          <cell r="CG1252" t="str">
            <v>N/A</v>
          </cell>
          <cell r="CH1252" t="str">
            <v>N/A</v>
          </cell>
          <cell r="CI1252" t="str">
            <v>N/A</v>
          </cell>
          <cell r="CJ1252" t="str">
            <v>$3,000 / $6,000</v>
          </cell>
          <cell r="CK1252">
            <v>0.8</v>
          </cell>
          <cell r="CL1252" t="str">
            <v>$4,000 / $6,850</v>
          </cell>
          <cell r="CM1252" t="str">
            <v>$0 / $0</v>
          </cell>
          <cell r="CN1252">
            <v>0</v>
          </cell>
          <cell r="CO1252" t="str">
            <v>$0 / $0</v>
          </cell>
          <cell r="CP1252" t="str">
            <v>NonEmb</v>
          </cell>
          <cell r="CS1252" t="str">
            <v>INS</v>
          </cell>
          <cell r="CT1252" t="str">
            <v>Choice</v>
          </cell>
        </row>
        <row r="1253">
          <cell r="CA1253" t="str">
            <v>1152A</v>
          </cell>
          <cell r="CB1253" t="str">
            <v>Choice HSA</v>
          </cell>
          <cell r="CC1253" t="str">
            <v>N/A</v>
          </cell>
          <cell r="CD1253" t="str">
            <v>N/A</v>
          </cell>
          <cell r="CE1253" t="str">
            <v>N/A</v>
          </cell>
          <cell r="CF1253" t="str">
            <v>N/A</v>
          </cell>
          <cell r="CG1253" t="str">
            <v>N/A</v>
          </cell>
          <cell r="CH1253" t="str">
            <v>N/A</v>
          </cell>
          <cell r="CI1253" t="str">
            <v>N/A</v>
          </cell>
          <cell r="CJ1253" t="str">
            <v>$2,600 / $5,200</v>
          </cell>
          <cell r="CK1253">
            <v>0.8</v>
          </cell>
          <cell r="CL1253" t="str">
            <v>$5,000 / $10,000</v>
          </cell>
          <cell r="CM1253" t="str">
            <v>$0 / $0</v>
          </cell>
          <cell r="CN1253">
            <v>0</v>
          </cell>
          <cell r="CO1253" t="str">
            <v>$0 / $0</v>
          </cell>
          <cell r="CP1253" t="str">
            <v>Emb</v>
          </cell>
          <cell r="CS1253" t="str">
            <v>INS</v>
          </cell>
          <cell r="CT1253" t="str">
            <v>Choice</v>
          </cell>
          <cell r="CV1253" t="str">
            <v>H9-HSA</v>
          </cell>
          <cell r="CW1253" t="str">
            <v>CHSA14W</v>
          </cell>
        </row>
        <row r="1254">
          <cell r="CA1254">
            <v>459</v>
          </cell>
          <cell r="CB1254" t="str">
            <v>Choice HSA</v>
          </cell>
          <cell r="CC1254" t="str">
            <v>N/A</v>
          </cell>
          <cell r="CD1254" t="str">
            <v>N/A</v>
          </cell>
          <cell r="CE1254" t="str">
            <v>N/A</v>
          </cell>
          <cell r="CF1254" t="str">
            <v>N/A</v>
          </cell>
          <cell r="CG1254" t="str">
            <v>N/A</v>
          </cell>
          <cell r="CH1254" t="str">
            <v>N/A</v>
          </cell>
          <cell r="CI1254" t="str">
            <v>N/A</v>
          </cell>
          <cell r="CJ1254" t="str">
            <v>$1,500 / $3,000</v>
          </cell>
          <cell r="CK1254">
            <v>0.8</v>
          </cell>
          <cell r="CL1254" t="str">
            <v>$3,500 / $7,000</v>
          </cell>
          <cell r="CM1254" t="str">
            <v>$0 / $0</v>
          </cell>
          <cell r="CN1254">
            <v>0</v>
          </cell>
          <cell r="CO1254" t="str">
            <v>$0 / $0</v>
          </cell>
          <cell r="CP1254" t="str">
            <v>NonEmb</v>
          </cell>
          <cell r="CS1254" t="str">
            <v>INS</v>
          </cell>
          <cell r="CT1254" t="str">
            <v>Choice</v>
          </cell>
        </row>
        <row r="1255">
          <cell r="CA1255">
            <v>463</v>
          </cell>
          <cell r="CB1255" t="str">
            <v>Choice HSA</v>
          </cell>
          <cell r="CC1255" t="str">
            <v>N/A</v>
          </cell>
          <cell r="CD1255" t="str">
            <v>N/A</v>
          </cell>
          <cell r="CE1255" t="str">
            <v>N/A</v>
          </cell>
          <cell r="CF1255" t="str">
            <v>N/A</v>
          </cell>
          <cell r="CG1255" t="str">
            <v>N/A</v>
          </cell>
          <cell r="CH1255" t="str">
            <v>N/A</v>
          </cell>
          <cell r="CI1255" t="str">
            <v>N/A</v>
          </cell>
          <cell r="CJ1255" t="str">
            <v>$2,000 / $4,000</v>
          </cell>
          <cell r="CK1255">
            <v>0.8</v>
          </cell>
          <cell r="CL1255" t="str">
            <v>$4,000 / $8,000</v>
          </cell>
          <cell r="CM1255" t="str">
            <v>$0 / $0</v>
          </cell>
          <cell r="CN1255">
            <v>0</v>
          </cell>
          <cell r="CO1255" t="str">
            <v>$0 / $0</v>
          </cell>
          <cell r="CP1255" t="str">
            <v>NonEmb</v>
          </cell>
          <cell r="CS1255" t="str">
            <v>INS</v>
          </cell>
          <cell r="CT1255" t="str">
            <v>Choice</v>
          </cell>
        </row>
        <row r="1256">
          <cell r="CA1256">
            <v>466</v>
          </cell>
          <cell r="CB1256" t="str">
            <v>Choice HSA</v>
          </cell>
          <cell r="CC1256" t="str">
            <v>N/A</v>
          </cell>
          <cell r="CD1256" t="str">
            <v>N/A</v>
          </cell>
          <cell r="CE1256" t="str">
            <v>N/A</v>
          </cell>
          <cell r="CF1256" t="str">
            <v>N/A</v>
          </cell>
          <cell r="CG1256" t="str">
            <v>N/A</v>
          </cell>
          <cell r="CH1256" t="str">
            <v>N/A</v>
          </cell>
          <cell r="CI1256" t="str">
            <v>N/A</v>
          </cell>
          <cell r="CJ1256" t="str">
            <v>$3,000 / $6,000</v>
          </cell>
          <cell r="CK1256">
            <v>0.8</v>
          </cell>
          <cell r="CL1256" t="str">
            <v>$4,000 / $8,000</v>
          </cell>
          <cell r="CM1256" t="str">
            <v>$0 / $0</v>
          </cell>
          <cell r="CN1256">
            <v>0</v>
          </cell>
          <cell r="CO1256" t="str">
            <v>$0 / $0</v>
          </cell>
          <cell r="CP1256" t="str">
            <v>NonEmb</v>
          </cell>
          <cell r="CS1256" t="str">
            <v>INS</v>
          </cell>
          <cell r="CT1256" t="str">
            <v>Choice</v>
          </cell>
        </row>
        <row r="1257">
          <cell r="CA1257">
            <v>467</v>
          </cell>
          <cell r="CB1257" t="str">
            <v>Choice HSA</v>
          </cell>
          <cell r="CC1257" t="str">
            <v>N/A</v>
          </cell>
          <cell r="CD1257" t="str">
            <v>N/A</v>
          </cell>
          <cell r="CE1257" t="str">
            <v>N/A</v>
          </cell>
          <cell r="CF1257" t="str">
            <v>N/A</v>
          </cell>
          <cell r="CG1257" t="str">
            <v>N/A</v>
          </cell>
          <cell r="CH1257" t="str">
            <v>N/A</v>
          </cell>
          <cell r="CI1257" t="str">
            <v>N/A</v>
          </cell>
          <cell r="CJ1257" t="str">
            <v>$2,500 / $5,000</v>
          </cell>
          <cell r="CK1257">
            <v>0.8</v>
          </cell>
          <cell r="CL1257" t="str">
            <v>$5,000 / $10,000</v>
          </cell>
          <cell r="CM1257" t="str">
            <v>$0 / $0</v>
          </cell>
          <cell r="CN1257">
            <v>0</v>
          </cell>
          <cell r="CO1257" t="str">
            <v>$0 / $0</v>
          </cell>
          <cell r="CP1257" t="str">
            <v>NonEmb</v>
          </cell>
          <cell r="CS1257" t="str">
            <v>INS</v>
          </cell>
          <cell r="CT1257" t="str">
            <v>Choice</v>
          </cell>
        </row>
        <row r="1258">
          <cell r="CA1258" t="str">
            <v>AJ37</v>
          </cell>
          <cell r="CB1258" t="str">
            <v>Choice HSA</v>
          </cell>
          <cell r="CC1258" t="str">
            <v>N/A</v>
          </cell>
          <cell r="CD1258" t="str">
            <v>N/A</v>
          </cell>
          <cell r="CE1258" t="str">
            <v>N/A</v>
          </cell>
          <cell r="CF1258" t="str">
            <v>N/A</v>
          </cell>
          <cell r="CG1258" t="str">
            <v>N/A</v>
          </cell>
          <cell r="CH1258" t="str">
            <v>N/A</v>
          </cell>
          <cell r="CI1258" t="str">
            <v>N/A</v>
          </cell>
          <cell r="CJ1258" t="str">
            <v>$2,600 / $5,200</v>
          </cell>
          <cell r="CK1258">
            <v>1</v>
          </cell>
          <cell r="CL1258" t="str">
            <v>$3,600 / $7,200</v>
          </cell>
          <cell r="CM1258" t="str">
            <v>$0 / $0</v>
          </cell>
          <cell r="CN1258">
            <v>0</v>
          </cell>
          <cell r="CO1258" t="str">
            <v>$0 / $0</v>
          </cell>
          <cell r="CP1258" t="str">
            <v>Emb</v>
          </cell>
          <cell r="CS1258" t="str">
            <v>INS</v>
          </cell>
          <cell r="CT1258" t="str">
            <v>Choice</v>
          </cell>
          <cell r="CV1258" t="str">
            <v>H9-HSA</v>
          </cell>
          <cell r="CW1258" t="str">
            <v>CHSA14W</v>
          </cell>
        </row>
        <row r="1259">
          <cell r="CA1259" t="str">
            <v>AJ38</v>
          </cell>
          <cell r="CB1259" t="str">
            <v>Choice HSA</v>
          </cell>
          <cell r="CC1259" t="str">
            <v>N/A</v>
          </cell>
          <cell r="CD1259" t="str">
            <v>N/A</v>
          </cell>
          <cell r="CE1259" t="str">
            <v>N/A</v>
          </cell>
          <cell r="CF1259" t="str">
            <v>N/A</v>
          </cell>
          <cell r="CG1259" t="str">
            <v>N/A</v>
          </cell>
          <cell r="CH1259" t="str">
            <v>N/A</v>
          </cell>
          <cell r="CI1259" t="str">
            <v>N/A</v>
          </cell>
          <cell r="CJ1259" t="str">
            <v>$2,600 / $5,200</v>
          </cell>
          <cell r="CK1259">
            <v>0.9</v>
          </cell>
          <cell r="CL1259" t="str">
            <v>$3,600 / $7,200</v>
          </cell>
          <cell r="CM1259" t="str">
            <v>$0 / $0</v>
          </cell>
          <cell r="CN1259">
            <v>0</v>
          </cell>
          <cell r="CO1259" t="str">
            <v>$0 / $0</v>
          </cell>
          <cell r="CP1259" t="str">
            <v>Emb</v>
          </cell>
          <cell r="CS1259" t="str">
            <v>INS</v>
          </cell>
          <cell r="CT1259" t="str">
            <v>Choice</v>
          </cell>
          <cell r="CV1259" t="str">
            <v>H9-HSA</v>
          </cell>
          <cell r="CW1259" t="str">
            <v>CHSA14W</v>
          </cell>
        </row>
        <row r="1260">
          <cell r="CA1260" t="str">
            <v>AJ39</v>
          </cell>
          <cell r="CB1260" t="str">
            <v>Choice HSA</v>
          </cell>
          <cell r="CC1260" t="str">
            <v>N/A</v>
          </cell>
          <cell r="CD1260" t="str">
            <v>N/A</v>
          </cell>
          <cell r="CE1260" t="str">
            <v>N/A</v>
          </cell>
          <cell r="CF1260" t="str">
            <v>$100 POD</v>
          </cell>
          <cell r="CG1260" t="str">
            <v>N/A</v>
          </cell>
          <cell r="CH1260" t="str">
            <v>$100 POD</v>
          </cell>
          <cell r="CI1260" t="str">
            <v>N/A</v>
          </cell>
          <cell r="CJ1260" t="str">
            <v>$2,600 / $5,200</v>
          </cell>
          <cell r="CK1260">
            <v>0.9</v>
          </cell>
          <cell r="CL1260" t="str">
            <v>$4,100 / $8,200</v>
          </cell>
          <cell r="CM1260" t="str">
            <v>$0 / $0</v>
          </cell>
          <cell r="CN1260">
            <v>0</v>
          </cell>
          <cell r="CO1260" t="str">
            <v>$0 / $0</v>
          </cell>
          <cell r="CP1260" t="str">
            <v>Emb</v>
          </cell>
          <cell r="CS1260" t="str">
            <v>INS</v>
          </cell>
          <cell r="CT1260" t="str">
            <v>Choice</v>
          </cell>
          <cell r="CV1260" t="str">
            <v>H9-HSA</v>
          </cell>
          <cell r="CW1260" t="str">
            <v>CHSA14W</v>
          </cell>
        </row>
        <row r="1261">
          <cell r="CA1261" t="str">
            <v>AJ4A</v>
          </cell>
          <cell r="CB1261" t="str">
            <v>Choice HSA</v>
          </cell>
          <cell r="CC1261" t="str">
            <v>N/A</v>
          </cell>
          <cell r="CD1261" t="str">
            <v>N/A</v>
          </cell>
          <cell r="CE1261" t="str">
            <v>N/A</v>
          </cell>
          <cell r="CF1261" t="str">
            <v>N/A</v>
          </cell>
          <cell r="CG1261" t="str">
            <v>N/A</v>
          </cell>
          <cell r="CH1261" t="str">
            <v>N/A</v>
          </cell>
          <cell r="CI1261" t="str">
            <v>N/A</v>
          </cell>
          <cell r="CJ1261" t="str">
            <v>$2,600 / $5,200</v>
          </cell>
          <cell r="CK1261">
            <v>0.8</v>
          </cell>
          <cell r="CL1261" t="str">
            <v>$4,600 / $9,200</v>
          </cell>
          <cell r="CM1261" t="str">
            <v>$0 / $0</v>
          </cell>
          <cell r="CN1261">
            <v>0</v>
          </cell>
          <cell r="CO1261" t="str">
            <v>$0 / $0</v>
          </cell>
          <cell r="CP1261" t="str">
            <v>Emb</v>
          </cell>
          <cell r="CS1261" t="str">
            <v>INS</v>
          </cell>
          <cell r="CT1261" t="str">
            <v>Choice</v>
          </cell>
          <cell r="CV1261" t="str">
            <v>H9-HSA</v>
          </cell>
          <cell r="CW1261" t="str">
            <v>CHSA14W</v>
          </cell>
        </row>
        <row r="1262">
          <cell r="CA1262" t="str">
            <v>AJ4B</v>
          </cell>
          <cell r="CB1262" t="str">
            <v>Choice HSA</v>
          </cell>
          <cell r="CC1262" t="str">
            <v>N/A</v>
          </cell>
          <cell r="CD1262" t="str">
            <v>N/A</v>
          </cell>
          <cell r="CE1262" t="str">
            <v>N/A</v>
          </cell>
          <cell r="CF1262" t="str">
            <v>N/A</v>
          </cell>
          <cell r="CG1262" t="str">
            <v>N/A</v>
          </cell>
          <cell r="CH1262" t="str">
            <v>N/A</v>
          </cell>
          <cell r="CI1262" t="str">
            <v>N/A</v>
          </cell>
          <cell r="CJ1262" t="str">
            <v>$2,600 / $5,200</v>
          </cell>
          <cell r="CK1262">
            <v>0.9</v>
          </cell>
          <cell r="CL1262" t="str">
            <v>$6,550 / $13,100</v>
          </cell>
          <cell r="CM1262" t="str">
            <v>$0 / $0</v>
          </cell>
          <cell r="CN1262">
            <v>0</v>
          </cell>
          <cell r="CO1262" t="str">
            <v>$0 / $0</v>
          </cell>
          <cell r="CP1262" t="str">
            <v>Emb</v>
          </cell>
          <cell r="CS1262" t="str">
            <v>INS</v>
          </cell>
          <cell r="CT1262" t="str">
            <v>Choice</v>
          </cell>
          <cell r="CV1262" t="str">
            <v>H9-HSA</v>
          </cell>
          <cell r="CW1262" t="str">
            <v>CHSA14W</v>
          </cell>
        </row>
        <row r="1264">
          <cell r="CA1264" t="str">
            <v>1153A</v>
          </cell>
          <cell r="CB1264" t="str">
            <v>Choice Plus HSA</v>
          </cell>
          <cell r="CC1264" t="str">
            <v>N/A</v>
          </cell>
          <cell r="CD1264" t="str">
            <v>N/A</v>
          </cell>
          <cell r="CE1264" t="str">
            <v>N/A</v>
          </cell>
          <cell r="CF1264" t="str">
            <v>N/A</v>
          </cell>
          <cell r="CG1264" t="str">
            <v>N/A</v>
          </cell>
          <cell r="CH1264" t="str">
            <v>N/A</v>
          </cell>
          <cell r="CI1264" t="str">
            <v>N/A</v>
          </cell>
          <cell r="CJ1264" t="str">
            <v>$1,500 / $3,000</v>
          </cell>
          <cell r="CK1264">
            <v>0.8</v>
          </cell>
          <cell r="CL1264" t="str">
            <v>$3,500 / $6,850</v>
          </cell>
          <cell r="CM1264" t="str">
            <v>$3,500 / $7,000</v>
          </cell>
          <cell r="CN1264">
            <v>0.6</v>
          </cell>
          <cell r="CO1264" t="str">
            <v>$6,000 / $12,000</v>
          </cell>
          <cell r="CP1264" t="str">
            <v>NonEmb</v>
          </cell>
          <cell r="CS1264" t="str">
            <v>INS</v>
          </cell>
          <cell r="CT1264" t="str">
            <v>Choice +</v>
          </cell>
        </row>
        <row r="1265">
          <cell r="CA1265" t="str">
            <v>1154A</v>
          </cell>
          <cell r="CB1265" t="str">
            <v>Choice Plus HSA</v>
          </cell>
          <cell r="CC1265" t="str">
            <v>N/A</v>
          </cell>
          <cell r="CD1265" t="str">
            <v>N/A</v>
          </cell>
          <cell r="CE1265" t="str">
            <v>N/A</v>
          </cell>
          <cell r="CF1265" t="str">
            <v>N/A</v>
          </cell>
          <cell r="CG1265" t="str">
            <v>N/A</v>
          </cell>
          <cell r="CH1265" t="str">
            <v>N/A</v>
          </cell>
          <cell r="CI1265" t="str">
            <v>N/A</v>
          </cell>
          <cell r="CJ1265" t="str">
            <v>$2,000 / $4,000</v>
          </cell>
          <cell r="CK1265">
            <v>0.9</v>
          </cell>
          <cell r="CL1265" t="str">
            <v>$4,000 / $6,850</v>
          </cell>
          <cell r="CM1265" t="str">
            <v>$4,000 / $8,000</v>
          </cell>
          <cell r="CN1265">
            <v>0.7</v>
          </cell>
          <cell r="CO1265" t="str">
            <v>$8,000 / $16,000</v>
          </cell>
          <cell r="CP1265" t="str">
            <v>NonEmb</v>
          </cell>
          <cell r="CS1265" t="str">
            <v>INS</v>
          </cell>
          <cell r="CT1265" t="str">
            <v>Choice +</v>
          </cell>
        </row>
        <row r="1266">
          <cell r="CA1266" t="str">
            <v>1155A</v>
          </cell>
          <cell r="CB1266" t="str">
            <v>Choice Plus HSA</v>
          </cell>
          <cell r="CC1266" t="str">
            <v>N/A</v>
          </cell>
          <cell r="CD1266" t="str">
            <v>N/A</v>
          </cell>
          <cell r="CE1266" t="str">
            <v>N/A</v>
          </cell>
          <cell r="CF1266" t="str">
            <v>N/A</v>
          </cell>
          <cell r="CG1266" t="str">
            <v>N/A</v>
          </cell>
          <cell r="CH1266" t="str">
            <v>N/A</v>
          </cell>
          <cell r="CI1266" t="str">
            <v>N/A</v>
          </cell>
          <cell r="CJ1266" t="str">
            <v>$2,000 / $4,000</v>
          </cell>
          <cell r="CK1266">
            <v>0.8</v>
          </cell>
          <cell r="CL1266" t="str">
            <v>$4,000 / $6,850</v>
          </cell>
          <cell r="CM1266" t="str">
            <v>$4,000 / $8,000</v>
          </cell>
          <cell r="CN1266">
            <v>0.6</v>
          </cell>
          <cell r="CO1266" t="str">
            <v>$9,000 / $18,000</v>
          </cell>
          <cell r="CP1266" t="str">
            <v>NonEmb</v>
          </cell>
          <cell r="CS1266" t="str">
            <v>INS</v>
          </cell>
          <cell r="CT1266" t="str">
            <v>Choice +</v>
          </cell>
        </row>
        <row r="1267">
          <cell r="CA1267" t="str">
            <v>1156A</v>
          </cell>
          <cell r="CB1267" t="str">
            <v>Choice Plus HSA</v>
          </cell>
          <cell r="CC1267" t="str">
            <v>N/A</v>
          </cell>
          <cell r="CD1267" t="str">
            <v>N/A</v>
          </cell>
          <cell r="CE1267" t="str">
            <v>N/A</v>
          </cell>
          <cell r="CF1267" t="str">
            <v>N/A</v>
          </cell>
          <cell r="CG1267" t="str">
            <v>N/A</v>
          </cell>
          <cell r="CH1267" t="str">
            <v>N/A</v>
          </cell>
          <cell r="CI1267" t="str">
            <v>N/A</v>
          </cell>
          <cell r="CJ1267" t="str">
            <v>$2,500 / $5,000</v>
          </cell>
          <cell r="CK1267">
            <v>0.9</v>
          </cell>
          <cell r="CL1267" t="str">
            <v>$5,000 / $6,850</v>
          </cell>
          <cell r="CM1267" t="str">
            <v>$5,000 / $10,000</v>
          </cell>
          <cell r="CN1267">
            <v>0.7</v>
          </cell>
          <cell r="CO1267" t="str">
            <v>$10,000 / $20,000</v>
          </cell>
          <cell r="CP1267" t="str">
            <v>NonEmb</v>
          </cell>
          <cell r="CS1267" t="str">
            <v>INS</v>
          </cell>
          <cell r="CT1267" t="str">
            <v>Choice +</v>
          </cell>
        </row>
        <row r="1268">
          <cell r="CA1268" t="str">
            <v>1157A</v>
          </cell>
          <cell r="CB1268" t="str">
            <v>Choice Plus HSA</v>
          </cell>
          <cell r="CC1268" t="str">
            <v>N/A</v>
          </cell>
          <cell r="CD1268" t="str">
            <v>N/A</v>
          </cell>
          <cell r="CE1268" t="str">
            <v>N/A</v>
          </cell>
          <cell r="CF1268" t="str">
            <v>N/A</v>
          </cell>
          <cell r="CG1268" t="str">
            <v>N/A</v>
          </cell>
          <cell r="CH1268" t="str">
            <v>N/A</v>
          </cell>
          <cell r="CI1268" t="str">
            <v>N/A</v>
          </cell>
          <cell r="CJ1268" t="str">
            <v>$3,000 / $6,000</v>
          </cell>
          <cell r="CK1268">
            <v>0.8</v>
          </cell>
          <cell r="CL1268" t="str">
            <v>$4,000 / $6,850</v>
          </cell>
          <cell r="CM1268" t="str">
            <v>$5,000 / $10,000</v>
          </cell>
          <cell r="CN1268">
            <v>0.6</v>
          </cell>
          <cell r="CO1268" t="str">
            <v>$6,000 / $12,000</v>
          </cell>
          <cell r="CP1268" t="str">
            <v>NonEmb</v>
          </cell>
          <cell r="CS1268" t="str">
            <v>INS</v>
          </cell>
          <cell r="CT1268" t="str">
            <v>Choice +</v>
          </cell>
        </row>
        <row r="1269">
          <cell r="CA1269" t="str">
            <v>1158A</v>
          </cell>
          <cell r="CB1269" t="str">
            <v>Choice Plus HSA</v>
          </cell>
          <cell r="CC1269" t="str">
            <v>N/A</v>
          </cell>
          <cell r="CD1269" t="str">
            <v>N/A</v>
          </cell>
          <cell r="CE1269" t="str">
            <v>N/A</v>
          </cell>
          <cell r="CF1269" t="str">
            <v>N/A</v>
          </cell>
          <cell r="CG1269" t="str">
            <v>N/A</v>
          </cell>
          <cell r="CH1269" t="str">
            <v>N/A</v>
          </cell>
          <cell r="CI1269" t="str">
            <v>N/A</v>
          </cell>
          <cell r="CJ1269" t="str">
            <v>$2,600 / $5,200</v>
          </cell>
          <cell r="CK1269">
            <v>0.8</v>
          </cell>
          <cell r="CL1269" t="str">
            <v>$5,000 / $10,000</v>
          </cell>
          <cell r="CM1269" t="str">
            <v>$6,000 / $12,000</v>
          </cell>
          <cell r="CN1269">
            <v>0.6</v>
          </cell>
          <cell r="CO1269" t="str">
            <v>$10,000 / $20,000</v>
          </cell>
          <cell r="CP1269" t="str">
            <v>Emb</v>
          </cell>
          <cell r="CS1269" t="str">
            <v>INS</v>
          </cell>
          <cell r="CT1269" t="str">
            <v>Choice +</v>
          </cell>
          <cell r="CV1269" t="str">
            <v>H9-HSA</v>
          </cell>
          <cell r="CW1269" t="str">
            <v>CPHSA14W</v>
          </cell>
        </row>
        <row r="1270">
          <cell r="CA1270">
            <v>549</v>
          </cell>
          <cell r="CB1270" t="str">
            <v>Choice Plus HSA</v>
          </cell>
          <cell r="CC1270" t="str">
            <v>N/A</v>
          </cell>
          <cell r="CD1270" t="str">
            <v>N/A</v>
          </cell>
          <cell r="CE1270" t="str">
            <v>N/A</v>
          </cell>
          <cell r="CF1270" t="str">
            <v>N/A</v>
          </cell>
          <cell r="CG1270" t="str">
            <v>N/A</v>
          </cell>
          <cell r="CH1270" t="str">
            <v>N/A</v>
          </cell>
          <cell r="CI1270" t="str">
            <v>N/A</v>
          </cell>
          <cell r="CJ1270" t="str">
            <v>$1,500 / $3,000</v>
          </cell>
          <cell r="CK1270">
            <v>1</v>
          </cell>
          <cell r="CL1270" t="str">
            <v>$2,500 / $5,000</v>
          </cell>
          <cell r="CM1270" t="str">
            <v>$3,500 / $7,000</v>
          </cell>
          <cell r="CN1270">
            <v>0.8</v>
          </cell>
          <cell r="CO1270" t="str">
            <v>$4,500 / $9,000</v>
          </cell>
          <cell r="CP1270" t="str">
            <v>NonEmb</v>
          </cell>
          <cell r="CS1270" t="str">
            <v>INS</v>
          </cell>
          <cell r="CT1270" t="str">
            <v>Choice +</v>
          </cell>
        </row>
        <row r="1271">
          <cell r="CA1271">
            <v>550</v>
          </cell>
          <cell r="CB1271" t="str">
            <v>Choice Plus HSA</v>
          </cell>
          <cell r="CC1271" t="str">
            <v>N/A</v>
          </cell>
          <cell r="CD1271" t="str">
            <v>N/A</v>
          </cell>
          <cell r="CE1271" t="str">
            <v>N/A</v>
          </cell>
          <cell r="CF1271" t="str">
            <v>N/A</v>
          </cell>
          <cell r="CG1271" t="str">
            <v>N/A</v>
          </cell>
          <cell r="CH1271" t="str">
            <v>N/A</v>
          </cell>
          <cell r="CI1271" t="str">
            <v>N/A</v>
          </cell>
          <cell r="CJ1271" t="str">
            <v>$2,000 / $4,000</v>
          </cell>
          <cell r="CK1271">
            <v>1</v>
          </cell>
          <cell r="CL1271" t="str">
            <v>$3,000 / $6,000</v>
          </cell>
          <cell r="CM1271" t="str">
            <v>$4,000 / $8,000</v>
          </cell>
          <cell r="CN1271">
            <v>0.8</v>
          </cell>
          <cell r="CO1271" t="str">
            <v>$8,000 / $16,000</v>
          </cell>
          <cell r="CP1271" t="str">
            <v>NonEmb</v>
          </cell>
          <cell r="CS1271" t="str">
            <v>INS</v>
          </cell>
          <cell r="CT1271" t="str">
            <v>Choice +</v>
          </cell>
        </row>
        <row r="1272">
          <cell r="CA1272">
            <v>553</v>
          </cell>
          <cell r="CB1272" t="str">
            <v>Choice Plus HSA</v>
          </cell>
          <cell r="CC1272" t="str">
            <v>N/A</v>
          </cell>
          <cell r="CD1272" t="str">
            <v>N/A</v>
          </cell>
          <cell r="CE1272" t="str">
            <v>N/A</v>
          </cell>
          <cell r="CF1272" t="str">
            <v>N/A</v>
          </cell>
          <cell r="CG1272" t="str">
            <v>N/A</v>
          </cell>
          <cell r="CH1272" t="str">
            <v>N/A</v>
          </cell>
          <cell r="CI1272" t="str">
            <v>N/A</v>
          </cell>
          <cell r="CJ1272" t="str">
            <v>$1,500 / $3,000</v>
          </cell>
          <cell r="CK1272">
            <v>0.9</v>
          </cell>
          <cell r="CL1272" t="str">
            <v>$2,500 / $5,000</v>
          </cell>
          <cell r="CM1272" t="str">
            <v>$3,500 / $7,000</v>
          </cell>
          <cell r="CN1272">
            <v>0.7</v>
          </cell>
          <cell r="CO1272" t="str">
            <v>$4,500 / $9,000</v>
          </cell>
          <cell r="CP1272" t="str">
            <v>NonEmb</v>
          </cell>
          <cell r="CS1272" t="str">
            <v>INS</v>
          </cell>
          <cell r="CT1272" t="str">
            <v>Choice +</v>
          </cell>
        </row>
        <row r="1273">
          <cell r="CA1273">
            <v>554</v>
          </cell>
          <cell r="CB1273" t="str">
            <v>Choice Plus HSA</v>
          </cell>
          <cell r="CC1273" t="str">
            <v>N/A</v>
          </cell>
          <cell r="CD1273" t="str">
            <v>N/A</v>
          </cell>
          <cell r="CE1273" t="str">
            <v>N/A</v>
          </cell>
          <cell r="CF1273" t="str">
            <v>N/A</v>
          </cell>
          <cell r="CG1273" t="str">
            <v>N/A</v>
          </cell>
          <cell r="CH1273" t="str">
            <v>N/A</v>
          </cell>
          <cell r="CI1273" t="str">
            <v>N/A</v>
          </cell>
          <cell r="CJ1273" t="str">
            <v>$1,500 / $3,000</v>
          </cell>
          <cell r="CK1273">
            <v>0.8</v>
          </cell>
          <cell r="CL1273" t="str">
            <v>$3,500 / $7,000</v>
          </cell>
          <cell r="CM1273" t="str">
            <v>$3,500 / $7,000</v>
          </cell>
          <cell r="CN1273">
            <v>0.6</v>
          </cell>
          <cell r="CO1273" t="str">
            <v>$6,000 / $12,000</v>
          </cell>
          <cell r="CP1273" t="str">
            <v>NonEmb</v>
          </cell>
          <cell r="CS1273" t="str">
            <v>INS</v>
          </cell>
          <cell r="CT1273" t="str">
            <v>Choice +</v>
          </cell>
        </row>
        <row r="1274">
          <cell r="CA1274">
            <v>555</v>
          </cell>
          <cell r="CB1274" t="str">
            <v>Choice Plus HSA</v>
          </cell>
          <cell r="CC1274" t="str">
            <v>N/A</v>
          </cell>
          <cell r="CD1274" t="str">
            <v>N/A</v>
          </cell>
          <cell r="CE1274" t="str">
            <v>N/A</v>
          </cell>
          <cell r="CF1274" t="str">
            <v>N/A</v>
          </cell>
          <cell r="CG1274" t="str">
            <v>N/A</v>
          </cell>
          <cell r="CH1274" t="str">
            <v>N/A</v>
          </cell>
          <cell r="CI1274" t="str">
            <v>N/A</v>
          </cell>
          <cell r="CJ1274" t="str">
            <v>$2,000 / $4,000</v>
          </cell>
          <cell r="CK1274">
            <v>0.7</v>
          </cell>
          <cell r="CL1274" t="str">
            <v>$3,000 / $6,000</v>
          </cell>
          <cell r="CM1274" t="str">
            <v>$4,000 / $8,000</v>
          </cell>
          <cell r="CN1274">
            <v>0.5</v>
          </cell>
          <cell r="CO1274" t="str">
            <v>$6,000 / $12,000</v>
          </cell>
          <cell r="CP1274" t="str">
            <v>NonEmb</v>
          </cell>
          <cell r="CS1274" t="str">
            <v>INS</v>
          </cell>
          <cell r="CT1274" t="str">
            <v>Choice +</v>
          </cell>
        </row>
        <row r="1275">
          <cell r="CA1275">
            <v>556</v>
          </cell>
          <cell r="CB1275" t="str">
            <v>Choice Plus HSA</v>
          </cell>
          <cell r="CC1275" t="str">
            <v>N/A</v>
          </cell>
          <cell r="CD1275" t="str">
            <v>N/A</v>
          </cell>
          <cell r="CE1275" t="str">
            <v>N/A</v>
          </cell>
          <cell r="CF1275" t="str">
            <v>N/A</v>
          </cell>
          <cell r="CG1275" t="str">
            <v>N/A</v>
          </cell>
          <cell r="CH1275" t="str">
            <v>N/A</v>
          </cell>
          <cell r="CI1275" t="str">
            <v>N/A</v>
          </cell>
          <cell r="CJ1275" t="str">
            <v>$2,000 / $4,000</v>
          </cell>
          <cell r="CK1275">
            <v>0.9</v>
          </cell>
          <cell r="CL1275" t="str">
            <v>$4,000 / $8,000</v>
          </cell>
          <cell r="CM1275" t="str">
            <v>$4,000 / $8,000</v>
          </cell>
          <cell r="CN1275">
            <v>0.7</v>
          </cell>
          <cell r="CO1275" t="str">
            <v>$8,000 / $16,000</v>
          </cell>
          <cell r="CP1275" t="str">
            <v>NonEmb</v>
          </cell>
          <cell r="CS1275" t="str">
            <v>INS</v>
          </cell>
          <cell r="CT1275" t="str">
            <v>Choice +</v>
          </cell>
        </row>
        <row r="1276">
          <cell r="CA1276">
            <v>558</v>
          </cell>
          <cell r="CB1276" t="str">
            <v>Choice Plus HSA</v>
          </cell>
          <cell r="CC1276" t="str">
            <v>N/A</v>
          </cell>
          <cell r="CD1276" t="str">
            <v>N/A</v>
          </cell>
          <cell r="CE1276" t="str">
            <v>N/A</v>
          </cell>
          <cell r="CF1276" t="str">
            <v>N/A</v>
          </cell>
          <cell r="CG1276" t="str">
            <v>N/A</v>
          </cell>
          <cell r="CH1276" t="str">
            <v>N/A</v>
          </cell>
          <cell r="CI1276" t="str">
            <v>N/A</v>
          </cell>
          <cell r="CJ1276" t="str">
            <v>$2,000 / $4,000</v>
          </cell>
          <cell r="CK1276">
            <v>0.8</v>
          </cell>
          <cell r="CL1276" t="str">
            <v>$4,000 / $8,000</v>
          </cell>
          <cell r="CM1276" t="str">
            <v>$4,000 / $8,000</v>
          </cell>
          <cell r="CN1276">
            <v>0.6</v>
          </cell>
          <cell r="CO1276" t="str">
            <v>$9,000 / $18,000</v>
          </cell>
          <cell r="CP1276" t="str">
            <v>NonEmb</v>
          </cell>
          <cell r="CS1276" t="str">
            <v>INS</v>
          </cell>
          <cell r="CT1276" t="str">
            <v>Choice +</v>
          </cell>
        </row>
        <row r="1277">
          <cell r="CA1277">
            <v>559</v>
          </cell>
          <cell r="CB1277" t="str">
            <v>Choice Plus HSA</v>
          </cell>
          <cell r="CC1277" t="str">
            <v>N/A</v>
          </cell>
          <cell r="CD1277" t="str">
            <v>N/A</v>
          </cell>
          <cell r="CE1277" t="str">
            <v>N/A</v>
          </cell>
          <cell r="CF1277" t="str">
            <v>N/A</v>
          </cell>
          <cell r="CG1277" t="str">
            <v>N/A</v>
          </cell>
          <cell r="CH1277" t="str">
            <v>N/A</v>
          </cell>
          <cell r="CI1277" t="str">
            <v>N/A</v>
          </cell>
          <cell r="CJ1277" t="str">
            <v>$2,500 / $5,000</v>
          </cell>
          <cell r="CK1277">
            <v>0.9</v>
          </cell>
          <cell r="CL1277" t="str">
            <v>$5,000 / $10,000</v>
          </cell>
          <cell r="CM1277" t="str">
            <v>$5,000 / $10,000</v>
          </cell>
          <cell r="CN1277">
            <v>0.7</v>
          </cell>
          <cell r="CO1277" t="str">
            <v>$10,000 / $20,000</v>
          </cell>
          <cell r="CP1277" t="str">
            <v>NonEmb</v>
          </cell>
          <cell r="CS1277" t="str">
            <v>INS</v>
          </cell>
          <cell r="CT1277" t="str">
            <v>Choice +</v>
          </cell>
        </row>
        <row r="1278">
          <cell r="CA1278">
            <v>561</v>
          </cell>
          <cell r="CB1278" t="str">
            <v>Choice Plus HSA</v>
          </cell>
          <cell r="CC1278" t="str">
            <v>N/A</v>
          </cell>
          <cell r="CD1278" t="str">
            <v>N/A</v>
          </cell>
          <cell r="CE1278" t="str">
            <v>N/A</v>
          </cell>
          <cell r="CF1278" t="str">
            <v>N/A</v>
          </cell>
          <cell r="CG1278" t="str">
            <v>N/A</v>
          </cell>
          <cell r="CH1278" t="str">
            <v>N/A</v>
          </cell>
          <cell r="CI1278" t="str">
            <v>N/A</v>
          </cell>
          <cell r="CJ1278" t="str">
            <v>$3,000 / $6,000</v>
          </cell>
          <cell r="CK1278">
            <v>0.8</v>
          </cell>
          <cell r="CL1278" t="str">
            <v>$4,000 / $8,000</v>
          </cell>
          <cell r="CM1278" t="str">
            <v>$5,000 / $10,000</v>
          </cell>
          <cell r="CN1278">
            <v>0.6</v>
          </cell>
          <cell r="CO1278" t="str">
            <v>$6,000 / $12,000</v>
          </cell>
          <cell r="CP1278" t="str">
            <v>NonEmb</v>
          </cell>
          <cell r="CS1278" t="str">
            <v>INS</v>
          </cell>
          <cell r="CT1278" t="str">
            <v>Choice +</v>
          </cell>
        </row>
        <row r="1279">
          <cell r="CA1279">
            <v>562</v>
          </cell>
          <cell r="CB1279" t="str">
            <v>Choice Plus HSA</v>
          </cell>
          <cell r="CC1279" t="str">
            <v>N/A</v>
          </cell>
          <cell r="CD1279" t="str">
            <v>N/A</v>
          </cell>
          <cell r="CE1279" t="str">
            <v>N/A</v>
          </cell>
          <cell r="CF1279" t="str">
            <v>N/A</v>
          </cell>
          <cell r="CG1279" t="str">
            <v>N/A</v>
          </cell>
          <cell r="CH1279" t="str">
            <v>N/A</v>
          </cell>
          <cell r="CI1279" t="str">
            <v>N/A</v>
          </cell>
          <cell r="CJ1279" t="str">
            <v>$2,500 / $5,000</v>
          </cell>
          <cell r="CK1279">
            <v>0.8</v>
          </cell>
          <cell r="CL1279" t="str">
            <v>$5,000 / $10,000</v>
          </cell>
          <cell r="CM1279" t="str">
            <v>$6,000 / $12,000</v>
          </cell>
          <cell r="CN1279">
            <v>0.6</v>
          </cell>
          <cell r="CO1279" t="str">
            <v>$10,000 / $20,000</v>
          </cell>
          <cell r="CP1279" t="str">
            <v>NonEmb</v>
          </cell>
          <cell r="CS1279" t="str">
            <v>INS</v>
          </cell>
          <cell r="CT1279" t="str">
            <v>Choice +</v>
          </cell>
        </row>
        <row r="1280">
          <cell r="CA1280" t="str">
            <v>AIWU</v>
          </cell>
          <cell r="CB1280" t="str">
            <v>Choice Plus HSA</v>
          </cell>
          <cell r="CC1280" t="str">
            <v>N/A</v>
          </cell>
          <cell r="CD1280" t="str">
            <v>N/A</v>
          </cell>
          <cell r="CE1280" t="str">
            <v>N/A</v>
          </cell>
          <cell r="CF1280" t="str">
            <v>N/A</v>
          </cell>
          <cell r="CG1280" t="str">
            <v>N/A</v>
          </cell>
          <cell r="CH1280" t="str">
            <v>N/A</v>
          </cell>
          <cell r="CI1280" t="str">
            <v>N/A</v>
          </cell>
          <cell r="CJ1280" t="str">
            <v>$1,500 / $3,000</v>
          </cell>
          <cell r="CK1280">
            <v>0.8</v>
          </cell>
          <cell r="CL1280" t="str">
            <v>$3,500 / $6,850</v>
          </cell>
          <cell r="CM1280" t="str">
            <v>$3,500 / $7,000</v>
          </cell>
          <cell r="CN1280">
            <v>0.6</v>
          </cell>
          <cell r="CO1280" t="str">
            <v>$6,000 / $12,000</v>
          </cell>
          <cell r="CP1280" t="str">
            <v>NonEmb</v>
          </cell>
          <cell r="CS1280" t="str">
            <v>INS</v>
          </cell>
          <cell r="CT1280" t="str">
            <v>Choice +</v>
          </cell>
        </row>
        <row r="1281">
          <cell r="CA1281" t="str">
            <v>AJ31</v>
          </cell>
          <cell r="CB1281" t="str">
            <v>Choice Plus HSA</v>
          </cell>
          <cell r="CC1281" t="str">
            <v>N/A</v>
          </cell>
          <cell r="CD1281" t="str">
            <v>N/A</v>
          </cell>
          <cell r="CE1281" t="str">
            <v>N/A</v>
          </cell>
          <cell r="CF1281" t="str">
            <v>N/A</v>
          </cell>
          <cell r="CG1281" t="str">
            <v>N/A</v>
          </cell>
          <cell r="CH1281" t="str">
            <v>N/A</v>
          </cell>
          <cell r="CI1281" t="str">
            <v>N/A</v>
          </cell>
          <cell r="CJ1281" t="str">
            <v>$2,600 / $5,200</v>
          </cell>
          <cell r="CK1281">
            <v>1</v>
          </cell>
          <cell r="CL1281" t="str">
            <v>$3,600 / $7,200</v>
          </cell>
          <cell r="CM1281" t="str">
            <v>$3,600 / $7,200</v>
          </cell>
          <cell r="CN1281">
            <v>0.8</v>
          </cell>
          <cell r="CO1281" t="str">
            <v>$4,600 / $9,200</v>
          </cell>
          <cell r="CP1281" t="str">
            <v>Emb</v>
          </cell>
          <cell r="CS1281" t="str">
            <v>INS</v>
          </cell>
          <cell r="CT1281" t="str">
            <v>Choice +</v>
          </cell>
          <cell r="CU1281">
            <v>0.76980000000000004</v>
          </cell>
          <cell r="CV1281" t="str">
            <v>H9-HSA</v>
          </cell>
          <cell r="CW1281" t="str">
            <v>CPHSA14W</v>
          </cell>
          <cell r="CX1281">
            <v>0.72840000000000005</v>
          </cell>
        </row>
        <row r="1282">
          <cell r="CA1282" t="str">
            <v>AJ32</v>
          </cell>
          <cell r="CB1282" t="str">
            <v>Choice Plus HSA</v>
          </cell>
          <cell r="CC1282" t="str">
            <v>N/A</v>
          </cell>
          <cell r="CD1282" t="str">
            <v>N/A</v>
          </cell>
          <cell r="CE1282" t="str">
            <v>N/A</v>
          </cell>
          <cell r="CF1282" t="str">
            <v>N/A</v>
          </cell>
          <cell r="CG1282" t="str">
            <v>N/A</v>
          </cell>
          <cell r="CH1282" t="str">
            <v>N/A</v>
          </cell>
          <cell r="CI1282" t="str">
            <v>N/A</v>
          </cell>
          <cell r="CJ1282" t="str">
            <v>$2,600 / $5,200</v>
          </cell>
          <cell r="CK1282">
            <v>0.9</v>
          </cell>
          <cell r="CL1282" t="str">
            <v>$3,600 / $7,200</v>
          </cell>
          <cell r="CM1282" t="str">
            <v>$5,200 / $10,400</v>
          </cell>
          <cell r="CN1282">
            <v>0.7</v>
          </cell>
          <cell r="CO1282" t="str">
            <v>$7,200 / $14,400</v>
          </cell>
          <cell r="CP1282" t="str">
            <v>Emb</v>
          </cell>
          <cell r="CS1282" t="str">
            <v>INS</v>
          </cell>
          <cell r="CT1282" t="str">
            <v>Choice +</v>
          </cell>
          <cell r="CV1282" t="str">
            <v>H9-HSA</v>
          </cell>
          <cell r="CW1282" t="str">
            <v>CPHSA14W</v>
          </cell>
        </row>
        <row r="1283">
          <cell r="CA1283" t="str">
            <v>AJ33</v>
          </cell>
          <cell r="CB1283" t="str">
            <v>Choice Plus HSA</v>
          </cell>
          <cell r="CC1283" t="str">
            <v>N/A</v>
          </cell>
          <cell r="CD1283" t="str">
            <v>N/A</v>
          </cell>
          <cell r="CE1283" t="str">
            <v>N/A</v>
          </cell>
          <cell r="CF1283" t="str">
            <v>$100 POD</v>
          </cell>
          <cell r="CG1283" t="str">
            <v>N/A</v>
          </cell>
          <cell r="CH1283" t="str">
            <v>$100 POD</v>
          </cell>
          <cell r="CI1283" t="str">
            <v>N/A</v>
          </cell>
          <cell r="CJ1283" t="str">
            <v>$2,600 / $5,200</v>
          </cell>
          <cell r="CK1283">
            <v>0.9</v>
          </cell>
          <cell r="CL1283" t="str">
            <v>$4,100 / $8,200</v>
          </cell>
          <cell r="CM1283" t="str">
            <v>$5,200 / $10,400</v>
          </cell>
          <cell r="CN1283">
            <v>0.7</v>
          </cell>
          <cell r="CO1283" t="str">
            <v>$8,200 / $16,400</v>
          </cell>
          <cell r="CP1283" t="str">
            <v>Emb</v>
          </cell>
          <cell r="CS1283" t="str">
            <v>INS</v>
          </cell>
          <cell r="CT1283" t="str">
            <v>Choice +</v>
          </cell>
          <cell r="CV1283" t="str">
            <v>H9-HSA</v>
          </cell>
          <cell r="CW1283" t="str">
            <v>CPHSA14W</v>
          </cell>
        </row>
        <row r="1284">
          <cell r="CA1284" t="str">
            <v>AJ34</v>
          </cell>
          <cell r="CB1284" t="str">
            <v>Choice Plus HSA</v>
          </cell>
          <cell r="CC1284" t="str">
            <v>N/A</v>
          </cell>
          <cell r="CD1284" t="str">
            <v>N/A</v>
          </cell>
          <cell r="CE1284" t="str">
            <v>N/A</v>
          </cell>
          <cell r="CF1284" t="str">
            <v>N/A</v>
          </cell>
          <cell r="CG1284" t="str">
            <v>N/A</v>
          </cell>
          <cell r="CH1284" t="str">
            <v>N/A</v>
          </cell>
          <cell r="CI1284" t="str">
            <v>N/A</v>
          </cell>
          <cell r="CJ1284" t="str">
            <v>$2,600 / $5,200</v>
          </cell>
          <cell r="CK1284">
            <v>0.9</v>
          </cell>
          <cell r="CL1284" t="str">
            <v>$3,600 / $7,200</v>
          </cell>
          <cell r="CM1284" t="str">
            <v>$3,600 / $7,200</v>
          </cell>
          <cell r="CN1284">
            <v>0.7</v>
          </cell>
          <cell r="CO1284" t="str">
            <v>$5,600 / $11,200</v>
          </cell>
          <cell r="CP1284" t="str">
            <v>Emb</v>
          </cell>
          <cell r="CS1284" t="str">
            <v>INS</v>
          </cell>
          <cell r="CT1284" t="str">
            <v>Choice +</v>
          </cell>
          <cell r="CV1284" t="str">
            <v>H9-HSA</v>
          </cell>
          <cell r="CW1284" t="str">
            <v>CPHSA14W</v>
          </cell>
        </row>
        <row r="1285">
          <cell r="CA1285" t="str">
            <v>AJ35</v>
          </cell>
          <cell r="CB1285" t="str">
            <v>Choice Plus HSA</v>
          </cell>
          <cell r="CC1285" t="str">
            <v>N/A</v>
          </cell>
          <cell r="CD1285" t="str">
            <v>N/A</v>
          </cell>
          <cell r="CE1285" t="str">
            <v>N/A</v>
          </cell>
          <cell r="CF1285" t="str">
            <v>N/A</v>
          </cell>
          <cell r="CG1285" t="str">
            <v>N/A</v>
          </cell>
          <cell r="CH1285" t="str">
            <v>N/A</v>
          </cell>
          <cell r="CI1285" t="str">
            <v>N/A</v>
          </cell>
          <cell r="CJ1285" t="str">
            <v>$2,600 / $5,200</v>
          </cell>
          <cell r="CK1285">
            <v>0.8</v>
          </cell>
          <cell r="CL1285" t="str">
            <v>$4,600 / $9,200</v>
          </cell>
          <cell r="CM1285" t="str">
            <v>$4,600 / $9,200</v>
          </cell>
          <cell r="CN1285">
            <v>0.6</v>
          </cell>
          <cell r="CO1285" t="str">
            <v>$6,000 / $12,000</v>
          </cell>
          <cell r="CP1285" t="str">
            <v>Emb</v>
          </cell>
          <cell r="CS1285" t="str">
            <v>INS</v>
          </cell>
          <cell r="CT1285" t="str">
            <v>Choice +</v>
          </cell>
          <cell r="CV1285" t="str">
            <v>H9-HSA</v>
          </cell>
          <cell r="CW1285" t="str">
            <v>CPHSA14W</v>
          </cell>
        </row>
        <row r="1286">
          <cell r="CA1286" t="str">
            <v>AJ36</v>
          </cell>
          <cell r="CB1286" t="str">
            <v>Choice Plus HSA</v>
          </cell>
          <cell r="CC1286" t="str">
            <v>N/A</v>
          </cell>
          <cell r="CD1286" t="str">
            <v>N/A</v>
          </cell>
          <cell r="CE1286" t="str">
            <v>N/A</v>
          </cell>
          <cell r="CF1286" t="str">
            <v>N/A</v>
          </cell>
          <cell r="CG1286" t="str">
            <v>N/A</v>
          </cell>
          <cell r="CH1286" t="str">
            <v>N/A</v>
          </cell>
          <cell r="CI1286" t="str">
            <v>N/A</v>
          </cell>
          <cell r="CJ1286" t="str">
            <v>$2,600 / $5,200</v>
          </cell>
          <cell r="CK1286">
            <v>0.9</v>
          </cell>
          <cell r="CL1286" t="str">
            <v>$6,550 / $13,100</v>
          </cell>
          <cell r="CM1286" t="str">
            <v>$5,200 / $10,400</v>
          </cell>
          <cell r="CN1286">
            <v>0.7</v>
          </cell>
          <cell r="CO1286" t="str">
            <v>$13,100 / $26,200</v>
          </cell>
          <cell r="CP1286" t="str">
            <v>Emb</v>
          </cell>
          <cell r="CS1286" t="str">
            <v>INS</v>
          </cell>
          <cell r="CT1286" t="str">
            <v>Choice +</v>
          </cell>
          <cell r="CV1286" t="str">
            <v>H9-HSA</v>
          </cell>
          <cell r="CW1286" t="str">
            <v>CPHSA14W</v>
          </cell>
        </row>
        <row r="1287">
          <cell r="CA1287" t="str">
            <v>ANGU</v>
          </cell>
          <cell r="CB1287" t="str">
            <v>Choice Plus HSA</v>
          </cell>
          <cell r="CC1287" t="str">
            <v>N/A</v>
          </cell>
          <cell r="CD1287" t="str">
            <v>N/A</v>
          </cell>
          <cell r="CE1287" t="str">
            <v>N/A</v>
          </cell>
          <cell r="CF1287" t="str">
            <v>N/A</v>
          </cell>
          <cell r="CG1287" t="str">
            <v>N/A</v>
          </cell>
          <cell r="CH1287" t="str">
            <v>N/A</v>
          </cell>
          <cell r="CI1287" t="str">
            <v>N/A</v>
          </cell>
          <cell r="CJ1287" t="str">
            <v>$1,300 / $2,600</v>
          </cell>
          <cell r="CK1287">
            <v>0.9</v>
          </cell>
          <cell r="CL1287" t="str">
            <v>$6,550 / $6,550</v>
          </cell>
          <cell r="CM1287" t="str">
            <v>$2,600 / $5,200</v>
          </cell>
          <cell r="CN1287">
            <v>0.7</v>
          </cell>
          <cell r="CO1287" t="str">
            <v>$6,550 / $6,550</v>
          </cell>
          <cell r="CP1287" t="str">
            <v>NonEmb</v>
          </cell>
          <cell r="CS1287" t="str">
            <v>INS</v>
          </cell>
          <cell r="CT1287" t="str">
            <v>Choice +</v>
          </cell>
          <cell r="CV1287" t="str">
            <v>H9-HSA</v>
          </cell>
          <cell r="CW1287" t="str">
            <v>CPHSA14W</v>
          </cell>
        </row>
        <row r="1288">
          <cell r="CA1288" t="str">
            <v>ANGV</v>
          </cell>
          <cell r="CB1288" t="str">
            <v>Choice Plus HSA</v>
          </cell>
          <cell r="CC1288" t="str">
            <v>N/A</v>
          </cell>
          <cell r="CD1288" t="str">
            <v>N/A</v>
          </cell>
          <cell r="CE1288" t="str">
            <v>N/A</v>
          </cell>
          <cell r="CF1288" t="str">
            <v>N/A</v>
          </cell>
          <cell r="CG1288" t="str">
            <v>N/A</v>
          </cell>
          <cell r="CH1288" t="str">
            <v>N/A</v>
          </cell>
          <cell r="CI1288" t="str">
            <v>N/A</v>
          </cell>
          <cell r="CJ1288" t="str">
            <v>$1,500 / $2,600</v>
          </cell>
          <cell r="CK1288">
            <v>0.9</v>
          </cell>
          <cell r="CL1288" t="str">
            <v>$6,000 / $6,000</v>
          </cell>
          <cell r="CM1288" t="str">
            <v>$3,000 / $6,550</v>
          </cell>
          <cell r="CN1288">
            <v>0.7</v>
          </cell>
          <cell r="CO1288" t="str">
            <v>$6,550 / $6,550</v>
          </cell>
          <cell r="CP1288" t="str">
            <v>NonEmb</v>
          </cell>
          <cell r="CS1288" t="str">
            <v>INS</v>
          </cell>
          <cell r="CT1288" t="str">
            <v>Choice +</v>
          </cell>
          <cell r="CV1288" t="str">
            <v>H9-HSA</v>
          </cell>
          <cell r="CW1288" t="str">
            <v>CPHSA14W</v>
          </cell>
        </row>
        <row r="1289">
          <cell r="CA1289" t="str">
            <v>ANGW</v>
          </cell>
          <cell r="CB1289" t="str">
            <v>Choice Plus HSA</v>
          </cell>
          <cell r="CC1289" t="str">
            <v>N/A</v>
          </cell>
          <cell r="CD1289" t="str">
            <v>N/A</v>
          </cell>
          <cell r="CE1289" t="str">
            <v>N/A</v>
          </cell>
          <cell r="CF1289" t="str">
            <v>N/A</v>
          </cell>
          <cell r="CG1289" t="str">
            <v>N/A</v>
          </cell>
          <cell r="CH1289" t="str">
            <v>N/A</v>
          </cell>
          <cell r="CI1289" t="str">
            <v>N/A</v>
          </cell>
          <cell r="CJ1289" t="str">
            <v>$1,500 / $2,600</v>
          </cell>
          <cell r="CK1289">
            <v>0.8</v>
          </cell>
          <cell r="CL1289" t="str">
            <v>$6,000 / $6,000</v>
          </cell>
          <cell r="CM1289" t="str">
            <v>$3,000 / $6,550</v>
          </cell>
          <cell r="CN1289">
            <v>0.6</v>
          </cell>
          <cell r="CO1289" t="str">
            <v>$6,550 / $6,550</v>
          </cell>
          <cell r="CP1289" t="str">
            <v>NonEmb</v>
          </cell>
          <cell r="CS1289" t="str">
            <v>INS</v>
          </cell>
          <cell r="CT1289" t="str">
            <v>Choice +</v>
          </cell>
          <cell r="CV1289" t="str">
            <v>H9-HSA</v>
          </cell>
          <cell r="CW1289" t="str">
            <v>CPHSA14W</v>
          </cell>
        </row>
        <row r="1290">
          <cell r="CA1290" t="str">
            <v>ANGX</v>
          </cell>
          <cell r="CB1290" t="str">
            <v>Choice Plus HSA</v>
          </cell>
          <cell r="CC1290" t="str">
            <v>N/A</v>
          </cell>
          <cell r="CD1290" t="str">
            <v>N/A</v>
          </cell>
          <cell r="CE1290" t="str">
            <v>N/A</v>
          </cell>
          <cell r="CF1290" t="str">
            <v>N/A</v>
          </cell>
          <cell r="CG1290" t="str">
            <v>N/A</v>
          </cell>
          <cell r="CH1290" t="str">
            <v>N/A</v>
          </cell>
          <cell r="CI1290" t="str">
            <v>N/A</v>
          </cell>
          <cell r="CJ1290" t="str">
            <v>$2,000 / $2,600</v>
          </cell>
          <cell r="CK1290">
            <v>0.8</v>
          </cell>
          <cell r="CL1290" t="str">
            <v>$4,000 / $4,000</v>
          </cell>
          <cell r="CM1290" t="str">
            <v>$4,000 / $6,550</v>
          </cell>
          <cell r="CN1290">
            <v>0.6</v>
          </cell>
          <cell r="CO1290" t="str">
            <v>$6,550 / $6,550</v>
          </cell>
          <cell r="CP1290" t="str">
            <v>NonEmb</v>
          </cell>
          <cell r="CS1290" t="str">
            <v>INS</v>
          </cell>
          <cell r="CT1290" t="str">
            <v>Choice +</v>
          </cell>
          <cell r="CV1290" t="str">
            <v>H9-HSA</v>
          </cell>
          <cell r="CW1290" t="str">
            <v>CPHSA14W</v>
          </cell>
        </row>
        <row r="1291">
          <cell r="CA1291" t="str">
            <v>ANGY</v>
          </cell>
          <cell r="CB1291" t="str">
            <v>Choice Plus HSA</v>
          </cell>
          <cell r="CC1291" t="str">
            <v>N/A</v>
          </cell>
          <cell r="CD1291" t="str">
            <v>N/A</v>
          </cell>
          <cell r="CE1291" t="str">
            <v>N/A</v>
          </cell>
          <cell r="CF1291" t="str">
            <v>N/A</v>
          </cell>
          <cell r="CG1291" t="str">
            <v>N/A</v>
          </cell>
          <cell r="CH1291" t="str">
            <v>N/A</v>
          </cell>
          <cell r="CI1291" t="str">
            <v>N/A</v>
          </cell>
          <cell r="CJ1291" t="str">
            <v>$1,300 / $2,600</v>
          </cell>
          <cell r="CK1291">
            <v>0.8</v>
          </cell>
          <cell r="CL1291" t="str">
            <v>$6,550 / $6,550</v>
          </cell>
          <cell r="CM1291" t="str">
            <v>$2,600 / $5,200</v>
          </cell>
          <cell r="CN1291">
            <v>0.6</v>
          </cell>
          <cell r="CO1291" t="str">
            <v>$13,100 / $13,100</v>
          </cell>
          <cell r="CP1291" t="str">
            <v>NonEmb</v>
          </cell>
          <cell r="CS1291" t="str">
            <v>INS</v>
          </cell>
          <cell r="CT1291" t="str">
            <v>Choice +</v>
          </cell>
          <cell r="CV1291" t="str">
            <v>H9-HSA</v>
          </cell>
          <cell r="CW1291" t="str">
            <v>CPHSA14W</v>
          </cell>
        </row>
        <row r="1292">
          <cell r="CA1292" t="str">
            <v>AOPD</v>
          </cell>
          <cell r="CB1292" t="str">
            <v>Choice Plus HSA</v>
          </cell>
          <cell r="CC1292" t="str">
            <v>N/A</v>
          </cell>
          <cell r="CD1292" t="str">
            <v>N/A</v>
          </cell>
          <cell r="CE1292" t="str">
            <v>N/A</v>
          </cell>
          <cell r="CF1292" t="str">
            <v>N/A</v>
          </cell>
          <cell r="CG1292" t="str">
            <v>N/A</v>
          </cell>
          <cell r="CH1292" t="str">
            <v>N/A</v>
          </cell>
          <cell r="CI1292" t="str">
            <v>N/A</v>
          </cell>
          <cell r="CJ1292" t="str">
            <v>$1,300 / $2,600</v>
          </cell>
          <cell r="CK1292">
            <v>0.9</v>
          </cell>
          <cell r="CL1292" t="str">
            <v>$6,550 / $13,100</v>
          </cell>
          <cell r="CM1292" t="str">
            <v>$2,600 / $5,200</v>
          </cell>
          <cell r="CN1292">
            <v>0.7</v>
          </cell>
          <cell r="CO1292" t="str">
            <v>$13,100 / $26,200</v>
          </cell>
          <cell r="CP1292" t="str">
            <v>NonEmb</v>
          </cell>
          <cell r="CS1292" t="str">
            <v>INS</v>
          </cell>
          <cell r="CT1292" t="str">
            <v>Choice +</v>
          </cell>
          <cell r="CV1292" t="str">
            <v>H9-HSA</v>
          </cell>
          <cell r="CW1292" t="str">
            <v>CPHSA17</v>
          </cell>
        </row>
        <row r="1293">
          <cell r="CA1293" t="str">
            <v>AOPE</v>
          </cell>
          <cell r="CB1293" t="str">
            <v>Choice Plus HSA</v>
          </cell>
          <cell r="CC1293" t="str">
            <v>N/A</v>
          </cell>
          <cell r="CD1293" t="str">
            <v>N/A</v>
          </cell>
          <cell r="CE1293" t="str">
            <v>N/A</v>
          </cell>
          <cell r="CF1293" t="str">
            <v>N/A</v>
          </cell>
          <cell r="CG1293" t="str">
            <v>N/A</v>
          </cell>
          <cell r="CH1293" t="str">
            <v>N/A</v>
          </cell>
          <cell r="CI1293" t="str">
            <v>N/A</v>
          </cell>
          <cell r="CJ1293" t="str">
            <v>$1,500 / $2,600</v>
          </cell>
          <cell r="CK1293">
            <v>0.9</v>
          </cell>
          <cell r="CL1293" t="str">
            <v>$6,000 / $12,000</v>
          </cell>
          <cell r="CM1293" t="str">
            <v>$3,000 / $6,000</v>
          </cell>
          <cell r="CN1293">
            <v>0.7</v>
          </cell>
          <cell r="CO1293" t="str">
            <v>$12,000 / $24,000</v>
          </cell>
          <cell r="CP1293" t="str">
            <v>NonEmb</v>
          </cell>
          <cell r="CS1293" t="str">
            <v>INS</v>
          </cell>
          <cell r="CT1293" t="str">
            <v>Choice +</v>
          </cell>
          <cell r="CV1293" t="str">
            <v>H9-HSA</v>
          </cell>
          <cell r="CW1293" t="str">
            <v>CPHSA17</v>
          </cell>
        </row>
        <row r="1294">
          <cell r="CA1294" t="str">
            <v>AOPF</v>
          </cell>
          <cell r="CB1294" t="str">
            <v>Choice Plus HSA</v>
          </cell>
          <cell r="CC1294" t="str">
            <v>N/A</v>
          </cell>
          <cell r="CD1294" t="str">
            <v>N/A</v>
          </cell>
          <cell r="CE1294" t="str">
            <v>N/A</v>
          </cell>
          <cell r="CF1294" t="str">
            <v>N/A</v>
          </cell>
          <cell r="CG1294" t="str">
            <v>N/A</v>
          </cell>
          <cell r="CH1294" t="str">
            <v>N/A</v>
          </cell>
          <cell r="CI1294" t="str">
            <v>N/A</v>
          </cell>
          <cell r="CJ1294" t="str">
            <v>$1,300 / $2,600</v>
          </cell>
          <cell r="CK1294">
            <v>0.8</v>
          </cell>
          <cell r="CL1294" t="str">
            <v>$6,550 / $13,100</v>
          </cell>
          <cell r="CM1294" t="str">
            <v>$2,600 / $5,200</v>
          </cell>
          <cell r="CN1294">
            <v>0.6</v>
          </cell>
          <cell r="CO1294" t="str">
            <v>$13,100 / $26,200</v>
          </cell>
          <cell r="CP1294" t="str">
            <v>NonEmb</v>
          </cell>
          <cell r="CS1294" t="str">
            <v>INS</v>
          </cell>
          <cell r="CT1294" t="str">
            <v>Choice +</v>
          </cell>
          <cell r="CV1294" t="str">
            <v>H9-HSA</v>
          </cell>
          <cell r="CW1294" t="str">
            <v>CPHSA17</v>
          </cell>
        </row>
        <row r="1295">
          <cell r="CA1295" t="str">
            <v>AOPG</v>
          </cell>
          <cell r="CB1295" t="str">
            <v>Choice Plus HSA</v>
          </cell>
          <cell r="CC1295" t="str">
            <v>N/A</v>
          </cell>
          <cell r="CD1295" t="str">
            <v>N/A</v>
          </cell>
          <cell r="CE1295" t="str">
            <v>N/A</v>
          </cell>
          <cell r="CF1295" t="str">
            <v>N/A</v>
          </cell>
          <cell r="CG1295" t="str">
            <v>N/A</v>
          </cell>
          <cell r="CH1295" t="str">
            <v>N/A</v>
          </cell>
          <cell r="CI1295" t="str">
            <v>N/A</v>
          </cell>
          <cell r="CJ1295" t="str">
            <v>$1,500 / $2,600</v>
          </cell>
          <cell r="CK1295">
            <v>0.8</v>
          </cell>
          <cell r="CL1295" t="str">
            <v>$6,000 / $12,000</v>
          </cell>
          <cell r="CM1295" t="str">
            <v>$3,000 / $6,000</v>
          </cell>
          <cell r="CN1295">
            <v>0.6</v>
          </cell>
          <cell r="CO1295" t="str">
            <v>$12,000 / $24,000</v>
          </cell>
          <cell r="CP1295" t="str">
            <v>NonEmb</v>
          </cell>
          <cell r="CS1295" t="str">
            <v>INS</v>
          </cell>
          <cell r="CT1295" t="str">
            <v>Choice +</v>
          </cell>
          <cell r="CV1295" t="str">
            <v>H9-HSA</v>
          </cell>
          <cell r="CW1295" t="str">
            <v>CPHSA17</v>
          </cell>
        </row>
        <row r="1296">
          <cell r="CA1296" t="str">
            <v>AOPH</v>
          </cell>
          <cell r="CB1296" t="str">
            <v>Choice Plus HSA</v>
          </cell>
          <cell r="CC1296" t="str">
            <v>N/A</v>
          </cell>
          <cell r="CD1296" t="str">
            <v>N/A</v>
          </cell>
          <cell r="CE1296" t="str">
            <v>N/A</v>
          </cell>
          <cell r="CF1296" t="str">
            <v>N/A</v>
          </cell>
          <cell r="CG1296" t="str">
            <v>N/A</v>
          </cell>
          <cell r="CH1296" t="str">
            <v>N/A</v>
          </cell>
          <cell r="CI1296" t="str">
            <v>N/A</v>
          </cell>
          <cell r="CJ1296" t="str">
            <v>$2,000 / $2,600</v>
          </cell>
          <cell r="CK1296">
            <v>0.8</v>
          </cell>
          <cell r="CL1296" t="str">
            <v>$4,000 / $8,000</v>
          </cell>
          <cell r="CM1296" t="str">
            <v>$4,000 / $8,000</v>
          </cell>
          <cell r="CN1296">
            <v>0.6</v>
          </cell>
          <cell r="CO1296" t="str">
            <v>$8,000 / $16,000</v>
          </cell>
          <cell r="CP1296" t="str">
            <v>NonEmb</v>
          </cell>
          <cell r="CS1296" t="str">
            <v>INS</v>
          </cell>
          <cell r="CT1296" t="str">
            <v>Choice +</v>
          </cell>
          <cell r="CV1296" t="str">
            <v>H9-HSA</v>
          </cell>
          <cell r="CW1296" t="str">
            <v>CPHSA17</v>
          </cell>
        </row>
        <row r="1298">
          <cell r="CA1298" t="str">
            <v>AHW5</v>
          </cell>
          <cell r="CB1298" t="str">
            <v>Core HSA</v>
          </cell>
          <cell r="CC1298" t="str">
            <v>N/A</v>
          </cell>
          <cell r="CD1298" t="str">
            <v>N/A</v>
          </cell>
          <cell r="CE1298" t="str">
            <v>N/A</v>
          </cell>
          <cell r="CF1298" t="str">
            <v>N/A</v>
          </cell>
          <cell r="CG1298" t="str">
            <v>N/A</v>
          </cell>
          <cell r="CH1298" t="str">
            <v>N/A</v>
          </cell>
          <cell r="CI1298" t="str">
            <v>N/A</v>
          </cell>
          <cell r="CJ1298" t="str">
            <v>$1,500 / $3,000</v>
          </cell>
          <cell r="CK1298">
            <v>1</v>
          </cell>
          <cell r="CL1298" t="str">
            <v>$2,500 / $5,000</v>
          </cell>
          <cell r="CM1298" t="str">
            <v>$3,500 / $7,000</v>
          </cell>
          <cell r="CN1298">
            <v>0.8</v>
          </cell>
          <cell r="CO1298" t="str">
            <v>$4,500 / $9,000</v>
          </cell>
          <cell r="CP1298" t="str">
            <v>NonEmb</v>
          </cell>
          <cell r="CS1298" t="str">
            <v>INS</v>
          </cell>
          <cell r="CT1298" t="str">
            <v>Core</v>
          </cell>
        </row>
        <row r="1299">
          <cell r="CA1299" t="str">
            <v>AHW6</v>
          </cell>
          <cell r="CB1299" t="str">
            <v>Core HSA</v>
          </cell>
          <cell r="CC1299" t="str">
            <v>N/A</v>
          </cell>
          <cell r="CD1299" t="str">
            <v>N/A</v>
          </cell>
          <cell r="CE1299" t="str">
            <v>N/A</v>
          </cell>
          <cell r="CF1299" t="str">
            <v>N/A</v>
          </cell>
          <cell r="CG1299" t="str">
            <v>N/A</v>
          </cell>
          <cell r="CH1299" t="str">
            <v>N/A</v>
          </cell>
          <cell r="CI1299" t="str">
            <v>N/A</v>
          </cell>
          <cell r="CJ1299" t="str">
            <v>$2,000 / $4,000</v>
          </cell>
          <cell r="CK1299">
            <v>1</v>
          </cell>
          <cell r="CL1299" t="str">
            <v>$3,000 / $6,000</v>
          </cell>
          <cell r="CM1299" t="str">
            <v>$4,000 / $8,000</v>
          </cell>
          <cell r="CN1299">
            <v>0.8</v>
          </cell>
          <cell r="CO1299" t="str">
            <v>$8,000 / $16,000</v>
          </cell>
          <cell r="CP1299" t="str">
            <v>NonEmb</v>
          </cell>
          <cell r="CS1299" t="str">
            <v>INS</v>
          </cell>
          <cell r="CT1299" t="str">
            <v>Core</v>
          </cell>
        </row>
        <row r="1300">
          <cell r="CA1300" t="str">
            <v>AHW8</v>
          </cell>
          <cell r="CB1300" t="str">
            <v>Core HSA</v>
          </cell>
          <cell r="CC1300" t="str">
            <v>N/A</v>
          </cell>
          <cell r="CD1300" t="str">
            <v>N/A</v>
          </cell>
          <cell r="CE1300" t="str">
            <v>N/A</v>
          </cell>
          <cell r="CF1300" t="str">
            <v>N/A</v>
          </cell>
          <cell r="CG1300" t="str">
            <v>N/A</v>
          </cell>
          <cell r="CH1300" t="str">
            <v>N/A</v>
          </cell>
          <cell r="CI1300" t="str">
            <v>N/A</v>
          </cell>
          <cell r="CJ1300" t="str">
            <v>$1,500 / $3,000</v>
          </cell>
          <cell r="CK1300">
            <v>0.9</v>
          </cell>
          <cell r="CL1300" t="str">
            <v>$2,500 / $5,000</v>
          </cell>
          <cell r="CM1300" t="str">
            <v>$3,500 / $7,000</v>
          </cell>
          <cell r="CN1300">
            <v>0.7</v>
          </cell>
          <cell r="CO1300" t="str">
            <v>$4,500 / $9,000</v>
          </cell>
          <cell r="CP1300" t="str">
            <v>NonEmb</v>
          </cell>
          <cell r="CS1300" t="str">
            <v>INS</v>
          </cell>
          <cell r="CT1300" t="str">
            <v>Core</v>
          </cell>
        </row>
        <row r="1301">
          <cell r="CA1301" t="str">
            <v>AHW9</v>
          </cell>
          <cell r="CB1301" t="str">
            <v>Core HSA</v>
          </cell>
          <cell r="CC1301" t="str">
            <v>N/A</v>
          </cell>
          <cell r="CD1301" t="str">
            <v>N/A</v>
          </cell>
          <cell r="CE1301" t="str">
            <v>N/A</v>
          </cell>
          <cell r="CF1301" t="str">
            <v>N/A</v>
          </cell>
          <cell r="CG1301" t="str">
            <v>N/A</v>
          </cell>
          <cell r="CH1301" t="str">
            <v>N/A</v>
          </cell>
          <cell r="CI1301" t="str">
            <v>N/A</v>
          </cell>
          <cell r="CJ1301" t="str">
            <v>$2,000 / $4,000</v>
          </cell>
          <cell r="CK1301">
            <v>0.7</v>
          </cell>
          <cell r="CL1301" t="str">
            <v>$3,000 / $6,000</v>
          </cell>
          <cell r="CM1301" t="str">
            <v>$4,000 / $8,000</v>
          </cell>
          <cell r="CN1301">
            <v>0.5</v>
          </cell>
          <cell r="CO1301" t="str">
            <v>$6,000 / $12,000</v>
          </cell>
          <cell r="CP1301" t="str">
            <v>NonEmb</v>
          </cell>
          <cell r="CS1301" t="str">
            <v>INS</v>
          </cell>
          <cell r="CT1301" t="str">
            <v>Core</v>
          </cell>
        </row>
        <row r="1302">
          <cell r="CA1302" t="str">
            <v>AHX1</v>
          </cell>
          <cell r="CB1302" t="str">
            <v>Core HSA</v>
          </cell>
          <cell r="CC1302" t="str">
            <v>N/A</v>
          </cell>
          <cell r="CD1302" t="str">
            <v>N/A</v>
          </cell>
          <cell r="CE1302" t="str">
            <v>N/A</v>
          </cell>
          <cell r="CF1302" t="str">
            <v>$100 POD</v>
          </cell>
          <cell r="CG1302" t="str">
            <v>N/A</v>
          </cell>
          <cell r="CH1302" t="str">
            <v>$100 POD</v>
          </cell>
          <cell r="CI1302" t="str">
            <v>N/A</v>
          </cell>
          <cell r="CJ1302" t="str">
            <v>$1,500 / $3,000</v>
          </cell>
          <cell r="CK1302">
            <v>0.9</v>
          </cell>
          <cell r="CL1302" t="str">
            <v>$3,000 / $6,000</v>
          </cell>
          <cell r="CM1302" t="str">
            <v>$3,000 / $6,000</v>
          </cell>
          <cell r="CN1302">
            <v>0.7</v>
          </cell>
          <cell r="CO1302" t="str">
            <v>$9,000 / $18,000</v>
          </cell>
          <cell r="CP1302" t="str">
            <v>NonEmb</v>
          </cell>
          <cell r="CS1302" t="str">
            <v>INS</v>
          </cell>
          <cell r="CT1302" t="str">
            <v>Core</v>
          </cell>
        </row>
        <row r="1303">
          <cell r="CA1303" t="str">
            <v>AHX2</v>
          </cell>
          <cell r="CB1303" t="str">
            <v>Core HSA</v>
          </cell>
          <cell r="CC1303" t="str">
            <v>N/A</v>
          </cell>
          <cell r="CD1303" t="str">
            <v>N/A</v>
          </cell>
          <cell r="CE1303" t="str">
            <v>N/A</v>
          </cell>
          <cell r="CF1303" t="str">
            <v>$100 POD</v>
          </cell>
          <cell r="CG1303" t="str">
            <v>N/A</v>
          </cell>
          <cell r="CH1303" t="str">
            <v>$100 POD</v>
          </cell>
          <cell r="CI1303" t="str">
            <v>N/A</v>
          </cell>
          <cell r="CJ1303" t="str">
            <v>$1,500 / $3,000</v>
          </cell>
          <cell r="CK1303">
            <v>0.9</v>
          </cell>
          <cell r="CL1303" t="str">
            <v>$3,000 / $6,000</v>
          </cell>
          <cell r="CM1303" t="str">
            <v>$1,500 / $3,000</v>
          </cell>
          <cell r="CN1303">
            <v>0.6</v>
          </cell>
          <cell r="CO1303" t="str">
            <v>$6,000 / $12,000</v>
          </cell>
          <cell r="CP1303" t="str">
            <v>NonEmb</v>
          </cell>
          <cell r="CS1303" t="str">
            <v>INS</v>
          </cell>
          <cell r="CT1303" t="str">
            <v>Core</v>
          </cell>
        </row>
        <row r="1304">
          <cell r="CA1304" t="str">
            <v>AHX3</v>
          </cell>
          <cell r="CB1304" t="str">
            <v>Core HSA</v>
          </cell>
          <cell r="CC1304" t="str">
            <v>N/A</v>
          </cell>
          <cell r="CD1304" t="str">
            <v>N/A</v>
          </cell>
          <cell r="CE1304">
            <v>100</v>
          </cell>
          <cell r="CF1304" t="str">
            <v>$100 POD</v>
          </cell>
          <cell r="CG1304" t="str">
            <v>N/A</v>
          </cell>
          <cell r="CH1304" t="str">
            <v>$100 POD</v>
          </cell>
          <cell r="CI1304" t="str">
            <v>N/A</v>
          </cell>
          <cell r="CJ1304" t="str">
            <v>$2,250 / $4,500</v>
          </cell>
          <cell r="CK1304">
            <v>0.8</v>
          </cell>
          <cell r="CL1304" t="str">
            <v>$3,000 / $6,000</v>
          </cell>
          <cell r="CM1304" t="str">
            <v>$2,250 / $4,500</v>
          </cell>
          <cell r="CN1304">
            <v>0.5</v>
          </cell>
          <cell r="CO1304" t="str">
            <v>$6,000 / $12,000</v>
          </cell>
          <cell r="CP1304" t="str">
            <v>NonEmb</v>
          </cell>
          <cell r="CS1304" t="str">
            <v>INS</v>
          </cell>
          <cell r="CT1304" t="str">
            <v>Core</v>
          </cell>
        </row>
        <row r="1305">
          <cell r="CA1305" t="str">
            <v>AHX4</v>
          </cell>
          <cell r="CB1305" t="str">
            <v>Core HSA</v>
          </cell>
          <cell r="CC1305" t="str">
            <v>N/A</v>
          </cell>
          <cell r="CD1305" t="str">
            <v>N/A</v>
          </cell>
          <cell r="CE1305">
            <v>100</v>
          </cell>
          <cell r="CF1305" t="str">
            <v>$100 POD</v>
          </cell>
          <cell r="CG1305" t="str">
            <v>N/A</v>
          </cell>
          <cell r="CH1305" t="str">
            <v>$100 POD</v>
          </cell>
          <cell r="CI1305" t="str">
            <v>N/A</v>
          </cell>
          <cell r="CJ1305" t="str">
            <v>$2,500 / $5,000</v>
          </cell>
          <cell r="CK1305">
            <v>0.8</v>
          </cell>
          <cell r="CL1305" t="str">
            <v>$3,000 / $6,000</v>
          </cell>
          <cell r="CM1305" t="str">
            <v>$3,500 / $7,000</v>
          </cell>
          <cell r="CN1305">
            <v>0.6</v>
          </cell>
          <cell r="CO1305" t="str">
            <v>$7,000 / $14,000</v>
          </cell>
          <cell r="CP1305" t="str">
            <v>NonEmb</v>
          </cell>
          <cell r="CS1305" t="str">
            <v>INS</v>
          </cell>
          <cell r="CT1305" t="str">
            <v>Core</v>
          </cell>
        </row>
        <row r="1306">
          <cell r="CA1306" t="str">
            <v>AHXZ</v>
          </cell>
          <cell r="CB1306" t="str">
            <v>Core HSA</v>
          </cell>
          <cell r="CC1306" t="str">
            <v>N/A</v>
          </cell>
          <cell r="CD1306" t="str">
            <v>N/A</v>
          </cell>
          <cell r="CE1306" t="str">
            <v>N/A</v>
          </cell>
          <cell r="CF1306" t="str">
            <v>$100 POD</v>
          </cell>
          <cell r="CG1306" t="str">
            <v>N/A</v>
          </cell>
          <cell r="CH1306" t="str">
            <v>$100 POD</v>
          </cell>
          <cell r="CI1306" t="str">
            <v>N/A</v>
          </cell>
          <cell r="CJ1306" t="str">
            <v>$1,500 / $3,000</v>
          </cell>
          <cell r="CK1306">
            <v>0.9</v>
          </cell>
          <cell r="CL1306" t="str">
            <v>$2,500 / $5,000</v>
          </cell>
          <cell r="CM1306" t="str">
            <v>$1,500 / $3,000</v>
          </cell>
          <cell r="CN1306">
            <v>0.7</v>
          </cell>
          <cell r="CO1306" t="str">
            <v>$5,000 / $10,000</v>
          </cell>
          <cell r="CP1306" t="str">
            <v>NonEmb</v>
          </cell>
          <cell r="CS1306" t="str">
            <v>INS</v>
          </cell>
          <cell r="CT1306" t="str">
            <v>Core</v>
          </cell>
        </row>
        <row r="1307">
          <cell r="CA1307" t="str">
            <v>AHZQ</v>
          </cell>
          <cell r="CB1307" t="str">
            <v>Core HSA</v>
          </cell>
          <cell r="CC1307" t="str">
            <v>N/A</v>
          </cell>
          <cell r="CD1307" t="str">
            <v>N/A</v>
          </cell>
          <cell r="CE1307" t="str">
            <v>N/A</v>
          </cell>
          <cell r="CF1307" t="str">
            <v>N/A</v>
          </cell>
          <cell r="CG1307" t="str">
            <v>N/A</v>
          </cell>
          <cell r="CH1307" t="str">
            <v>N/A</v>
          </cell>
          <cell r="CI1307" t="str">
            <v>N/A</v>
          </cell>
          <cell r="CJ1307" t="str">
            <v>$1,500 / $3,000</v>
          </cell>
          <cell r="CK1307">
            <v>0.8</v>
          </cell>
          <cell r="CL1307" t="str">
            <v>$3,500 / $6,850</v>
          </cell>
          <cell r="CM1307" t="str">
            <v>$3,500 / $7,000</v>
          </cell>
          <cell r="CN1307">
            <v>0.6</v>
          </cell>
          <cell r="CO1307" t="str">
            <v>$6,000 / $12,000</v>
          </cell>
          <cell r="CP1307" t="str">
            <v>NonEmb</v>
          </cell>
          <cell r="CS1307" t="str">
            <v>INS</v>
          </cell>
          <cell r="CT1307" t="str">
            <v>Core</v>
          </cell>
        </row>
        <row r="1308">
          <cell r="CA1308" t="str">
            <v>AHZR</v>
          </cell>
          <cell r="CB1308" t="str">
            <v>Core HSA</v>
          </cell>
          <cell r="CC1308" t="str">
            <v>N/A</v>
          </cell>
          <cell r="CD1308" t="str">
            <v>N/A</v>
          </cell>
          <cell r="CE1308" t="str">
            <v>N/A</v>
          </cell>
          <cell r="CF1308" t="str">
            <v>N/A</v>
          </cell>
          <cell r="CG1308" t="str">
            <v>N/A</v>
          </cell>
          <cell r="CH1308" t="str">
            <v>N/A</v>
          </cell>
          <cell r="CI1308" t="str">
            <v>N/A</v>
          </cell>
          <cell r="CJ1308" t="str">
            <v>$2,000 / $4,000</v>
          </cell>
          <cell r="CK1308">
            <v>0.9</v>
          </cell>
          <cell r="CL1308" t="str">
            <v>$4,000 / $6,850</v>
          </cell>
          <cell r="CM1308" t="str">
            <v>$4,000 / $8,000</v>
          </cell>
          <cell r="CN1308">
            <v>0.7</v>
          </cell>
          <cell r="CO1308" t="str">
            <v>$8,000 / $16,000</v>
          </cell>
          <cell r="CP1308" t="str">
            <v>NonEmb</v>
          </cell>
          <cell r="CS1308" t="str">
            <v>INS</v>
          </cell>
          <cell r="CT1308" t="str">
            <v>Core</v>
          </cell>
        </row>
        <row r="1309">
          <cell r="CA1309" t="str">
            <v>AHZS</v>
          </cell>
          <cell r="CB1309" t="str">
            <v>Core HSA</v>
          </cell>
          <cell r="CC1309" t="str">
            <v>N/A</v>
          </cell>
          <cell r="CD1309" t="str">
            <v>N/A</v>
          </cell>
          <cell r="CE1309" t="str">
            <v>N/A</v>
          </cell>
          <cell r="CF1309" t="str">
            <v>N/A</v>
          </cell>
          <cell r="CG1309" t="str">
            <v>N/A</v>
          </cell>
          <cell r="CH1309" t="str">
            <v>N/A</v>
          </cell>
          <cell r="CI1309" t="str">
            <v>N/A</v>
          </cell>
          <cell r="CJ1309" t="str">
            <v>$2,000 / $4,000</v>
          </cell>
          <cell r="CK1309">
            <v>0.8</v>
          </cell>
          <cell r="CL1309" t="str">
            <v>$4,000 / $6,850</v>
          </cell>
          <cell r="CM1309" t="str">
            <v>$4,000 / $8,000</v>
          </cell>
          <cell r="CN1309">
            <v>0.6</v>
          </cell>
          <cell r="CO1309" t="str">
            <v>$9,000 / $18,000</v>
          </cell>
          <cell r="CP1309" t="str">
            <v>NonEmb</v>
          </cell>
          <cell r="CS1309" t="str">
            <v>INS</v>
          </cell>
          <cell r="CT1309" t="str">
            <v>Core</v>
          </cell>
        </row>
        <row r="1310">
          <cell r="CA1310" t="str">
            <v>AHZT</v>
          </cell>
          <cell r="CB1310" t="str">
            <v>Core HSA</v>
          </cell>
          <cell r="CC1310" t="str">
            <v>N/A</v>
          </cell>
          <cell r="CD1310" t="str">
            <v>N/A</v>
          </cell>
          <cell r="CE1310" t="str">
            <v>N/A</v>
          </cell>
          <cell r="CF1310" t="str">
            <v>N/A</v>
          </cell>
          <cell r="CG1310" t="str">
            <v>N/A</v>
          </cell>
          <cell r="CH1310" t="str">
            <v>N/A</v>
          </cell>
          <cell r="CI1310" t="str">
            <v>N/A</v>
          </cell>
          <cell r="CJ1310" t="str">
            <v>$2,500 / $5,000</v>
          </cell>
          <cell r="CK1310">
            <v>0.9</v>
          </cell>
          <cell r="CL1310" t="str">
            <v>$5,000 / $6,850</v>
          </cell>
          <cell r="CM1310" t="str">
            <v>$5,000 / $10,000</v>
          </cell>
          <cell r="CN1310">
            <v>0.7</v>
          </cell>
          <cell r="CO1310" t="str">
            <v>$10,000 / $20,000</v>
          </cell>
          <cell r="CP1310" t="str">
            <v>NonEmb</v>
          </cell>
          <cell r="CS1310" t="str">
            <v>INS</v>
          </cell>
          <cell r="CT1310" t="str">
            <v>Core</v>
          </cell>
        </row>
        <row r="1311">
          <cell r="CA1311" t="str">
            <v>AHZU</v>
          </cell>
          <cell r="CB1311" t="str">
            <v>Core HSA</v>
          </cell>
          <cell r="CC1311" t="str">
            <v>N/A</v>
          </cell>
          <cell r="CD1311" t="str">
            <v>N/A</v>
          </cell>
          <cell r="CE1311" t="str">
            <v>N/A</v>
          </cell>
          <cell r="CF1311" t="str">
            <v>N/A</v>
          </cell>
          <cell r="CG1311" t="str">
            <v>N/A</v>
          </cell>
          <cell r="CH1311" t="str">
            <v>N/A</v>
          </cell>
          <cell r="CI1311" t="str">
            <v>N/A</v>
          </cell>
          <cell r="CJ1311" t="str">
            <v>$3,000 / $6,000</v>
          </cell>
          <cell r="CK1311">
            <v>0.8</v>
          </cell>
          <cell r="CL1311" t="str">
            <v>$4,000 / $6,850</v>
          </cell>
          <cell r="CM1311" t="str">
            <v>$5,000 / $10,000</v>
          </cell>
          <cell r="CN1311">
            <v>0.6</v>
          </cell>
          <cell r="CO1311" t="str">
            <v>$6,000 / $12,000</v>
          </cell>
          <cell r="CP1311" t="str">
            <v>NonEmb</v>
          </cell>
          <cell r="CS1311" t="str">
            <v>INS</v>
          </cell>
          <cell r="CT1311" t="str">
            <v>Core</v>
          </cell>
        </row>
        <row r="1312">
          <cell r="CA1312" t="str">
            <v>AHZV</v>
          </cell>
          <cell r="CB1312" t="str">
            <v>Core HSA</v>
          </cell>
          <cell r="CC1312" t="str">
            <v>N/A</v>
          </cell>
          <cell r="CD1312" t="str">
            <v>N/A</v>
          </cell>
          <cell r="CE1312" t="str">
            <v>N/A</v>
          </cell>
          <cell r="CF1312" t="str">
            <v>N/A</v>
          </cell>
          <cell r="CG1312" t="str">
            <v>N/A</v>
          </cell>
          <cell r="CH1312" t="str">
            <v>N/A</v>
          </cell>
          <cell r="CI1312" t="str">
            <v>N/A</v>
          </cell>
          <cell r="CJ1312" t="str">
            <v>$2,600 / $5,200</v>
          </cell>
          <cell r="CK1312">
            <v>0.8</v>
          </cell>
          <cell r="CL1312" t="str">
            <v>$5,000 / $10,000</v>
          </cell>
          <cell r="CM1312" t="str">
            <v>$6,000 / $12,000</v>
          </cell>
          <cell r="CN1312">
            <v>0.6</v>
          </cell>
          <cell r="CO1312" t="str">
            <v>$10,000 / $20,000</v>
          </cell>
          <cell r="CP1312" t="str">
            <v>Emb</v>
          </cell>
          <cell r="CS1312" t="str">
            <v>INS</v>
          </cell>
          <cell r="CT1312" t="str">
            <v>Core</v>
          </cell>
          <cell r="CV1312" t="str">
            <v>H9-HSA</v>
          </cell>
          <cell r="CW1312" t="str">
            <v>CHSA14&amp;15</v>
          </cell>
        </row>
        <row r="1313">
          <cell r="CA1313" t="str">
            <v>AHZW</v>
          </cell>
          <cell r="CB1313" t="str">
            <v>Core HSA</v>
          </cell>
          <cell r="CC1313" t="str">
            <v>N/A</v>
          </cell>
          <cell r="CD1313" t="str">
            <v>N/A</v>
          </cell>
          <cell r="CE1313">
            <v>100</v>
          </cell>
          <cell r="CF1313" t="str">
            <v>$100 POD</v>
          </cell>
          <cell r="CG1313" t="str">
            <v>N/A</v>
          </cell>
          <cell r="CH1313" t="str">
            <v>$100 POD</v>
          </cell>
          <cell r="CI1313" t="str">
            <v>N/A</v>
          </cell>
          <cell r="CJ1313" t="str">
            <v>$1,800 / $3,600</v>
          </cell>
          <cell r="CK1313">
            <v>0.8</v>
          </cell>
          <cell r="CL1313" t="str">
            <v>$4,000 / $6,850</v>
          </cell>
          <cell r="CM1313" t="str">
            <v>$1,800 / $3,600</v>
          </cell>
          <cell r="CN1313">
            <v>0.6</v>
          </cell>
          <cell r="CO1313" t="str">
            <v>$8,000 / $16,000</v>
          </cell>
          <cell r="CP1313" t="str">
            <v>NonEmb</v>
          </cell>
          <cell r="CS1313" t="str">
            <v>INS</v>
          </cell>
          <cell r="CT1313" t="str">
            <v>Core</v>
          </cell>
        </row>
        <row r="1314">
          <cell r="CA1314" t="str">
            <v>AHZX</v>
          </cell>
          <cell r="CB1314" t="str">
            <v>Core HSA</v>
          </cell>
          <cell r="CC1314" t="str">
            <v>N/A</v>
          </cell>
          <cell r="CD1314" t="str">
            <v>N/A</v>
          </cell>
          <cell r="CE1314" t="str">
            <v>N/A</v>
          </cell>
          <cell r="CF1314" t="str">
            <v>N/A</v>
          </cell>
          <cell r="CG1314" t="str">
            <v>N/A</v>
          </cell>
          <cell r="CH1314" t="str">
            <v>N/A</v>
          </cell>
          <cell r="CI1314" t="str">
            <v>N/A</v>
          </cell>
          <cell r="CJ1314" t="str">
            <v>$2,500 / $5,000</v>
          </cell>
          <cell r="CK1314">
            <v>1</v>
          </cell>
          <cell r="CL1314" t="str">
            <v>$3,500 / $6,850</v>
          </cell>
          <cell r="CM1314" t="str">
            <v>$2,500 / $5,000</v>
          </cell>
          <cell r="CN1314">
            <v>0.7</v>
          </cell>
          <cell r="CO1314" t="str">
            <v>$7,000 / $14,000</v>
          </cell>
          <cell r="CP1314" t="str">
            <v>NonEmb</v>
          </cell>
          <cell r="CS1314" t="str">
            <v>INS</v>
          </cell>
          <cell r="CT1314" t="str">
            <v>Core</v>
          </cell>
        </row>
        <row r="1315">
          <cell r="CA1315" t="str">
            <v>AHZY</v>
          </cell>
          <cell r="CB1315" t="str">
            <v>Core HSA</v>
          </cell>
          <cell r="CC1315" t="str">
            <v>N/A</v>
          </cell>
          <cell r="CD1315" t="str">
            <v>N/A</v>
          </cell>
          <cell r="CE1315">
            <v>100</v>
          </cell>
          <cell r="CF1315" t="str">
            <v>$100 POD</v>
          </cell>
          <cell r="CG1315" t="str">
            <v>N/A</v>
          </cell>
          <cell r="CH1315" t="str">
            <v>$100 POD</v>
          </cell>
          <cell r="CI1315" t="str">
            <v>N/A</v>
          </cell>
          <cell r="CJ1315" t="str">
            <v>$2,600 / $5,200</v>
          </cell>
          <cell r="CK1315">
            <v>0.8</v>
          </cell>
          <cell r="CL1315" t="str">
            <v>$5,000 / $10,000</v>
          </cell>
          <cell r="CM1315" t="str">
            <v>$5,000 / $10,000</v>
          </cell>
          <cell r="CN1315">
            <v>0.5</v>
          </cell>
          <cell r="CO1315" t="str">
            <v>$15,000 / $30,000</v>
          </cell>
          <cell r="CP1315" t="str">
            <v>Emb</v>
          </cell>
          <cell r="CS1315" t="str">
            <v>INS</v>
          </cell>
          <cell r="CT1315" t="str">
            <v>Core</v>
          </cell>
          <cell r="CV1315" t="str">
            <v>H9-HSA</v>
          </cell>
          <cell r="CW1315" t="str">
            <v>CHSA14&amp;15</v>
          </cell>
        </row>
        <row r="1316">
          <cell r="CA1316" t="str">
            <v>AHZZ</v>
          </cell>
          <cell r="CB1316" t="str">
            <v>Core HSA</v>
          </cell>
          <cell r="CC1316">
            <v>20</v>
          </cell>
          <cell r="CD1316">
            <v>20</v>
          </cell>
          <cell r="CE1316" t="str">
            <v>N/A</v>
          </cell>
          <cell r="CF1316" t="str">
            <v>N/A</v>
          </cell>
          <cell r="CG1316">
            <v>20</v>
          </cell>
          <cell r="CH1316">
            <v>20</v>
          </cell>
          <cell r="CI1316" t="str">
            <v>N/A</v>
          </cell>
          <cell r="CJ1316" t="str">
            <v>$2,500 / $5,000</v>
          </cell>
          <cell r="CK1316">
            <v>1</v>
          </cell>
          <cell r="CL1316" t="str">
            <v>$5,000 / $6,850</v>
          </cell>
          <cell r="CM1316" t="str">
            <v>$5,000 / $10,000</v>
          </cell>
          <cell r="CN1316">
            <v>0.7</v>
          </cell>
          <cell r="CO1316" t="str">
            <v>$10,000 / $20,000</v>
          </cell>
          <cell r="CP1316" t="str">
            <v>NonEmb</v>
          </cell>
          <cell r="CS1316" t="str">
            <v>INS</v>
          </cell>
          <cell r="CT1316" t="str">
            <v>Core</v>
          </cell>
        </row>
        <row r="1317">
          <cell r="CA1317" t="str">
            <v>AJ3P</v>
          </cell>
          <cell r="CB1317" t="str">
            <v>Core HSA</v>
          </cell>
          <cell r="CC1317" t="str">
            <v>N/A</v>
          </cell>
          <cell r="CD1317" t="str">
            <v>N/A</v>
          </cell>
          <cell r="CE1317" t="str">
            <v>N/A</v>
          </cell>
          <cell r="CF1317" t="str">
            <v>N/A</v>
          </cell>
          <cell r="CG1317" t="str">
            <v>N/A</v>
          </cell>
          <cell r="CH1317" t="str">
            <v>N/A</v>
          </cell>
          <cell r="CI1317" t="str">
            <v>N/A</v>
          </cell>
          <cell r="CJ1317" t="str">
            <v>$2,600 / $5,200</v>
          </cell>
          <cell r="CK1317">
            <v>1</v>
          </cell>
          <cell r="CL1317" t="str">
            <v>$3,600 / $7,200</v>
          </cell>
          <cell r="CM1317" t="str">
            <v>$3,600 / $7,200</v>
          </cell>
          <cell r="CN1317">
            <v>0.8</v>
          </cell>
          <cell r="CO1317" t="str">
            <v>$4,600 / $9,200</v>
          </cell>
          <cell r="CP1317" t="str">
            <v>Emb</v>
          </cell>
          <cell r="CS1317" t="str">
            <v>INS</v>
          </cell>
          <cell r="CT1317" t="str">
            <v>Core</v>
          </cell>
          <cell r="CV1317" t="str">
            <v>H9-HSA</v>
          </cell>
          <cell r="CW1317" t="str">
            <v>CHSA14&amp;15</v>
          </cell>
        </row>
        <row r="1318">
          <cell r="CA1318" t="str">
            <v>AJ3Q</v>
          </cell>
          <cell r="CB1318" t="str">
            <v>Core HSA</v>
          </cell>
          <cell r="CC1318" t="str">
            <v>N/A</v>
          </cell>
          <cell r="CD1318" t="str">
            <v>N/A</v>
          </cell>
          <cell r="CE1318" t="str">
            <v>N/A</v>
          </cell>
          <cell r="CF1318" t="str">
            <v>N/A</v>
          </cell>
          <cell r="CG1318" t="str">
            <v>N/A</v>
          </cell>
          <cell r="CH1318" t="str">
            <v>N/A</v>
          </cell>
          <cell r="CI1318" t="str">
            <v>N/A</v>
          </cell>
          <cell r="CJ1318" t="str">
            <v>$2,600 / $5,200</v>
          </cell>
          <cell r="CK1318">
            <v>0.9</v>
          </cell>
          <cell r="CL1318" t="str">
            <v>$3,600 / $7,200</v>
          </cell>
          <cell r="CM1318" t="str">
            <v>$5,200 / $10,400</v>
          </cell>
          <cell r="CN1318">
            <v>0.7</v>
          </cell>
          <cell r="CO1318" t="str">
            <v>$7,200 / $14,400</v>
          </cell>
          <cell r="CP1318" t="str">
            <v>Emb</v>
          </cell>
          <cell r="CS1318" t="str">
            <v>INS</v>
          </cell>
          <cell r="CT1318" t="str">
            <v>Core</v>
          </cell>
          <cell r="CV1318" t="str">
            <v>H9-HSA</v>
          </cell>
          <cell r="CW1318" t="str">
            <v>CHSA14&amp;15</v>
          </cell>
        </row>
        <row r="1319">
          <cell r="CA1319" t="str">
            <v>AJ3R</v>
          </cell>
          <cell r="CB1319" t="str">
            <v>Core HSA</v>
          </cell>
          <cell r="CC1319" t="str">
            <v>N/A</v>
          </cell>
          <cell r="CD1319" t="str">
            <v>N/A</v>
          </cell>
          <cell r="CE1319" t="str">
            <v>N/A</v>
          </cell>
          <cell r="CF1319" t="str">
            <v>$100 POD</v>
          </cell>
          <cell r="CG1319" t="str">
            <v>N/A</v>
          </cell>
          <cell r="CH1319" t="str">
            <v>$100 POD</v>
          </cell>
          <cell r="CI1319" t="str">
            <v>N/A</v>
          </cell>
          <cell r="CJ1319" t="str">
            <v>$2,600 / $5,200</v>
          </cell>
          <cell r="CK1319">
            <v>0.9</v>
          </cell>
          <cell r="CL1319" t="str">
            <v>$4,100 / $8,200</v>
          </cell>
          <cell r="CM1319" t="str">
            <v>$5,200 / $10,400</v>
          </cell>
          <cell r="CN1319">
            <v>0.7</v>
          </cell>
          <cell r="CO1319" t="str">
            <v>$8,200 / $16,400</v>
          </cell>
          <cell r="CP1319" t="str">
            <v>Emb</v>
          </cell>
          <cell r="CS1319" t="str">
            <v>INS</v>
          </cell>
          <cell r="CT1319" t="str">
            <v>Core</v>
          </cell>
          <cell r="CV1319" t="str">
            <v>H9-HSA</v>
          </cell>
          <cell r="CW1319" t="str">
            <v>CHSA14&amp;15</v>
          </cell>
        </row>
        <row r="1320">
          <cell r="CA1320" t="str">
            <v>AJ3S</v>
          </cell>
          <cell r="CB1320" t="str">
            <v>Core HSA</v>
          </cell>
          <cell r="CC1320" t="str">
            <v>N/A</v>
          </cell>
          <cell r="CD1320" t="str">
            <v>N/A</v>
          </cell>
          <cell r="CE1320" t="str">
            <v>N/A</v>
          </cell>
          <cell r="CF1320" t="str">
            <v>N/A</v>
          </cell>
          <cell r="CG1320" t="str">
            <v>N/A</v>
          </cell>
          <cell r="CH1320" t="str">
            <v>N/A</v>
          </cell>
          <cell r="CI1320" t="str">
            <v>N/A</v>
          </cell>
          <cell r="CJ1320" t="str">
            <v>$2,600 / $5,200</v>
          </cell>
          <cell r="CK1320">
            <v>0.9</v>
          </cell>
          <cell r="CL1320" t="str">
            <v>$3,600 / $7,200</v>
          </cell>
          <cell r="CM1320" t="str">
            <v>$3,600 / $7,200</v>
          </cell>
          <cell r="CN1320">
            <v>0.7</v>
          </cell>
          <cell r="CO1320" t="str">
            <v>$5,600 / $11,200</v>
          </cell>
          <cell r="CP1320" t="str">
            <v>Emb</v>
          </cell>
          <cell r="CS1320" t="str">
            <v>INS</v>
          </cell>
          <cell r="CT1320" t="str">
            <v>Core</v>
          </cell>
          <cell r="CV1320" t="str">
            <v>H9-HSA</v>
          </cell>
          <cell r="CW1320" t="str">
            <v>CHSA14&amp;15</v>
          </cell>
        </row>
        <row r="1321">
          <cell r="CA1321" t="str">
            <v>AJ3T</v>
          </cell>
          <cell r="CB1321" t="str">
            <v>Core HSA</v>
          </cell>
          <cell r="CC1321" t="str">
            <v>N/A</v>
          </cell>
          <cell r="CD1321" t="str">
            <v>N/A</v>
          </cell>
          <cell r="CE1321" t="str">
            <v>N/A</v>
          </cell>
          <cell r="CF1321" t="str">
            <v>N/A</v>
          </cell>
          <cell r="CG1321" t="str">
            <v>N/A</v>
          </cell>
          <cell r="CH1321" t="str">
            <v>N/A</v>
          </cell>
          <cell r="CI1321" t="str">
            <v>N/A</v>
          </cell>
          <cell r="CJ1321" t="str">
            <v>$2,600 / $5,200</v>
          </cell>
          <cell r="CK1321">
            <v>0.8</v>
          </cell>
          <cell r="CL1321" t="str">
            <v>$4,600 / $9,200</v>
          </cell>
          <cell r="CM1321" t="str">
            <v>$4,600 / $9,200</v>
          </cell>
          <cell r="CN1321">
            <v>0.6</v>
          </cell>
          <cell r="CO1321" t="str">
            <v>$6,000 / $12,000</v>
          </cell>
          <cell r="CP1321" t="str">
            <v>Emb</v>
          </cell>
          <cell r="CS1321" t="str">
            <v>INS</v>
          </cell>
          <cell r="CT1321" t="str">
            <v>Core</v>
          </cell>
          <cell r="CV1321" t="str">
            <v>H9-HSA</v>
          </cell>
          <cell r="CW1321" t="str">
            <v>CHSA14&amp;15</v>
          </cell>
        </row>
        <row r="1322">
          <cell r="CA1322" t="str">
            <v>AJ3U</v>
          </cell>
          <cell r="CB1322" t="str">
            <v>Core HSA</v>
          </cell>
          <cell r="CC1322" t="str">
            <v>N/A</v>
          </cell>
          <cell r="CD1322" t="str">
            <v>N/A</v>
          </cell>
          <cell r="CE1322" t="str">
            <v>N/A</v>
          </cell>
          <cell r="CF1322" t="str">
            <v>N/A</v>
          </cell>
          <cell r="CG1322" t="str">
            <v>N/A</v>
          </cell>
          <cell r="CH1322" t="str">
            <v>N/A</v>
          </cell>
          <cell r="CI1322" t="str">
            <v>N/A</v>
          </cell>
          <cell r="CJ1322" t="str">
            <v>$2,600 / $5,200</v>
          </cell>
          <cell r="CK1322">
            <v>0.9</v>
          </cell>
          <cell r="CL1322" t="str">
            <v>$6,550 / $13,100</v>
          </cell>
          <cell r="CM1322" t="str">
            <v>$5,200 / $10,400</v>
          </cell>
          <cell r="CN1322">
            <v>0.7</v>
          </cell>
          <cell r="CO1322" t="str">
            <v>$13,100 / $26,200</v>
          </cell>
          <cell r="CP1322" t="str">
            <v>Emb</v>
          </cell>
          <cell r="CS1322" t="str">
            <v>INS</v>
          </cell>
          <cell r="CT1322" t="str">
            <v>Core</v>
          </cell>
          <cell r="CV1322" t="str">
            <v>H9-HSA</v>
          </cell>
          <cell r="CW1322" t="str">
            <v>CHSA14&amp;15</v>
          </cell>
        </row>
        <row r="1324">
          <cell r="CA1324" t="str">
            <v>AH1A</v>
          </cell>
          <cell r="CB1324" t="str">
            <v>Core Essential HSA</v>
          </cell>
          <cell r="CC1324" t="str">
            <v>N/A</v>
          </cell>
          <cell r="CD1324" t="str">
            <v>N/A</v>
          </cell>
          <cell r="CE1324">
            <v>100</v>
          </cell>
          <cell r="CF1324" t="str">
            <v>$100 POD</v>
          </cell>
          <cell r="CG1324" t="str">
            <v>N/A</v>
          </cell>
          <cell r="CH1324" t="str">
            <v>$100 POD</v>
          </cell>
          <cell r="CI1324" t="str">
            <v>N/A</v>
          </cell>
          <cell r="CJ1324" t="str">
            <v>$2,600 / $5,200</v>
          </cell>
          <cell r="CK1324">
            <v>0.8</v>
          </cell>
          <cell r="CL1324" t="str">
            <v>$5,000 / $10,000</v>
          </cell>
          <cell r="CM1324" t="str">
            <v>N/A</v>
          </cell>
          <cell r="CN1324">
            <v>0</v>
          </cell>
          <cell r="CO1324" t="str">
            <v>N/A</v>
          </cell>
          <cell r="CP1324" t="str">
            <v>Emb</v>
          </cell>
          <cell r="CS1324" t="str">
            <v>INS</v>
          </cell>
          <cell r="CT1324" t="str">
            <v>Core Essential</v>
          </cell>
          <cell r="CV1324" t="str">
            <v>H9-HSA</v>
          </cell>
          <cell r="CW1324" t="str">
            <v>CEHSA14&amp;15</v>
          </cell>
        </row>
        <row r="1325">
          <cell r="CA1325" t="str">
            <v>AH1B</v>
          </cell>
          <cell r="CB1325" t="str">
            <v>Core Essential HSA</v>
          </cell>
          <cell r="CC1325">
            <v>20</v>
          </cell>
          <cell r="CD1325">
            <v>20</v>
          </cell>
          <cell r="CE1325" t="str">
            <v>N/A</v>
          </cell>
          <cell r="CF1325" t="str">
            <v>N/A</v>
          </cell>
          <cell r="CG1325">
            <v>20</v>
          </cell>
          <cell r="CH1325">
            <v>20</v>
          </cell>
          <cell r="CI1325" t="str">
            <v>N/A</v>
          </cell>
          <cell r="CJ1325" t="str">
            <v>$2,500 / $5,000</v>
          </cell>
          <cell r="CK1325">
            <v>1</v>
          </cell>
          <cell r="CL1325" t="str">
            <v>$5,000 / $6,850</v>
          </cell>
          <cell r="CM1325" t="str">
            <v>N/A</v>
          </cell>
          <cell r="CN1325">
            <v>0</v>
          </cell>
          <cell r="CO1325" t="str">
            <v>N/A</v>
          </cell>
          <cell r="CP1325" t="str">
            <v>NonEmb</v>
          </cell>
          <cell r="CS1325" t="str">
            <v>INS</v>
          </cell>
          <cell r="CT1325" t="str">
            <v>Core Essential</v>
          </cell>
        </row>
        <row r="1326">
          <cell r="CA1326" t="str">
            <v>AHY3</v>
          </cell>
          <cell r="CB1326" t="str">
            <v>Core Essential HSA</v>
          </cell>
          <cell r="CC1326" t="str">
            <v>N/A</v>
          </cell>
          <cell r="CD1326" t="str">
            <v>N/A</v>
          </cell>
          <cell r="CE1326" t="str">
            <v>N/A</v>
          </cell>
          <cell r="CF1326" t="str">
            <v>$100 POD</v>
          </cell>
          <cell r="CG1326" t="str">
            <v>N/A</v>
          </cell>
          <cell r="CH1326" t="str">
            <v>$100 POD</v>
          </cell>
          <cell r="CI1326" t="str">
            <v>N/A</v>
          </cell>
          <cell r="CJ1326" t="str">
            <v>$1,500 / $3,000</v>
          </cell>
          <cell r="CK1326">
            <v>0.9</v>
          </cell>
          <cell r="CL1326" t="str">
            <v>$2,500 / $5,000</v>
          </cell>
          <cell r="CM1326" t="str">
            <v>N/A</v>
          </cell>
          <cell r="CN1326">
            <v>0</v>
          </cell>
          <cell r="CO1326" t="str">
            <v>N/A</v>
          </cell>
          <cell r="CP1326" t="str">
            <v>NonEmb</v>
          </cell>
          <cell r="CS1326" t="str">
            <v>INS</v>
          </cell>
          <cell r="CT1326" t="str">
            <v>Core Essential</v>
          </cell>
        </row>
        <row r="1327">
          <cell r="CA1327" t="str">
            <v>AHY4</v>
          </cell>
          <cell r="CB1327" t="str">
            <v>Core Essential HSA</v>
          </cell>
          <cell r="CC1327" t="str">
            <v>N/A</v>
          </cell>
          <cell r="CD1327" t="str">
            <v>N/A</v>
          </cell>
          <cell r="CE1327" t="str">
            <v>N/A</v>
          </cell>
          <cell r="CF1327" t="str">
            <v>$100 POD</v>
          </cell>
          <cell r="CG1327" t="str">
            <v>N/A</v>
          </cell>
          <cell r="CH1327" t="str">
            <v>$100 POD</v>
          </cell>
          <cell r="CI1327" t="str">
            <v>N/A</v>
          </cell>
          <cell r="CJ1327" t="str">
            <v>$1,500 / $3,000</v>
          </cell>
          <cell r="CK1327">
            <v>0.9</v>
          </cell>
          <cell r="CL1327" t="str">
            <v>$3,000 / $6,000</v>
          </cell>
          <cell r="CM1327" t="str">
            <v>N/A</v>
          </cell>
          <cell r="CN1327">
            <v>0</v>
          </cell>
          <cell r="CO1327" t="str">
            <v>N/A</v>
          </cell>
          <cell r="CP1327" t="str">
            <v>NonEmb</v>
          </cell>
          <cell r="CS1327" t="str">
            <v>INS</v>
          </cell>
          <cell r="CT1327" t="str">
            <v>Core Essential</v>
          </cell>
        </row>
        <row r="1328">
          <cell r="CA1328" t="str">
            <v>AHY5</v>
          </cell>
          <cell r="CB1328" t="str">
            <v>Core Essential HSA</v>
          </cell>
          <cell r="CC1328" t="str">
            <v>N/A</v>
          </cell>
          <cell r="CD1328" t="str">
            <v>N/A</v>
          </cell>
          <cell r="CE1328">
            <v>100</v>
          </cell>
          <cell r="CF1328" t="str">
            <v>$100 POD</v>
          </cell>
          <cell r="CG1328" t="str">
            <v>N/A</v>
          </cell>
          <cell r="CH1328" t="str">
            <v>$100 POD</v>
          </cell>
          <cell r="CI1328" t="str">
            <v>N/A</v>
          </cell>
          <cell r="CJ1328" t="str">
            <v>$2,250 / $4,500</v>
          </cell>
          <cell r="CK1328">
            <v>0.8</v>
          </cell>
          <cell r="CL1328" t="str">
            <v>$3,000 / $6,000</v>
          </cell>
          <cell r="CM1328" t="str">
            <v>N/A</v>
          </cell>
          <cell r="CN1328">
            <v>0</v>
          </cell>
          <cell r="CO1328" t="str">
            <v>N/A</v>
          </cell>
          <cell r="CP1328" t="str">
            <v>NonEmb</v>
          </cell>
          <cell r="CS1328" t="str">
            <v>INS</v>
          </cell>
          <cell r="CT1328" t="str">
            <v>Core Essential</v>
          </cell>
        </row>
        <row r="1329">
          <cell r="CA1329" t="str">
            <v>AHY6</v>
          </cell>
          <cell r="CB1329" t="str">
            <v>Core Essential HSA</v>
          </cell>
          <cell r="CC1329" t="str">
            <v>N/A</v>
          </cell>
          <cell r="CD1329" t="str">
            <v>N/A</v>
          </cell>
          <cell r="CE1329">
            <v>100</v>
          </cell>
          <cell r="CF1329" t="str">
            <v>$100 POD</v>
          </cell>
          <cell r="CG1329" t="str">
            <v>N/A</v>
          </cell>
          <cell r="CH1329" t="str">
            <v>$100 POD</v>
          </cell>
          <cell r="CI1329" t="str">
            <v>N/A</v>
          </cell>
          <cell r="CJ1329" t="str">
            <v>$2,500 / $5,000</v>
          </cell>
          <cell r="CK1329">
            <v>0.8</v>
          </cell>
          <cell r="CL1329" t="str">
            <v>$3,000 / $6,000</v>
          </cell>
          <cell r="CM1329" t="str">
            <v>N/A</v>
          </cell>
          <cell r="CN1329">
            <v>0</v>
          </cell>
          <cell r="CO1329" t="str">
            <v>N/A</v>
          </cell>
          <cell r="CP1329" t="str">
            <v>NonEmb</v>
          </cell>
          <cell r="CS1329" t="str">
            <v>INS</v>
          </cell>
          <cell r="CT1329" t="str">
            <v>Core Essential</v>
          </cell>
        </row>
        <row r="1330">
          <cell r="CA1330" t="str">
            <v>AHZ8</v>
          </cell>
          <cell r="CB1330" t="str">
            <v>Core Essential HSA</v>
          </cell>
          <cell r="CC1330" t="str">
            <v>N/A</v>
          </cell>
          <cell r="CD1330" t="str">
            <v>N/A</v>
          </cell>
          <cell r="CE1330">
            <v>100</v>
          </cell>
          <cell r="CF1330" t="str">
            <v>$100 POD</v>
          </cell>
          <cell r="CG1330" t="str">
            <v>N/A</v>
          </cell>
          <cell r="CH1330" t="str">
            <v>$100 POD</v>
          </cell>
          <cell r="CI1330" t="str">
            <v>N/A</v>
          </cell>
          <cell r="CJ1330" t="str">
            <v>$1,800 / $3,600</v>
          </cell>
          <cell r="CK1330">
            <v>0.8</v>
          </cell>
          <cell r="CL1330" t="str">
            <v>$4,000 / $6,850</v>
          </cell>
          <cell r="CM1330" t="str">
            <v>N/A</v>
          </cell>
          <cell r="CN1330">
            <v>0</v>
          </cell>
          <cell r="CO1330" t="str">
            <v>N/A</v>
          </cell>
          <cell r="CP1330" t="str">
            <v>NonEmb</v>
          </cell>
          <cell r="CS1330" t="str">
            <v>INS</v>
          </cell>
          <cell r="CT1330" t="str">
            <v>Core Essential</v>
          </cell>
        </row>
        <row r="1331">
          <cell r="CA1331" t="str">
            <v>AHZ9</v>
          </cell>
          <cell r="CB1331" t="str">
            <v>Core Essential HSA</v>
          </cell>
          <cell r="CC1331" t="str">
            <v>N/A</v>
          </cell>
          <cell r="CD1331" t="str">
            <v>N/A</v>
          </cell>
          <cell r="CE1331" t="str">
            <v>N/A</v>
          </cell>
          <cell r="CF1331" t="str">
            <v>N/A</v>
          </cell>
          <cell r="CG1331" t="str">
            <v>N/A</v>
          </cell>
          <cell r="CH1331" t="str">
            <v>N/A</v>
          </cell>
          <cell r="CI1331" t="str">
            <v>N/A</v>
          </cell>
          <cell r="CJ1331" t="str">
            <v>$2,500 / $5,000</v>
          </cell>
          <cell r="CK1331">
            <v>1</v>
          </cell>
          <cell r="CL1331" t="str">
            <v>$3,500 / $6,850</v>
          </cell>
          <cell r="CM1331" t="str">
            <v>N/A</v>
          </cell>
          <cell r="CN1331">
            <v>0</v>
          </cell>
          <cell r="CO1331" t="str">
            <v>N/A</v>
          </cell>
          <cell r="CP1331" t="str">
            <v>NonEmb</v>
          </cell>
          <cell r="CS1331" t="str">
            <v>INS</v>
          </cell>
          <cell r="CT1331" t="str">
            <v>Core Essential</v>
          </cell>
        </row>
        <row r="1332">
          <cell r="CA1332" t="str">
            <v>AHZM</v>
          </cell>
          <cell r="CB1332" t="str">
            <v>Core Essential HSA</v>
          </cell>
          <cell r="CC1332" t="str">
            <v>N/A</v>
          </cell>
          <cell r="CD1332" t="str">
            <v>N/A</v>
          </cell>
          <cell r="CE1332" t="str">
            <v>N/A</v>
          </cell>
          <cell r="CF1332" t="str">
            <v>N/A</v>
          </cell>
          <cell r="CG1332" t="str">
            <v>N/A</v>
          </cell>
          <cell r="CH1332" t="str">
            <v>N/A</v>
          </cell>
          <cell r="CI1332" t="str">
            <v>N/A</v>
          </cell>
          <cell r="CJ1332" t="str">
            <v>$1,500 / $3,000</v>
          </cell>
          <cell r="CK1332">
            <v>0.8</v>
          </cell>
          <cell r="CL1332" t="str">
            <v>$3,500 / $6,850</v>
          </cell>
          <cell r="CM1332" t="str">
            <v>N/A</v>
          </cell>
          <cell r="CN1332">
            <v>0</v>
          </cell>
          <cell r="CO1332" t="str">
            <v>N/A</v>
          </cell>
          <cell r="CP1332" t="str">
            <v>NonEmb</v>
          </cell>
          <cell r="CS1332" t="str">
            <v>INS</v>
          </cell>
          <cell r="CT1332" t="str">
            <v>Core Essential</v>
          </cell>
        </row>
        <row r="1333">
          <cell r="CA1333" t="str">
            <v>AHZN</v>
          </cell>
          <cell r="CB1333" t="str">
            <v>Core Essential HSA</v>
          </cell>
          <cell r="CC1333" t="str">
            <v>N/A</v>
          </cell>
          <cell r="CD1333" t="str">
            <v>N/A</v>
          </cell>
          <cell r="CE1333" t="str">
            <v>N/A</v>
          </cell>
          <cell r="CF1333" t="str">
            <v>N/A</v>
          </cell>
          <cell r="CG1333" t="str">
            <v>N/A</v>
          </cell>
          <cell r="CH1333" t="str">
            <v>N/A</v>
          </cell>
          <cell r="CI1333" t="str">
            <v>N/A</v>
          </cell>
          <cell r="CJ1333" t="str">
            <v>$2,000 / $4,000</v>
          </cell>
          <cell r="CK1333">
            <v>0.8</v>
          </cell>
          <cell r="CL1333" t="str">
            <v>$4,000 / $6,850</v>
          </cell>
          <cell r="CM1333" t="str">
            <v>N/A</v>
          </cell>
          <cell r="CN1333">
            <v>0</v>
          </cell>
          <cell r="CO1333" t="str">
            <v>N/A</v>
          </cell>
          <cell r="CP1333" t="str">
            <v>NonEmb</v>
          </cell>
          <cell r="CS1333" t="str">
            <v>INS</v>
          </cell>
          <cell r="CT1333" t="str">
            <v>Core Essential</v>
          </cell>
        </row>
        <row r="1334">
          <cell r="CA1334" t="str">
            <v>AHZO</v>
          </cell>
          <cell r="CB1334" t="str">
            <v>Core Essential HSA</v>
          </cell>
          <cell r="CC1334" t="str">
            <v>N/A</v>
          </cell>
          <cell r="CD1334" t="str">
            <v>N/A</v>
          </cell>
          <cell r="CE1334" t="str">
            <v>N/A</v>
          </cell>
          <cell r="CF1334" t="str">
            <v>N/A</v>
          </cell>
          <cell r="CG1334" t="str">
            <v>N/A</v>
          </cell>
          <cell r="CH1334" t="str">
            <v>N/A</v>
          </cell>
          <cell r="CI1334" t="str">
            <v>N/A</v>
          </cell>
          <cell r="CJ1334" t="str">
            <v>$3,000 / $6,000</v>
          </cell>
          <cell r="CK1334">
            <v>0.8</v>
          </cell>
          <cell r="CL1334" t="str">
            <v>$4,000 / $6,850</v>
          </cell>
          <cell r="CM1334" t="str">
            <v>N/A</v>
          </cell>
          <cell r="CN1334">
            <v>0</v>
          </cell>
          <cell r="CO1334" t="str">
            <v>N/A</v>
          </cell>
          <cell r="CP1334" t="str">
            <v>NonEmb</v>
          </cell>
          <cell r="CS1334" t="str">
            <v>INS</v>
          </cell>
          <cell r="CT1334" t="str">
            <v>Core Essential</v>
          </cell>
        </row>
        <row r="1335">
          <cell r="CA1335" t="str">
            <v>AHZP</v>
          </cell>
          <cell r="CB1335" t="str">
            <v>Core Essential HSA</v>
          </cell>
          <cell r="CC1335" t="str">
            <v>N/A</v>
          </cell>
          <cell r="CD1335" t="str">
            <v>N/A</v>
          </cell>
          <cell r="CE1335" t="str">
            <v>N/A</v>
          </cell>
          <cell r="CF1335" t="str">
            <v>N/A</v>
          </cell>
          <cell r="CG1335" t="str">
            <v>N/A</v>
          </cell>
          <cell r="CH1335" t="str">
            <v>N/A</v>
          </cell>
          <cell r="CI1335" t="str">
            <v>N/A</v>
          </cell>
          <cell r="CJ1335" t="str">
            <v>$2,600 / $5,200</v>
          </cell>
          <cell r="CK1335">
            <v>0.8</v>
          </cell>
          <cell r="CL1335" t="str">
            <v>$5,000 / $10,000</v>
          </cell>
          <cell r="CM1335" t="str">
            <v>N/A</v>
          </cell>
          <cell r="CN1335">
            <v>0</v>
          </cell>
          <cell r="CO1335" t="str">
            <v>N/A</v>
          </cell>
          <cell r="CP1335" t="str">
            <v>Emb</v>
          </cell>
          <cell r="CS1335" t="str">
            <v>INS</v>
          </cell>
          <cell r="CT1335" t="str">
            <v>Core Essential</v>
          </cell>
          <cell r="CV1335" t="str">
            <v>H9-HSA</v>
          </cell>
          <cell r="CW1335" t="str">
            <v>CEHSA14&amp;15</v>
          </cell>
        </row>
        <row r="1336">
          <cell r="CA1336" t="str">
            <v>AJ3V</v>
          </cell>
          <cell r="CB1336" t="str">
            <v>Core Essential HSA</v>
          </cell>
          <cell r="CC1336" t="str">
            <v>N/A</v>
          </cell>
          <cell r="CD1336" t="str">
            <v>N/A</v>
          </cell>
          <cell r="CE1336" t="str">
            <v>N/A</v>
          </cell>
          <cell r="CF1336" t="str">
            <v>N/A</v>
          </cell>
          <cell r="CG1336" t="str">
            <v>N/A</v>
          </cell>
          <cell r="CH1336" t="str">
            <v>N/A</v>
          </cell>
          <cell r="CI1336" t="str">
            <v>N/A</v>
          </cell>
          <cell r="CJ1336" t="str">
            <v>$2,600 / $5,200</v>
          </cell>
          <cell r="CK1336">
            <v>1</v>
          </cell>
          <cell r="CL1336" t="str">
            <v>$3,600 / $7,200</v>
          </cell>
          <cell r="CM1336" t="str">
            <v>N/A</v>
          </cell>
          <cell r="CN1336">
            <v>0</v>
          </cell>
          <cell r="CO1336" t="str">
            <v>N/A</v>
          </cell>
          <cell r="CP1336" t="str">
            <v>Emb</v>
          </cell>
          <cell r="CS1336" t="str">
            <v>INS</v>
          </cell>
          <cell r="CT1336" t="str">
            <v>Core Essential</v>
          </cell>
          <cell r="CV1336" t="str">
            <v>H9-HSA</v>
          </cell>
          <cell r="CW1336" t="str">
            <v>CEHSA14&amp;15</v>
          </cell>
        </row>
        <row r="1337">
          <cell r="CA1337" t="str">
            <v>AJ3W</v>
          </cell>
          <cell r="CB1337" t="str">
            <v>Core Essential HSA</v>
          </cell>
          <cell r="CC1337" t="str">
            <v>N/A</v>
          </cell>
          <cell r="CD1337" t="str">
            <v>N/A</v>
          </cell>
          <cell r="CE1337" t="str">
            <v>N/A</v>
          </cell>
          <cell r="CF1337" t="str">
            <v>N/A</v>
          </cell>
          <cell r="CG1337" t="str">
            <v>N/A</v>
          </cell>
          <cell r="CH1337" t="str">
            <v>N/A</v>
          </cell>
          <cell r="CI1337" t="str">
            <v>N/A</v>
          </cell>
          <cell r="CJ1337" t="str">
            <v>$2,600 / $5,200</v>
          </cell>
          <cell r="CK1337">
            <v>0.9</v>
          </cell>
          <cell r="CL1337" t="str">
            <v>$3,600 / $7,200</v>
          </cell>
          <cell r="CM1337" t="str">
            <v>N/A</v>
          </cell>
          <cell r="CN1337">
            <v>0</v>
          </cell>
          <cell r="CO1337" t="str">
            <v>N/A</v>
          </cell>
          <cell r="CP1337" t="str">
            <v>Emb</v>
          </cell>
          <cell r="CS1337" t="str">
            <v>INS</v>
          </cell>
          <cell r="CT1337" t="str">
            <v>Core Essential</v>
          </cell>
          <cell r="CV1337" t="str">
            <v>H9-HSA</v>
          </cell>
          <cell r="CW1337" t="str">
            <v>CEHSA14&amp;15</v>
          </cell>
        </row>
        <row r="1338">
          <cell r="CA1338" t="str">
            <v>AJ3X</v>
          </cell>
          <cell r="CB1338" t="str">
            <v>Core Essential HSA</v>
          </cell>
          <cell r="CC1338" t="str">
            <v>N/A</v>
          </cell>
          <cell r="CD1338" t="str">
            <v>N/A</v>
          </cell>
          <cell r="CE1338" t="str">
            <v>N/A</v>
          </cell>
          <cell r="CF1338" t="str">
            <v>$100 POD</v>
          </cell>
          <cell r="CG1338" t="str">
            <v>N/A</v>
          </cell>
          <cell r="CH1338" t="str">
            <v>$100 POD</v>
          </cell>
          <cell r="CI1338" t="str">
            <v>N/A</v>
          </cell>
          <cell r="CJ1338" t="str">
            <v>$2,600 / $5,200</v>
          </cell>
          <cell r="CK1338">
            <v>0.9</v>
          </cell>
          <cell r="CL1338" t="str">
            <v>$4,100 / $8,200</v>
          </cell>
          <cell r="CM1338" t="str">
            <v>N/A</v>
          </cell>
          <cell r="CN1338">
            <v>0</v>
          </cell>
          <cell r="CO1338" t="str">
            <v>N/A</v>
          </cell>
          <cell r="CP1338" t="str">
            <v>Emb</v>
          </cell>
          <cell r="CS1338" t="str">
            <v>INS</v>
          </cell>
          <cell r="CT1338" t="str">
            <v>Core Essential</v>
          </cell>
          <cell r="CV1338" t="str">
            <v>H9-HSA</v>
          </cell>
          <cell r="CW1338" t="str">
            <v>CEHSA14&amp;15</v>
          </cell>
        </row>
        <row r="1339">
          <cell r="CA1339" t="str">
            <v>AJ3Y</v>
          </cell>
          <cell r="CB1339" t="str">
            <v>Core Essential HSA</v>
          </cell>
          <cell r="CC1339" t="str">
            <v>N/A</v>
          </cell>
          <cell r="CD1339" t="str">
            <v>N/A</v>
          </cell>
          <cell r="CE1339" t="str">
            <v>N/A</v>
          </cell>
          <cell r="CF1339" t="str">
            <v>N/A</v>
          </cell>
          <cell r="CG1339" t="str">
            <v>N/A</v>
          </cell>
          <cell r="CH1339" t="str">
            <v>N/A</v>
          </cell>
          <cell r="CI1339" t="str">
            <v>N/A</v>
          </cell>
          <cell r="CJ1339" t="str">
            <v>$2,600 / $5,200</v>
          </cell>
          <cell r="CK1339">
            <v>0.8</v>
          </cell>
          <cell r="CL1339" t="str">
            <v>$4,600 / $9,200</v>
          </cell>
          <cell r="CM1339" t="str">
            <v>N/A</v>
          </cell>
          <cell r="CN1339">
            <v>0</v>
          </cell>
          <cell r="CO1339" t="str">
            <v>N/A</v>
          </cell>
          <cell r="CP1339" t="str">
            <v>Emb</v>
          </cell>
          <cell r="CS1339" t="str">
            <v>INS</v>
          </cell>
          <cell r="CT1339" t="str">
            <v>Core Essential</v>
          </cell>
          <cell r="CV1339" t="str">
            <v>H9-HSA</v>
          </cell>
          <cell r="CW1339" t="str">
            <v>CEHSA14&amp;15</v>
          </cell>
        </row>
        <row r="1340">
          <cell r="CA1340" t="str">
            <v>AJ3Z</v>
          </cell>
          <cell r="CB1340" t="str">
            <v>Core Essential HSA</v>
          </cell>
          <cell r="CC1340" t="str">
            <v>N/A</v>
          </cell>
          <cell r="CD1340" t="str">
            <v>N/A</v>
          </cell>
          <cell r="CE1340" t="str">
            <v>N/A</v>
          </cell>
          <cell r="CF1340" t="str">
            <v>N/A</v>
          </cell>
          <cell r="CG1340" t="str">
            <v>N/A</v>
          </cell>
          <cell r="CH1340" t="str">
            <v>N/A</v>
          </cell>
          <cell r="CI1340" t="str">
            <v>N/A</v>
          </cell>
          <cell r="CJ1340" t="str">
            <v>$2,600 / $5,200</v>
          </cell>
          <cell r="CK1340">
            <v>0.9</v>
          </cell>
          <cell r="CL1340" t="str">
            <v>$6,550 / $13,100</v>
          </cell>
          <cell r="CM1340" t="str">
            <v>N/A</v>
          </cell>
          <cell r="CN1340">
            <v>0</v>
          </cell>
          <cell r="CO1340" t="str">
            <v>N/A</v>
          </cell>
          <cell r="CP1340" t="str">
            <v>Emb</v>
          </cell>
          <cell r="CS1340" t="str">
            <v>INS</v>
          </cell>
          <cell r="CT1340" t="str">
            <v>Core Essential</v>
          </cell>
          <cell r="CV1340" t="str">
            <v>H9-HSA</v>
          </cell>
          <cell r="CW1340" t="str">
            <v>CEHSA14&amp;15</v>
          </cell>
        </row>
        <row r="1342">
          <cell r="CA1342" t="str">
            <v>AJ4C</v>
          </cell>
          <cell r="CB1342" t="str">
            <v>HSA</v>
          </cell>
          <cell r="CC1342" t="str">
            <v>N/A</v>
          </cell>
          <cell r="CD1342" t="str">
            <v>N/A</v>
          </cell>
          <cell r="CE1342" t="str">
            <v>N/A</v>
          </cell>
          <cell r="CF1342" t="str">
            <v>N/A</v>
          </cell>
          <cell r="CG1342" t="str">
            <v>N/A</v>
          </cell>
          <cell r="CH1342" t="str">
            <v>N/A</v>
          </cell>
          <cell r="CI1342" t="str">
            <v>N/A</v>
          </cell>
          <cell r="CJ1342" t="str">
            <v>$2,600 / $5,200</v>
          </cell>
          <cell r="CK1342">
            <v>0.9</v>
          </cell>
          <cell r="CL1342" t="str">
            <v>$3,600 / $7,200</v>
          </cell>
          <cell r="CM1342" t="str">
            <v>$5,200 / $10,400</v>
          </cell>
          <cell r="CN1342" t="str">
            <v>70&amp;</v>
          </cell>
          <cell r="CO1342" t="str">
            <v>$7,200 / $14,400</v>
          </cell>
          <cell r="CP1342" t="str">
            <v>Emb</v>
          </cell>
          <cell r="CS1342" t="str">
            <v>INS</v>
          </cell>
          <cell r="CT1342" t="str">
            <v>PPO</v>
          </cell>
          <cell r="CV1342" t="str">
            <v>H9-HSA</v>
          </cell>
          <cell r="CW1342" t="str">
            <v>PPOHSA14W</v>
          </cell>
        </row>
        <row r="1343">
          <cell r="CA1343" t="str">
            <v>ULV</v>
          </cell>
          <cell r="CB1343" t="str">
            <v>HSA</v>
          </cell>
          <cell r="CC1343" t="str">
            <v>N/A</v>
          </cell>
          <cell r="CD1343" t="str">
            <v>N/A</v>
          </cell>
          <cell r="CE1343" t="str">
            <v>N/A</v>
          </cell>
          <cell r="CF1343" t="str">
            <v>N/A</v>
          </cell>
          <cell r="CG1343" t="str">
            <v>N/A</v>
          </cell>
          <cell r="CH1343" t="str">
            <v>N/A</v>
          </cell>
          <cell r="CI1343" t="str">
            <v>N/A</v>
          </cell>
          <cell r="CJ1343" t="str">
            <v>$2,000 / $4,000</v>
          </cell>
          <cell r="CK1343">
            <v>1</v>
          </cell>
          <cell r="CL1343" t="str">
            <v>$3,000 / $6,000</v>
          </cell>
          <cell r="CM1343" t="str">
            <v>$4,000 / $8,000</v>
          </cell>
          <cell r="CN1343">
            <v>0.8</v>
          </cell>
          <cell r="CO1343" t="str">
            <v>$8,000 / $16,000</v>
          </cell>
          <cell r="CP1343" t="str">
            <v>NonEmb</v>
          </cell>
          <cell r="CS1343" t="str">
            <v>INS</v>
          </cell>
          <cell r="CT1343" t="str">
            <v>PPO</v>
          </cell>
        </row>
        <row r="1345">
          <cell r="CA1345" t="str">
            <v>AM81</v>
          </cell>
          <cell r="CB1345" t="str">
            <v>Navigate HSA</v>
          </cell>
          <cell r="CC1345" t="str">
            <v>N/A</v>
          </cell>
          <cell r="CD1345" t="str">
            <v>N/A</v>
          </cell>
          <cell r="CE1345" t="str">
            <v>N/A</v>
          </cell>
          <cell r="CF1345" t="str">
            <v>$100 POD</v>
          </cell>
          <cell r="CG1345" t="str">
            <v>N/A</v>
          </cell>
          <cell r="CH1345" t="str">
            <v>$100 POD</v>
          </cell>
          <cell r="CI1345" t="str">
            <v>N/A</v>
          </cell>
          <cell r="CJ1345" t="str">
            <v>$2600 / $5200</v>
          </cell>
          <cell r="CK1345">
            <v>0.8</v>
          </cell>
          <cell r="CL1345" t="str">
            <v>$5000 / $10000</v>
          </cell>
          <cell r="CM1345" t="str">
            <v>N/A</v>
          </cell>
          <cell r="CN1345" t="str">
            <v>N/A</v>
          </cell>
          <cell r="CO1345" t="str">
            <v>N/A</v>
          </cell>
          <cell r="CP1345" t="str">
            <v>Emb</v>
          </cell>
          <cell r="CS1345" t="str">
            <v>INS</v>
          </cell>
          <cell r="CT1345" t="str">
            <v>Navigate</v>
          </cell>
          <cell r="CV1345" t="str">
            <v>H9-HSA</v>
          </cell>
          <cell r="CW1345" t="str">
            <v>NAVHSA14&amp;15</v>
          </cell>
        </row>
        <row r="1346">
          <cell r="CA1346" t="str">
            <v>AM8X</v>
          </cell>
          <cell r="CB1346" t="str">
            <v>Navigate HSA</v>
          </cell>
          <cell r="CC1346" t="str">
            <v>N/A</v>
          </cell>
          <cell r="CD1346" t="str">
            <v>N/A</v>
          </cell>
          <cell r="CE1346" t="str">
            <v>N/A</v>
          </cell>
          <cell r="CF1346" t="str">
            <v>N/A</v>
          </cell>
          <cell r="CG1346" t="str">
            <v>N/A</v>
          </cell>
          <cell r="CH1346" t="str">
            <v>N/A</v>
          </cell>
          <cell r="CI1346" t="str">
            <v>N/A</v>
          </cell>
          <cell r="CJ1346" t="str">
            <v>$2600 / $5200</v>
          </cell>
          <cell r="CK1346">
            <v>0.8</v>
          </cell>
          <cell r="CL1346" t="str">
            <v>$5000 / $10000</v>
          </cell>
          <cell r="CM1346" t="str">
            <v>N/A</v>
          </cell>
          <cell r="CN1346" t="str">
            <v>N/A</v>
          </cell>
          <cell r="CO1346" t="str">
            <v>N/A</v>
          </cell>
          <cell r="CP1346" t="str">
            <v>Emb</v>
          </cell>
          <cell r="CS1346" t="str">
            <v>INS</v>
          </cell>
          <cell r="CT1346" t="str">
            <v>Navigate</v>
          </cell>
          <cell r="CV1346" t="str">
            <v>H9-HSA</v>
          </cell>
          <cell r="CW1346" t="str">
            <v>NAVHSA14&amp;15</v>
          </cell>
        </row>
        <row r="1347">
          <cell r="CA1347" t="str">
            <v>ANCC</v>
          </cell>
          <cell r="CB1347" t="str">
            <v>Navigate HSA</v>
          </cell>
          <cell r="CC1347" t="str">
            <v>N/A</v>
          </cell>
          <cell r="CD1347" t="str">
            <v>N/A</v>
          </cell>
          <cell r="CE1347" t="str">
            <v>N/A</v>
          </cell>
          <cell r="CF1347" t="str">
            <v>N/A</v>
          </cell>
          <cell r="CG1347" t="str">
            <v>N/A</v>
          </cell>
          <cell r="CH1347" t="str">
            <v>N/A</v>
          </cell>
          <cell r="CI1347" t="str">
            <v>N/A</v>
          </cell>
          <cell r="CJ1347" t="str">
            <v>$2600 / $5200</v>
          </cell>
          <cell r="CK1347">
            <v>1</v>
          </cell>
          <cell r="CL1347" t="str">
            <v>$3600 / $7200</v>
          </cell>
          <cell r="CM1347" t="str">
            <v>N/A</v>
          </cell>
          <cell r="CN1347" t="str">
            <v>N/A</v>
          </cell>
          <cell r="CO1347" t="str">
            <v>N/A</v>
          </cell>
          <cell r="CP1347" t="str">
            <v>Emb</v>
          </cell>
          <cell r="CS1347" t="str">
            <v>INS</v>
          </cell>
          <cell r="CT1347" t="str">
            <v>Navigate</v>
          </cell>
          <cell r="CV1347" t="str">
            <v>H9-HSA</v>
          </cell>
          <cell r="CW1347" t="str">
            <v>NAVHSA14&amp;15</v>
          </cell>
        </row>
        <row r="1348">
          <cell r="CA1348" t="str">
            <v>ANCD</v>
          </cell>
          <cell r="CB1348" t="str">
            <v>Navigate HSA</v>
          </cell>
          <cell r="CC1348" t="str">
            <v>N/A</v>
          </cell>
          <cell r="CD1348" t="str">
            <v>N/A</v>
          </cell>
          <cell r="CE1348" t="str">
            <v>N/A</v>
          </cell>
          <cell r="CF1348" t="str">
            <v>N/A</v>
          </cell>
          <cell r="CG1348" t="str">
            <v>N/A</v>
          </cell>
          <cell r="CH1348" t="str">
            <v>N/A</v>
          </cell>
          <cell r="CI1348" t="str">
            <v>N/A</v>
          </cell>
          <cell r="CJ1348" t="str">
            <v>$2600 / $5200</v>
          </cell>
          <cell r="CK1348">
            <v>0.9</v>
          </cell>
          <cell r="CL1348" t="str">
            <v>$3600 / $7200</v>
          </cell>
          <cell r="CM1348" t="str">
            <v>N/A</v>
          </cell>
          <cell r="CN1348" t="str">
            <v>N/A</v>
          </cell>
          <cell r="CO1348" t="str">
            <v>N/A</v>
          </cell>
          <cell r="CP1348" t="str">
            <v>Emb</v>
          </cell>
          <cell r="CS1348" t="str">
            <v>INS</v>
          </cell>
          <cell r="CT1348" t="str">
            <v>Navigate</v>
          </cell>
          <cell r="CV1348" t="str">
            <v>H9-HSA</v>
          </cell>
          <cell r="CW1348" t="str">
            <v>NAVHSA14&amp;15</v>
          </cell>
        </row>
        <row r="1349">
          <cell r="CA1349" t="str">
            <v>ANCE</v>
          </cell>
          <cell r="CB1349" t="str">
            <v>Navigate HSA</v>
          </cell>
          <cell r="CC1349" t="str">
            <v>N/A</v>
          </cell>
          <cell r="CD1349" t="str">
            <v>N/A</v>
          </cell>
          <cell r="CE1349" t="str">
            <v>N/A</v>
          </cell>
          <cell r="CF1349" t="str">
            <v>$100 POD</v>
          </cell>
          <cell r="CG1349" t="str">
            <v>N/A</v>
          </cell>
          <cell r="CH1349" t="str">
            <v>$100 POD</v>
          </cell>
          <cell r="CI1349" t="str">
            <v>N/A</v>
          </cell>
          <cell r="CJ1349" t="str">
            <v>$2600 / $5200</v>
          </cell>
          <cell r="CK1349">
            <v>0.9</v>
          </cell>
          <cell r="CL1349" t="str">
            <v>$4100 / $8200</v>
          </cell>
          <cell r="CM1349" t="str">
            <v>N/A</v>
          </cell>
          <cell r="CN1349" t="str">
            <v>N/A</v>
          </cell>
          <cell r="CO1349" t="str">
            <v>N/A</v>
          </cell>
          <cell r="CP1349" t="str">
            <v>Emb</v>
          </cell>
          <cell r="CS1349" t="str">
            <v>INS</v>
          </cell>
          <cell r="CT1349" t="str">
            <v>Navigate</v>
          </cell>
          <cell r="CV1349" t="str">
            <v>H9-HSA</v>
          </cell>
          <cell r="CW1349" t="str">
            <v>NAVHSA14&amp;15</v>
          </cell>
        </row>
        <row r="1350">
          <cell r="CA1350" t="str">
            <v>ANCF</v>
          </cell>
          <cell r="CB1350" t="str">
            <v>Navigate HSA</v>
          </cell>
          <cell r="CC1350" t="str">
            <v>N/A</v>
          </cell>
          <cell r="CD1350" t="str">
            <v>N/A</v>
          </cell>
          <cell r="CE1350" t="str">
            <v>N/A</v>
          </cell>
          <cell r="CF1350" t="str">
            <v>N/A</v>
          </cell>
          <cell r="CG1350" t="str">
            <v>N/A</v>
          </cell>
          <cell r="CH1350" t="str">
            <v>N/A</v>
          </cell>
          <cell r="CI1350" t="str">
            <v>N/A</v>
          </cell>
          <cell r="CJ1350" t="str">
            <v>$2600 / $5200</v>
          </cell>
          <cell r="CK1350">
            <v>0.9</v>
          </cell>
          <cell r="CL1350" t="str">
            <v>$3600 / $7200</v>
          </cell>
          <cell r="CM1350" t="str">
            <v>N/A</v>
          </cell>
          <cell r="CN1350" t="str">
            <v>N/A</v>
          </cell>
          <cell r="CO1350" t="str">
            <v>N/A</v>
          </cell>
          <cell r="CP1350" t="str">
            <v>Emb</v>
          </cell>
          <cell r="CS1350" t="str">
            <v>INS</v>
          </cell>
          <cell r="CT1350" t="str">
            <v>Navigate</v>
          </cell>
          <cell r="CV1350" t="str">
            <v>H9-HSA</v>
          </cell>
          <cell r="CW1350" t="str">
            <v>NAVHSA14&amp;15</v>
          </cell>
        </row>
        <row r="1351">
          <cell r="CA1351" t="str">
            <v>ANCG</v>
          </cell>
          <cell r="CB1351" t="str">
            <v>Navigate HSA</v>
          </cell>
          <cell r="CC1351" t="str">
            <v>N/A</v>
          </cell>
          <cell r="CD1351" t="str">
            <v>N/A</v>
          </cell>
          <cell r="CE1351" t="str">
            <v>N/A</v>
          </cell>
          <cell r="CF1351" t="str">
            <v>N/A</v>
          </cell>
          <cell r="CG1351" t="str">
            <v>N/A</v>
          </cell>
          <cell r="CH1351" t="str">
            <v>N/A</v>
          </cell>
          <cell r="CI1351" t="str">
            <v>N/A</v>
          </cell>
          <cell r="CJ1351" t="str">
            <v>$2600 / $5200</v>
          </cell>
          <cell r="CK1351">
            <v>0.8</v>
          </cell>
          <cell r="CL1351" t="str">
            <v>$4600 / $9200</v>
          </cell>
          <cell r="CM1351" t="str">
            <v>N/A</v>
          </cell>
          <cell r="CN1351" t="str">
            <v>N/A</v>
          </cell>
          <cell r="CO1351" t="str">
            <v>N/A</v>
          </cell>
          <cell r="CP1351" t="str">
            <v>Emb</v>
          </cell>
          <cell r="CS1351" t="str">
            <v>INS</v>
          </cell>
          <cell r="CT1351" t="str">
            <v>Navigate</v>
          </cell>
          <cell r="CV1351" t="str">
            <v>H9-HSA</v>
          </cell>
          <cell r="CW1351" t="str">
            <v>NAVHSA14&amp;15</v>
          </cell>
        </row>
        <row r="1352">
          <cell r="CA1352" t="str">
            <v>ANCH</v>
          </cell>
          <cell r="CB1352" t="str">
            <v>Navigate HSA</v>
          </cell>
          <cell r="CC1352" t="str">
            <v>N/A</v>
          </cell>
          <cell r="CD1352" t="str">
            <v>N/A</v>
          </cell>
          <cell r="CE1352" t="str">
            <v>N/A</v>
          </cell>
          <cell r="CF1352" t="str">
            <v>N/A</v>
          </cell>
          <cell r="CG1352" t="str">
            <v>N/A</v>
          </cell>
          <cell r="CH1352" t="str">
            <v>N/A</v>
          </cell>
          <cell r="CI1352" t="str">
            <v>N/A</v>
          </cell>
          <cell r="CJ1352" t="str">
            <v>$2600 / $5200</v>
          </cell>
          <cell r="CK1352">
            <v>0.9</v>
          </cell>
          <cell r="CL1352" t="str">
            <v>$6550 / $13100</v>
          </cell>
          <cell r="CM1352" t="str">
            <v>N/A</v>
          </cell>
          <cell r="CN1352" t="str">
            <v>N/A</v>
          </cell>
          <cell r="CO1352" t="str">
            <v>N/A</v>
          </cell>
          <cell r="CP1352" t="str">
            <v>Emb</v>
          </cell>
          <cell r="CS1352" t="str">
            <v>INS</v>
          </cell>
          <cell r="CT1352" t="str">
            <v>Navigate</v>
          </cell>
          <cell r="CV1352" t="str">
            <v>H9-HSA</v>
          </cell>
          <cell r="CW1352" t="str">
            <v>NAVHSA14&amp;15</v>
          </cell>
        </row>
        <row r="1480">
          <cell r="CA1480" t="str">
            <v/>
          </cell>
          <cell r="CB1480" t="str">
            <v/>
          </cell>
          <cell r="CC1480" t="str">
            <v/>
          </cell>
          <cell r="CD1480" t="str">
            <v/>
          </cell>
          <cell r="CE1480" t="str">
            <v/>
          </cell>
          <cell r="CF1480" t="str">
            <v/>
          </cell>
          <cell r="CG1480" t="str">
            <v/>
          </cell>
          <cell r="CH1480" t="str">
            <v/>
          </cell>
          <cell r="CI1480" t="str">
            <v/>
          </cell>
          <cell r="CJ1480" t="str">
            <v/>
          </cell>
          <cell r="CK1480" t="str">
            <v/>
          </cell>
          <cell r="CL1480" t="str">
            <v/>
          </cell>
          <cell r="CM1480" t="str">
            <v/>
          </cell>
          <cell r="CN1480" t="str">
            <v/>
          </cell>
          <cell r="CO1480" t="str">
            <v/>
          </cell>
          <cell r="CP1480" t="str">
            <v/>
          </cell>
          <cell r="CQ1480" t="str">
            <v/>
          </cell>
          <cell r="CR1480" t="str">
            <v/>
          </cell>
          <cell r="CS1480" t="str">
            <v/>
          </cell>
          <cell r="CT1480" t="str">
            <v/>
          </cell>
          <cell r="CU1480" t="str">
            <v/>
          </cell>
          <cell r="CV1480" t="str">
            <v/>
          </cell>
          <cell r="CW1480" t="str">
            <v/>
          </cell>
          <cell r="CX1480" t="e">
            <v>#VALUE!</v>
          </cell>
          <cell r="CY1480" t="str">
            <v/>
          </cell>
          <cell r="CZ1480" t="str">
            <v/>
          </cell>
        </row>
        <row r="1481">
          <cell r="CA1481" t="str">
            <v/>
          </cell>
          <cell r="CB1481" t="str">
            <v/>
          </cell>
          <cell r="CC1481" t="str">
            <v/>
          </cell>
          <cell r="CD1481" t="str">
            <v/>
          </cell>
          <cell r="CE1481" t="str">
            <v/>
          </cell>
          <cell r="CF1481" t="str">
            <v/>
          </cell>
          <cell r="CG1481" t="str">
            <v/>
          </cell>
          <cell r="CH1481" t="str">
            <v/>
          </cell>
          <cell r="CI1481" t="str">
            <v/>
          </cell>
          <cell r="CJ1481" t="str">
            <v/>
          </cell>
          <cell r="CK1481" t="str">
            <v/>
          </cell>
          <cell r="CL1481" t="str">
            <v/>
          </cell>
          <cell r="CM1481" t="str">
            <v/>
          </cell>
          <cell r="CN1481" t="str">
            <v/>
          </cell>
          <cell r="CO1481" t="str">
            <v/>
          </cell>
          <cell r="CP1481" t="str">
            <v/>
          </cell>
          <cell r="CQ1481" t="str">
            <v/>
          </cell>
          <cell r="CR1481" t="str">
            <v/>
          </cell>
          <cell r="CS1481" t="str">
            <v/>
          </cell>
          <cell r="CT1481" t="str">
            <v/>
          </cell>
          <cell r="CU1481" t="str">
            <v/>
          </cell>
          <cell r="CV1481" t="str">
            <v/>
          </cell>
          <cell r="CW1481" t="str">
            <v/>
          </cell>
          <cell r="CX1481" t="e">
            <v>#VALUE!</v>
          </cell>
          <cell r="CY1481" t="str">
            <v/>
          </cell>
          <cell r="CZ1481" t="str">
            <v/>
          </cell>
        </row>
        <row r="1482">
          <cell r="CA1482" t="str">
            <v/>
          </cell>
          <cell r="CB1482" t="str">
            <v/>
          </cell>
          <cell r="CC1482" t="str">
            <v/>
          </cell>
          <cell r="CD1482" t="str">
            <v/>
          </cell>
          <cell r="CE1482" t="str">
            <v/>
          </cell>
          <cell r="CF1482" t="str">
            <v/>
          </cell>
          <cell r="CG1482" t="str">
            <v/>
          </cell>
          <cell r="CH1482" t="str">
            <v/>
          </cell>
          <cell r="CI1482" t="str">
            <v/>
          </cell>
          <cell r="CJ1482" t="str">
            <v/>
          </cell>
          <cell r="CK1482" t="str">
            <v/>
          </cell>
          <cell r="CL1482" t="str">
            <v/>
          </cell>
          <cell r="CM1482" t="str">
            <v/>
          </cell>
          <cell r="CN1482" t="str">
            <v/>
          </cell>
          <cell r="CO1482" t="str">
            <v/>
          </cell>
          <cell r="CP1482" t="str">
            <v/>
          </cell>
          <cell r="CQ1482" t="str">
            <v/>
          </cell>
          <cell r="CR1482" t="str">
            <v/>
          </cell>
          <cell r="CS1482" t="str">
            <v/>
          </cell>
          <cell r="CT1482" t="str">
            <v/>
          </cell>
          <cell r="CU1482" t="str">
            <v/>
          </cell>
          <cell r="CV1482" t="str">
            <v/>
          </cell>
          <cell r="CW1482" t="str">
            <v/>
          </cell>
          <cell r="CX1482" t="e">
            <v>#VALUE!</v>
          </cell>
          <cell r="CY1482" t="str">
            <v/>
          </cell>
          <cell r="CZ1482" t="str">
            <v/>
          </cell>
        </row>
        <row r="1483">
          <cell r="CA1483" t="str">
            <v/>
          </cell>
          <cell r="CB1483" t="str">
            <v/>
          </cell>
          <cell r="CC1483" t="str">
            <v/>
          </cell>
          <cell r="CD1483" t="str">
            <v/>
          </cell>
          <cell r="CE1483" t="str">
            <v/>
          </cell>
          <cell r="CF1483" t="str">
            <v/>
          </cell>
          <cell r="CG1483" t="str">
            <v/>
          </cell>
          <cell r="CH1483" t="str">
            <v/>
          </cell>
          <cell r="CI1483" t="str">
            <v/>
          </cell>
          <cell r="CJ1483" t="str">
            <v/>
          </cell>
          <cell r="CK1483" t="str">
            <v/>
          </cell>
          <cell r="CL1483" t="str">
            <v/>
          </cell>
          <cell r="CM1483" t="str">
            <v/>
          </cell>
          <cell r="CN1483" t="str">
            <v/>
          </cell>
          <cell r="CO1483" t="str">
            <v/>
          </cell>
          <cell r="CP1483" t="str">
            <v/>
          </cell>
          <cell r="CQ1483" t="str">
            <v/>
          </cell>
          <cell r="CR1483" t="str">
            <v/>
          </cell>
          <cell r="CS1483" t="str">
            <v/>
          </cell>
          <cell r="CT1483" t="str">
            <v/>
          </cell>
          <cell r="CU1483" t="str">
            <v/>
          </cell>
          <cell r="CV1483" t="str">
            <v/>
          </cell>
          <cell r="CW1483" t="str">
            <v/>
          </cell>
          <cell r="CX1483" t="e">
            <v>#VALUE!</v>
          </cell>
          <cell r="CY1483" t="str">
            <v/>
          </cell>
          <cell r="CZ1483" t="str">
            <v/>
          </cell>
        </row>
        <row r="1484">
          <cell r="CA1484" t="str">
            <v/>
          </cell>
          <cell r="CB1484" t="str">
            <v/>
          </cell>
          <cell r="CC1484" t="str">
            <v/>
          </cell>
          <cell r="CD1484" t="str">
            <v/>
          </cell>
          <cell r="CE1484" t="str">
            <v/>
          </cell>
          <cell r="CF1484" t="str">
            <v/>
          </cell>
          <cell r="CG1484" t="str">
            <v/>
          </cell>
          <cell r="CH1484" t="str">
            <v/>
          </cell>
          <cell r="CI1484" t="str">
            <v/>
          </cell>
          <cell r="CJ1484" t="str">
            <v/>
          </cell>
          <cell r="CK1484" t="str">
            <v/>
          </cell>
          <cell r="CL1484" t="str">
            <v/>
          </cell>
          <cell r="CM1484" t="str">
            <v/>
          </cell>
          <cell r="CN1484" t="str">
            <v/>
          </cell>
          <cell r="CO1484" t="str">
            <v/>
          </cell>
          <cell r="CP1484" t="str">
            <v/>
          </cell>
          <cell r="CQ1484" t="str">
            <v/>
          </cell>
          <cell r="CR1484" t="str">
            <v/>
          </cell>
          <cell r="CS1484" t="str">
            <v/>
          </cell>
          <cell r="CT1484" t="str">
            <v/>
          </cell>
          <cell r="CU1484" t="str">
            <v/>
          </cell>
          <cell r="CV1484" t="str">
            <v/>
          </cell>
          <cell r="CW1484" t="str">
            <v/>
          </cell>
          <cell r="CX1484" t="e">
            <v>#VALUE!</v>
          </cell>
          <cell r="CY1484" t="str">
            <v/>
          </cell>
          <cell r="CZ1484" t="str">
            <v/>
          </cell>
        </row>
        <row r="1485">
          <cell r="CA1485" t="str">
            <v/>
          </cell>
          <cell r="CB1485" t="str">
            <v/>
          </cell>
          <cell r="CC1485" t="str">
            <v/>
          </cell>
          <cell r="CD1485" t="str">
            <v/>
          </cell>
          <cell r="CE1485" t="str">
            <v/>
          </cell>
          <cell r="CF1485" t="str">
            <v/>
          </cell>
          <cell r="CG1485" t="str">
            <v/>
          </cell>
          <cell r="CH1485" t="str">
            <v/>
          </cell>
          <cell r="CI1485" t="str">
            <v/>
          </cell>
          <cell r="CJ1485" t="str">
            <v/>
          </cell>
          <cell r="CK1485" t="str">
            <v/>
          </cell>
          <cell r="CL1485" t="str">
            <v/>
          </cell>
          <cell r="CM1485" t="str">
            <v/>
          </cell>
          <cell r="CN1485" t="str">
            <v/>
          </cell>
          <cell r="CO1485" t="str">
            <v/>
          </cell>
          <cell r="CP1485" t="str">
            <v/>
          </cell>
          <cell r="CQ1485" t="str">
            <v/>
          </cell>
          <cell r="CR1485" t="str">
            <v/>
          </cell>
          <cell r="CS1485" t="str">
            <v/>
          </cell>
          <cell r="CT1485" t="str">
            <v/>
          </cell>
          <cell r="CU1485" t="str">
            <v/>
          </cell>
          <cell r="CV1485" t="str">
            <v/>
          </cell>
          <cell r="CW1485" t="str">
            <v/>
          </cell>
          <cell r="CX1485" t="e">
            <v>#VALUE!</v>
          </cell>
          <cell r="CY1485" t="str">
            <v/>
          </cell>
          <cell r="CZ1485" t="str">
            <v/>
          </cell>
        </row>
        <row r="1486">
          <cell r="CA1486" t="str">
            <v/>
          </cell>
          <cell r="CB1486" t="str">
            <v/>
          </cell>
          <cell r="CC1486" t="str">
            <v/>
          </cell>
          <cell r="CD1486" t="str">
            <v/>
          </cell>
          <cell r="CE1486" t="str">
            <v/>
          </cell>
          <cell r="CF1486" t="str">
            <v/>
          </cell>
          <cell r="CG1486" t="str">
            <v/>
          </cell>
          <cell r="CH1486" t="str">
            <v/>
          </cell>
          <cell r="CI1486" t="str">
            <v/>
          </cell>
          <cell r="CJ1486" t="str">
            <v/>
          </cell>
          <cell r="CK1486" t="str">
            <v/>
          </cell>
          <cell r="CL1486" t="str">
            <v/>
          </cell>
          <cell r="CM1486" t="str">
            <v/>
          </cell>
          <cell r="CN1486" t="str">
            <v/>
          </cell>
          <cell r="CO1486" t="str">
            <v/>
          </cell>
          <cell r="CP1486" t="str">
            <v/>
          </cell>
          <cell r="CQ1486" t="str">
            <v/>
          </cell>
          <cell r="CR1486" t="str">
            <v/>
          </cell>
          <cell r="CS1486" t="str">
            <v/>
          </cell>
          <cell r="CT1486" t="str">
            <v/>
          </cell>
          <cell r="CU1486" t="str">
            <v/>
          </cell>
          <cell r="CV1486" t="str">
            <v/>
          </cell>
          <cell r="CW1486" t="str">
            <v/>
          </cell>
          <cell r="CX1486" t="e">
            <v>#VALUE!</v>
          </cell>
          <cell r="CY1486" t="str">
            <v/>
          </cell>
          <cell r="CZ1486" t="str">
            <v/>
          </cell>
        </row>
        <row r="1487">
          <cell r="CA1487" t="str">
            <v/>
          </cell>
          <cell r="CB1487" t="str">
            <v/>
          </cell>
          <cell r="CC1487" t="str">
            <v/>
          </cell>
          <cell r="CD1487" t="str">
            <v/>
          </cell>
          <cell r="CE1487" t="str">
            <v/>
          </cell>
          <cell r="CF1487" t="str">
            <v/>
          </cell>
          <cell r="CG1487" t="str">
            <v/>
          </cell>
          <cell r="CH1487" t="str">
            <v/>
          </cell>
          <cell r="CI1487" t="str">
            <v/>
          </cell>
          <cell r="CJ1487" t="str">
            <v/>
          </cell>
          <cell r="CK1487" t="str">
            <v/>
          </cell>
          <cell r="CL1487" t="str">
            <v/>
          </cell>
          <cell r="CM1487" t="str">
            <v/>
          </cell>
          <cell r="CN1487" t="str">
            <v/>
          </cell>
          <cell r="CO1487" t="str">
            <v/>
          </cell>
          <cell r="CP1487" t="str">
            <v/>
          </cell>
          <cell r="CQ1487" t="str">
            <v/>
          </cell>
          <cell r="CR1487" t="str">
            <v/>
          </cell>
          <cell r="CS1487" t="str">
            <v/>
          </cell>
          <cell r="CT1487" t="str">
            <v/>
          </cell>
          <cell r="CU1487" t="str">
            <v/>
          </cell>
          <cell r="CV1487" t="str">
            <v/>
          </cell>
          <cell r="CW1487" t="str">
            <v/>
          </cell>
          <cell r="CX1487" t="e">
            <v>#VALUE!</v>
          </cell>
          <cell r="CY1487" t="str">
            <v/>
          </cell>
          <cell r="CZ1487" t="str">
            <v/>
          </cell>
        </row>
        <row r="1488">
          <cell r="CA1488" t="str">
            <v/>
          </cell>
          <cell r="CB1488" t="str">
            <v/>
          </cell>
          <cell r="CC1488" t="str">
            <v/>
          </cell>
          <cell r="CD1488" t="str">
            <v/>
          </cell>
          <cell r="CE1488" t="str">
            <v/>
          </cell>
          <cell r="CF1488" t="str">
            <v/>
          </cell>
          <cell r="CG1488" t="str">
            <v/>
          </cell>
          <cell r="CH1488" t="str">
            <v/>
          </cell>
          <cell r="CI1488" t="str">
            <v/>
          </cell>
          <cell r="CJ1488" t="str">
            <v/>
          </cell>
          <cell r="CK1488" t="str">
            <v/>
          </cell>
          <cell r="CL1488" t="str">
            <v/>
          </cell>
          <cell r="CM1488" t="str">
            <v/>
          </cell>
          <cell r="CN1488" t="str">
            <v/>
          </cell>
          <cell r="CO1488" t="str">
            <v/>
          </cell>
          <cell r="CP1488" t="str">
            <v/>
          </cell>
          <cell r="CQ1488" t="str">
            <v/>
          </cell>
          <cell r="CR1488" t="str">
            <v/>
          </cell>
          <cell r="CS1488" t="str">
            <v/>
          </cell>
          <cell r="CT1488" t="str">
            <v/>
          </cell>
          <cell r="CU1488" t="str">
            <v/>
          </cell>
          <cell r="CV1488" t="str">
            <v/>
          </cell>
          <cell r="CW1488" t="str">
            <v/>
          </cell>
          <cell r="CX1488" t="e">
            <v>#VALUE!</v>
          </cell>
          <cell r="CY1488" t="str">
            <v/>
          </cell>
          <cell r="CZ1488" t="str">
            <v/>
          </cell>
        </row>
        <row r="1489">
          <cell r="CA1489" t="str">
            <v/>
          </cell>
          <cell r="CB1489" t="str">
            <v/>
          </cell>
          <cell r="CC1489" t="str">
            <v/>
          </cell>
          <cell r="CD1489" t="str">
            <v/>
          </cell>
          <cell r="CE1489" t="str">
            <v/>
          </cell>
          <cell r="CF1489" t="str">
            <v/>
          </cell>
          <cell r="CG1489" t="str">
            <v/>
          </cell>
          <cell r="CH1489" t="str">
            <v/>
          </cell>
          <cell r="CI1489" t="str">
            <v/>
          </cell>
          <cell r="CJ1489" t="str">
            <v/>
          </cell>
          <cell r="CK1489" t="str">
            <v/>
          </cell>
          <cell r="CL1489" t="str">
            <v/>
          </cell>
          <cell r="CM1489" t="str">
            <v/>
          </cell>
          <cell r="CN1489" t="str">
            <v/>
          </cell>
          <cell r="CO1489" t="str">
            <v/>
          </cell>
          <cell r="CP1489" t="str">
            <v/>
          </cell>
          <cell r="CQ1489" t="str">
            <v/>
          </cell>
          <cell r="CR1489" t="str">
            <v/>
          </cell>
          <cell r="CS1489" t="str">
            <v/>
          </cell>
          <cell r="CT1489" t="str">
            <v/>
          </cell>
          <cell r="CU1489" t="str">
            <v/>
          </cell>
          <cell r="CV1489" t="str">
            <v/>
          </cell>
          <cell r="CW1489" t="str">
            <v/>
          </cell>
          <cell r="CX1489" t="e">
            <v>#VALUE!</v>
          </cell>
          <cell r="CY1489" t="str">
            <v/>
          </cell>
          <cell r="CZ1489" t="str">
            <v/>
          </cell>
        </row>
        <row r="1490">
          <cell r="CA1490" t="str">
            <v/>
          </cell>
          <cell r="CB1490" t="str">
            <v/>
          </cell>
          <cell r="CC1490" t="str">
            <v/>
          </cell>
          <cell r="CD1490" t="str">
            <v/>
          </cell>
          <cell r="CE1490" t="str">
            <v/>
          </cell>
          <cell r="CF1490" t="str">
            <v/>
          </cell>
          <cell r="CG1490" t="str">
            <v/>
          </cell>
          <cell r="CH1490" t="str">
            <v/>
          </cell>
          <cell r="CI1490" t="str">
            <v/>
          </cell>
          <cell r="CJ1490" t="str">
            <v/>
          </cell>
          <cell r="CK1490" t="str">
            <v/>
          </cell>
          <cell r="CL1490" t="str">
            <v/>
          </cell>
          <cell r="CM1490" t="str">
            <v/>
          </cell>
          <cell r="CN1490" t="str">
            <v/>
          </cell>
          <cell r="CO1490" t="str">
            <v/>
          </cell>
          <cell r="CP1490" t="str">
            <v/>
          </cell>
          <cell r="CQ1490" t="str">
            <v/>
          </cell>
          <cell r="CR1490" t="str">
            <v/>
          </cell>
          <cell r="CS1490" t="str">
            <v/>
          </cell>
          <cell r="CT1490" t="str">
            <v/>
          </cell>
          <cell r="CU1490" t="str">
            <v/>
          </cell>
          <cell r="CV1490" t="str">
            <v/>
          </cell>
          <cell r="CW1490" t="str">
            <v/>
          </cell>
          <cell r="CX1490" t="e">
            <v>#VALUE!</v>
          </cell>
          <cell r="CY1490" t="str">
            <v/>
          </cell>
          <cell r="CZ1490" t="str">
            <v/>
          </cell>
        </row>
        <row r="1491">
          <cell r="CA1491" t="str">
            <v/>
          </cell>
          <cell r="CB1491" t="str">
            <v/>
          </cell>
          <cell r="CC1491" t="str">
            <v/>
          </cell>
          <cell r="CD1491" t="str">
            <v/>
          </cell>
          <cell r="CE1491" t="str">
            <v/>
          </cell>
          <cell r="CF1491" t="str">
            <v/>
          </cell>
          <cell r="CG1491" t="str">
            <v/>
          </cell>
          <cell r="CH1491" t="str">
            <v/>
          </cell>
          <cell r="CI1491" t="str">
            <v/>
          </cell>
          <cell r="CJ1491" t="str">
            <v/>
          </cell>
          <cell r="CK1491" t="str">
            <v/>
          </cell>
          <cell r="CL1491" t="str">
            <v/>
          </cell>
          <cell r="CM1491" t="str">
            <v/>
          </cell>
          <cell r="CN1491" t="str">
            <v/>
          </cell>
          <cell r="CO1491" t="str">
            <v/>
          </cell>
          <cell r="CP1491" t="str">
            <v/>
          </cell>
          <cell r="CQ1491" t="str">
            <v/>
          </cell>
          <cell r="CR1491" t="str">
            <v/>
          </cell>
          <cell r="CS1491" t="str">
            <v/>
          </cell>
          <cell r="CT1491" t="str">
            <v/>
          </cell>
          <cell r="CU1491" t="str">
            <v/>
          </cell>
          <cell r="CV1491" t="str">
            <v/>
          </cell>
          <cell r="CW1491" t="str">
            <v/>
          </cell>
          <cell r="CX1491" t="e">
            <v>#VALUE!</v>
          </cell>
          <cell r="CY1491" t="str">
            <v/>
          </cell>
          <cell r="CZ1491" t="str">
            <v/>
          </cell>
        </row>
        <row r="1492">
          <cell r="CA1492" t="str">
            <v/>
          </cell>
          <cell r="CB1492" t="str">
            <v/>
          </cell>
          <cell r="CC1492" t="str">
            <v/>
          </cell>
          <cell r="CD1492" t="str">
            <v/>
          </cell>
          <cell r="CE1492" t="str">
            <v/>
          </cell>
          <cell r="CF1492" t="str">
            <v/>
          </cell>
          <cell r="CG1492" t="str">
            <v/>
          </cell>
          <cell r="CH1492" t="str">
            <v/>
          </cell>
          <cell r="CI1492" t="str">
            <v/>
          </cell>
          <cell r="CJ1492" t="str">
            <v/>
          </cell>
          <cell r="CK1492" t="str">
            <v/>
          </cell>
          <cell r="CL1492" t="str">
            <v/>
          </cell>
          <cell r="CM1492" t="str">
            <v/>
          </cell>
          <cell r="CN1492" t="str">
            <v/>
          </cell>
          <cell r="CO1492" t="str">
            <v/>
          </cell>
          <cell r="CP1492" t="str">
            <v/>
          </cell>
          <cell r="CQ1492" t="str">
            <v/>
          </cell>
          <cell r="CR1492" t="str">
            <v/>
          </cell>
          <cell r="CS1492" t="str">
            <v/>
          </cell>
          <cell r="CT1492" t="str">
            <v/>
          </cell>
          <cell r="CU1492" t="str">
            <v/>
          </cell>
          <cell r="CV1492" t="str">
            <v/>
          </cell>
          <cell r="CW1492" t="str">
            <v/>
          </cell>
          <cell r="CX1492" t="e">
            <v>#VALUE!</v>
          </cell>
          <cell r="CY1492" t="str">
            <v/>
          </cell>
          <cell r="CZ1492" t="str">
            <v/>
          </cell>
        </row>
        <row r="1493">
          <cell r="CA1493" t="str">
            <v/>
          </cell>
          <cell r="CB1493" t="str">
            <v/>
          </cell>
          <cell r="CC1493" t="str">
            <v/>
          </cell>
          <cell r="CD1493" t="str">
            <v/>
          </cell>
          <cell r="CE1493" t="str">
            <v/>
          </cell>
          <cell r="CF1493" t="str">
            <v/>
          </cell>
          <cell r="CG1493" t="str">
            <v/>
          </cell>
          <cell r="CH1493" t="str">
            <v/>
          </cell>
          <cell r="CI1493" t="str">
            <v/>
          </cell>
          <cell r="CJ1493" t="str">
            <v/>
          </cell>
          <cell r="CK1493" t="str">
            <v/>
          </cell>
          <cell r="CL1493" t="str">
            <v/>
          </cell>
          <cell r="CM1493" t="str">
            <v/>
          </cell>
          <cell r="CN1493" t="str">
            <v/>
          </cell>
          <cell r="CO1493" t="str">
            <v/>
          </cell>
          <cell r="CP1493" t="str">
            <v/>
          </cell>
          <cell r="CQ1493" t="str">
            <v/>
          </cell>
          <cell r="CR1493" t="str">
            <v/>
          </cell>
          <cell r="CS1493" t="str">
            <v/>
          </cell>
          <cell r="CT1493" t="str">
            <v/>
          </cell>
          <cell r="CU1493" t="str">
            <v/>
          </cell>
          <cell r="CV1493" t="str">
            <v/>
          </cell>
          <cell r="CW1493" t="str">
            <v/>
          </cell>
          <cell r="CX1493" t="e">
            <v>#VALUE!</v>
          </cell>
          <cell r="CY1493" t="str">
            <v/>
          </cell>
          <cell r="CZ1493" t="str">
            <v/>
          </cell>
        </row>
        <row r="1494">
          <cell r="CA1494" t="str">
            <v/>
          </cell>
          <cell r="CB1494" t="str">
            <v/>
          </cell>
          <cell r="CC1494" t="str">
            <v/>
          </cell>
          <cell r="CD1494" t="str">
            <v/>
          </cell>
          <cell r="CE1494" t="str">
            <v/>
          </cell>
          <cell r="CF1494" t="str">
            <v/>
          </cell>
          <cell r="CG1494" t="str">
            <v/>
          </cell>
          <cell r="CH1494" t="str">
            <v/>
          </cell>
          <cell r="CI1494" t="str">
            <v/>
          </cell>
          <cell r="CJ1494" t="str">
            <v/>
          </cell>
          <cell r="CK1494" t="str">
            <v/>
          </cell>
          <cell r="CL1494" t="str">
            <v/>
          </cell>
          <cell r="CM1494" t="str">
            <v/>
          </cell>
          <cell r="CN1494" t="str">
            <v/>
          </cell>
          <cell r="CO1494" t="str">
            <v/>
          </cell>
          <cell r="CP1494" t="str">
            <v/>
          </cell>
          <cell r="CQ1494" t="str">
            <v/>
          </cell>
          <cell r="CR1494" t="str">
            <v/>
          </cell>
          <cell r="CS1494" t="str">
            <v/>
          </cell>
          <cell r="CT1494" t="str">
            <v/>
          </cell>
          <cell r="CU1494" t="str">
            <v/>
          </cell>
          <cell r="CV1494" t="str">
            <v/>
          </cell>
          <cell r="CW1494" t="str">
            <v/>
          </cell>
          <cell r="CX1494" t="e">
            <v>#VALUE!</v>
          </cell>
          <cell r="CY1494" t="str">
            <v/>
          </cell>
          <cell r="CZ1494" t="str">
            <v/>
          </cell>
        </row>
        <row r="1495">
          <cell r="CA1495" t="str">
            <v/>
          </cell>
          <cell r="CB1495" t="str">
            <v/>
          </cell>
          <cell r="CC1495" t="str">
            <v/>
          </cell>
          <cell r="CD1495" t="str">
            <v/>
          </cell>
          <cell r="CE1495" t="str">
            <v/>
          </cell>
          <cell r="CF1495" t="str">
            <v/>
          </cell>
          <cell r="CG1495" t="str">
            <v/>
          </cell>
          <cell r="CH1495" t="str">
            <v/>
          </cell>
          <cell r="CI1495" t="str">
            <v/>
          </cell>
          <cell r="CJ1495" t="str">
            <v/>
          </cell>
          <cell r="CK1495" t="str">
            <v/>
          </cell>
          <cell r="CL1495" t="str">
            <v/>
          </cell>
          <cell r="CM1495" t="str">
            <v/>
          </cell>
          <cell r="CN1495" t="str">
            <v/>
          </cell>
          <cell r="CO1495" t="str">
            <v/>
          </cell>
          <cell r="CP1495" t="str">
            <v/>
          </cell>
          <cell r="CQ1495" t="str">
            <v/>
          </cell>
          <cell r="CR1495" t="str">
            <v/>
          </cell>
          <cell r="CS1495" t="str">
            <v/>
          </cell>
          <cell r="CT1495" t="str">
            <v/>
          </cell>
          <cell r="CU1495" t="str">
            <v/>
          </cell>
          <cell r="CV1495" t="str">
            <v/>
          </cell>
          <cell r="CW1495" t="str">
            <v/>
          </cell>
          <cell r="CX1495" t="e">
            <v>#VALUE!</v>
          </cell>
          <cell r="CY1495" t="str">
            <v/>
          </cell>
          <cell r="CZ1495" t="str">
            <v/>
          </cell>
        </row>
        <row r="1496">
          <cell r="CA1496" t="str">
            <v/>
          </cell>
          <cell r="CB1496" t="str">
            <v/>
          </cell>
          <cell r="CC1496" t="str">
            <v/>
          </cell>
          <cell r="CD1496" t="str">
            <v/>
          </cell>
          <cell r="CE1496" t="str">
            <v/>
          </cell>
          <cell r="CF1496" t="str">
            <v/>
          </cell>
          <cell r="CG1496" t="str">
            <v/>
          </cell>
          <cell r="CH1496" t="str">
            <v/>
          </cell>
          <cell r="CI1496" t="str">
            <v/>
          </cell>
          <cell r="CJ1496" t="str">
            <v/>
          </cell>
          <cell r="CK1496" t="str">
            <v/>
          </cell>
          <cell r="CL1496" t="str">
            <v/>
          </cell>
          <cell r="CM1496" t="str">
            <v/>
          </cell>
          <cell r="CN1496" t="str">
            <v/>
          </cell>
          <cell r="CO1496" t="str">
            <v/>
          </cell>
          <cell r="CP1496" t="str">
            <v/>
          </cell>
          <cell r="CQ1496" t="str">
            <v/>
          </cell>
          <cell r="CR1496" t="str">
            <v/>
          </cell>
          <cell r="CS1496" t="str">
            <v/>
          </cell>
          <cell r="CT1496" t="str">
            <v/>
          </cell>
          <cell r="CU1496" t="str">
            <v/>
          </cell>
          <cell r="CV1496" t="str">
            <v/>
          </cell>
          <cell r="CW1496" t="str">
            <v/>
          </cell>
          <cell r="CX1496" t="e">
            <v>#VALUE!</v>
          </cell>
          <cell r="CY1496" t="str">
            <v/>
          </cell>
          <cell r="CZ1496" t="str">
            <v/>
          </cell>
        </row>
        <row r="1497">
          <cell r="CA1497" t="str">
            <v/>
          </cell>
          <cell r="CB1497" t="str">
            <v/>
          </cell>
          <cell r="CC1497" t="str">
            <v/>
          </cell>
          <cell r="CD1497" t="str">
            <v/>
          </cell>
          <cell r="CE1497" t="str">
            <v/>
          </cell>
          <cell r="CF1497" t="str">
            <v/>
          </cell>
          <cell r="CG1497" t="str">
            <v/>
          </cell>
          <cell r="CH1497" t="str">
            <v/>
          </cell>
          <cell r="CI1497" t="str">
            <v/>
          </cell>
          <cell r="CJ1497" t="str">
            <v/>
          </cell>
          <cell r="CK1497" t="str">
            <v/>
          </cell>
          <cell r="CL1497" t="str">
            <v/>
          </cell>
          <cell r="CM1497" t="str">
            <v/>
          </cell>
          <cell r="CN1497" t="str">
            <v/>
          </cell>
          <cell r="CO1497" t="str">
            <v/>
          </cell>
          <cell r="CP1497" t="str">
            <v/>
          </cell>
          <cell r="CQ1497" t="str">
            <v/>
          </cell>
          <cell r="CR1497" t="str">
            <v/>
          </cell>
          <cell r="CS1497" t="str">
            <v/>
          </cell>
          <cell r="CT1497" t="str">
            <v/>
          </cell>
          <cell r="CU1497" t="str">
            <v/>
          </cell>
          <cell r="CV1497" t="str">
            <v/>
          </cell>
          <cell r="CW1497" t="str">
            <v/>
          </cell>
          <cell r="CX1497" t="e">
            <v>#VALUE!</v>
          </cell>
          <cell r="CY1497" t="str">
            <v/>
          </cell>
          <cell r="CZ1497" t="str">
            <v/>
          </cell>
        </row>
        <row r="1498">
          <cell r="CA1498" t="str">
            <v/>
          </cell>
          <cell r="CB1498" t="str">
            <v/>
          </cell>
          <cell r="CC1498" t="str">
            <v/>
          </cell>
          <cell r="CD1498" t="str">
            <v/>
          </cell>
          <cell r="CE1498" t="str">
            <v/>
          </cell>
          <cell r="CF1498" t="str">
            <v/>
          </cell>
          <cell r="CG1498" t="str">
            <v/>
          </cell>
          <cell r="CH1498" t="str">
            <v/>
          </cell>
          <cell r="CI1498" t="str">
            <v/>
          </cell>
          <cell r="CJ1498" t="str">
            <v/>
          </cell>
          <cell r="CK1498" t="str">
            <v/>
          </cell>
          <cell r="CL1498" t="str">
            <v/>
          </cell>
          <cell r="CM1498" t="str">
            <v/>
          </cell>
          <cell r="CN1498" t="str">
            <v/>
          </cell>
          <cell r="CO1498" t="str">
            <v/>
          </cell>
          <cell r="CP1498" t="str">
            <v/>
          </cell>
          <cell r="CQ1498" t="str">
            <v/>
          </cell>
          <cell r="CR1498" t="str">
            <v/>
          </cell>
          <cell r="CS1498" t="str">
            <v/>
          </cell>
          <cell r="CT1498" t="str">
            <v/>
          </cell>
          <cell r="CU1498" t="str">
            <v/>
          </cell>
          <cell r="CV1498" t="str">
            <v/>
          </cell>
          <cell r="CW1498" t="str">
            <v/>
          </cell>
          <cell r="CX1498" t="e">
            <v>#VALUE!</v>
          </cell>
          <cell r="CY1498" t="str">
            <v/>
          </cell>
          <cell r="CZ1498" t="str">
            <v/>
          </cell>
        </row>
        <row r="1499">
          <cell r="CA1499" t="str">
            <v/>
          </cell>
          <cell r="CB1499" t="str">
            <v/>
          </cell>
          <cell r="CC1499" t="str">
            <v/>
          </cell>
          <cell r="CD1499" t="str">
            <v/>
          </cell>
          <cell r="CE1499" t="str">
            <v/>
          </cell>
          <cell r="CF1499" t="str">
            <v/>
          </cell>
          <cell r="CG1499" t="str">
            <v/>
          </cell>
          <cell r="CH1499" t="str">
            <v/>
          </cell>
          <cell r="CI1499" t="str">
            <v/>
          </cell>
          <cell r="CJ1499" t="str">
            <v/>
          </cell>
          <cell r="CK1499" t="str">
            <v/>
          </cell>
          <cell r="CL1499" t="str">
            <v/>
          </cell>
          <cell r="CM1499" t="str">
            <v/>
          </cell>
          <cell r="CN1499" t="str">
            <v/>
          </cell>
          <cell r="CO1499" t="str">
            <v/>
          </cell>
          <cell r="CP1499" t="str">
            <v/>
          </cell>
          <cell r="CQ1499" t="str">
            <v/>
          </cell>
          <cell r="CR1499" t="str">
            <v/>
          </cell>
          <cell r="CS1499" t="str">
            <v/>
          </cell>
          <cell r="CT1499" t="str">
            <v/>
          </cell>
          <cell r="CU1499" t="str">
            <v/>
          </cell>
          <cell r="CV1499" t="str">
            <v/>
          </cell>
          <cell r="CW1499" t="str">
            <v/>
          </cell>
          <cell r="CX1499" t="e">
            <v>#VALUE!</v>
          </cell>
          <cell r="CY1499" t="str">
            <v/>
          </cell>
          <cell r="CZ1499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53">
          <cell r="B53" t="str">
            <v>YES</v>
          </cell>
        </row>
        <row r="54">
          <cell r="B54">
            <v>0</v>
          </cell>
        </row>
        <row r="63">
          <cell r="D63" t="str">
            <v>DATA IS READY TO PUSH TO PUFF</v>
          </cell>
        </row>
      </sheetData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  <pageSetUpPr fitToPage="1"/>
  </sheetPr>
  <dimension ref="A1:G78"/>
  <sheetViews>
    <sheetView tabSelected="1" zoomScale="85" workbookViewId="0"/>
  </sheetViews>
  <sheetFormatPr defaultColWidth="9.109375" defaultRowHeight="13.2"/>
  <cols>
    <col min="1" max="1" width="27.6640625" style="2" customWidth="1"/>
    <col min="2" max="6" width="17.33203125" style="2" customWidth="1"/>
    <col min="7" max="7" width="10.6640625" style="2" customWidth="1"/>
    <col min="8" max="8" width="8.5546875" style="2" customWidth="1"/>
    <col min="9" max="16384" width="9.109375" style="2"/>
  </cols>
  <sheetData>
    <row r="1" spans="1:7" ht="21">
      <c r="A1" s="1" t="s">
        <v>0</v>
      </c>
    </row>
    <row r="2" spans="1:7" ht="12.75" customHeight="1">
      <c r="A2" s="3" t="s">
        <v>388</v>
      </c>
      <c r="D2" s="2" t="s">
        <v>388</v>
      </c>
      <c r="F2" s="4">
        <v>6</v>
      </c>
      <c r="G2" s="4" t="s">
        <v>258</v>
      </c>
    </row>
    <row r="3" spans="1:7">
      <c r="A3" s="5" t="s">
        <v>1</v>
      </c>
      <c r="B3" s="6" t="s">
        <v>388</v>
      </c>
      <c r="C3" s="7"/>
      <c r="D3" s="8" t="s">
        <v>2</v>
      </c>
      <c r="E3" s="8"/>
      <c r="F3" s="9" t="s">
        <v>647</v>
      </c>
      <c r="G3" s="10"/>
    </row>
    <row r="4" spans="1:7">
      <c r="A4" s="11" t="s">
        <v>648</v>
      </c>
      <c r="B4" s="12" t="s">
        <v>392</v>
      </c>
      <c r="C4" s="13"/>
      <c r="D4" s="13" t="s">
        <v>3</v>
      </c>
      <c r="E4" s="13"/>
      <c r="F4" s="12" t="s">
        <v>649</v>
      </c>
      <c r="G4" s="14"/>
    </row>
    <row r="5" spans="1:7">
      <c r="A5" s="11" t="s">
        <v>650</v>
      </c>
      <c r="B5" s="12" t="s">
        <v>395</v>
      </c>
      <c r="C5" s="13"/>
      <c r="D5" s="13" t="s">
        <v>4</v>
      </c>
      <c r="E5" s="13"/>
      <c r="F5" s="15">
        <v>3058</v>
      </c>
      <c r="G5" s="14"/>
    </row>
    <row r="6" spans="1:7">
      <c r="A6" s="11" t="s">
        <v>5</v>
      </c>
      <c r="B6" s="2" t="s">
        <v>389</v>
      </c>
      <c r="C6" s="16" t="s">
        <v>444</v>
      </c>
      <c r="D6" s="13" t="s">
        <v>651</v>
      </c>
      <c r="E6" s="13"/>
      <c r="F6" s="17">
        <v>1</v>
      </c>
      <c r="G6" s="14"/>
    </row>
    <row r="7" spans="1:7">
      <c r="A7" s="11" t="s">
        <v>6</v>
      </c>
      <c r="B7" s="2" t="s">
        <v>397</v>
      </c>
      <c r="C7" s="13"/>
      <c r="D7" s="13" t="s">
        <v>652</v>
      </c>
      <c r="E7" s="13"/>
      <c r="F7" s="17">
        <v>0.62</v>
      </c>
      <c r="G7" s="14"/>
    </row>
    <row r="8" spans="1:7">
      <c r="A8" s="11" t="s">
        <v>653</v>
      </c>
      <c r="B8" s="12" t="s">
        <v>393</v>
      </c>
      <c r="C8" s="13"/>
      <c r="D8" s="13" t="s">
        <v>654</v>
      </c>
      <c r="E8" s="13"/>
      <c r="F8" s="17">
        <v>0.75</v>
      </c>
      <c r="G8" s="14"/>
    </row>
    <row r="9" spans="1:7">
      <c r="A9" s="11" t="s">
        <v>655</v>
      </c>
      <c r="B9" s="12" t="s">
        <v>394</v>
      </c>
      <c r="C9" s="13"/>
      <c r="D9" s="13" t="s">
        <v>7</v>
      </c>
      <c r="E9" s="13"/>
      <c r="F9" s="18">
        <v>1.1858707670235891</v>
      </c>
      <c r="G9" s="14"/>
    </row>
    <row r="10" spans="1:7">
      <c r="A10" s="19" t="s">
        <v>363</v>
      </c>
      <c r="B10" s="20" t="s">
        <v>390</v>
      </c>
      <c r="C10" s="13"/>
      <c r="D10" s="13" t="s">
        <v>8</v>
      </c>
      <c r="E10" s="13"/>
      <c r="F10" s="21" t="s">
        <v>406</v>
      </c>
      <c r="G10" s="14"/>
    </row>
    <row r="11" spans="1:7">
      <c r="A11" s="11" t="s">
        <v>9</v>
      </c>
      <c r="B11" s="12" t="s">
        <v>656</v>
      </c>
      <c r="C11" s="13"/>
      <c r="D11" s="13" t="s">
        <v>10</v>
      </c>
      <c r="E11" s="13"/>
      <c r="F11" s="12" t="s">
        <v>445</v>
      </c>
      <c r="G11" s="14"/>
    </row>
    <row r="12" spans="1:7">
      <c r="A12" s="22" t="s">
        <v>11</v>
      </c>
      <c r="B12" s="23">
        <v>0.95</v>
      </c>
      <c r="C12" s="24"/>
      <c r="D12" s="24"/>
      <c r="E12" s="24"/>
      <c r="F12" s="24"/>
      <c r="G12" s="25"/>
    </row>
    <row r="13" spans="1:7" ht="6.75" customHeight="1">
      <c r="B13" s="13"/>
    </row>
    <row r="14" spans="1:7">
      <c r="A14" s="5" t="s">
        <v>12</v>
      </c>
      <c r="B14" s="26" t="s">
        <v>657</v>
      </c>
      <c r="C14" s="8"/>
      <c r="D14" s="26" t="s">
        <v>658</v>
      </c>
      <c r="E14" s="8"/>
      <c r="F14" s="26" t="s">
        <v>659</v>
      </c>
      <c r="G14" s="10"/>
    </row>
    <row r="15" spans="1:7" ht="24.9" customHeight="1">
      <c r="A15" s="27" t="s">
        <v>13</v>
      </c>
      <c r="B15" s="28" t="s">
        <v>660</v>
      </c>
      <c r="C15" s="28"/>
      <c r="D15" s="28" t="s">
        <v>661</v>
      </c>
      <c r="E15" s="28"/>
      <c r="F15" s="28" t="s">
        <v>660</v>
      </c>
      <c r="G15" s="29"/>
    </row>
    <row r="16" spans="1:7">
      <c r="A16" s="27" t="s">
        <v>14</v>
      </c>
      <c r="B16" s="28"/>
      <c r="C16" s="28"/>
      <c r="D16" s="28"/>
      <c r="E16" s="28"/>
      <c r="F16" s="28"/>
      <c r="G16" s="29"/>
    </row>
    <row r="17" spans="1:7">
      <c r="A17" s="27" t="s">
        <v>15</v>
      </c>
      <c r="B17" s="30" t="s">
        <v>662</v>
      </c>
      <c r="C17" s="30"/>
      <c r="D17" s="30" t="s">
        <v>663</v>
      </c>
      <c r="E17" s="30"/>
      <c r="F17" s="30" t="s">
        <v>662</v>
      </c>
      <c r="G17" s="31"/>
    </row>
    <row r="18" spans="1:7" ht="12.75" customHeight="1">
      <c r="A18" s="32" t="s">
        <v>16</v>
      </c>
      <c r="B18" s="33" t="s">
        <v>414</v>
      </c>
      <c r="C18" s="34"/>
      <c r="D18" s="33" t="s">
        <v>424</v>
      </c>
      <c r="E18" s="34"/>
      <c r="F18" s="33" t="s">
        <v>414</v>
      </c>
      <c r="G18" s="35"/>
    </row>
    <row r="19" spans="1:7" ht="6" customHeight="1">
      <c r="A19" s="36"/>
      <c r="B19" s="13"/>
      <c r="C19" s="13"/>
      <c r="D19" s="13"/>
      <c r="E19" s="13"/>
      <c r="F19" s="13"/>
      <c r="G19" s="13"/>
    </row>
    <row r="20" spans="1:7" ht="12.75" customHeight="1">
      <c r="A20" s="5"/>
      <c r="B20" s="37" t="s">
        <v>664</v>
      </c>
      <c r="C20" s="38"/>
      <c r="D20" s="39" t="s">
        <v>665</v>
      </c>
      <c r="E20" s="38"/>
      <c r="F20" s="39" t="s">
        <v>666</v>
      </c>
      <c r="G20" s="40"/>
    </row>
    <row r="21" spans="1:7" ht="12.75" customHeight="1">
      <c r="A21" s="27" t="s">
        <v>17</v>
      </c>
      <c r="B21" s="41" t="s">
        <v>18</v>
      </c>
      <c r="C21" s="41" t="s">
        <v>19</v>
      </c>
      <c r="D21" s="42" t="s">
        <v>18</v>
      </c>
      <c r="E21" s="41" t="s">
        <v>19</v>
      </c>
      <c r="F21" s="42" t="s">
        <v>18</v>
      </c>
      <c r="G21" s="43"/>
    </row>
    <row r="22" spans="1:7" ht="12.75" customHeight="1">
      <c r="A22" s="27"/>
      <c r="B22" s="13"/>
      <c r="C22" s="13"/>
      <c r="D22" s="13"/>
      <c r="E22" s="13"/>
      <c r="F22" s="13"/>
      <c r="G22" s="43"/>
    </row>
    <row r="23" spans="1:7" ht="12.75" customHeight="1">
      <c r="A23" s="27" t="s">
        <v>20</v>
      </c>
      <c r="B23" s="44"/>
      <c r="C23" s="44"/>
      <c r="D23" s="45"/>
      <c r="E23" s="44"/>
      <c r="F23" s="45"/>
      <c r="G23" s="43"/>
    </row>
    <row r="24" spans="1:7" ht="12.75" customHeight="1">
      <c r="A24" s="46" t="s">
        <v>21</v>
      </c>
      <c r="B24" s="47">
        <v>120.0001</v>
      </c>
      <c r="C24" s="48" t="e">
        <v>#DIV/0!</v>
      </c>
      <c r="D24" s="49"/>
      <c r="E24" s="48" t="e">
        <v>#DIV/0!</v>
      </c>
      <c r="F24" s="49"/>
      <c r="G24" s="43"/>
    </row>
    <row r="25" spans="1:7" ht="12.75" customHeight="1">
      <c r="A25" s="46" t="s">
        <v>22</v>
      </c>
      <c r="B25" s="47">
        <v>278.00009999999997</v>
      </c>
      <c r="C25" s="48" t="e">
        <v>#DIV/0!</v>
      </c>
      <c r="D25" s="49"/>
      <c r="E25" s="48" t="e">
        <v>#DIV/0!</v>
      </c>
      <c r="F25" s="49"/>
      <c r="G25" s="43"/>
    </row>
    <row r="26" spans="1:7" ht="12.75" customHeight="1">
      <c r="A26" s="46" t="s">
        <v>23</v>
      </c>
      <c r="B26" s="50">
        <v>2.3166655694453584</v>
      </c>
      <c r="C26" s="51" t="e">
        <v>#DIV/0!</v>
      </c>
      <c r="D26" s="50" t="e">
        <v>#DIV/0!</v>
      </c>
      <c r="E26" s="51" t="e">
        <v>#DIV/0!</v>
      </c>
      <c r="F26" s="50" t="e">
        <v>#DIV/0!</v>
      </c>
      <c r="G26" s="43"/>
    </row>
    <row r="27" spans="1:7" ht="12.75" customHeight="1">
      <c r="A27" s="11" t="s">
        <v>24</v>
      </c>
      <c r="B27" s="52">
        <v>0.88233852916358113</v>
      </c>
      <c r="C27" s="51" t="e">
        <v>#DIV/0!</v>
      </c>
      <c r="D27" s="53"/>
      <c r="E27" s="51" t="e">
        <v>#DIV/0!</v>
      </c>
      <c r="F27" s="53"/>
      <c r="G27" s="43"/>
    </row>
    <row r="28" spans="1:7" ht="12.75" customHeight="1">
      <c r="A28" s="54"/>
      <c r="B28" s="55"/>
      <c r="C28" s="55"/>
      <c r="D28" s="55"/>
      <c r="E28" s="55"/>
      <c r="F28" s="55"/>
      <c r="G28" s="43"/>
    </row>
    <row r="29" spans="1:7" ht="12.75" customHeight="1">
      <c r="A29" s="27" t="s">
        <v>25</v>
      </c>
      <c r="B29" s="55"/>
      <c r="C29" s="55"/>
      <c r="D29" s="55"/>
      <c r="E29" s="55"/>
      <c r="F29" s="55"/>
      <c r="G29" s="43"/>
    </row>
    <row r="30" spans="1:7" ht="12.75" customHeight="1">
      <c r="A30" s="11" t="s">
        <v>26</v>
      </c>
      <c r="B30" s="56">
        <v>0.7</v>
      </c>
      <c r="C30" s="55"/>
      <c r="D30" s="55"/>
      <c r="E30" s="55"/>
      <c r="F30" s="55"/>
      <c r="G30" s="43"/>
    </row>
    <row r="31" spans="1:7" ht="12.75" customHeight="1">
      <c r="A31" s="11" t="s">
        <v>27</v>
      </c>
      <c r="B31" s="57">
        <v>528.53204009638853</v>
      </c>
      <c r="C31" s="48" t="e">
        <v>#DIV/0!</v>
      </c>
      <c r="D31" s="58"/>
      <c r="E31" s="48" t="e">
        <v>#DIV/0!</v>
      </c>
      <c r="F31" s="58"/>
      <c r="G31" s="43"/>
    </row>
    <row r="32" spans="1:7" ht="12.75" customHeight="1">
      <c r="A32" s="11" t="s">
        <v>28</v>
      </c>
      <c r="B32" s="59">
        <v>262.08796599084371</v>
      </c>
      <c r="C32" s="48" t="e">
        <v>#DIV/0!</v>
      </c>
      <c r="D32" s="60"/>
      <c r="E32" s="48" t="e">
        <v>#DIV/0!</v>
      </c>
      <c r="F32" s="60"/>
      <c r="G32" s="43"/>
    </row>
    <row r="33" spans="1:7" ht="12.75" customHeight="1">
      <c r="A33" s="11" t="s">
        <v>29</v>
      </c>
      <c r="B33" s="48">
        <v>0.49587905010081634</v>
      </c>
      <c r="C33" s="44"/>
      <c r="D33" s="48" t="e">
        <v>#DIV/0!</v>
      </c>
      <c r="E33" s="44"/>
      <c r="F33" s="48" t="e">
        <v>#DIV/0!</v>
      </c>
      <c r="G33" s="43"/>
    </row>
    <row r="34" spans="1:7" ht="12.75" customHeight="1">
      <c r="A34" s="11" t="s">
        <v>30</v>
      </c>
      <c r="B34" s="48">
        <v>0.51909363523902663</v>
      </c>
      <c r="C34" s="44"/>
      <c r="D34" s="61"/>
      <c r="E34" s="44"/>
      <c r="F34" s="61"/>
      <c r="G34" s="43"/>
    </row>
    <row r="35" spans="1:7" ht="12.75" customHeight="1">
      <c r="A35" s="11" t="s">
        <v>31</v>
      </c>
      <c r="B35" s="62">
        <v>651.06452348833602</v>
      </c>
      <c r="C35" s="63" t="e">
        <v>#DIV/0!</v>
      </c>
      <c r="D35" s="60"/>
      <c r="E35" s="63" t="e">
        <v>#DIV/0!</v>
      </c>
      <c r="F35" s="60"/>
      <c r="G35" s="43"/>
    </row>
    <row r="36" spans="1:7" ht="12.75" customHeight="1">
      <c r="A36" s="54"/>
      <c r="B36" s="64"/>
      <c r="C36" s="64"/>
      <c r="D36" s="64"/>
      <c r="E36" s="64"/>
      <c r="F36" s="64"/>
      <c r="G36" s="43"/>
    </row>
    <row r="37" spans="1:7" ht="12.75" customHeight="1">
      <c r="A37" s="27" t="s">
        <v>32</v>
      </c>
      <c r="B37" s="65"/>
      <c r="C37" s="65"/>
      <c r="D37" s="65"/>
      <c r="E37" s="65"/>
      <c r="F37" s="65"/>
      <c r="G37" s="43"/>
    </row>
    <row r="38" spans="1:7" ht="12.75" customHeight="1">
      <c r="A38" s="11" t="s">
        <v>33</v>
      </c>
      <c r="B38" s="48">
        <v>5.463074940305801E-2</v>
      </c>
      <c r="C38" s="44"/>
      <c r="D38" s="61"/>
      <c r="E38" s="44"/>
      <c r="F38" s="61"/>
      <c r="G38" s="43"/>
    </row>
    <row r="39" spans="1:7" ht="12.75" customHeight="1">
      <c r="A39" s="11" t="s">
        <v>34</v>
      </c>
      <c r="B39" s="48">
        <v>0.23183548791025266</v>
      </c>
      <c r="C39" s="44"/>
      <c r="D39" s="61"/>
      <c r="E39" s="44"/>
      <c r="F39" s="61"/>
      <c r="G39" s="43"/>
    </row>
    <row r="40" spans="1:7" ht="12.75" customHeight="1">
      <c r="A40" s="11" t="s">
        <v>35</v>
      </c>
      <c r="B40" s="66">
        <v>0.57999999999999996</v>
      </c>
      <c r="C40" s="44"/>
      <c r="D40" s="67"/>
      <c r="E40" s="44"/>
      <c r="F40" s="67"/>
      <c r="G40" s="43"/>
    </row>
    <row r="41" spans="1:7" ht="12.75" customHeight="1">
      <c r="A41" s="11" t="s">
        <v>36</v>
      </c>
      <c r="B41" s="48">
        <v>0.12905673957607977</v>
      </c>
      <c r="C41" s="44"/>
      <c r="D41" s="61"/>
      <c r="E41" s="44"/>
      <c r="F41" s="61"/>
      <c r="G41" s="43"/>
    </row>
    <row r="42" spans="1:7" ht="12.75" customHeight="1">
      <c r="A42" s="11" t="s">
        <v>37</v>
      </c>
      <c r="B42" s="68">
        <v>1</v>
      </c>
      <c r="C42" s="44"/>
      <c r="D42" s="53"/>
      <c r="E42" s="44"/>
      <c r="F42" s="53"/>
      <c r="G42" s="43"/>
    </row>
    <row r="43" spans="1:7" ht="12.75" customHeight="1">
      <c r="A43" s="11" t="s">
        <v>38</v>
      </c>
      <c r="B43" s="48">
        <v>0.12905673957607977</v>
      </c>
      <c r="C43" s="44"/>
      <c r="D43" s="61"/>
      <c r="E43" s="44"/>
      <c r="F43" s="61"/>
      <c r="G43" s="43"/>
    </row>
    <row r="44" spans="1:7" ht="12.75" customHeight="1">
      <c r="A44" s="11" t="s">
        <v>39</v>
      </c>
      <c r="B44" s="68">
        <v>1</v>
      </c>
      <c r="C44" s="44"/>
      <c r="D44" s="69"/>
      <c r="E44" s="44"/>
      <c r="F44" s="69"/>
      <c r="G44" s="43"/>
    </row>
    <row r="45" spans="1:7" ht="12.75" customHeight="1">
      <c r="A45" s="11" t="s">
        <v>40</v>
      </c>
      <c r="B45" s="48">
        <v>0.12905673957607977</v>
      </c>
      <c r="C45" s="44"/>
      <c r="D45" s="61"/>
      <c r="E45" s="44"/>
      <c r="F45" s="61"/>
      <c r="G45" s="43"/>
    </row>
    <row r="46" spans="1:7" ht="12.75" customHeight="1">
      <c r="A46" s="54"/>
      <c r="B46" s="65"/>
      <c r="C46" s="65"/>
      <c r="D46" s="65"/>
      <c r="E46" s="65"/>
      <c r="F46" s="65"/>
      <c r="G46" s="43"/>
    </row>
    <row r="47" spans="1:7" ht="12.75" customHeight="1">
      <c r="A47" s="70" t="s">
        <v>41</v>
      </c>
      <c r="B47" s="61"/>
      <c r="C47" s="62">
        <v>528.53204009638853</v>
      </c>
      <c r="D47" s="61"/>
      <c r="E47" s="44"/>
      <c r="F47" s="61"/>
      <c r="G47" s="43"/>
    </row>
    <row r="48" spans="1:7" ht="12.75" customHeight="1">
      <c r="A48" s="11" t="s">
        <v>42</v>
      </c>
      <c r="B48" s="48">
        <v>0.1489567395760798</v>
      </c>
      <c r="C48" s="62">
        <v>607.26044955064049</v>
      </c>
      <c r="D48" s="61"/>
      <c r="E48" s="44"/>
      <c r="F48" s="61"/>
      <c r="G48" s="43"/>
    </row>
    <row r="49" spans="1:7" ht="12.75" customHeight="1">
      <c r="A49" s="11" t="s">
        <v>43</v>
      </c>
      <c r="B49" s="48">
        <v>0.14575469314504463</v>
      </c>
      <c r="C49" s="44"/>
      <c r="D49" s="61"/>
      <c r="E49" s="44"/>
      <c r="F49" s="61"/>
      <c r="G49" s="43"/>
    </row>
    <row r="50" spans="1:7" ht="12.75" customHeight="1">
      <c r="A50" s="11" t="s">
        <v>44</v>
      </c>
      <c r="B50" s="68">
        <v>0.99685151570401698</v>
      </c>
      <c r="C50" s="44"/>
      <c r="D50" s="53"/>
      <c r="E50" s="44"/>
      <c r="F50" s="53"/>
      <c r="G50" s="43"/>
    </row>
    <row r="51" spans="1:7" ht="12.75" customHeight="1">
      <c r="A51" s="11" t="s">
        <v>45</v>
      </c>
      <c r="B51" s="68">
        <v>0.99721308355594251</v>
      </c>
      <c r="C51" s="44"/>
      <c r="D51" s="53"/>
      <c r="E51" s="44"/>
      <c r="F51" s="53"/>
      <c r="G51" s="43"/>
    </row>
    <row r="52" spans="1:7" ht="12.75" customHeight="1">
      <c r="A52" s="11" t="s">
        <v>46</v>
      </c>
      <c r="B52" s="62">
        <v>0</v>
      </c>
      <c r="C52" s="44"/>
      <c r="D52" s="60"/>
      <c r="E52" s="44"/>
      <c r="F52" s="60"/>
      <c r="G52" s="43"/>
    </row>
    <row r="53" spans="1:7" ht="12.75" customHeight="1">
      <c r="A53" s="11" t="s">
        <v>47</v>
      </c>
      <c r="B53" s="63">
        <v>5.000000000000001E-2</v>
      </c>
      <c r="C53" s="44"/>
      <c r="D53" s="71"/>
      <c r="E53" s="44"/>
      <c r="F53" s="71"/>
      <c r="G53" s="43"/>
    </row>
    <row r="54" spans="1:7" ht="12.75" customHeight="1">
      <c r="A54" s="22" t="s">
        <v>48</v>
      </c>
      <c r="B54" s="72">
        <v>0</v>
      </c>
      <c r="C54" s="73"/>
      <c r="D54" s="74"/>
      <c r="E54" s="73"/>
      <c r="F54" s="74"/>
      <c r="G54" s="75"/>
    </row>
    <row r="55" spans="1:7" ht="6" customHeight="1"/>
    <row r="56" spans="1:7">
      <c r="A56" s="5" t="s">
        <v>49</v>
      </c>
      <c r="B56" s="8" t="s">
        <v>388</v>
      </c>
      <c r="C56" s="8"/>
      <c r="D56" s="8"/>
      <c r="E56" s="8"/>
      <c r="F56" s="76" t="s">
        <v>388</v>
      </c>
      <c r="G56" s="10"/>
    </row>
    <row r="57" spans="1:7">
      <c r="A57" s="11" t="s">
        <v>667</v>
      </c>
      <c r="B57" s="64"/>
      <c r="C57" s="64"/>
      <c r="D57" s="64"/>
      <c r="E57" s="64"/>
      <c r="F57" s="77"/>
      <c r="G57" s="43"/>
    </row>
    <row r="58" spans="1:7">
      <c r="A58" s="78" t="s">
        <v>668</v>
      </c>
      <c r="B58" s="79" t="s">
        <v>669</v>
      </c>
      <c r="C58" s="64"/>
      <c r="D58" s="64"/>
      <c r="E58" s="64"/>
      <c r="F58" s="77"/>
      <c r="G58" s="43"/>
    </row>
    <row r="59" spans="1:7">
      <c r="A59" s="78" t="s">
        <v>670</v>
      </c>
      <c r="B59" s="79" t="s">
        <v>671</v>
      </c>
      <c r="C59" s="64"/>
      <c r="D59" s="64"/>
      <c r="E59" s="64"/>
      <c r="F59" s="77"/>
      <c r="G59" s="43"/>
    </row>
    <row r="60" spans="1:7">
      <c r="A60" s="78" t="s">
        <v>672</v>
      </c>
      <c r="B60" s="79" t="s">
        <v>673</v>
      </c>
      <c r="C60" s="64"/>
      <c r="D60" s="64"/>
      <c r="E60" s="64"/>
      <c r="F60" s="77"/>
      <c r="G60" s="43"/>
    </row>
    <row r="61" spans="1:7">
      <c r="A61" s="78" t="s">
        <v>674</v>
      </c>
      <c r="B61" s="79" t="s">
        <v>675</v>
      </c>
      <c r="C61" s="64"/>
      <c r="D61" s="64"/>
      <c r="E61" s="64"/>
      <c r="F61" s="77"/>
      <c r="G61" s="43"/>
    </row>
    <row r="62" spans="1:7">
      <c r="A62" s="78" t="s">
        <v>676</v>
      </c>
      <c r="B62" s="79" t="s">
        <v>677</v>
      </c>
      <c r="C62" s="64"/>
      <c r="D62" s="64"/>
      <c r="E62" s="64"/>
      <c r="F62" s="77"/>
      <c r="G62" s="43"/>
    </row>
    <row r="63" spans="1:7">
      <c r="A63" s="78" t="s">
        <v>678</v>
      </c>
      <c r="B63" s="79" t="s">
        <v>679</v>
      </c>
      <c r="C63" s="64"/>
      <c r="D63" s="64"/>
      <c r="E63" s="64"/>
      <c r="F63" s="77"/>
      <c r="G63" s="43"/>
    </row>
    <row r="64" spans="1:7">
      <c r="A64" s="80" t="s">
        <v>680</v>
      </c>
      <c r="B64" s="81" t="s">
        <v>681</v>
      </c>
      <c r="C64" s="82"/>
      <c r="D64" s="82"/>
      <c r="E64" s="82"/>
      <c r="F64" s="82"/>
      <c r="G64" s="75"/>
    </row>
    <row r="65" spans="1:7" ht="6" customHeight="1"/>
    <row r="66" spans="1:7">
      <c r="A66" s="5" t="s">
        <v>50</v>
      </c>
      <c r="B66" s="8" t="s">
        <v>51</v>
      </c>
      <c r="C66" s="8"/>
      <c r="D66" s="83">
        <v>-6.7280695472390128E-2</v>
      </c>
      <c r="E66" s="8"/>
      <c r="F66" s="8" t="s">
        <v>388</v>
      </c>
      <c r="G66" s="84"/>
    </row>
    <row r="67" spans="1:7">
      <c r="A67" s="11"/>
      <c r="B67" s="13"/>
      <c r="C67" s="64"/>
      <c r="D67" s="64"/>
      <c r="E67" s="64"/>
      <c r="F67" s="64"/>
      <c r="G67" s="43"/>
    </row>
    <row r="68" spans="1:7">
      <c r="A68" s="54"/>
      <c r="B68" s="64"/>
      <c r="C68" s="64"/>
      <c r="D68" s="64"/>
      <c r="E68" s="64"/>
      <c r="F68" s="64"/>
      <c r="G68" s="43"/>
    </row>
    <row r="69" spans="1:7">
      <c r="A69" s="54"/>
      <c r="B69" s="64"/>
      <c r="C69" s="64"/>
      <c r="D69" s="64"/>
      <c r="E69" s="64"/>
      <c r="F69" s="64"/>
      <c r="G69" s="43"/>
    </row>
    <row r="70" spans="1:7">
      <c r="A70" s="85"/>
      <c r="B70" s="82"/>
      <c r="C70" s="82"/>
      <c r="D70" s="82"/>
      <c r="E70" s="82"/>
      <c r="F70" s="82"/>
      <c r="G70" s="75"/>
    </row>
    <row r="71" spans="1:7" ht="6" customHeight="1">
      <c r="A71" s="64"/>
      <c r="B71" s="64"/>
      <c r="C71" s="64"/>
      <c r="D71" s="64"/>
      <c r="E71" s="64"/>
      <c r="F71" s="64"/>
      <c r="G71" s="64"/>
    </row>
    <row r="72" spans="1:7">
      <c r="A72" s="86" t="s">
        <v>52</v>
      </c>
      <c r="B72" s="87"/>
      <c r="C72" s="87"/>
      <c r="D72" s="87"/>
      <c r="E72" s="87"/>
      <c r="F72" s="87"/>
      <c r="G72" s="40"/>
    </row>
    <row r="73" spans="1:7">
      <c r="A73" s="54"/>
      <c r="B73" s="64"/>
      <c r="C73" s="64"/>
      <c r="D73" s="64"/>
      <c r="E73" s="64"/>
      <c r="F73" s="64"/>
      <c r="G73" s="43"/>
    </row>
    <row r="74" spans="1:7">
      <c r="A74" s="54"/>
      <c r="B74" s="64"/>
      <c r="C74" s="64"/>
      <c r="D74" s="64"/>
      <c r="E74" s="64"/>
      <c r="F74" s="64"/>
      <c r="G74" s="43"/>
    </row>
    <row r="75" spans="1:7">
      <c r="A75" s="85"/>
      <c r="B75" s="82"/>
      <c r="C75" s="82"/>
      <c r="D75" s="82"/>
      <c r="E75" s="82"/>
      <c r="F75" s="82"/>
      <c r="G75" s="75"/>
    </row>
    <row r="76" spans="1:7" ht="6" customHeight="1">
      <c r="A76" s="88"/>
      <c r="B76" s="88"/>
      <c r="C76" s="88"/>
      <c r="D76" s="88"/>
      <c r="E76" s="88"/>
      <c r="F76" s="88"/>
      <c r="G76" s="88"/>
    </row>
    <row r="77" spans="1:7">
      <c r="A77" s="86" t="s">
        <v>53</v>
      </c>
      <c r="B77" s="87"/>
      <c r="C77" s="87"/>
      <c r="D77" s="87"/>
      <c r="E77" s="87"/>
      <c r="F77" s="87"/>
      <c r="G77" s="40"/>
    </row>
    <row r="78" spans="1:7">
      <c r="A78" s="85"/>
      <c r="B78" s="82"/>
      <c r="C78" s="82"/>
      <c r="D78" s="82"/>
      <c r="E78" s="82"/>
      <c r="F78" s="82"/>
      <c r="G78" s="75"/>
    </row>
  </sheetData>
  <sheetProtection password="8AA1" sheet="1" objects="1" scenarios="1"/>
  <mergeCells count="3">
    <mergeCell ref="B15:C16"/>
    <mergeCell ref="D15:E16"/>
    <mergeCell ref="F15:G16"/>
  </mergeCells>
  <pageMargins left="0.5" right="0.5" top="0.5" bottom="0.5" header="0.5" footer="0"/>
  <pageSetup scale="78" orientation="portrait" r:id="rId1"/>
  <headerFooter alignWithMargins="0">
    <oddFooter>&amp;R&amp;F &amp;A - 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6"/>
  </sheetPr>
  <dimension ref="A1:AT291"/>
  <sheetViews>
    <sheetView zoomScale="85" zoomScaleNormal="85" workbookViewId="0"/>
  </sheetViews>
  <sheetFormatPr defaultColWidth="9.109375" defaultRowHeight="13.2"/>
  <cols>
    <col min="1" max="1" width="23.6640625" style="92" customWidth="1"/>
    <col min="2" max="2" width="9.6640625" style="92" customWidth="1"/>
    <col min="3" max="3" width="10.6640625" style="92" customWidth="1"/>
    <col min="4" max="4" width="8.6640625" style="92" customWidth="1"/>
    <col min="5" max="5" width="18.6640625" style="92" customWidth="1"/>
    <col min="6" max="6" width="3.6640625" style="92" customWidth="1"/>
    <col min="7" max="7" width="24.6640625" style="92" customWidth="1"/>
    <col min="8" max="8" width="15.6640625" style="92" customWidth="1"/>
    <col min="9" max="9" width="13.6640625" style="92" customWidth="1"/>
    <col min="10" max="10" width="20.6640625" style="92" customWidth="1"/>
    <col min="11" max="11" width="15.6640625" style="92" customWidth="1"/>
    <col min="12" max="14" width="13.6640625" style="92" customWidth="1"/>
    <col min="15" max="15" width="13.6640625" style="111" customWidth="1"/>
    <col min="16" max="16" width="16.33203125" style="92" customWidth="1"/>
    <col min="17" max="17" width="12.88671875" style="92" customWidth="1"/>
    <col min="18" max="18" width="9.109375" style="92"/>
    <col min="19" max="19" width="15.44140625" style="92" customWidth="1"/>
    <col min="20" max="16384" width="9.109375" style="92"/>
  </cols>
  <sheetData>
    <row r="1" spans="1:17" ht="17.399999999999999">
      <c r="A1" s="89" t="s">
        <v>54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1"/>
    </row>
    <row r="2" spans="1:17" ht="17.399999999999999">
      <c r="A2" s="93" t="s">
        <v>387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1"/>
    </row>
    <row r="3" spans="1:17" ht="17.399999999999999">
      <c r="A3" s="94" t="s">
        <v>388</v>
      </c>
      <c r="B3" s="90"/>
      <c r="C3" s="90"/>
      <c r="D3" s="90"/>
      <c r="E3" s="90"/>
      <c r="F3" s="90"/>
      <c r="G3" s="90"/>
      <c r="H3" s="90"/>
      <c r="I3" s="90"/>
      <c r="J3" s="95"/>
      <c r="K3" s="90"/>
      <c r="L3" s="92" t="s">
        <v>55</v>
      </c>
      <c r="N3" s="96">
        <v>0.88233852916358113</v>
      </c>
      <c r="O3" s="92"/>
    </row>
    <row r="4" spans="1:17">
      <c r="A4" s="92" t="s">
        <v>56</v>
      </c>
      <c r="C4" s="97" t="s">
        <v>389</v>
      </c>
      <c r="D4" s="98"/>
      <c r="E4" s="98"/>
      <c r="G4" s="92" t="s">
        <v>57</v>
      </c>
      <c r="H4" s="99" t="s">
        <v>390</v>
      </c>
      <c r="I4" s="100" t="s">
        <v>58</v>
      </c>
      <c r="J4" s="101" t="s">
        <v>391</v>
      </c>
      <c r="K4" s="102"/>
      <c r="L4" s="92" t="s">
        <v>388</v>
      </c>
      <c r="N4" s="103" t="s">
        <v>388</v>
      </c>
      <c r="O4" s="92"/>
    </row>
    <row r="5" spans="1:17">
      <c r="A5" s="92" t="s">
        <v>59</v>
      </c>
      <c r="C5" s="104" t="s">
        <v>392</v>
      </c>
      <c r="D5" s="98"/>
      <c r="E5" s="98"/>
      <c r="G5" s="92" t="s">
        <v>60</v>
      </c>
      <c r="H5" s="97" t="s">
        <v>393</v>
      </c>
      <c r="I5" s="105"/>
      <c r="J5" s="105"/>
      <c r="K5" s="102"/>
      <c r="L5" s="92" t="s">
        <v>388</v>
      </c>
      <c r="N5" s="103" t="s">
        <v>388</v>
      </c>
      <c r="O5" s="106"/>
    </row>
    <row r="6" spans="1:17">
      <c r="A6" s="92" t="s">
        <v>61</v>
      </c>
      <c r="C6" s="107" t="s">
        <v>62</v>
      </c>
      <c r="D6" s="108"/>
      <c r="E6" s="109"/>
      <c r="G6" s="92" t="s">
        <v>63</v>
      </c>
      <c r="H6" s="97" t="s">
        <v>394</v>
      </c>
      <c r="I6" s="105"/>
      <c r="J6" s="105"/>
      <c r="K6" s="102"/>
      <c r="L6" s="92" t="s">
        <v>64</v>
      </c>
      <c r="N6" s="110" t="s">
        <v>263</v>
      </c>
      <c r="O6" s="92"/>
    </row>
    <row r="7" spans="1:17">
      <c r="A7" s="111" t="s">
        <v>65</v>
      </c>
      <c r="B7" s="112"/>
      <c r="C7" s="113" t="s">
        <v>284</v>
      </c>
      <c r="D7" s="114"/>
      <c r="E7" s="115"/>
      <c r="G7" s="92" t="s">
        <v>66</v>
      </c>
      <c r="H7" s="116">
        <v>0.05</v>
      </c>
      <c r="I7" s="117" t="s">
        <v>67</v>
      </c>
      <c r="J7" s="116" t="s">
        <v>80</v>
      </c>
      <c r="K7" s="111"/>
      <c r="L7" s="92" t="s">
        <v>68</v>
      </c>
      <c r="N7" s="110" t="s">
        <v>80</v>
      </c>
      <c r="O7" s="92"/>
    </row>
    <row r="8" spans="1:17">
      <c r="A8" s="92" t="s">
        <v>69</v>
      </c>
      <c r="B8" s="112"/>
      <c r="C8" s="118">
        <v>0</v>
      </c>
      <c r="D8" s="102"/>
      <c r="E8" s="109"/>
      <c r="G8" s="92" t="s">
        <v>70</v>
      </c>
      <c r="H8" s="119" t="s">
        <v>388</v>
      </c>
      <c r="I8" s="98"/>
      <c r="J8" s="98"/>
      <c r="K8" s="111"/>
      <c r="L8" s="92" t="s">
        <v>71</v>
      </c>
      <c r="M8" s="120"/>
      <c r="N8" s="110" t="s">
        <v>80</v>
      </c>
      <c r="O8" s="92"/>
    </row>
    <row r="9" spans="1:17">
      <c r="A9" s="111" t="s">
        <v>72</v>
      </c>
      <c r="C9" s="99">
        <v>43224</v>
      </c>
      <c r="D9" s="98"/>
      <c r="E9" s="98"/>
      <c r="G9" s="92" t="s">
        <v>73</v>
      </c>
      <c r="H9" s="105" t="s">
        <v>395</v>
      </c>
      <c r="I9" s="98"/>
      <c r="J9" s="121"/>
      <c r="K9" s="111"/>
      <c r="L9" s="111" t="s">
        <v>74</v>
      </c>
      <c r="N9" s="110" t="s">
        <v>80</v>
      </c>
      <c r="O9" s="92"/>
    </row>
    <row r="10" spans="1:17">
      <c r="A10" s="111" t="s">
        <v>75</v>
      </c>
      <c r="C10" s="122">
        <v>0.14575469314504463</v>
      </c>
      <c r="D10" s="98"/>
      <c r="E10" s="98"/>
      <c r="G10" s="92" t="s">
        <v>76</v>
      </c>
      <c r="H10" s="103" t="s">
        <v>77</v>
      </c>
      <c r="I10" s="102" t="s">
        <v>78</v>
      </c>
      <c r="J10" s="109"/>
      <c r="K10" s="111"/>
      <c r="L10" s="123" t="s">
        <v>79</v>
      </c>
      <c r="M10" s="124"/>
      <c r="N10" s="125" t="s">
        <v>80</v>
      </c>
      <c r="O10" s="92"/>
    </row>
    <row r="11" spans="1:17" ht="8.1" customHeight="1" thickBot="1">
      <c r="A11" s="126"/>
      <c r="B11" s="126"/>
      <c r="C11" s="126"/>
      <c r="D11" s="127"/>
      <c r="E11" s="126"/>
      <c r="F11" s="126"/>
      <c r="G11" s="126"/>
      <c r="H11" s="126"/>
      <c r="I11" s="126"/>
      <c r="J11" s="126"/>
      <c r="K11" s="126"/>
      <c r="L11" s="126"/>
      <c r="M11" s="126"/>
      <c r="N11" s="128"/>
      <c r="O11" s="128"/>
    </row>
    <row r="12" spans="1:17" ht="12.75" customHeight="1">
      <c r="G12" s="120" t="s">
        <v>81</v>
      </c>
    </row>
    <row r="13" spans="1:17">
      <c r="G13" s="129" t="s">
        <v>396</v>
      </c>
      <c r="J13" s="130"/>
      <c r="K13" s="130"/>
      <c r="L13" s="130"/>
      <c r="M13" s="131"/>
      <c r="N13" s="124" t="s">
        <v>82</v>
      </c>
      <c r="O13" s="124" t="s">
        <v>83</v>
      </c>
      <c r="P13" s="111"/>
      <c r="Q13" s="111"/>
    </row>
    <row r="14" spans="1:17">
      <c r="A14" s="92" t="s">
        <v>84</v>
      </c>
      <c r="B14" s="105" t="s">
        <v>397</v>
      </c>
      <c r="C14" s="105"/>
      <c r="D14" s="105"/>
      <c r="G14" s="120" t="s">
        <v>398</v>
      </c>
      <c r="H14" s="114"/>
      <c r="I14" s="114"/>
      <c r="J14" s="132"/>
      <c r="L14" s="124" t="s">
        <v>21</v>
      </c>
      <c r="M14" s="124" t="s">
        <v>85</v>
      </c>
      <c r="N14" s="124" t="s">
        <v>86</v>
      </c>
      <c r="O14" s="124" t="s">
        <v>87</v>
      </c>
      <c r="P14" s="111"/>
      <c r="Q14" s="111"/>
    </row>
    <row r="15" spans="1:17">
      <c r="A15" s="92" t="s">
        <v>88</v>
      </c>
      <c r="B15" s="121" t="s">
        <v>399</v>
      </c>
      <c r="C15" s="98"/>
      <c r="D15" s="109"/>
      <c r="E15" s="124" t="s">
        <v>89</v>
      </c>
      <c r="G15" s="105" t="s">
        <v>400</v>
      </c>
      <c r="H15" s="105" t="s">
        <v>401</v>
      </c>
      <c r="I15" s="105"/>
      <c r="J15" s="133" t="s">
        <v>388</v>
      </c>
      <c r="K15" s="134" t="s">
        <v>402</v>
      </c>
      <c r="L15" s="135">
        <v>45</v>
      </c>
      <c r="M15" s="135"/>
      <c r="N15" s="136">
        <v>837.75</v>
      </c>
      <c r="O15" s="136" t="s">
        <v>388</v>
      </c>
      <c r="P15" s="137"/>
      <c r="Q15" s="137"/>
    </row>
    <row r="16" spans="1:17">
      <c r="A16" s="92" t="s">
        <v>90</v>
      </c>
      <c r="B16" s="105" t="s">
        <v>403</v>
      </c>
      <c r="C16" s="105"/>
      <c r="D16" s="105"/>
      <c r="E16" s="124" t="s">
        <v>91</v>
      </c>
      <c r="G16" s="121" t="s">
        <v>404</v>
      </c>
      <c r="H16" s="121"/>
      <c r="I16" s="105"/>
      <c r="J16" s="108"/>
      <c r="K16" s="134" t="s">
        <v>405</v>
      </c>
      <c r="L16" s="135">
        <v>10</v>
      </c>
      <c r="M16" s="135"/>
      <c r="N16" s="136">
        <v>1759.28</v>
      </c>
      <c r="O16" s="136" t="s">
        <v>388</v>
      </c>
      <c r="P16" s="111"/>
      <c r="Q16" s="111"/>
    </row>
    <row r="17" spans="1:17">
      <c r="A17" s="92" t="s">
        <v>92</v>
      </c>
      <c r="B17" s="138" t="s">
        <v>406</v>
      </c>
      <c r="C17" s="139" t="s">
        <v>407</v>
      </c>
      <c r="D17" s="140"/>
      <c r="E17" s="124" t="s">
        <v>93</v>
      </c>
      <c r="G17" s="141" t="s">
        <v>408</v>
      </c>
      <c r="H17" s="140"/>
      <c r="I17" s="140"/>
      <c r="K17" s="134" t="s">
        <v>409</v>
      </c>
      <c r="L17" s="135">
        <v>9</v>
      </c>
      <c r="M17" s="135"/>
      <c r="N17" s="136">
        <v>1591.73</v>
      </c>
      <c r="O17" s="136" t="s">
        <v>388</v>
      </c>
      <c r="P17" s="111"/>
      <c r="Q17" s="111"/>
    </row>
    <row r="18" spans="1:17">
      <c r="A18" s="92" t="s">
        <v>94</v>
      </c>
      <c r="B18" s="142" t="s">
        <v>410</v>
      </c>
      <c r="C18" s="142"/>
      <c r="D18" s="143"/>
      <c r="E18" s="124" t="s">
        <v>95</v>
      </c>
      <c r="G18" s="141" t="s">
        <v>411</v>
      </c>
      <c r="H18" s="105"/>
      <c r="I18" s="105"/>
      <c r="J18" s="108"/>
      <c r="K18" s="134" t="s">
        <v>412</v>
      </c>
      <c r="L18" s="135">
        <v>25</v>
      </c>
      <c r="M18" s="135"/>
      <c r="N18" s="136">
        <v>2513.25</v>
      </c>
      <c r="O18" s="136" t="s">
        <v>388</v>
      </c>
      <c r="P18" s="111"/>
      <c r="Q18" s="111"/>
    </row>
    <row r="19" spans="1:17">
      <c r="A19" s="111" t="s">
        <v>96</v>
      </c>
      <c r="B19" s="144" t="s">
        <v>413</v>
      </c>
      <c r="C19" s="92" t="s">
        <v>97</v>
      </c>
      <c r="D19" s="145" t="s">
        <v>388</v>
      </c>
      <c r="E19" s="124" t="s">
        <v>98</v>
      </c>
      <c r="G19" s="146" t="s">
        <v>388</v>
      </c>
      <c r="H19" s="105"/>
      <c r="I19" s="105"/>
      <c r="J19" s="105"/>
      <c r="K19" s="147" t="s">
        <v>99</v>
      </c>
      <c r="L19" s="148">
        <v>89</v>
      </c>
      <c r="M19" s="149">
        <v>188</v>
      </c>
      <c r="N19" s="150">
        <v>704.51260638297867</v>
      </c>
      <c r="O19" s="150" t="s">
        <v>388</v>
      </c>
      <c r="P19" s="111"/>
      <c r="Q19" s="111"/>
    </row>
    <row r="20" spans="1:17">
      <c r="A20" s="98" t="s">
        <v>100</v>
      </c>
      <c r="B20" s="105" t="s">
        <v>400</v>
      </c>
      <c r="C20" s="105"/>
      <c r="D20" s="151"/>
      <c r="E20" s="152" t="s">
        <v>101</v>
      </c>
      <c r="F20" s="98"/>
      <c r="G20" s="153" t="s">
        <v>414</v>
      </c>
      <c r="H20" s="105"/>
      <c r="I20" s="140"/>
      <c r="J20" s="154" t="s">
        <v>415</v>
      </c>
      <c r="K20" s="98"/>
      <c r="L20" s="98"/>
      <c r="M20" s="98"/>
      <c r="N20" s="98"/>
      <c r="O20" s="98"/>
      <c r="P20" s="111"/>
      <c r="Q20" s="111"/>
    </row>
    <row r="21" spans="1:17">
      <c r="E21" s="111"/>
      <c r="F21" s="111"/>
      <c r="G21" s="120" t="s">
        <v>102</v>
      </c>
      <c r="H21" s="102"/>
      <c r="I21" s="102"/>
      <c r="J21" s="102"/>
      <c r="P21" s="111"/>
      <c r="Q21" s="111"/>
    </row>
    <row r="22" spans="1:17">
      <c r="G22" s="129" t="s">
        <v>396</v>
      </c>
      <c r="L22" s="131"/>
      <c r="M22" s="131"/>
      <c r="N22" s="124" t="s">
        <v>82</v>
      </c>
      <c r="O22" s="124" t="s">
        <v>83</v>
      </c>
      <c r="P22" s="111"/>
      <c r="Q22" s="111"/>
    </row>
    <row r="23" spans="1:17">
      <c r="A23" s="92" t="s">
        <v>84</v>
      </c>
      <c r="B23" s="105" t="s">
        <v>397</v>
      </c>
      <c r="C23" s="105"/>
      <c r="D23" s="105"/>
      <c r="G23" s="120" t="s">
        <v>416</v>
      </c>
      <c r="H23" s="114"/>
      <c r="I23" s="114"/>
      <c r="J23" s="132"/>
      <c r="L23" s="124" t="s">
        <v>21</v>
      </c>
      <c r="M23" s="124" t="s">
        <v>85</v>
      </c>
      <c r="N23" s="124" t="s">
        <v>86</v>
      </c>
      <c r="O23" s="124" t="s">
        <v>87</v>
      </c>
      <c r="P23" s="111"/>
      <c r="Q23" s="111"/>
    </row>
    <row r="24" spans="1:17">
      <c r="A24" s="92" t="s">
        <v>88</v>
      </c>
      <c r="B24" s="121" t="s">
        <v>399</v>
      </c>
      <c r="C24" s="98"/>
      <c r="D24" s="109"/>
      <c r="E24" s="124" t="s">
        <v>89</v>
      </c>
      <c r="G24" s="105" t="s">
        <v>417</v>
      </c>
      <c r="H24" s="105" t="s">
        <v>418</v>
      </c>
      <c r="I24" s="105"/>
      <c r="J24" s="133" t="s">
        <v>419</v>
      </c>
      <c r="K24" s="134" t="s">
        <v>402</v>
      </c>
      <c r="L24" s="135">
        <v>10</v>
      </c>
      <c r="M24" s="135"/>
      <c r="N24" s="136">
        <v>527.42999999999995</v>
      </c>
      <c r="O24" s="136" t="s">
        <v>388</v>
      </c>
      <c r="P24" s="111"/>
      <c r="Q24" s="111"/>
    </row>
    <row r="25" spans="1:17">
      <c r="A25" s="92" t="s">
        <v>90</v>
      </c>
      <c r="B25" s="105" t="s">
        <v>403</v>
      </c>
      <c r="C25" s="105"/>
      <c r="D25" s="105"/>
      <c r="E25" s="124" t="s">
        <v>91</v>
      </c>
      <c r="G25" s="121" t="s">
        <v>420</v>
      </c>
      <c r="H25" s="121"/>
      <c r="I25" s="105"/>
      <c r="J25" s="108"/>
      <c r="K25" s="134" t="s">
        <v>405</v>
      </c>
      <c r="L25" s="135">
        <v>5</v>
      </c>
      <c r="M25" s="135"/>
      <c r="N25" s="136">
        <v>1107.5999999999999</v>
      </c>
      <c r="O25" s="136" t="s">
        <v>388</v>
      </c>
      <c r="P25" s="111"/>
      <c r="Q25" s="111"/>
    </row>
    <row r="26" spans="1:17">
      <c r="A26" s="92" t="s">
        <v>92</v>
      </c>
      <c r="B26" s="138" t="s">
        <v>406</v>
      </c>
      <c r="C26" s="139" t="s">
        <v>407</v>
      </c>
      <c r="D26" s="140"/>
      <c r="E26" s="124" t="s">
        <v>93</v>
      </c>
      <c r="G26" s="141" t="s">
        <v>421</v>
      </c>
      <c r="H26" s="140"/>
      <c r="I26" s="140"/>
      <c r="K26" s="134" t="s">
        <v>409</v>
      </c>
      <c r="L26" s="135">
        <v>2</v>
      </c>
      <c r="M26" s="135"/>
      <c r="N26" s="136">
        <v>1002.12</v>
      </c>
      <c r="O26" s="136" t="s">
        <v>388</v>
      </c>
      <c r="P26" s="111"/>
      <c r="Q26" s="111"/>
    </row>
    <row r="27" spans="1:17">
      <c r="A27" s="92" t="s">
        <v>94</v>
      </c>
      <c r="B27" s="142" t="s">
        <v>410</v>
      </c>
      <c r="C27" s="142"/>
      <c r="D27" s="143"/>
      <c r="E27" s="124" t="s">
        <v>95</v>
      </c>
      <c r="G27" s="141" t="s">
        <v>422</v>
      </c>
      <c r="H27" s="105"/>
      <c r="I27" s="105"/>
      <c r="J27" s="108"/>
      <c r="K27" s="134" t="s">
        <v>412</v>
      </c>
      <c r="L27" s="135">
        <v>13</v>
      </c>
      <c r="M27" s="135"/>
      <c r="N27" s="136">
        <v>1582.29</v>
      </c>
      <c r="O27" s="136" t="s">
        <v>388</v>
      </c>
      <c r="P27" s="111"/>
      <c r="Q27" s="111"/>
    </row>
    <row r="28" spans="1:17">
      <c r="A28" s="92" t="s">
        <v>96</v>
      </c>
      <c r="B28" s="144" t="s">
        <v>413</v>
      </c>
      <c r="C28" s="92" t="s">
        <v>97</v>
      </c>
      <c r="D28" s="145" t="s">
        <v>388</v>
      </c>
      <c r="E28" s="124" t="s">
        <v>98</v>
      </c>
      <c r="G28" s="146" t="s">
        <v>388</v>
      </c>
      <c r="H28" s="105"/>
      <c r="I28" s="105"/>
      <c r="J28" s="105"/>
      <c r="K28" s="155" t="s">
        <v>99</v>
      </c>
      <c r="L28" s="148">
        <v>30</v>
      </c>
      <c r="M28" s="149">
        <v>84</v>
      </c>
      <c r="N28" s="150">
        <v>397.45607142857142</v>
      </c>
      <c r="O28" s="150" t="s">
        <v>388</v>
      </c>
      <c r="P28" s="111"/>
      <c r="Q28" s="111"/>
    </row>
    <row r="29" spans="1:17">
      <c r="A29" s="98" t="s">
        <v>100</v>
      </c>
      <c r="B29" s="105" t="s">
        <v>423</v>
      </c>
      <c r="C29" s="105"/>
      <c r="D29" s="151"/>
      <c r="E29" s="152" t="s">
        <v>101</v>
      </c>
      <c r="F29" s="98"/>
      <c r="G29" s="153" t="s">
        <v>424</v>
      </c>
      <c r="H29" s="105"/>
      <c r="I29" s="140"/>
      <c r="J29" s="154" t="s">
        <v>425</v>
      </c>
      <c r="K29" s="98"/>
      <c r="L29" s="98"/>
      <c r="M29" s="98"/>
      <c r="N29" s="98"/>
      <c r="O29" s="98"/>
      <c r="P29" s="111"/>
      <c r="Q29" s="111"/>
    </row>
    <row r="30" spans="1:17">
      <c r="E30" s="111"/>
      <c r="F30" s="111"/>
      <c r="G30" s="120" t="s">
        <v>103</v>
      </c>
      <c r="H30" s="102"/>
      <c r="I30" s="102"/>
      <c r="J30" s="102"/>
      <c r="O30" s="92"/>
      <c r="P30" s="111"/>
      <c r="Q30" s="111"/>
    </row>
    <row r="31" spans="1:17">
      <c r="G31" s="129" t="s">
        <v>396</v>
      </c>
      <c r="L31" s="131"/>
      <c r="M31" s="131"/>
      <c r="N31" s="124" t="s">
        <v>82</v>
      </c>
      <c r="O31" s="124" t="s">
        <v>83</v>
      </c>
      <c r="P31" s="111"/>
      <c r="Q31" s="111"/>
    </row>
    <row r="32" spans="1:17">
      <c r="A32" s="92" t="s">
        <v>84</v>
      </c>
      <c r="B32" s="105" t="s">
        <v>397</v>
      </c>
      <c r="C32" s="105"/>
      <c r="D32" s="105"/>
      <c r="G32" s="120" t="s">
        <v>398</v>
      </c>
      <c r="H32" s="114"/>
      <c r="I32" s="114"/>
      <c r="J32" s="132"/>
      <c r="L32" s="124" t="s">
        <v>21</v>
      </c>
      <c r="M32" s="124" t="s">
        <v>85</v>
      </c>
      <c r="N32" s="124" t="s">
        <v>86</v>
      </c>
      <c r="O32" s="124" t="s">
        <v>87</v>
      </c>
      <c r="P32" s="111"/>
      <c r="Q32" s="111"/>
    </row>
    <row r="33" spans="1:17">
      <c r="A33" s="92" t="s">
        <v>88</v>
      </c>
      <c r="B33" s="121" t="s">
        <v>399</v>
      </c>
      <c r="C33" s="98"/>
      <c r="D33" s="109"/>
      <c r="E33" s="124" t="s">
        <v>89</v>
      </c>
      <c r="G33" s="105">
        <v>479</v>
      </c>
      <c r="H33" s="105" t="s">
        <v>426</v>
      </c>
      <c r="I33" s="105"/>
      <c r="J33" s="133" t="s">
        <v>388</v>
      </c>
      <c r="K33" s="134" t="s">
        <v>402</v>
      </c>
      <c r="L33" s="135">
        <v>0</v>
      </c>
      <c r="M33" s="135"/>
      <c r="N33" s="136">
        <v>837.75</v>
      </c>
      <c r="O33" s="136" t="s">
        <v>388</v>
      </c>
      <c r="P33" s="111"/>
      <c r="Q33" s="111"/>
    </row>
    <row r="34" spans="1:17">
      <c r="A34" s="92" t="s">
        <v>90</v>
      </c>
      <c r="B34" s="105" t="s">
        <v>403</v>
      </c>
      <c r="C34" s="105"/>
      <c r="D34" s="105"/>
      <c r="E34" s="124" t="s">
        <v>91</v>
      </c>
      <c r="G34" s="121" t="s">
        <v>404</v>
      </c>
      <c r="H34" s="121"/>
      <c r="I34" s="105"/>
      <c r="J34" s="108"/>
      <c r="K34" s="134" t="s">
        <v>405</v>
      </c>
      <c r="L34" s="135">
        <v>0</v>
      </c>
      <c r="M34" s="135"/>
      <c r="N34" s="136">
        <v>1759.28</v>
      </c>
      <c r="O34" s="136" t="s">
        <v>388</v>
      </c>
      <c r="P34" s="111"/>
    </row>
    <row r="35" spans="1:17">
      <c r="A35" s="92" t="s">
        <v>92</v>
      </c>
      <c r="B35" s="138" t="s">
        <v>406</v>
      </c>
      <c r="C35" s="139" t="s">
        <v>427</v>
      </c>
      <c r="D35" s="140"/>
      <c r="E35" s="124" t="s">
        <v>93</v>
      </c>
      <c r="G35" s="141" t="s">
        <v>408</v>
      </c>
      <c r="H35" s="140"/>
      <c r="I35" s="140"/>
      <c r="K35" s="134" t="s">
        <v>409</v>
      </c>
      <c r="L35" s="135">
        <v>0</v>
      </c>
      <c r="M35" s="135"/>
      <c r="N35" s="136">
        <v>1591.73</v>
      </c>
      <c r="O35" s="136" t="s">
        <v>388</v>
      </c>
      <c r="P35" s="111"/>
    </row>
    <row r="36" spans="1:17">
      <c r="A36" s="92" t="s">
        <v>94</v>
      </c>
      <c r="B36" s="142" t="s">
        <v>410</v>
      </c>
      <c r="C36" s="142"/>
      <c r="D36" s="143"/>
      <c r="E36" s="124" t="s">
        <v>95</v>
      </c>
      <c r="G36" s="141" t="s">
        <v>411</v>
      </c>
      <c r="H36" s="105"/>
      <c r="I36" s="105"/>
      <c r="J36" s="108"/>
      <c r="K36" s="134" t="s">
        <v>412</v>
      </c>
      <c r="L36" s="135">
        <v>1</v>
      </c>
      <c r="M36" s="135"/>
      <c r="N36" s="136">
        <v>2513.25</v>
      </c>
      <c r="O36" s="136" t="s">
        <v>388</v>
      </c>
    </row>
    <row r="37" spans="1:17">
      <c r="A37" s="92" t="s">
        <v>96</v>
      </c>
      <c r="B37" s="144" t="s">
        <v>413</v>
      </c>
      <c r="C37" s="92" t="s">
        <v>97</v>
      </c>
      <c r="D37" s="145" t="s">
        <v>388</v>
      </c>
      <c r="E37" s="124" t="s">
        <v>98</v>
      </c>
      <c r="G37" s="146" t="s">
        <v>388</v>
      </c>
      <c r="H37" s="105"/>
      <c r="I37" s="105"/>
      <c r="J37" s="105"/>
      <c r="K37" s="155" t="s">
        <v>99</v>
      </c>
      <c r="L37" s="148">
        <v>1</v>
      </c>
      <c r="M37" s="149">
        <v>6</v>
      </c>
      <c r="N37" s="150">
        <v>418.875</v>
      </c>
      <c r="O37" s="150" t="s">
        <v>388</v>
      </c>
    </row>
    <row r="38" spans="1:17">
      <c r="A38" s="98" t="s">
        <v>100</v>
      </c>
      <c r="B38" s="105" t="s">
        <v>428</v>
      </c>
      <c r="C38" s="105"/>
      <c r="D38" s="151"/>
      <c r="E38" s="152" t="s">
        <v>101</v>
      </c>
      <c r="F38" s="98"/>
      <c r="G38" s="153" t="s">
        <v>414</v>
      </c>
      <c r="H38" s="105"/>
      <c r="I38" s="140"/>
      <c r="J38" s="154" t="s">
        <v>415</v>
      </c>
      <c r="K38" s="98"/>
      <c r="L38" s="98"/>
      <c r="M38" s="98"/>
      <c r="N38" s="98"/>
      <c r="O38" s="98"/>
    </row>
    <row r="39" spans="1:17">
      <c r="E39" s="111"/>
      <c r="F39" s="111"/>
      <c r="G39" s="120" t="s">
        <v>104</v>
      </c>
      <c r="H39" s="102"/>
      <c r="I39" s="102"/>
      <c r="J39" s="102"/>
      <c r="O39" s="92"/>
    </row>
    <row r="40" spans="1:17">
      <c r="G40" s="129" t="s">
        <v>396</v>
      </c>
      <c r="L40" s="131"/>
      <c r="M40" s="131"/>
      <c r="N40" s="124" t="s">
        <v>82</v>
      </c>
      <c r="O40" s="124" t="s">
        <v>83</v>
      </c>
    </row>
    <row r="41" spans="1:17">
      <c r="A41" s="92" t="s">
        <v>84</v>
      </c>
      <c r="B41" s="105" t="s">
        <v>397</v>
      </c>
      <c r="C41" s="105"/>
      <c r="D41" s="105"/>
      <c r="G41" s="120" t="s">
        <v>416</v>
      </c>
      <c r="H41" s="114"/>
      <c r="I41" s="114"/>
      <c r="J41" s="132"/>
      <c r="L41" s="124" t="s">
        <v>21</v>
      </c>
      <c r="M41" s="124" t="s">
        <v>85</v>
      </c>
      <c r="N41" s="124" t="s">
        <v>86</v>
      </c>
      <c r="O41" s="124" t="s">
        <v>87</v>
      </c>
    </row>
    <row r="42" spans="1:17">
      <c r="A42" s="92" t="s">
        <v>88</v>
      </c>
      <c r="B42" s="121" t="s">
        <v>399</v>
      </c>
      <c r="C42" s="98"/>
      <c r="D42" s="109"/>
      <c r="E42" s="124" t="s">
        <v>89</v>
      </c>
      <c r="G42" s="105" t="s">
        <v>429</v>
      </c>
      <c r="H42" s="105" t="s">
        <v>430</v>
      </c>
      <c r="I42" s="105"/>
      <c r="J42" s="133" t="s">
        <v>419</v>
      </c>
      <c r="K42" s="134" t="s">
        <v>402</v>
      </c>
      <c r="L42" s="135">
        <v>1E-4</v>
      </c>
      <c r="M42" s="135"/>
      <c r="N42" s="136">
        <v>527.42999999999995</v>
      </c>
      <c r="O42" s="136" t="s">
        <v>388</v>
      </c>
    </row>
    <row r="43" spans="1:17">
      <c r="A43" s="92" t="s">
        <v>90</v>
      </c>
      <c r="B43" s="105" t="s">
        <v>403</v>
      </c>
      <c r="C43" s="105"/>
      <c r="D43" s="105"/>
      <c r="E43" s="124" t="s">
        <v>91</v>
      </c>
      <c r="G43" s="121" t="s">
        <v>420</v>
      </c>
      <c r="H43" s="121"/>
      <c r="I43" s="105"/>
      <c r="J43" s="108"/>
      <c r="K43" s="134" t="s">
        <v>405</v>
      </c>
      <c r="L43" s="135">
        <v>0</v>
      </c>
      <c r="M43" s="135"/>
      <c r="N43" s="136">
        <v>1107.5999999999999</v>
      </c>
      <c r="O43" s="136" t="s">
        <v>388</v>
      </c>
    </row>
    <row r="44" spans="1:17">
      <c r="A44" s="92" t="s">
        <v>92</v>
      </c>
      <c r="B44" s="138" t="s">
        <v>406</v>
      </c>
      <c r="C44" s="139" t="s">
        <v>427</v>
      </c>
      <c r="D44" s="140"/>
      <c r="E44" s="124" t="s">
        <v>93</v>
      </c>
      <c r="G44" s="141" t="s">
        <v>421</v>
      </c>
      <c r="H44" s="140"/>
      <c r="I44" s="140"/>
      <c r="K44" s="134" t="s">
        <v>409</v>
      </c>
      <c r="L44" s="135">
        <v>0</v>
      </c>
      <c r="M44" s="135"/>
      <c r="N44" s="136">
        <v>1002.12</v>
      </c>
      <c r="O44" s="136" t="s">
        <v>388</v>
      </c>
    </row>
    <row r="45" spans="1:17">
      <c r="A45" s="92" t="s">
        <v>94</v>
      </c>
      <c r="B45" s="142" t="s">
        <v>410</v>
      </c>
      <c r="C45" s="142"/>
      <c r="D45" s="143"/>
      <c r="E45" s="124" t="s">
        <v>95</v>
      </c>
      <c r="G45" s="141" t="s">
        <v>422</v>
      </c>
      <c r="H45" s="105"/>
      <c r="I45" s="105"/>
      <c r="J45" s="108"/>
      <c r="K45" s="134" t="s">
        <v>412</v>
      </c>
      <c r="L45" s="135">
        <v>0</v>
      </c>
      <c r="M45" s="135"/>
      <c r="N45" s="136">
        <v>1582.29</v>
      </c>
      <c r="O45" s="136" t="s">
        <v>388</v>
      </c>
    </row>
    <row r="46" spans="1:17">
      <c r="A46" s="92" t="s">
        <v>96</v>
      </c>
      <c r="B46" s="144" t="s">
        <v>413</v>
      </c>
      <c r="C46" s="92" t="s">
        <v>97</v>
      </c>
      <c r="D46" s="145" t="s">
        <v>388</v>
      </c>
      <c r="E46" s="124" t="s">
        <v>98</v>
      </c>
      <c r="G46" s="146" t="s">
        <v>388</v>
      </c>
      <c r="H46" s="105"/>
      <c r="I46" s="105"/>
      <c r="J46" s="105"/>
      <c r="K46" s="155" t="s">
        <v>99</v>
      </c>
      <c r="L46" s="148">
        <v>1E-4</v>
      </c>
      <c r="M46" s="149">
        <v>1E-4</v>
      </c>
      <c r="N46" s="150">
        <v>527.42999999999995</v>
      </c>
      <c r="O46" s="150" t="s">
        <v>388</v>
      </c>
    </row>
    <row r="47" spans="1:17">
      <c r="A47" s="98" t="s">
        <v>100</v>
      </c>
      <c r="B47" s="105" t="s">
        <v>431</v>
      </c>
      <c r="C47" s="105"/>
      <c r="D47" s="151"/>
      <c r="E47" s="152" t="s">
        <v>101</v>
      </c>
      <c r="F47" s="98"/>
      <c r="G47" s="153" t="s">
        <v>424</v>
      </c>
      <c r="H47" s="105"/>
      <c r="I47" s="140"/>
      <c r="J47" s="154" t="s">
        <v>425</v>
      </c>
      <c r="K47" s="98"/>
      <c r="L47" s="98"/>
      <c r="M47" s="98"/>
      <c r="N47" s="98"/>
      <c r="O47" s="98"/>
    </row>
    <row r="48" spans="1:17" hidden="1">
      <c r="E48" s="111"/>
      <c r="F48" s="111"/>
      <c r="G48" s="120" t="s">
        <v>105</v>
      </c>
      <c r="H48" s="102"/>
      <c r="I48" s="102"/>
      <c r="J48" s="102"/>
      <c r="O48" s="92"/>
    </row>
    <row r="49" spans="1:15" hidden="1">
      <c r="G49" s="129" t="s">
        <v>388</v>
      </c>
      <c r="L49" s="131"/>
      <c r="M49" s="131"/>
      <c r="N49" s="124" t="s">
        <v>82</v>
      </c>
      <c r="O49" s="124" t="s">
        <v>83</v>
      </c>
    </row>
    <row r="50" spans="1:15" hidden="1">
      <c r="A50" s="92" t="s">
        <v>84</v>
      </c>
      <c r="B50" s="105" t="s">
        <v>388</v>
      </c>
      <c r="C50" s="105"/>
      <c r="D50" s="105"/>
      <c r="G50" s="120" t="s">
        <v>388</v>
      </c>
      <c r="H50" s="114"/>
      <c r="I50" s="114"/>
      <c r="J50" s="132"/>
      <c r="L50" s="124" t="s">
        <v>21</v>
      </c>
      <c r="M50" s="124" t="s">
        <v>85</v>
      </c>
      <c r="N50" s="124" t="s">
        <v>86</v>
      </c>
      <c r="O50" s="124" t="s">
        <v>87</v>
      </c>
    </row>
    <row r="51" spans="1:15" hidden="1">
      <c r="A51" s="92" t="s">
        <v>88</v>
      </c>
      <c r="B51" s="121" t="s">
        <v>388</v>
      </c>
      <c r="C51" s="98"/>
      <c r="D51" s="109"/>
      <c r="E51" s="124" t="s">
        <v>89</v>
      </c>
      <c r="G51" s="105" t="s">
        <v>388</v>
      </c>
      <c r="H51" s="105" t="s">
        <v>388</v>
      </c>
      <c r="I51" s="105"/>
      <c r="J51" s="133" t="s">
        <v>388</v>
      </c>
      <c r="K51" s="134" t="s">
        <v>402</v>
      </c>
      <c r="L51" s="135" t="s">
        <v>388</v>
      </c>
      <c r="M51" s="135"/>
      <c r="N51" s="136" t="s">
        <v>388</v>
      </c>
      <c r="O51" s="136" t="s">
        <v>388</v>
      </c>
    </row>
    <row r="52" spans="1:15" hidden="1">
      <c r="A52" s="92" t="s">
        <v>90</v>
      </c>
      <c r="B52" s="105" t="s">
        <v>388</v>
      </c>
      <c r="C52" s="105"/>
      <c r="D52" s="105"/>
      <c r="E52" s="124" t="s">
        <v>91</v>
      </c>
      <c r="G52" s="121" t="s">
        <v>388</v>
      </c>
      <c r="H52" s="121"/>
      <c r="I52" s="105"/>
      <c r="J52" s="108"/>
      <c r="K52" s="134" t="s">
        <v>405</v>
      </c>
      <c r="L52" s="135" t="s">
        <v>388</v>
      </c>
      <c r="M52" s="135"/>
      <c r="N52" s="136" t="s">
        <v>388</v>
      </c>
      <c r="O52" s="136" t="s">
        <v>388</v>
      </c>
    </row>
    <row r="53" spans="1:15" hidden="1">
      <c r="A53" s="92" t="s">
        <v>92</v>
      </c>
      <c r="B53" s="138" t="s">
        <v>388</v>
      </c>
      <c r="C53" s="139" t="s">
        <v>388</v>
      </c>
      <c r="D53" s="140"/>
      <c r="E53" s="124" t="s">
        <v>93</v>
      </c>
      <c r="G53" s="141" t="s">
        <v>388</v>
      </c>
      <c r="H53" s="140"/>
      <c r="I53" s="140"/>
      <c r="K53" s="134" t="s">
        <v>409</v>
      </c>
      <c r="L53" s="135" t="s">
        <v>388</v>
      </c>
      <c r="M53" s="135"/>
      <c r="N53" s="136" t="s">
        <v>388</v>
      </c>
      <c r="O53" s="136" t="s">
        <v>388</v>
      </c>
    </row>
    <row r="54" spans="1:15" hidden="1">
      <c r="A54" s="92" t="s">
        <v>94</v>
      </c>
      <c r="B54" s="142" t="s">
        <v>388</v>
      </c>
      <c r="C54" s="142"/>
      <c r="D54" s="143"/>
      <c r="E54" s="124" t="s">
        <v>95</v>
      </c>
      <c r="G54" s="141" t="s">
        <v>388</v>
      </c>
      <c r="H54" s="105"/>
      <c r="I54" s="105"/>
      <c r="J54" s="108"/>
      <c r="K54" s="134" t="s">
        <v>412</v>
      </c>
      <c r="L54" s="135" t="s">
        <v>388</v>
      </c>
      <c r="M54" s="135"/>
      <c r="N54" s="136" t="s">
        <v>388</v>
      </c>
      <c r="O54" s="136" t="s">
        <v>388</v>
      </c>
    </row>
    <row r="55" spans="1:15" hidden="1">
      <c r="A55" s="92" t="s">
        <v>96</v>
      </c>
      <c r="B55" s="144" t="s">
        <v>388</v>
      </c>
      <c r="C55" s="92" t="s">
        <v>97</v>
      </c>
      <c r="D55" s="145" t="s">
        <v>388</v>
      </c>
      <c r="E55" s="124" t="s">
        <v>98</v>
      </c>
      <c r="G55" s="146" t="s">
        <v>388</v>
      </c>
      <c r="H55" s="105"/>
      <c r="I55" s="105"/>
      <c r="J55" s="105"/>
      <c r="K55" s="155" t="s">
        <v>99</v>
      </c>
      <c r="L55" s="148">
        <v>0</v>
      </c>
      <c r="M55" s="149" t="s">
        <v>388</v>
      </c>
      <c r="N55" s="150" t="s">
        <v>388</v>
      </c>
      <c r="O55" s="150" t="s">
        <v>388</v>
      </c>
    </row>
    <row r="56" spans="1:15" hidden="1">
      <c r="A56" s="98" t="s">
        <v>100</v>
      </c>
      <c r="B56" s="105" t="s">
        <v>388</v>
      </c>
      <c r="C56" s="105"/>
      <c r="D56" s="151"/>
      <c r="E56" s="152" t="s">
        <v>101</v>
      </c>
      <c r="F56" s="98"/>
      <c r="G56" s="153" t="s">
        <v>388</v>
      </c>
      <c r="H56" s="105"/>
      <c r="I56" s="140"/>
      <c r="J56" s="154" t="s">
        <v>388</v>
      </c>
      <c r="K56" s="98"/>
      <c r="L56" s="98"/>
      <c r="M56" s="98"/>
      <c r="N56" s="98"/>
      <c r="O56" s="98"/>
    </row>
    <row r="57" spans="1:15" ht="12.75" hidden="1" customHeight="1">
      <c r="E57" s="111"/>
      <c r="F57" s="111"/>
      <c r="G57" s="120" t="s">
        <v>106</v>
      </c>
      <c r="H57" s="102"/>
      <c r="I57" s="102"/>
      <c r="J57" s="102"/>
      <c r="O57" s="92"/>
    </row>
    <row r="58" spans="1:15" ht="12.75" hidden="1" customHeight="1">
      <c r="G58" s="129" t="s">
        <v>388</v>
      </c>
      <c r="L58" s="131"/>
      <c r="M58" s="131"/>
      <c r="N58" s="124" t="s">
        <v>82</v>
      </c>
      <c r="O58" s="124" t="s">
        <v>83</v>
      </c>
    </row>
    <row r="59" spans="1:15" ht="12.75" hidden="1" customHeight="1">
      <c r="A59" s="92" t="s">
        <v>84</v>
      </c>
      <c r="B59" s="105" t="s">
        <v>388</v>
      </c>
      <c r="C59" s="105"/>
      <c r="D59" s="105"/>
      <c r="G59" s="120" t="s">
        <v>388</v>
      </c>
      <c r="H59" s="114"/>
      <c r="I59" s="114"/>
      <c r="J59" s="132"/>
      <c r="L59" s="124" t="s">
        <v>21</v>
      </c>
      <c r="M59" s="124" t="s">
        <v>85</v>
      </c>
      <c r="N59" s="124" t="s">
        <v>86</v>
      </c>
      <c r="O59" s="124" t="s">
        <v>87</v>
      </c>
    </row>
    <row r="60" spans="1:15" ht="12.75" hidden="1" customHeight="1">
      <c r="A60" s="92" t="s">
        <v>88</v>
      </c>
      <c r="B60" s="121" t="s">
        <v>388</v>
      </c>
      <c r="C60" s="98"/>
      <c r="D60" s="109"/>
      <c r="E60" s="124" t="s">
        <v>89</v>
      </c>
      <c r="G60" s="105" t="s">
        <v>388</v>
      </c>
      <c r="H60" s="105" t="s">
        <v>388</v>
      </c>
      <c r="I60" s="105"/>
      <c r="J60" s="133" t="s">
        <v>388</v>
      </c>
      <c r="K60" s="134" t="s">
        <v>402</v>
      </c>
      <c r="L60" s="135" t="s">
        <v>388</v>
      </c>
      <c r="M60" s="135"/>
      <c r="N60" s="136" t="s">
        <v>388</v>
      </c>
      <c r="O60" s="136" t="s">
        <v>388</v>
      </c>
    </row>
    <row r="61" spans="1:15" ht="12.75" hidden="1" customHeight="1">
      <c r="A61" s="92" t="s">
        <v>90</v>
      </c>
      <c r="B61" s="105" t="s">
        <v>388</v>
      </c>
      <c r="C61" s="105"/>
      <c r="D61" s="105"/>
      <c r="E61" s="124" t="s">
        <v>91</v>
      </c>
      <c r="G61" s="121" t="s">
        <v>388</v>
      </c>
      <c r="H61" s="121"/>
      <c r="I61" s="105"/>
      <c r="J61" s="108"/>
      <c r="K61" s="134" t="s">
        <v>405</v>
      </c>
      <c r="L61" s="135" t="s">
        <v>388</v>
      </c>
      <c r="M61" s="135"/>
      <c r="N61" s="136" t="s">
        <v>388</v>
      </c>
      <c r="O61" s="136" t="s">
        <v>388</v>
      </c>
    </row>
    <row r="62" spans="1:15" ht="12.75" hidden="1" customHeight="1">
      <c r="A62" s="92" t="s">
        <v>92</v>
      </c>
      <c r="B62" s="138" t="s">
        <v>388</v>
      </c>
      <c r="C62" s="139" t="s">
        <v>388</v>
      </c>
      <c r="D62" s="140"/>
      <c r="E62" s="124" t="s">
        <v>93</v>
      </c>
      <c r="G62" s="141" t="s">
        <v>388</v>
      </c>
      <c r="H62" s="140"/>
      <c r="I62" s="140"/>
      <c r="K62" s="134" t="s">
        <v>409</v>
      </c>
      <c r="L62" s="135" t="s">
        <v>388</v>
      </c>
      <c r="M62" s="135"/>
      <c r="N62" s="136" t="s">
        <v>388</v>
      </c>
      <c r="O62" s="136" t="s">
        <v>388</v>
      </c>
    </row>
    <row r="63" spans="1:15" ht="12.75" hidden="1" customHeight="1">
      <c r="A63" s="92" t="s">
        <v>94</v>
      </c>
      <c r="B63" s="142" t="s">
        <v>388</v>
      </c>
      <c r="C63" s="142"/>
      <c r="D63" s="143"/>
      <c r="E63" s="124" t="s">
        <v>95</v>
      </c>
      <c r="G63" s="141" t="s">
        <v>388</v>
      </c>
      <c r="H63" s="105"/>
      <c r="I63" s="105"/>
      <c r="J63" s="108"/>
      <c r="K63" s="134" t="s">
        <v>412</v>
      </c>
      <c r="L63" s="135" t="s">
        <v>388</v>
      </c>
      <c r="M63" s="135"/>
      <c r="N63" s="136" t="s">
        <v>388</v>
      </c>
      <c r="O63" s="136" t="s">
        <v>388</v>
      </c>
    </row>
    <row r="64" spans="1:15" ht="12.75" hidden="1" customHeight="1">
      <c r="A64" s="92" t="s">
        <v>96</v>
      </c>
      <c r="B64" s="144" t="s">
        <v>388</v>
      </c>
      <c r="C64" s="92" t="s">
        <v>97</v>
      </c>
      <c r="D64" s="145" t="s">
        <v>388</v>
      </c>
      <c r="E64" s="124" t="s">
        <v>98</v>
      </c>
      <c r="G64" s="146" t="s">
        <v>388</v>
      </c>
      <c r="H64" s="105"/>
      <c r="I64" s="105"/>
      <c r="J64" s="105"/>
      <c r="K64" s="155" t="s">
        <v>99</v>
      </c>
      <c r="L64" s="148">
        <v>0</v>
      </c>
      <c r="M64" s="149" t="s">
        <v>388</v>
      </c>
      <c r="N64" s="150" t="s">
        <v>388</v>
      </c>
      <c r="O64" s="150" t="s">
        <v>388</v>
      </c>
    </row>
    <row r="65" spans="1:17" ht="12.75" hidden="1" customHeight="1">
      <c r="A65" s="98" t="s">
        <v>100</v>
      </c>
      <c r="B65" s="105" t="s">
        <v>388</v>
      </c>
      <c r="C65" s="105"/>
      <c r="D65" s="151"/>
      <c r="E65" s="152" t="s">
        <v>101</v>
      </c>
      <c r="F65" s="98"/>
      <c r="G65" s="153" t="s">
        <v>388</v>
      </c>
      <c r="H65" s="105"/>
      <c r="I65" s="140"/>
      <c r="J65" s="154" t="s">
        <v>388</v>
      </c>
      <c r="K65" s="98"/>
      <c r="L65" s="98"/>
      <c r="M65" s="98"/>
      <c r="N65" s="98"/>
      <c r="O65" s="98"/>
    </row>
    <row r="66" spans="1:17" hidden="1">
      <c r="G66" s="120" t="s">
        <v>107</v>
      </c>
      <c r="O66" s="92"/>
    </row>
    <row r="67" spans="1:17" hidden="1">
      <c r="G67" s="129" t="s">
        <v>388</v>
      </c>
      <c r="L67" s="131"/>
      <c r="M67" s="131"/>
      <c r="N67" s="124" t="s">
        <v>82</v>
      </c>
      <c r="O67" s="124" t="s">
        <v>83</v>
      </c>
      <c r="P67" s="111"/>
      <c r="Q67" s="111"/>
    </row>
    <row r="68" spans="1:17" hidden="1">
      <c r="A68" s="92" t="s">
        <v>84</v>
      </c>
      <c r="B68" s="105" t="s">
        <v>388</v>
      </c>
      <c r="C68" s="105"/>
      <c r="D68" s="105"/>
      <c r="G68" s="120" t="s">
        <v>388</v>
      </c>
      <c r="H68" s="114"/>
      <c r="I68" s="114"/>
      <c r="J68" s="132"/>
      <c r="L68" s="124" t="s">
        <v>21</v>
      </c>
      <c r="M68" s="124" t="s">
        <v>85</v>
      </c>
      <c r="N68" s="124" t="s">
        <v>86</v>
      </c>
      <c r="O68" s="124" t="s">
        <v>87</v>
      </c>
      <c r="P68" s="111"/>
      <c r="Q68" s="111"/>
    </row>
    <row r="69" spans="1:17" hidden="1">
      <c r="A69" s="92" t="s">
        <v>88</v>
      </c>
      <c r="B69" s="121" t="s">
        <v>388</v>
      </c>
      <c r="C69" s="98"/>
      <c r="D69" s="109"/>
      <c r="E69" s="124" t="s">
        <v>89</v>
      </c>
      <c r="G69" s="105" t="s">
        <v>388</v>
      </c>
      <c r="H69" s="105" t="s">
        <v>388</v>
      </c>
      <c r="I69" s="105"/>
      <c r="J69" s="133" t="s">
        <v>388</v>
      </c>
      <c r="K69" s="134" t="s">
        <v>402</v>
      </c>
      <c r="L69" s="135" t="s">
        <v>388</v>
      </c>
      <c r="M69" s="135"/>
      <c r="N69" s="136" t="s">
        <v>388</v>
      </c>
      <c r="O69" s="136" t="s">
        <v>388</v>
      </c>
      <c r="P69" s="137"/>
      <c r="Q69" s="137"/>
    </row>
    <row r="70" spans="1:17" hidden="1">
      <c r="A70" s="92" t="s">
        <v>90</v>
      </c>
      <c r="B70" s="105" t="s">
        <v>388</v>
      </c>
      <c r="C70" s="105"/>
      <c r="D70" s="105"/>
      <c r="E70" s="124" t="s">
        <v>91</v>
      </c>
      <c r="G70" s="121" t="s">
        <v>388</v>
      </c>
      <c r="H70" s="121"/>
      <c r="I70" s="105"/>
      <c r="J70" s="108"/>
      <c r="K70" s="134" t="s">
        <v>405</v>
      </c>
      <c r="L70" s="135" t="s">
        <v>388</v>
      </c>
      <c r="M70" s="135"/>
      <c r="N70" s="136" t="s">
        <v>388</v>
      </c>
      <c r="O70" s="136" t="s">
        <v>388</v>
      </c>
      <c r="P70" s="111"/>
      <c r="Q70" s="111"/>
    </row>
    <row r="71" spans="1:17" hidden="1">
      <c r="A71" s="92" t="s">
        <v>92</v>
      </c>
      <c r="B71" s="138" t="s">
        <v>388</v>
      </c>
      <c r="C71" s="139" t="s">
        <v>388</v>
      </c>
      <c r="D71" s="140"/>
      <c r="E71" s="124" t="s">
        <v>93</v>
      </c>
      <c r="G71" s="141" t="s">
        <v>388</v>
      </c>
      <c r="H71" s="140"/>
      <c r="I71" s="140"/>
      <c r="K71" s="134" t="s">
        <v>409</v>
      </c>
      <c r="L71" s="135" t="s">
        <v>388</v>
      </c>
      <c r="M71" s="135"/>
      <c r="N71" s="136" t="s">
        <v>388</v>
      </c>
      <c r="O71" s="136" t="s">
        <v>388</v>
      </c>
      <c r="P71" s="111"/>
      <c r="Q71" s="111"/>
    </row>
    <row r="72" spans="1:17" hidden="1">
      <c r="A72" s="92" t="s">
        <v>94</v>
      </c>
      <c r="B72" s="142" t="s">
        <v>388</v>
      </c>
      <c r="C72" s="142"/>
      <c r="D72" s="143"/>
      <c r="E72" s="124" t="s">
        <v>95</v>
      </c>
      <c r="G72" s="141" t="s">
        <v>388</v>
      </c>
      <c r="H72" s="105"/>
      <c r="I72" s="105"/>
      <c r="J72" s="108"/>
      <c r="K72" s="134" t="s">
        <v>412</v>
      </c>
      <c r="L72" s="135" t="s">
        <v>388</v>
      </c>
      <c r="M72" s="135"/>
      <c r="N72" s="136" t="s">
        <v>388</v>
      </c>
      <c r="O72" s="136" t="s">
        <v>388</v>
      </c>
      <c r="P72" s="111"/>
      <c r="Q72" s="111"/>
    </row>
    <row r="73" spans="1:17" hidden="1">
      <c r="A73" s="92" t="s">
        <v>96</v>
      </c>
      <c r="B73" s="144" t="s">
        <v>388</v>
      </c>
      <c r="C73" s="92" t="s">
        <v>97</v>
      </c>
      <c r="D73" s="145" t="s">
        <v>388</v>
      </c>
      <c r="E73" s="124" t="s">
        <v>98</v>
      </c>
      <c r="G73" s="146" t="s">
        <v>388</v>
      </c>
      <c r="H73" s="105"/>
      <c r="I73" s="105"/>
      <c r="J73" s="105"/>
      <c r="K73" s="155" t="s">
        <v>99</v>
      </c>
      <c r="L73" s="148">
        <v>0</v>
      </c>
      <c r="M73" s="149" t="s">
        <v>388</v>
      </c>
      <c r="N73" s="150" t="s">
        <v>388</v>
      </c>
      <c r="O73" s="150" t="s">
        <v>388</v>
      </c>
      <c r="P73" s="111"/>
      <c r="Q73" s="111"/>
    </row>
    <row r="74" spans="1:17" hidden="1">
      <c r="A74" s="98" t="s">
        <v>100</v>
      </c>
      <c r="B74" s="105" t="s">
        <v>388</v>
      </c>
      <c r="C74" s="105"/>
      <c r="D74" s="151"/>
      <c r="E74" s="152" t="s">
        <v>101</v>
      </c>
      <c r="F74" s="98"/>
      <c r="G74" s="153" t="s">
        <v>388</v>
      </c>
      <c r="H74" s="105"/>
      <c r="I74" s="140"/>
      <c r="J74" s="154" t="s">
        <v>388</v>
      </c>
      <c r="K74" s="98"/>
      <c r="L74" s="98"/>
      <c r="M74" s="98"/>
      <c r="N74" s="98"/>
      <c r="O74" s="98"/>
      <c r="P74" s="111"/>
      <c r="Q74" s="111"/>
    </row>
    <row r="75" spans="1:17" hidden="1">
      <c r="E75" s="111"/>
      <c r="F75" s="111"/>
      <c r="G75" s="120" t="s">
        <v>108</v>
      </c>
      <c r="H75" s="102"/>
      <c r="I75" s="102"/>
      <c r="J75" s="102"/>
      <c r="O75" s="92"/>
      <c r="P75" s="111"/>
      <c r="Q75" s="111"/>
    </row>
    <row r="76" spans="1:17" hidden="1">
      <c r="G76" s="129" t="s">
        <v>388</v>
      </c>
      <c r="L76" s="131"/>
      <c r="M76" s="131"/>
      <c r="N76" s="124" t="s">
        <v>82</v>
      </c>
      <c r="O76" s="124" t="s">
        <v>83</v>
      </c>
      <c r="P76" s="111"/>
      <c r="Q76" s="111"/>
    </row>
    <row r="77" spans="1:17" hidden="1">
      <c r="A77" s="92" t="s">
        <v>84</v>
      </c>
      <c r="B77" s="105" t="s">
        <v>388</v>
      </c>
      <c r="C77" s="105"/>
      <c r="D77" s="105"/>
      <c r="G77" s="120" t="s">
        <v>388</v>
      </c>
      <c r="H77" s="114"/>
      <c r="I77" s="114"/>
      <c r="J77" s="132"/>
      <c r="L77" s="124" t="s">
        <v>21</v>
      </c>
      <c r="M77" s="124" t="s">
        <v>85</v>
      </c>
      <c r="N77" s="124" t="s">
        <v>86</v>
      </c>
      <c r="O77" s="124" t="s">
        <v>87</v>
      </c>
      <c r="P77" s="111"/>
      <c r="Q77" s="111"/>
    </row>
    <row r="78" spans="1:17" hidden="1">
      <c r="A78" s="92" t="s">
        <v>88</v>
      </c>
      <c r="B78" s="121" t="s">
        <v>388</v>
      </c>
      <c r="C78" s="98"/>
      <c r="D78" s="109"/>
      <c r="E78" s="124" t="s">
        <v>89</v>
      </c>
      <c r="G78" s="105" t="s">
        <v>388</v>
      </c>
      <c r="H78" s="105" t="s">
        <v>388</v>
      </c>
      <c r="I78" s="105"/>
      <c r="J78" s="133" t="s">
        <v>388</v>
      </c>
      <c r="K78" s="134" t="s">
        <v>402</v>
      </c>
      <c r="L78" s="135" t="s">
        <v>388</v>
      </c>
      <c r="M78" s="135"/>
      <c r="N78" s="136" t="s">
        <v>388</v>
      </c>
      <c r="O78" s="136" t="s">
        <v>388</v>
      </c>
      <c r="P78" s="111"/>
      <c r="Q78" s="111"/>
    </row>
    <row r="79" spans="1:17" hidden="1">
      <c r="A79" s="92" t="s">
        <v>90</v>
      </c>
      <c r="B79" s="105" t="s">
        <v>388</v>
      </c>
      <c r="C79" s="105"/>
      <c r="D79" s="105"/>
      <c r="E79" s="124" t="s">
        <v>91</v>
      </c>
      <c r="G79" s="121" t="s">
        <v>388</v>
      </c>
      <c r="H79" s="121"/>
      <c r="I79" s="105"/>
      <c r="J79" s="108"/>
      <c r="K79" s="134" t="s">
        <v>405</v>
      </c>
      <c r="L79" s="135" t="s">
        <v>388</v>
      </c>
      <c r="M79" s="135"/>
      <c r="N79" s="136" t="s">
        <v>388</v>
      </c>
      <c r="O79" s="136" t="s">
        <v>388</v>
      </c>
      <c r="P79" s="111"/>
      <c r="Q79" s="111"/>
    </row>
    <row r="80" spans="1:17" hidden="1">
      <c r="A80" s="92" t="s">
        <v>92</v>
      </c>
      <c r="B80" s="138" t="s">
        <v>388</v>
      </c>
      <c r="C80" s="139" t="s">
        <v>388</v>
      </c>
      <c r="D80" s="140"/>
      <c r="E80" s="124" t="s">
        <v>93</v>
      </c>
      <c r="G80" s="141" t="s">
        <v>388</v>
      </c>
      <c r="H80" s="140"/>
      <c r="I80" s="140"/>
      <c r="K80" s="134" t="s">
        <v>409</v>
      </c>
      <c r="L80" s="135" t="s">
        <v>388</v>
      </c>
      <c r="M80" s="135"/>
      <c r="N80" s="136" t="s">
        <v>388</v>
      </c>
      <c r="O80" s="136" t="s">
        <v>388</v>
      </c>
      <c r="P80" s="111"/>
      <c r="Q80" s="111"/>
    </row>
    <row r="81" spans="1:17" hidden="1">
      <c r="A81" s="92" t="s">
        <v>94</v>
      </c>
      <c r="B81" s="142" t="s">
        <v>388</v>
      </c>
      <c r="C81" s="142"/>
      <c r="D81" s="143"/>
      <c r="E81" s="124" t="s">
        <v>95</v>
      </c>
      <c r="G81" s="141" t="s">
        <v>388</v>
      </c>
      <c r="H81" s="105"/>
      <c r="I81" s="105"/>
      <c r="J81" s="108"/>
      <c r="K81" s="134" t="s">
        <v>412</v>
      </c>
      <c r="L81" s="135" t="s">
        <v>388</v>
      </c>
      <c r="M81" s="135"/>
      <c r="N81" s="136" t="s">
        <v>388</v>
      </c>
      <c r="O81" s="136" t="s">
        <v>388</v>
      </c>
      <c r="P81" s="111"/>
      <c r="Q81" s="111"/>
    </row>
    <row r="82" spans="1:17" hidden="1">
      <c r="A82" s="92" t="s">
        <v>96</v>
      </c>
      <c r="B82" s="144" t="s">
        <v>388</v>
      </c>
      <c r="C82" s="92" t="s">
        <v>97</v>
      </c>
      <c r="D82" s="145" t="s">
        <v>388</v>
      </c>
      <c r="E82" s="124" t="s">
        <v>98</v>
      </c>
      <c r="G82" s="146" t="s">
        <v>388</v>
      </c>
      <c r="H82" s="105"/>
      <c r="I82" s="105"/>
      <c r="J82" s="105"/>
      <c r="K82" s="155" t="s">
        <v>99</v>
      </c>
      <c r="L82" s="148">
        <v>0</v>
      </c>
      <c r="M82" s="149" t="s">
        <v>388</v>
      </c>
      <c r="N82" s="150" t="s">
        <v>388</v>
      </c>
      <c r="O82" s="150" t="s">
        <v>388</v>
      </c>
      <c r="P82" s="111"/>
      <c r="Q82" s="111"/>
    </row>
    <row r="83" spans="1:17" hidden="1">
      <c r="A83" s="98" t="s">
        <v>100</v>
      </c>
      <c r="B83" s="105" t="s">
        <v>388</v>
      </c>
      <c r="C83" s="105"/>
      <c r="D83" s="151"/>
      <c r="E83" s="152" t="s">
        <v>101</v>
      </c>
      <c r="F83" s="98"/>
      <c r="G83" s="153" t="s">
        <v>388</v>
      </c>
      <c r="H83" s="105"/>
      <c r="I83" s="140"/>
      <c r="J83" s="154" t="s">
        <v>388</v>
      </c>
      <c r="K83" s="98"/>
      <c r="L83" s="98"/>
      <c r="M83" s="98"/>
      <c r="N83" s="98"/>
      <c r="O83" s="98"/>
      <c r="P83" s="111"/>
      <c r="Q83" s="111"/>
    </row>
    <row r="84" spans="1:17" hidden="1">
      <c r="E84" s="111"/>
      <c r="F84" s="111"/>
      <c r="G84" s="120" t="s">
        <v>109</v>
      </c>
      <c r="H84" s="102"/>
      <c r="I84" s="102"/>
      <c r="J84" s="102"/>
      <c r="O84" s="92"/>
      <c r="P84" s="111"/>
      <c r="Q84" s="111"/>
    </row>
    <row r="85" spans="1:17" hidden="1">
      <c r="G85" s="129" t="s">
        <v>388</v>
      </c>
      <c r="L85" s="131"/>
      <c r="M85" s="131"/>
      <c r="N85" s="124" t="s">
        <v>82</v>
      </c>
      <c r="O85" s="124" t="s">
        <v>83</v>
      </c>
      <c r="P85" s="111"/>
      <c r="Q85" s="111"/>
    </row>
    <row r="86" spans="1:17" hidden="1">
      <c r="A86" s="92" t="s">
        <v>84</v>
      </c>
      <c r="B86" s="105" t="s">
        <v>388</v>
      </c>
      <c r="C86" s="105"/>
      <c r="D86" s="105"/>
      <c r="G86" s="120" t="s">
        <v>388</v>
      </c>
      <c r="H86" s="114"/>
      <c r="I86" s="114"/>
      <c r="J86" s="132"/>
      <c r="L86" s="124" t="s">
        <v>21</v>
      </c>
      <c r="M86" s="124" t="s">
        <v>85</v>
      </c>
      <c r="N86" s="124" t="s">
        <v>86</v>
      </c>
      <c r="O86" s="124" t="s">
        <v>87</v>
      </c>
      <c r="P86" s="111"/>
      <c r="Q86" s="111"/>
    </row>
    <row r="87" spans="1:17" hidden="1">
      <c r="A87" s="92" t="s">
        <v>88</v>
      </c>
      <c r="B87" s="121" t="s">
        <v>388</v>
      </c>
      <c r="C87" s="98"/>
      <c r="D87" s="109"/>
      <c r="E87" s="124" t="s">
        <v>89</v>
      </c>
      <c r="G87" s="105" t="s">
        <v>388</v>
      </c>
      <c r="H87" s="105" t="s">
        <v>388</v>
      </c>
      <c r="I87" s="105"/>
      <c r="J87" s="133" t="s">
        <v>388</v>
      </c>
      <c r="K87" s="134" t="s">
        <v>402</v>
      </c>
      <c r="L87" s="135" t="s">
        <v>388</v>
      </c>
      <c r="M87" s="135"/>
      <c r="N87" s="136" t="s">
        <v>388</v>
      </c>
      <c r="O87" s="136" t="s">
        <v>388</v>
      </c>
      <c r="P87" s="111"/>
      <c r="Q87" s="111"/>
    </row>
    <row r="88" spans="1:17" hidden="1">
      <c r="A88" s="92" t="s">
        <v>90</v>
      </c>
      <c r="B88" s="105" t="s">
        <v>388</v>
      </c>
      <c r="C88" s="105"/>
      <c r="D88" s="105"/>
      <c r="E88" s="124" t="s">
        <v>91</v>
      </c>
      <c r="G88" s="121" t="s">
        <v>388</v>
      </c>
      <c r="H88" s="121"/>
      <c r="I88" s="105"/>
      <c r="J88" s="108"/>
      <c r="K88" s="134" t="s">
        <v>405</v>
      </c>
      <c r="L88" s="135" t="s">
        <v>388</v>
      </c>
      <c r="M88" s="135"/>
      <c r="N88" s="136" t="s">
        <v>388</v>
      </c>
      <c r="O88" s="136" t="s">
        <v>388</v>
      </c>
    </row>
    <row r="89" spans="1:17" hidden="1">
      <c r="A89" s="92" t="s">
        <v>92</v>
      </c>
      <c r="B89" s="138" t="s">
        <v>388</v>
      </c>
      <c r="C89" s="139" t="s">
        <v>388</v>
      </c>
      <c r="D89" s="140"/>
      <c r="E89" s="124" t="s">
        <v>93</v>
      </c>
      <c r="G89" s="141" t="s">
        <v>388</v>
      </c>
      <c r="H89" s="140"/>
      <c r="I89" s="140"/>
      <c r="K89" s="134" t="s">
        <v>409</v>
      </c>
      <c r="L89" s="135" t="s">
        <v>388</v>
      </c>
      <c r="M89" s="135"/>
      <c r="N89" s="136" t="s">
        <v>388</v>
      </c>
      <c r="O89" s="136" t="s">
        <v>388</v>
      </c>
    </row>
    <row r="90" spans="1:17" hidden="1">
      <c r="A90" s="92" t="s">
        <v>94</v>
      </c>
      <c r="B90" s="142" t="s">
        <v>388</v>
      </c>
      <c r="C90" s="142"/>
      <c r="D90" s="143"/>
      <c r="E90" s="124" t="s">
        <v>95</v>
      </c>
      <c r="G90" s="141" t="s">
        <v>388</v>
      </c>
      <c r="H90" s="105"/>
      <c r="I90" s="105"/>
      <c r="J90" s="108"/>
      <c r="K90" s="134" t="s">
        <v>412</v>
      </c>
      <c r="L90" s="135" t="s">
        <v>388</v>
      </c>
      <c r="M90" s="135"/>
      <c r="N90" s="136" t="s">
        <v>388</v>
      </c>
      <c r="O90" s="136" t="s">
        <v>388</v>
      </c>
    </row>
    <row r="91" spans="1:17" hidden="1">
      <c r="A91" s="92" t="s">
        <v>96</v>
      </c>
      <c r="B91" s="144" t="s">
        <v>388</v>
      </c>
      <c r="C91" s="92" t="s">
        <v>97</v>
      </c>
      <c r="D91" s="145" t="s">
        <v>388</v>
      </c>
      <c r="E91" s="124" t="s">
        <v>98</v>
      </c>
      <c r="G91" s="146" t="s">
        <v>388</v>
      </c>
      <c r="H91" s="105"/>
      <c r="I91" s="105"/>
      <c r="J91" s="105"/>
      <c r="K91" s="155" t="s">
        <v>99</v>
      </c>
      <c r="L91" s="148">
        <v>0</v>
      </c>
      <c r="M91" s="149" t="s">
        <v>388</v>
      </c>
      <c r="N91" s="150" t="s">
        <v>388</v>
      </c>
      <c r="O91" s="150" t="s">
        <v>388</v>
      </c>
    </row>
    <row r="92" spans="1:17" hidden="1">
      <c r="A92" s="98" t="s">
        <v>100</v>
      </c>
      <c r="B92" s="105" t="s">
        <v>388</v>
      </c>
      <c r="C92" s="105"/>
      <c r="D92" s="151"/>
      <c r="E92" s="152" t="s">
        <v>101</v>
      </c>
      <c r="F92" s="98"/>
      <c r="G92" s="153" t="s">
        <v>388</v>
      </c>
      <c r="H92" s="105"/>
      <c r="I92" s="140"/>
      <c r="J92" s="154" t="s">
        <v>388</v>
      </c>
      <c r="K92" s="98"/>
      <c r="L92" s="98"/>
      <c r="M92" s="98"/>
      <c r="N92" s="98"/>
      <c r="O92" s="98"/>
    </row>
    <row r="93" spans="1:17" hidden="1">
      <c r="E93" s="111"/>
      <c r="F93" s="111"/>
      <c r="G93" s="156" t="s">
        <v>110</v>
      </c>
      <c r="H93" s="102"/>
      <c r="I93" s="102"/>
      <c r="J93" s="102"/>
      <c r="O93" s="92"/>
    </row>
    <row r="94" spans="1:17" hidden="1">
      <c r="G94" s="129" t="s">
        <v>388</v>
      </c>
      <c r="L94" s="131"/>
      <c r="M94" s="131"/>
      <c r="N94" s="124" t="s">
        <v>82</v>
      </c>
      <c r="O94" s="124" t="s">
        <v>83</v>
      </c>
    </row>
    <row r="95" spans="1:17" hidden="1">
      <c r="A95" s="92" t="s">
        <v>84</v>
      </c>
      <c r="B95" s="105" t="s">
        <v>388</v>
      </c>
      <c r="C95" s="105"/>
      <c r="D95" s="105"/>
      <c r="G95" s="120" t="s">
        <v>388</v>
      </c>
      <c r="H95" s="114"/>
      <c r="I95" s="114"/>
      <c r="J95" s="132"/>
      <c r="L95" s="124" t="s">
        <v>21</v>
      </c>
      <c r="M95" s="124" t="s">
        <v>85</v>
      </c>
      <c r="N95" s="124" t="s">
        <v>86</v>
      </c>
      <c r="O95" s="124" t="s">
        <v>87</v>
      </c>
    </row>
    <row r="96" spans="1:17" hidden="1">
      <c r="A96" s="92" t="s">
        <v>88</v>
      </c>
      <c r="B96" s="121" t="s">
        <v>388</v>
      </c>
      <c r="C96" s="98"/>
      <c r="D96" s="109"/>
      <c r="E96" s="124" t="s">
        <v>89</v>
      </c>
      <c r="G96" s="105" t="s">
        <v>388</v>
      </c>
      <c r="H96" s="105" t="s">
        <v>388</v>
      </c>
      <c r="I96" s="105"/>
      <c r="J96" s="133" t="s">
        <v>388</v>
      </c>
      <c r="K96" s="134" t="s">
        <v>402</v>
      </c>
      <c r="L96" s="135" t="s">
        <v>388</v>
      </c>
      <c r="M96" s="135"/>
      <c r="N96" s="136" t="s">
        <v>388</v>
      </c>
      <c r="O96" s="136" t="s">
        <v>388</v>
      </c>
    </row>
    <row r="97" spans="1:15" hidden="1">
      <c r="A97" s="92" t="s">
        <v>90</v>
      </c>
      <c r="B97" s="105" t="s">
        <v>388</v>
      </c>
      <c r="C97" s="105"/>
      <c r="D97" s="105"/>
      <c r="E97" s="124" t="s">
        <v>91</v>
      </c>
      <c r="G97" s="121" t="s">
        <v>388</v>
      </c>
      <c r="H97" s="121"/>
      <c r="I97" s="105"/>
      <c r="J97" s="108"/>
      <c r="K97" s="134" t="s">
        <v>405</v>
      </c>
      <c r="L97" s="135" t="s">
        <v>388</v>
      </c>
      <c r="M97" s="135"/>
      <c r="N97" s="136" t="s">
        <v>388</v>
      </c>
      <c r="O97" s="136" t="s">
        <v>388</v>
      </c>
    </row>
    <row r="98" spans="1:15" hidden="1">
      <c r="A98" s="92" t="s">
        <v>92</v>
      </c>
      <c r="B98" s="138" t="s">
        <v>388</v>
      </c>
      <c r="C98" s="139" t="s">
        <v>388</v>
      </c>
      <c r="D98" s="140"/>
      <c r="E98" s="124" t="s">
        <v>93</v>
      </c>
      <c r="G98" s="141" t="s">
        <v>388</v>
      </c>
      <c r="H98" s="140"/>
      <c r="I98" s="140"/>
      <c r="K98" s="134" t="s">
        <v>409</v>
      </c>
      <c r="L98" s="135" t="s">
        <v>388</v>
      </c>
      <c r="M98" s="135"/>
      <c r="N98" s="136" t="s">
        <v>388</v>
      </c>
      <c r="O98" s="136" t="s">
        <v>388</v>
      </c>
    </row>
    <row r="99" spans="1:15" hidden="1">
      <c r="A99" s="92" t="s">
        <v>94</v>
      </c>
      <c r="B99" s="142" t="s">
        <v>388</v>
      </c>
      <c r="C99" s="142"/>
      <c r="D99" s="143"/>
      <c r="E99" s="124" t="s">
        <v>95</v>
      </c>
      <c r="G99" s="141" t="s">
        <v>388</v>
      </c>
      <c r="H99" s="105"/>
      <c r="I99" s="105"/>
      <c r="J99" s="108"/>
      <c r="K99" s="134" t="s">
        <v>412</v>
      </c>
      <c r="L99" s="135" t="s">
        <v>388</v>
      </c>
      <c r="M99" s="135"/>
      <c r="N99" s="136" t="s">
        <v>388</v>
      </c>
      <c r="O99" s="136" t="s">
        <v>388</v>
      </c>
    </row>
    <row r="100" spans="1:15" hidden="1">
      <c r="A100" s="92" t="s">
        <v>96</v>
      </c>
      <c r="B100" s="144" t="s">
        <v>388</v>
      </c>
      <c r="C100" s="92" t="s">
        <v>97</v>
      </c>
      <c r="D100" s="145" t="s">
        <v>388</v>
      </c>
      <c r="E100" s="124" t="s">
        <v>98</v>
      </c>
      <c r="G100" s="146" t="s">
        <v>388</v>
      </c>
      <c r="H100" s="105"/>
      <c r="I100" s="105"/>
      <c r="J100" s="105"/>
      <c r="K100" s="155" t="s">
        <v>99</v>
      </c>
      <c r="L100" s="148">
        <v>0</v>
      </c>
      <c r="M100" s="149" t="s">
        <v>388</v>
      </c>
      <c r="N100" s="150" t="s">
        <v>388</v>
      </c>
      <c r="O100" s="150" t="s">
        <v>388</v>
      </c>
    </row>
    <row r="101" spans="1:15" hidden="1">
      <c r="A101" s="98" t="s">
        <v>100</v>
      </c>
      <c r="B101" s="105" t="s">
        <v>388</v>
      </c>
      <c r="C101" s="105"/>
      <c r="D101" s="151"/>
      <c r="E101" s="152" t="s">
        <v>101</v>
      </c>
      <c r="F101" s="98"/>
      <c r="G101" s="153" t="s">
        <v>388</v>
      </c>
      <c r="H101" s="105"/>
      <c r="I101" s="140"/>
      <c r="J101" s="154" t="s">
        <v>388</v>
      </c>
      <c r="K101" s="98"/>
      <c r="L101" s="98"/>
      <c r="M101" s="98"/>
      <c r="N101" s="98"/>
      <c r="O101" s="98"/>
    </row>
    <row r="102" spans="1:15" hidden="1">
      <c r="E102" s="111"/>
      <c r="F102" s="111"/>
      <c r="G102" s="120" t="s">
        <v>111</v>
      </c>
      <c r="H102" s="102"/>
      <c r="I102" s="102"/>
      <c r="J102" s="102"/>
      <c r="O102" s="92"/>
    </row>
    <row r="103" spans="1:15" hidden="1">
      <c r="G103" s="129" t="s">
        <v>388</v>
      </c>
      <c r="L103" s="131"/>
      <c r="M103" s="131"/>
      <c r="N103" s="124" t="s">
        <v>82</v>
      </c>
      <c r="O103" s="124" t="s">
        <v>83</v>
      </c>
    </row>
    <row r="104" spans="1:15" hidden="1">
      <c r="A104" s="92" t="s">
        <v>84</v>
      </c>
      <c r="B104" s="105" t="s">
        <v>388</v>
      </c>
      <c r="C104" s="105"/>
      <c r="D104" s="105"/>
      <c r="G104" s="120" t="s">
        <v>388</v>
      </c>
      <c r="H104" s="114"/>
      <c r="I104" s="114"/>
      <c r="J104" s="132"/>
      <c r="L104" s="124" t="s">
        <v>21</v>
      </c>
      <c r="M104" s="124" t="s">
        <v>85</v>
      </c>
      <c r="N104" s="124" t="s">
        <v>86</v>
      </c>
      <c r="O104" s="124" t="s">
        <v>87</v>
      </c>
    </row>
    <row r="105" spans="1:15" hidden="1">
      <c r="A105" s="92" t="s">
        <v>88</v>
      </c>
      <c r="B105" s="121" t="s">
        <v>388</v>
      </c>
      <c r="C105" s="98"/>
      <c r="D105" s="109"/>
      <c r="E105" s="124" t="s">
        <v>89</v>
      </c>
      <c r="G105" s="105" t="s">
        <v>388</v>
      </c>
      <c r="H105" s="105" t="s">
        <v>388</v>
      </c>
      <c r="I105" s="105"/>
      <c r="J105" s="133" t="s">
        <v>388</v>
      </c>
      <c r="K105" s="134" t="s">
        <v>402</v>
      </c>
      <c r="L105" s="135" t="s">
        <v>388</v>
      </c>
      <c r="M105" s="135"/>
      <c r="N105" s="136" t="s">
        <v>388</v>
      </c>
      <c r="O105" s="136" t="s">
        <v>388</v>
      </c>
    </row>
    <row r="106" spans="1:15" hidden="1">
      <c r="A106" s="92" t="s">
        <v>90</v>
      </c>
      <c r="B106" s="105" t="s">
        <v>388</v>
      </c>
      <c r="C106" s="105"/>
      <c r="D106" s="105"/>
      <c r="E106" s="124" t="s">
        <v>91</v>
      </c>
      <c r="G106" s="121" t="s">
        <v>388</v>
      </c>
      <c r="H106" s="121"/>
      <c r="I106" s="105"/>
      <c r="J106" s="108"/>
      <c r="K106" s="134" t="s">
        <v>405</v>
      </c>
      <c r="L106" s="135" t="s">
        <v>388</v>
      </c>
      <c r="M106" s="135"/>
      <c r="N106" s="136" t="s">
        <v>388</v>
      </c>
      <c r="O106" s="136" t="s">
        <v>388</v>
      </c>
    </row>
    <row r="107" spans="1:15" hidden="1">
      <c r="A107" s="92" t="s">
        <v>92</v>
      </c>
      <c r="B107" s="138" t="s">
        <v>388</v>
      </c>
      <c r="C107" s="139" t="s">
        <v>388</v>
      </c>
      <c r="D107" s="140"/>
      <c r="E107" s="124" t="s">
        <v>93</v>
      </c>
      <c r="G107" s="141" t="s">
        <v>388</v>
      </c>
      <c r="H107" s="140"/>
      <c r="I107" s="140"/>
      <c r="K107" s="134" t="s">
        <v>409</v>
      </c>
      <c r="L107" s="135" t="s">
        <v>388</v>
      </c>
      <c r="M107" s="135"/>
      <c r="N107" s="136" t="s">
        <v>388</v>
      </c>
      <c r="O107" s="136" t="s">
        <v>388</v>
      </c>
    </row>
    <row r="108" spans="1:15" hidden="1">
      <c r="A108" s="92" t="s">
        <v>94</v>
      </c>
      <c r="B108" s="142" t="s">
        <v>388</v>
      </c>
      <c r="C108" s="142"/>
      <c r="D108" s="143"/>
      <c r="E108" s="124" t="s">
        <v>95</v>
      </c>
      <c r="G108" s="141" t="s">
        <v>388</v>
      </c>
      <c r="H108" s="105"/>
      <c r="I108" s="105"/>
      <c r="J108" s="108"/>
      <c r="K108" s="134" t="s">
        <v>412</v>
      </c>
      <c r="L108" s="135" t="s">
        <v>388</v>
      </c>
      <c r="M108" s="135"/>
      <c r="N108" s="136" t="s">
        <v>388</v>
      </c>
      <c r="O108" s="136" t="s">
        <v>388</v>
      </c>
    </row>
    <row r="109" spans="1:15" hidden="1">
      <c r="A109" s="92" t="s">
        <v>96</v>
      </c>
      <c r="B109" s="144" t="s">
        <v>388</v>
      </c>
      <c r="C109" s="92" t="s">
        <v>97</v>
      </c>
      <c r="D109" s="145" t="s">
        <v>388</v>
      </c>
      <c r="E109" s="124" t="s">
        <v>98</v>
      </c>
      <c r="G109" s="146" t="s">
        <v>388</v>
      </c>
      <c r="H109" s="105"/>
      <c r="I109" s="105"/>
      <c r="J109" s="105"/>
      <c r="K109" s="155" t="s">
        <v>99</v>
      </c>
      <c r="L109" s="148">
        <v>0</v>
      </c>
      <c r="M109" s="149" t="s">
        <v>388</v>
      </c>
      <c r="N109" s="150" t="s">
        <v>388</v>
      </c>
      <c r="O109" s="150" t="s">
        <v>388</v>
      </c>
    </row>
    <row r="110" spans="1:15" hidden="1">
      <c r="A110" s="98" t="s">
        <v>100</v>
      </c>
      <c r="B110" s="105" t="s">
        <v>388</v>
      </c>
      <c r="C110" s="105"/>
      <c r="D110" s="151"/>
      <c r="E110" s="152" t="s">
        <v>101</v>
      </c>
      <c r="F110" s="98"/>
      <c r="G110" s="153" t="s">
        <v>388</v>
      </c>
      <c r="H110" s="105"/>
      <c r="I110" s="140"/>
      <c r="J110" s="154" t="s">
        <v>388</v>
      </c>
      <c r="K110" s="98"/>
      <c r="L110" s="98"/>
      <c r="M110" s="98"/>
      <c r="N110" s="98"/>
      <c r="O110" s="98"/>
    </row>
    <row r="111" spans="1:15" hidden="1">
      <c r="G111" s="120" t="s">
        <v>112</v>
      </c>
      <c r="O111" s="92"/>
    </row>
    <row r="112" spans="1:15" hidden="1">
      <c r="G112" s="129" t="s">
        <v>388</v>
      </c>
      <c r="L112" s="131"/>
      <c r="M112" s="131"/>
      <c r="N112" s="124" t="s">
        <v>82</v>
      </c>
      <c r="O112" s="124" t="s">
        <v>83</v>
      </c>
    </row>
    <row r="113" spans="1:15" hidden="1">
      <c r="A113" s="92" t="s">
        <v>84</v>
      </c>
      <c r="B113" s="105" t="s">
        <v>388</v>
      </c>
      <c r="C113" s="105"/>
      <c r="D113" s="105"/>
      <c r="G113" s="120" t="s">
        <v>388</v>
      </c>
      <c r="H113" s="114"/>
      <c r="I113" s="114"/>
      <c r="J113" s="132"/>
      <c r="L113" s="124" t="s">
        <v>21</v>
      </c>
      <c r="M113" s="124" t="s">
        <v>85</v>
      </c>
      <c r="N113" s="124" t="s">
        <v>86</v>
      </c>
      <c r="O113" s="124" t="s">
        <v>87</v>
      </c>
    </row>
    <row r="114" spans="1:15" hidden="1">
      <c r="A114" s="92" t="s">
        <v>88</v>
      </c>
      <c r="B114" s="121" t="s">
        <v>388</v>
      </c>
      <c r="C114" s="98"/>
      <c r="D114" s="109"/>
      <c r="E114" s="124" t="s">
        <v>89</v>
      </c>
      <c r="G114" s="105" t="s">
        <v>388</v>
      </c>
      <c r="H114" s="105" t="s">
        <v>388</v>
      </c>
      <c r="I114" s="105"/>
      <c r="J114" s="133" t="s">
        <v>388</v>
      </c>
      <c r="K114" s="134" t="s">
        <v>402</v>
      </c>
      <c r="L114" s="135" t="s">
        <v>388</v>
      </c>
      <c r="M114" s="135"/>
      <c r="N114" s="136" t="s">
        <v>388</v>
      </c>
      <c r="O114" s="136" t="s">
        <v>388</v>
      </c>
    </row>
    <row r="115" spans="1:15" hidden="1">
      <c r="A115" s="92" t="s">
        <v>90</v>
      </c>
      <c r="B115" s="105" t="s">
        <v>388</v>
      </c>
      <c r="C115" s="105"/>
      <c r="D115" s="105"/>
      <c r="E115" s="124" t="s">
        <v>91</v>
      </c>
      <c r="G115" s="121" t="s">
        <v>388</v>
      </c>
      <c r="H115" s="121"/>
      <c r="I115" s="105"/>
      <c r="J115" s="108"/>
      <c r="K115" s="134" t="s">
        <v>405</v>
      </c>
      <c r="L115" s="135" t="s">
        <v>388</v>
      </c>
      <c r="M115" s="135"/>
      <c r="N115" s="136" t="s">
        <v>388</v>
      </c>
      <c r="O115" s="136" t="s">
        <v>388</v>
      </c>
    </row>
    <row r="116" spans="1:15" hidden="1">
      <c r="A116" s="92" t="s">
        <v>92</v>
      </c>
      <c r="B116" s="138" t="s">
        <v>388</v>
      </c>
      <c r="C116" s="139" t="s">
        <v>388</v>
      </c>
      <c r="D116" s="140"/>
      <c r="E116" s="124" t="s">
        <v>93</v>
      </c>
      <c r="G116" s="141" t="s">
        <v>388</v>
      </c>
      <c r="H116" s="140"/>
      <c r="I116" s="140"/>
      <c r="K116" s="134" t="s">
        <v>409</v>
      </c>
      <c r="L116" s="135" t="s">
        <v>388</v>
      </c>
      <c r="M116" s="135"/>
      <c r="N116" s="136" t="s">
        <v>388</v>
      </c>
      <c r="O116" s="136" t="s">
        <v>388</v>
      </c>
    </row>
    <row r="117" spans="1:15" hidden="1">
      <c r="A117" s="92" t="s">
        <v>94</v>
      </c>
      <c r="B117" s="142" t="s">
        <v>388</v>
      </c>
      <c r="C117" s="142"/>
      <c r="D117" s="143"/>
      <c r="E117" s="124" t="s">
        <v>95</v>
      </c>
      <c r="G117" s="141" t="s">
        <v>388</v>
      </c>
      <c r="H117" s="105"/>
      <c r="I117" s="105"/>
      <c r="J117" s="108"/>
      <c r="K117" s="134" t="s">
        <v>412</v>
      </c>
      <c r="L117" s="135" t="s">
        <v>388</v>
      </c>
      <c r="M117" s="135"/>
      <c r="N117" s="136" t="s">
        <v>388</v>
      </c>
      <c r="O117" s="136" t="s">
        <v>388</v>
      </c>
    </row>
    <row r="118" spans="1:15" hidden="1">
      <c r="A118" s="92" t="s">
        <v>96</v>
      </c>
      <c r="B118" s="144" t="s">
        <v>388</v>
      </c>
      <c r="C118" s="92" t="s">
        <v>97</v>
      </c>
      <c r="D118" s="145" t="s">
        <v>388</v>
      </c>
      <c r="E118" s="124" t="s">
        <v>98</v>
      </c>
      <c r="G118" s="146" t="s">
        <v>388</v>
      </c>
      <c r="H118" s="105"/>
      <c r="I118" s="105"/>
      <c r="J118" s="105"/>
      <c r="K118" s="155" t="s">
        <v>99</v>
      </c>
      <c r="L118" s="148">
        <v>0</v>
      </c>
      <c r="M118" s="149" t="s">
        <v>388</v>
      </c>
      <c r="N118" s="150" t="s">
        <v>388</v>
      </c>
      <c r="O118" s="150" t="s">
        <v>388</v>
      </c>
    </row>
    <row r="119" spans="1:15" hidden="1">
      <c r="A119" s="98" t="s">
        <v>100</v>
      </c>
      <c r="B119" s="105" t="s">
        <v>388</v>
      </c>
      <c r="C119" s="105"/>
      <c r="D119" s="151"/>
      <c r="E119" s="152" t="s">
        <v>101</v>
      </c>
      <c r="F119" s="98"/>
      <c r="G119" s="153" t="s">
        <v>388</v>
      </c>
      <c r="H119" s="105"/>
      <c r="I119" s="140"/>
      <c r="J119" s="154" t="s">
        <v>388</v>
      </c>
      <c r="K119" s="98"/>
      <c r="L119" s="98"/>
      <c r="M119" s="98"/>
      <c r="N119" s="98"/>
      <c r="O119" s="98"/>
    </row>
    <row r="120" spans="1:15" hidden="1">
      <c r="E120" s="111"/>
      <c r="F120" s="111"/>
      <c r="G120" s="120" t="s">
        <v>113</v>
      </c>
      <c r="H120" s="102"/>
      <c r="I120" s="102"/>
      <c r="J120" s="102"/>
      <c r="O120" s="92"/>
    </row>
    <row r="121" spans="1:15" hidden="1">
      <c r="G121" s="129" t="s">
        <v>388</v>
      </c>
      <c r="L121" s="131"/>
      <c r="M121" s="131"/>
      <c r="N121" s="124" t="s">
        <v>82</v>
      </c>
      <c r="O121" s="124" t="s">
        <v>83</v>
      </c>
    </row>
    <row r="122" spans="1:15" hidden="1">
      <c r="A122" s="92" t="s">
        <v>84</v>
      </c>
      <c r="B122" s="105" t="s">
        <v>388</v>
      </c>
      <c r="C122" s="105"/>
      <c r="D122" s="105"/>
      <c r="G122" s="120" t="s">
        <v>388</v>
      </c>
      <c r="H122" s="114"/>
      <c r="I122" s="114"/>
      <c r="J122" s="132"/>
      <c r="L122" s="124" t="s">
        <v>21</v>
      </c>
      <c r="M122" s="124" t="s">
        <v>85</v>
      </c>
      <c r="N122" s="124" t="s">
        <v>86</v>
      </c>
      <c r="O122" s="124" t="s">
        <v>87</v>
      </c>
    </row>
    <row r="123" spans="1:15" hidden="1">
      <c r="A123" s="92" t="s">
        <v>88</v>
      </c>
      <c r="B123" s="121" t="s">
        <v>388</v>
      </c>
      <c r="C123" s="98"/>
      <c r="D123" s="109"/>
      <c r="E123" s="124" t="s">
        <v>89</v>
      </c>
      <c r="G123" s="105" t="s">
        <v>388</v>
      </c>
      <c r="H123" s="105" t="s">
        <v>388</v>
      </c>
      <c r="I123" s="105"/>
      <c r="J123" s="133" t="s">
        <v>388</v>
      </c>
      <c r="K123" s="134" t="s">
        <v>402</v>
      </c>
      <c r="L123" s="135" t="s">
        <v>388</v>
      </c>
      <c r="M123" s="135"/>
      <c r="N123" s="136" t="s">
        <v>388</v>
      </c>
      <c r="O123" s="136" t="s">
        <v>388</v>
      </c>
    </row>
    <row r="124" spans="1:15" hidden="1">
      <c r="A124" s="92" t="s">
        <v>90</v>
      </c>
      <c r="B124" s="105" t="s">
        <v>388</v>
      </c>
      <c r="C124" s="105"/>
      <c r="D124" s="105"/>
      <c r="E124" s="124" t="s">
        <v>91</v>
      </c>
      <c r="G124" s="121" t="s">
        <v>388</v>
      </c>
      <c r="H124" s="121"/>
      <c r="I124" s="105"/>
      <c r="J124" s="108"/>
      <c r="K124" s="134" t="s">
        <v>405</v>
      </c>
      <c r="L124" s="135" t="s">
        <v>388</v>
      </c>
      <c r="M124" s="135"/>
      <c r="N124" s="136" t="s">
        <v>388</v>
      </c>
      <c r="O124" s="136" t="s">
        <v>388</v>
      </c>
    </row>
    <row r="125" spans="1:15" hidden="1">
      <c r="A125" s="92" t="s">
        <v>92</v>
      </c>
      <c r="B125" s="138" t="s">
        <v>388</v>
      </c>
      <c r="C125" s="139" t="s">
        <v>388</v>
      </c>
      <c r="D125" s="140"/>
      <c r="E125" s="124" t="s">
        <v>93</v>
      </c>
      <c r="G125" s="141" t="s">
        <v>388</v>
      </c>
      <c r="H125" s="140"/>
      <c r="I125" s="140"/>
      <c r="K125" s="134" t="s">
        <v>409</v>
      </c>
      <c r="L125" s="135" t="s">
        <v>388</v>
      </c>
      <c r="M125" s="135"/>
      <c r="N125" s="136" t="s">
        <v>388</v>
      </c>
      <c r="O125" s="136" t="s">
        <v>388</v>
      </c>
    </row>
    <row r="126" spans="1:15" hidden="1">
      <c r="A126" s="92" t="s">
        <v>94</v>
      </c>
      <c r="B126" s="142" t="s">
        <v>388</v>
      </c>
      <c r="C126" s="142"/>
      <c r="D126" s="143"/>
      <c r="E126" s="124" t="s">
        <v>95</v>
      </c>
      <c r="G126" s="141" t="s">
        <v>388</v>
      </c>
      <c r="H126" s="105"/>
      <c r="I126" s="105"/>
      <c r="J126" s="108"/>
      <c r="K126" s="134" t="s">
        <v>412</v>
      </c>
      <c r="L126" s="135" t="s">
        <v>388</v>
      </c>
      <c r="M126" s="135"/>
      <c r="N126" s="136" t="s">
        <v>388</v>
      </c>
      <c r="O126" s="136" t="s">
        <v>388</v>
      </c>
    </row>
    <row r="127" spans="1:15" hidden="1">
      <c r="A127" s="92" t="s">
        <v>96</v>
      </c>
      <c r="B127" s="144" t="s">
        <v>388</v>
      </c>
      <c r="C127" s="92" t="s">
        <v>97</v>
      </c>
      <c r="D127" s="145" t="s">
        <v>388</v>
      </c>
      <c r="E127" s="124" t="s">
        <v>98</v>
      </c>
      <c r="G127" s="146" t="s">
        <v>388</v>
      </c>
      <c r="H127" s="105"/>
      <c r="I127" s="105"/>
      <c r="J127" s="105"/>
      <c r="K127" s="155" t="s">
        <v>99</v>
      </c>
      <c r="L127" s="148">
        <v>0</v>
      </c>
      <c r="M127" s="149" t="s">
        <v>388</v>
      </c>
      <c r="N127" s="150" t="s">
        <v>388</v>
      </c>
      <c r="O127" s="150" t="s">
        <v>388</v>
      </c>
    </row>
    <row r="128" spans="1:15" hidden="1">
      <c r="A128" s="98" t="s">
        <v>100</v>
      </c>
      <c r="B128" s="105" t="s">
        <v>388</v>
      </c>
      <c r="C128" s="105"/>
      <c r="D128" s="151"/>
      <c r="E128" s="152" t="s">
        <v>101</v>
      </c>
      <c r="F128" s="98"/>
      <c r="G128" s="153" t="s">
        <v>388</v>
      </c>
      <c r="H128" s="105"/>
      <c r="I128" s="140"/>
      <c r="J128" s="154" t="s">
        <v>388</v>
      </c>
      <c r="K128" s="98"/>
      <c r="L128" s="98"/>
      <c r="M128" s="98"/>
      <c r="N128" s="98"/>
      <c r="O128" s="98"/>
    </row>
    <row r="129" spans="1:15" hidden="1">
      <c r="E129" s="111"/>
      <c r="F129" s="111"/>
      <c r="G129" s="120" t="s">
        <v>114</v>
      </c>
      <c r="H129" s="102"/>
      <c r="I129" s="102"/>
      <c r="J129" s="102"/>
      <c r="O129" s="92"/>
    </row>
    <row r="130" spans="1:15" hidden="1">
      <c r="G130" s="129" t="s">
        <v>388</v>
      </c>
      <c r="L130" s="131"/>
      <c r="M130" s="131"/>
      <c r="N130" s="124" t="s">
        <v>82</v>
      </c>
      <c r="O130" s="124" t="s">
        <v>83</v>
      </c>
    </row>
    <row r="131" spans="1:15" hidden="1">
      <c r="A131" s="92" t="s">
        <v>84</v>
      </c>
      <c r="B131" s="105" t="s">
        <v>388</v>
      </c>
      <c r="C131" s="105"/>
      <c r="D131" s="105"/>
      <c r="G131" s="120" t="s">
        <v>388</v>
      </c>
      <c r="H131" s="114"/>
      <c r="I131" s="114"/>
      <c r="J131" s="132"/>
      <c r="L131" s="124" t="s">
        <v>21</v>
      </c>
      <c r="M131" s="124" t="s">
        <v>85</v>
      </c>
      <c r="N131" s="124" t="s">
        <v>86</v>
      </c>
      <c r="O131" s="124" t="s">
        <v>87</v>
      </c>
    </row>
    <row r="132" spans="1:15" hidden="1">
      <c r="A132" s="92" t="s">
        <v>88</v>
      </c>
      <c r="B132" s="121" t="s">
        <v>388</v>
      </c>
      <c r="C132" s="98"/>
      <c r="D132" s="109"/>
      <c r="E132" s="124" t="s">
        <v>89</v>
      </c>
      <c r="G132" s="105" t="s">
        <v>388</v>
      </c>
      <c r="H132" s="105" t="s">
        <v>388</v>
      </c>
      <c r="I132" s="105"/>
      <c r="J132" s="133" t="s">
        <v>388</v>
      </c>
      <c r="K132" s="134" t="s">
        <v>402</v>
      </c>
      <c r="L132" s="135" t="s">
        <v>388</v>
      </c>
      <c r="M132" s="135"/>
      <c r="N132" s="136" t="s">
        <v>388</v>
      </c>
      <c r="O132" s="136" t="s">
        <v>388</v>
      </c>
    </row>
    <row r="133" spans="1:15" hidden="1">
      <c r="A133" s="92" t="s">
        <v>90</v>
      </c>
      <c r="B133" s="105" t="s">
        <v>388</v>
      </c>
      <c r="C133" s="105"/>
      <c r="D133" s="105"/>
      <c r="E133" s="124" t="s">
        <v>91</v>
      </c>
      <c r="G133" s="121" t="s">
        <v>388</v>
      </c>
      <c r="H133" s="121"/>
      <c r="I133" s="105"/>
      <c r="J133" s="108"/>
      <c r="K133" s="134" t="s">
        <v>405</v>
      </c>
      <c r="L133" s="135" t="s">
        <v>388</v>
      </c>
      <c r="M133" s="135"/>
      <c r="N133" s="136" t="s">
        <v>388</v>
      </c>
      <c r="O133" s="136" t="s">
        <v>388</v>
      </c>
    </row>
    <row r="134" spans="1:15" hidden="1">
      <c r="A134" s="92" t="s">
        <v>92</v>
      </c>
      <c r="B134" s="138" t="s">
        <v>388</v>
      </c>
      <c r="C134" s="139" t="s">
        <v>388</v>
      </c>
      <c r="D134" s="140"/>
      <c r="E134" s="124" t="s">
        <v>93</v>
      </c>
      <c r="G134" s="141" t="s">
        <v>388</v>
      </c>
      <c r="H134" s="140"/>
      <c r="I134" s="140"/>
      <c r="K134" s="134" t="s">
        <v>409</v>
      </c>
      <c r="L134" s="135" t="s">
        <v>388</v>
      </c>
      <c r="M134" s="135"/>
      <c r="N134" s="136" t="s">
        <v>388</v>
      </c>
      <c r="O134" s="136" t="s">
        <v>388</v>
      </c>
    </row>
    <row r="135" spans="1:15" hidden="1">
      <c r="A135" s="92" t="s">
        <v>94</v>
      </c>
      <c r="B135" s="142" t="s">
        <v>388</v>
      </c>
      <c r="C135" s="142"/>
      <c r="D135" s="143"/>
      <c r="E135" s="124" t="s">
        <v>95</v>
      </c>
      <c r="G135" s="141" t="s">
        <v>388</v>
      </c>
      <c r="H135" s="105"/>
      <c r="I135" s="105"/>
      <c r="J135" s="108"/>
      <c r="K135" s="134" t="s">
        <v>412</v>
      </c>
      <c r="L135" s="135" t="s">
        <v>388</v>
      </c>
      <c r="M135" s="135"/>
      <c r="N135" s="136" t="s">
        <v>388</v>
      </c>
      <c r="O135" s="136" t="s">
        <v>388</v>
      </c>
    </row>
    <row r="136" spans="1:15" hidden="1">
      <c r="A136" s="92" t="s">
        <v>96</v>
      </c>
      <c r="B136" s="144" t="s">
        <v>388</v>
      </c>
      <c r="C136" s="92" t="s">
        <v>97</v>
      </c>
      <c r="D136" s="145" t="s">
        <v>388</v>
      </c>
      <c r="E136" s="124" t="s">
        <v>98</v>
      </c>
      <c r="G136" s="146" t="s">
        <v>388</v>
      </c>
      <c r="H136" s="105"/>
      <c r="I136" s="105"/>
      <c r="J136" s="105"/>
      <c r="K136" s="155" t="s">
        <v>99</v>
      </c>
      <c r="L136" s="148">
        <v>0</v>
      </c>
      <c r="M136" s="149" t="s">
        <v>388</v>
      </c>
      <c r="N136" s="150" t="s">
        <v>388</v>
      </c>
      <c r="O136" s="150" t="s">
        <v>388</v>
      </c>
    </row>
    <row r="137" spans="1:15" hidden="1">
      <c r="A137" s="98" t="s">
        <v>100</v>
      </c>
      <c r="B137" s="105" t="s">
        <v>388</v>
      </c>
      <c r="C137" s="105"/>
      <c r="D137" s="151"/>
      <c r="E137" s="152" t="s">
        <v>101</v>
      </c>
      <c r="F137" s="98"/>
      <c r="G137" s="153" t="s">
        <v>388</v>
      </c>
      <c r="H137" s="105"/>
      <c r="I137" s="140"/>
      <c r="J137" s="154" t="s">
        <v>388</v>
      </c>
      <c r="K137" s="98"/>
      <c r="L137" s="98"/>
      <c r="M137" s="98"/>
      <c r="N137" s="98"/>
      <c r="O137" s="98"/>
    </row>
    <row r="138" spans="1:15" hidden="1">
      <c r="E138" s="111"/>
      <c r="F138" s="111"/>
      <c r="G138" s="156" t="s">
        <v>115</v>
      </c>
      <c r="H138" s="102"/>
      <c r="I138" s="102"/>
      <c r="J138" s="102"/>
      <c r="O138" s="92"/>
    </row>
    <row r="139" spans="1:15" hidden="1">
      <c r="G139" s="129" t="s">
        <v>388</v>
      </c>
      <c r="L139" s="131"/>
      <c r="M139" s="131"/>
      <c r="N139" s="124" t="s">
        <v>82</v>
      </c>
      <c r="O139" s="124" t="s">
        <v>83</v>
      </c>
    </row>
    <row r="140" spans="1:15" hidden="1">
      <c r="A140" s="92" t="s">
        <v>84</v>
      </c>
      <c r="B140" s="105" t="s">
        <v>388</v>
      </c>
      <c r="C140" s="105"/>
      <c r="D140" s="105"/>
      <c r="G140" s="120" t="s">
        <v>388</v>
      </c>
      <c r="H140" s="114"/>
      <c r="I140" s="114"/>
      <c r="J140" s="132"/>
      <c r="L140" s="124" t="s">
        <v>21</v>
      </c>
      <c r="M140" s="124" t="s">
        <v>85</v>
      </c>
      <c r="N140" s="124" t="s">
        <v>86</v>
      </c>
      <c r="O140" s="124" t="s">
        <v>87</v>
      </c>
    </row>
    <row r="141" spans="1:15" hidden="1">
      <c r="A141" s="92" t="s">
        <v>88</v>
      </c>
      <c r="B141" s="121" t="s">
        <v>388</v>
      </c>
      <c r="C141" s="98"/>
      <c r="D141" s="109"/>
      <c r="E141" s="124" t="s">
        <v>89</v>
      </c>
      <c r="G141" s="105" t="s">
        <v>388</v>
      </c>
      <c r="H141" s="105" t="s">
        <v>388</v>
      </c>
      <c r="I141" s="105"/>
      <c r="J141" s="133" t="s">
        <v>388</v>
      </c>
      <c r="K141" s="134" t="s">
        <v>402</v>
      </c>
      <c r="L141" s="135" t="s">
        <v>388</v>
      </c>
      <c r="M141" s="135"/>
      <c r="N141" s="136" t="s">
        <v>388</v>
      </c>
      <c r="O141" s="136" t="s">
        <v>388</v>
      </c>
    </row>
    <row r="142" spans="1:15" hidden="1">
      <c r="A142" s="92" t="s">
        <v>90</v>
      </c>
      <c r="B142" s="105" t="s">
        <v>388</v>
      </c>
      <c r="C142" s="105"/>
      <c r="D142" s="105"/>
      <c r="E142" s="124" t="s">
        <v>91</v>
      </c>
      <c r="G142" s="121" t="s">
        <v>388</v>
      </c>
      <c r="H142" s="121"/>
      <c r="I142" s="105"/>
      <c r="J142" s="108"/>
      <c r="K142" s="134" t="s">
        <v>405</v>
      </c>
      <c r="L142" s="135" t="s">
        <v>388</v>
      </c>
      <c r="M142" s="135"/>
      <c r="N142" s="136" t="s">
        <v>388</v>
      </c>
      <c r="O142" s="136" t="s">
        <v>388</v>
      </c>
    </row>
    <row r="143" spans="1:15" hidden="1">
      <c r="A143" s="92" t="s">
        <v>92</v>
      </c>
      <c r="B143" s="138" t="s">
        <v>388</v>
      </c>
      <c r="C143" s="139" t="s">
        <v>388</v>
      </c>
      <c r="D143" s="140"/>
      <c r="E143" s="124" t="s">
        <v>93</v>
      </c>
      <c r="G143" s="141" t="s">
        <v>388</v>
      </c>
      <c r="H143" s="140"/>
      <c r="I143" s="140"/>
      <c r="K143" s="134" t="s">
        <v>409</v>
      </c>
      <c r="L143" s="135" t="s">
        <v>388</v>
      </c>
      <c r="M143" s="135"/>
      <c r="N143" s="136" t="s">
        <v>388</v>
      </c>
      <c r="O143" s="136" t="s">
        <v>388</v>
      </c>
    </row>
    <row r="144" spans="1:15" hidden="1">
      <c r="A144" s="92" t="s">
        <v>94</v>
      </c>
      <c r="B144" s="142" t="s">
        <v>388</v>
      </c>
      <c r="C144" s="142"/>
      <c r="D144" s="143"/>
      <c r="E144" s="124" t="s">
        <v>95</v>
      </c>
      <c r="G144" s="141" t="s">
        <v>388</v>
      </c>
      <c r="H144" s="105"/>
      <c r="I144" s="105"/>
      <c r="J144" s="108"/>
      <c r="K144" s="134" t="s">
        <v>412</v>
      </c>
      <c r="L144" s="135" t="s">
        <v>388</v>
      </c>
      <c r="M144" s="135"/>
      <c r="N144" s="136" t="s">
        <v>388</v>
      </c>
      <c r="O144" s="136" t="s">
        <v>388</v>
      </c>
    </row>
    <row r="145" spans="1:15" hidden="1">
      <c r="A145" s="92" t="s">
        <v>96</v>
      </c>
      <c r="B145" s="144" t="s">
        <v>388</v>
      </c>
      <c r="C145" s="92" t="s">
        <v>97</v>
      </c>
      <c r="D145" s="145" t="s">
        <v>388</v>
      </c>
      <c r="E145" s="124" t="s">
        <v>98</v>
      </c>
      <c r="G145" s="146" t="s">
        <v>388</v>
      </c>
      <c r="H145" s="105"/>
      <c r="I145" s="105"/>
      <c r="J145" s="105"/>
      <c r="K145" s="155" t="s">
        <v>99</v>
      </c>
      <c r="L145" s="148">
        <v>0</v>
      </c>
      <c r="M145" s="149" t="s">
        <v>388</v>
      </c>
      <c r="N145" s="150" t="s">
        <v>388</v>
      </c>
      <c r="O145" s="150" t="s">
        <v>388</v>
      </c>
    </row>
    <row r="146" spans="1:15" hidden="1">
      <c r="A146" s="98" t="s">
        <v>100</v>
      </c>
      <c r="B146" s="105" t="s">
        <v>388</v>
      </c>
      <c r="C146" s="105"/>
      <c r="D146" s="151"/>
      <c r="E146" s="152" t="s">
        <v>101</v>
      </c>
      <c r="F146" s="98"/>
      <c r="G146" s="153" t="s">
        <v>388</v>
      </c>
      <c r="H146" s="105"/>
      <c r="I146" s="140"/>
      <c r="J146" s="154" t="s">
        <v>388</v>
      </c>
      <c r="K146" s="98"/>
      <c r="L146" s="98"/>
      <c r="M146" s="98"/>
      <c r="N146" s="98"/>
      <c r="O146" s="98"/>
    </row>
    <row r="147" spans="1:15" hidden="1">
      <c r="E147" s="111"/>
      <c r="F147" s="111"/>
      <c r="G147" s="120" t="s">
        <v>116</v>
      </c>
      <c r="H147" s="102"/>
      <c r="I147" s="102"/>
      <c r="J147" s="102"/>
      <c r="K147" s="157"/>
    </row>
    <row r="148" spans="1:15" hidden="1">
      <c r="G148" s="129" t="s">
        <v>388</v>
      </c>
      <c r="L148" s="131"/>
      <c r="M148" s="131"/>
      <c r="N148" s="124" t="s">
        <v>82</v>
      </c>
      <c r="O148" s="124" t="s">
        <v>83</v>
      </c>
    </row>
    <row r="149" spans="1:15" hidden="1">
      <c r="A149" s="92" t="s">
        <v>84</v>
      </c>
      <c r="B149" s="105" t="s">
        <v>388</v>
      </c>
      <c r="C149" s="105"/>
      <c r="D149" s="105"/>
      <c r="G149" s="120" t="s">
        <v>388</v>
      </c>
      <c r="H149" s="114"/>
      <c r="I149" s="114"/>
      <c r="J149" s="132"/>
      <c r="L149" s="124" t="s">
        <v>21</v>
      </c>
      <c r="M149" s="124" t="s">
        <v>85</v>
      </c>
      <c r="N149" s="124" t="s">
        <v>86</v>
      </c>
      <c r="O149" s="124" t="s">
        <v>87</v>
      </c>
    </row>
    <row r="150" spans="1:15" hidden="1">
      <c r="A150" s="92" t="s">
        <v>88</v>
      </c>
      <c r="B150" s="121" t="s">
        <v>388</v>
      </c>
      <c r="C150" s="98"/>
      <c r="D150" s="109"/>
      <c r="E150" s="124" t="s">
        <v>89</v>
      </c>
      <c r="G150" s="105" t="s">
        <v>388</v>
      </c>
      <c r="H150" s="105" t="s">
        <v>388</v>
      </c>
      <c r="I150" s="105"/>
      <c r="J150" s="133" t="s">
        <v>388</v>
      </c>
      <c r="K150" s="134" t="s">
        <v>402</v>
      </c>
      <c r="L150" s="135" t="s">
        <v>388</v>
      </c>
      <c r="M150" s="135"/>
      <c r="N150" s="136" t="s">
        <v>388</v>
      </c>
      <c r="O150" s="136" t="s">
        <v>388</v>
      </c>
    </row>
    <row r="151" spans="1:15" hidden="1">
      <c r="A151" s="92" t="s">
        <v>90</v>
      </c>
      <c r="B151" s="105" t="s">
        <v>388</v>
      </c>
      <c r="C151" s="105"/>
      <c r="D151" s="105"/>
      <c r="E151" s="124" t="s">
        <v>91</v>
      </c>
      <c r="G151" s="121" t="s">
        <v>388</v>
      </c>
      <c r="H151" s="121"/>
      <c r="I151" s="105"/>
      <c r="J151" s="108"/>
      <c r="K151" s="134" t="s">
        <v>405</v>
      </c>
      <c r="L151" s="135" t="s">
        <v>388</v>
      </c>
      <c r="M151" s="135"/>
      <c r="N151" s="136" t="s">
        <v>388</v>
      </c>
      <c r="O151" s="136" t="s">
        <v>388</v>
      </c>
    </row>
    <row r="152" spans="1:15" hidden="1">
      <c r="A152" s="92" t="s">
        <v>92</v>
      </c>
      <c r="B152" s="138" t="s">
        <v>388</v>
      </c>
      <c r="C152" s="139" t="s">
        <v>388</v>
      </c>
      <c r="D152" s="140"/>
      <c r="E152" s="124" t="s">
        <v>93</v>
      </c>
      <c r="G152" s="141" t="s">
        <v>388</v>
      </c>
      <c r="H152" s="140"/>
      <c r="I152" s="140"/>
      <c r="K152" s="134" t="s">
        <v>409</v>
      </c>
      <c r="L152" s="135" t="s">
        <v>388</v>
      </c>
      <c r="M152" s="135"/>
      <c r="N152" s="136" t="s">
        <v>388</v>
      </c>
      <c r="O152" s="136" t="s">
        <v>388</v>
      </c>
    </row>
    <row r="153" spans="1:15" hidden="1">
      <c r="A153" s="92" t="s">
        <v>94</v>
      </c>
      <c r="B153" s="142" t="s">
        <v>388</v>
      </c>
      <c r="C153" s="142"/>
      <c r="D153" s="143"/>
      <c r="E153" s="124" t="s">
        <v>95</v>
      </c>
      <c r="G153" s="141" t="s">
        <v>388</v>
      </c>
      <c r="H153" s="105"/>
      <c r="I153" s="105"/>
      <c r="J153" s="108"/>
      <c r="K153" s="134" t="s">
        <v>412</v>
      </c>
      <c r="L153" s="135" t="s">
        <v>388</v>
      </c>
      <c r="M153" s="135"/>
      <c r="N153" s="136" t="s">
        <v>388</v>
      </c>
      <c r="O153" s="136" t="s">
        <v>388</v>
      </c>
    </row>
    <row r="154" spans="1:15" hidden="1">
      <c r="A154" s="92" t="s">
        <v>96</v>
      </c>
      <c r="B154" s="144" t="s">
        <v>388</v>
      </c>
      <c r="C154" s="92" t="s">
        <v>97</v>
      </c>
      <c r="D154" s="145" t="s">
        <v>388</v>
      </c>
      <c r="E154" s="124" t="s">
        <v>98</v>
      </c>
      <c r="G154" s="146" t="s">
        <v>388</v>
      </c>
      <c r="H154" s="105"/>
      <c r="I154" s="105"/>
      <c r="J154" s="105"/>
      <c r="K154" s="155" t="s">
        <v>99</v>
      </c>
      <c r="L154" s="148">
        <v>0</v>
      </c>
      <c r="M154" s="149" t="s">
        <v>388</v>
      </c>
      <c r="N154" s="150" t="s">
        <v>388</v>
      </c>
      <c r="O154" s="150" t="s">
        <v>388</v>
      </c>
    </row>
    <row r="155" spans="1:15" hidden="1">
      <c r="A155" s="98" t="s">
        <v>100</v>
      </c>
      <c r="B155" s="105" t="s">
        <v>388</v>
      </c>
      <c r="C155" s="105"/>
      <c r="D155" s="151"/>
      <c r="E155" s="152" t="s">
        <v>101</v>
      </c>
      <c r="F155" s="98"/>
      <c r="G155" s="153" t="s">
        <v>388</v>
      </c>
      <c r="H155" s="105"/>
      <c r="I155" s="140"/>
      <c r="J155" s="154" t="s">
        <v>388</v>
      </c>
      <c r="K155" s="98"/>
      <c r="L155" s="98"/>
      <c r="M155" s="98"/>
      <c r="N155" s="98"/>
      <c r="O155" s="98"/>
    </row>
    <row r="156" spans="1:15" hidden="1">
      <c r="E156" s="111"/>
      <c r="F156" s="111"/>
      <c r="G156" s="120" t="s">
        <v>117</v>
      </c>
      <c r="H156" s="102"/>
      <c r="I156" s="102"/>
      <c r="J156" s="102"/>
      <c r="O156" s="92"/>
    </row>
    <row r="157" spans="1:15" hidden="1">
      <c r="G157" s="129" t="s">
        <v>388</v>
      </c>
      <c r="L157" s="131"/>
      <c r="M157" s="131"/>
      <c r="N157" s="124" t="s">
        <v>82</v>
      </c>
      <c r="O157" s="124" t="s">
        <v>83</v>
      </c>
    </row>
    <row r="158" spans="1:15" hidden="1">
      <c r="A158" s="92" t="s">
        <v>84</v>
      </c>
      <c r="B158" s="105" t="s">
        <v>388</v>
      </c>
      <c r="C158" s="105"/>
      <c r="D158" s="105"/>
      <c r="G158" s="120" t="s">
        <v>388</v>
      </c>
      <c r="H158" s="114"/>
      <c r="I158" s="114"/>
      <c r="J158" s="132"/>
      <c r="L158" s="124" t="s">
        <v>21</v>
      </c>
      <c r="M158" s="124" t="s">
        <v>85</v>
      </c>
      <c r="N158" s="124" t="s">
        <v>86</v>
      </c>
      <c r="O158" s="124" t="s">
        <v>87</v>
      </c>
    </row>
    <row r="159" spans="1:15" hidden="1">
      <c r="A159" s="92" t="s">
        <v>88</v>
      </c>
      <c r="B159" s="121" t="s">
        <v>388</v>
      </c>
      <c r="C159" s="98"/>
      <c r="D159" s="109"/>
      <c r="E159" s="124" t="s">
        <v>89</v>
      </c>
      <c r="G159" s="105" t="s">
        <v>388</v>
      </c>
      <c r="H159" s="105" t="s">
        <v>388</v>
      </c>
      <c r="I159" s="105"/>
      <c r="J159" s="133" t="s">
        <v>388</v>
      </c>
      <c r="K159" s="134" t="s">
        <v>402</v>
      </c>
      <c r="L159" s="135" t="s">
        <v>388</v>
      </c>
      <c r="M159" s="135"/>
      <c r="N159" s="136" t="s">
        <v>388</v>
      </c>
      <c r="O159" s="136" t="s">
        <v>388</v>
      </c>
    </row>
    <row r="160" spans="1:15" hidden="1">
      <c r="A160" s="92" t="s">
        <v>90</v>
      </c>
      <c r="B160" s="105" t="s">
        <v>388</v>
      </c>
      <c r="C160" s="105"/>
      <c r="D160" s="105"/>
      <c r="E160" s="124" t="s">
        <v>91</v>
      </c>
      <c r="G160" s="121" t="s">
        <v>388</v>
      </c>
      <c r="H160" s="121"/>
      <c r="I160" s="105"/>
      <c r="J160" s="108"/>
      <c r="K160" s="134" t="s">
        <v>405</v>
      </c>
      <c r="L160" s="135" t="s">
        <v>388</v>
      </c>
      <c r="M160" s="135"/>
      <c r="N160" s="136" t="s">
        <v>388</v>
      </c>
      <c r="O160" s="136" t="s">
        <v>388</v>
      </c>
    </row>
    <row r="161" spans="1:15" hidden="1">
      <c r="A161" s="92" t="s">
        <v>92</v>
      </c>
      <c r="B161" s="138" t="s">
        <v>388</v>
      </c>
      <c r="C161" s="139" t="s">
        <v>388</v>
      </c>
      <c r="D161" s="140"/>
      <c r="E161" s="124" t="s">
        <v>93</v>
      </c>
      <c r="G161" s="141" t="s">
        <v>388</v>
      </c>
      <c r="H161" s="140"/>
      <c r="I161" s="140"/>
      <c r="K161" s="134" t="s">
        <v>409</v>
      </c>
      <c r="L161" s="135" t="s">
        <v>388</v>
      </c>
      <c r="M161" s="135"/>
      <c r="N161" s="136" t="s">
        <v>388</v>
      </c>
      <c r="O161" s="136" t="s">
        <v>388</v>
      </c>
    </row>
    <row r="162" spans="1:15" hidden="1">
      <c r="A162" s="92" t="s">
        <v>94</v>
      </c>
      <c r="B162" s="142" t="s">
        <v>388</v>
      </c>
      <c r="C162" s="142"/>
      <c r="D162" s="143"/>
      <c r="E162" s="124" t="s">
        <v>95</v>
      </c>
      <c r="G162" s="141" t="s">
        <v>388</v>
      </c>
      <c r="H162" s="105"/>
      <c r="I162" s="105"/>
      <c r="J162" s="108"/>
      <c r="K162" s="134" t="s">
        <v>412</v>
      </c>
      <c r="L162" s="135" t="s">
        <v>388</v>
      </c>
      <c r="M162" s="135"/>
      <c r="N162" s="136" t="s">
        <v>388</v>
      </c>
      <c r="O162" s="136" t="s">
        <v>388</v>
      </c>
    </row>
    <row r="163" spans="1:15" hidden="1">
      <c r="A163" s="92" t="s">
        <v>96</v>
      </c>
      <c r="B163" s="144" t="s">
        <v>388</v>
      </c>
      <c r="C163" s="92" t="s">
        <v>97</v>
      </c>
      <c r="D163" s="145" t="s">
        <v>388</v>
      </c>
      <c r="E163" s="124" t="s">
        <v>98</v>
      </c>
      <c r="G163" s="146" t="s">
        <v>388</v>
      </c>
      <c r="H163" s="105"/>
      <c r="I163" s="105"/>
      <c r="J163" s="105"/>
      <c r="K163" s="155" t="s">
        <v>99</v>
      </c>
      <c r="L163" s="148">
        <v>0</v>
      </c>
      <c r="M163" s="149" t="s">
        <v>388</v>
      </c>
      <c r="N163" s="150" t="s">
        <v>388</v>
      </c>
      <c r="O163" s="150" t="s">
        <v>388</v>
      </c>
    </row>
    <row r="164" spans="1:15" hidden="1">
      <c r="A164" s="98" t="s">
        <v>100</v>
      </c>
      <c r="B164" s="105" t="s">
        <v>388</v>
      </c>
      <c r="C164" s="105"/>
      <c r="D164" s="151"/>
      <c r="E164" s="152" t="s">
        <v>101</v>
      </c>
      <c r="F164" s="98"/>
      <c r="G164" s="153" t="s">
        <v>388</v>
      </c>
      <c r="H164" s="105"/>
      <c r="I164" s="140"/>
      <c r="J164" s="154" t="s">
        <v>388</v>
      </c>
      <c r="K164" s="98"/>
      <c r="L164" s="98"/>
      <c r="M164" s="98"/>
      <c r="N164" s="98"/>
      <c r="O164" s="98"/>
    </row>
    <row r="165" spans="1:15" hidden="1">
      <c r="G165" s="120" t="s">
        <v>118</v>
      </c>
      <c r="O165" s="92"/>
    </row>
    <row r="166" spans="1:15" hidden="1">
      <c r="G166" s="129" t="s">
        <v>388</v>
      </c>
      <c r="L166" s="131"/>
      <c r="M166" s="131"/>
      <c r="N166" s="124" t="s">
        <v>82</v>
      </c>
      <c r="O166" s="124" t="s">
        <v>83</v>
      </c>
    </row>
    <row r="167" spans="1:15" hidden="1">
      <c r="A167" s="92" t="s">
        <v>84</v>
      </c>
      <c r="B167" s="105" t="s">
        <v>388</v>
      </c>
      <c r="C167" s="105"/>
      <c r="D167" s="105"/>
      <c r="G167" s="120" t="s">
        <v>388</v>
      </c>
      <c r="H167" s="114"/>
      <c r="I167" s="114"/>
      <c r="J167" s="132"/>
      <c r="L167" s="124" t="s">
        <v>21</v>
      </c>
      <c r="M167" s="124" t="s">
        <v>85</v>
      </c>
      <c r="N167" s="124" t="s">
        <v>86</v>
      </c>
      <c r="O167" s="124" t="s">
        <v>87</v>
      </c>
    </row>
    <row r="168" spans="1:15" hidden="1">
      <c r="A168" s="92" t="s">
        <v>88</v>
      </c>
      <c r="B168" s="121" t="s">
        <v>388</v>
      </c>
      <c r="C168" s="98"/>
      <c r="D168" s="109"/>
      <c r="E168" s="124" t="s">
        <v>89</v>
      </c>
      <c r="G168" s="105" t="s">
        <v>388</v>
      </c>
      <c r="H168" s="105" t="s">
        <v>388</v>
      </c>
      <c r="I168" s="105"/>
      <c r="J168" s="133" t="s">
        <v>388</v>
      </c>
      <c r="K168" s="134" t="s">
        <v>402</v>
      </c>
      <c r="L168" s="135" t="s">
        <v>388</v>
      </c>
      <c r="M168" s="135"/>
      <c r="N168" s="136" t="s">
        <v>388</v>
      </c>
      <c r="O168" s="136" t="s">
        <v>388</v>
      </c>
    </row>
    <row r="169" spans="1:15" hidden="1">
      <c r="A169" s="92" t="s">
        <v>90</v>
      </c>
      <c r="B169" s="105" t="s">
        <v>388</v>
      </c>
      <c r="C169" s="105"/>
      <c r="D169" s="105"/>
      <c r="E169" s="124" t="s">
        <v>91</v>
      </c>
      <c r="G169" s="121" t="s">
        <v>388</v>
      </c>
      <c r="H169" s="121"/>
      <c r="I169" s="105"/>
      <c r="J169" s="108"/>
      <c r="K169" s="134" t="s">
        <v>405</v>
      </c>
      <c r="L169" s="135" t="s">
        <v>388</v>
      </c>
      <c r="M169" s="135"/>
      <c r="N169" s="136" t="s">
        <v>388</v>
      </c>
      <c r="O169" s="136" t="s">
        <v>388</v>
      </c>
    </row>
    <row r="170" spans="1:15" hidden="1">
      <c r="A170" s="92" t="s">
        <v>92</v>
      </c>
      <c r="B170" s="138" t="s">
        <v>388</v>
      </c>
      <c r="C170" s="139" t="s">
        <v>388</v>
      </c>
      <c r="D170" s="140"/>
      <c r="E170" s="124" t="s">
        <v>93</v>
      </c>
      <c r="G170" s="141" t="s">
        <v>388</v>
      </c>
      <c r="H170" s="140"/>
      <c r="I170" s="140"/>
      <c r="K170" s="134" t="s">
        <v>409</v>
      </c>
      <c r="L170" s="135" t="s">
        <v>388</v>
      </c>
      <c r="M170" s="135"/>
      <c r="N170" s="136" t="s">
        <v>388</v>
      </c>
      <c r="O170" s="136" t="s">
        <v>388</v>
      </c>
    </row>
    <row r="171" spans="1:15" hidden="1">
      <c r="A171" s="92" t="s">
        <v>94</v>
      </c>
      <c r="B171" s="142" t="s">
        <v>388</v>
      </c>
      <c r="C171" s="142"/>
      <c r="D171" s="143"/>
      <c r="E171" s="124" t="s">
        <v>95</v>
      </c>
      <c r="G171" s="141" t="s">
        <v>388</v>
      </c>
      <c r="H171" s="105"/>
      <c r="I171" s="105"/>
      <c r="J171" s="108"/>
      <c r="K171" s="134" t="s">
        <v>412</v>
      </c>
      <c r="L171" s="135" t="s">
        <v>388</v>
      </c>
      <c r="M171" s="135"/>
      <c r="N171" s="136" t="s">
        <v>388</v>
      </c>
      <c r="O171" s="136" t="s">
        <v>388</v>
      </c>
    </row>
    <row r="172" spans="1:15" hidden="1">
      <c r="A172" s="92" t="s">
        <v>96</v>
      </c>
      <c r="B172" s="144" t="s">
        <v>388</v>
      </c>
      <c r="C172" s="92" t="s">
        <v>97</v>
      </c>
      <c r="D172" s="145" t="s">
        <v>388</v>
      </c>
      <c r="E172" s="124" t="s">
        <v>98</v>
      </c>
      <c r="G172" s="146" t="s">
        <v>388</v>
      </c>
      <c r="H172" s="105"/>
      <c r="I172" s="105"/>
      <c r="J172" s="105"/>
      <c r="K172" s="155" t="s">
        <v>99</v>
      </c>
      <c r="L172" s="148">
        <v>0</v>
      </c>
      <c r="M172" s="149" t="s">
        <v>388</v>
      </c>
      <c r="N172" s="150" t="s">
        <v>388</v>
      </c>
      <c r="O172" s="150" t="s">
        <v>388</v>
      </c>
    </row>
    <row r="173" spans="1:15" hidden="1">
      <c r="A173" s="98" t="s">
        <v>100</v>
      </c>
      <c r="B173" s="105" t="s">
        <v>388</v>
      </c>
      <c r="C173" s="105"/>
      <c r="D173" s="151"/>
      <c r="E173" s="152" t="s">
        <v>101</v>
      </c>
      <c r="F173" s="98"/>
      <c r="G173" s="153" t="s">
        <v>388</v>
      </c>
      <c r="H173" s="105"/>
      <c r="I173" s="140"/>
      <c r="J173" s="154" t="s">
        <v>388</v>
      </c>
      <c r="K173" s="98"/>
      <c r="L173" s="98"/>
      <c r="M173" s="98"/>
      <c r="N173" s="98"/>
      <c r="O173" s="98"/>
    </row>
    <row r="174" spans="1:15" hidden="1">
      <c r="E174" s="111"/>
      <c r="F174" s="111"/>
      <c r="G174" s="120" t="s">
        <v>119</v>
      </c>
      <c r="H174" s="102"/>
      <c r="I174" s="102"/>
      <c r="J174" s="102"/>
      <c r="O174" s="92"/>
    </row>
    <row r="175" spans="1:15" hidden="1">
      <c r="G175" s="129" t="s">
        <v>388</v>
      </c>
      <c r="L175" s="131"/>
      <c r="M175" s="131"/>
      <c r="N175" s="124" t="s">
        <v>82</v>
      </c>
      <c r="O175" s="124" t="s">
        <v>83</v>
      </c>
    </row>
    <row r="176" spans="1:15" hidden="1">
      <c r="A176" s="92" t="s">
        <v>84</v>
      </c>
      <c r="B176" s="105" t="s">
        <v>388</v>
      </c>
      <c r="C176" s="105"/>
      <c r="D176" s="105"/>
      <c r="G176" s="120" t="s">
        <v>388</v>
      </c>
      <c r="H176" s="114"/>
      <c r="I176" s="114"/>
      <c r="J176" s="132"/>
      <c r="L176" s="124" t="s">
        <v>21</v>
      </c>
      <c r="M176" s="124" t="s">
        <v>85</v>
      </c>
      <c r="N176" s="124" t="s">
        <v>86</v>
      </c>
      <c r="O176" s="124" t="s">
        <v>87</v>
      </c>
    </row>
    <row r="177" spans="1:15" hidden="1">
      <c r="A177" s="92" t="s">
        <v>88</v>
      </c>
      <c r="B177" s="121" t="s">
        <v>388</v>
      </c>
      <c r="C177" s="98"/>
      <c r="D177" s="109"/>
      <c r="E177" s="124" t="s">
        <v>89</v>
      </c>
      <c r="G177" s="105" t="s">
        <v>388</v>
      </c>
      <c r="H177" s="105" t="s">
        <v>388</v>
      </c>
      <c r="I177" s="105"/>
      <c r="J177" s="133" t="s">
        <v>388</v>
      </c>
      <c r="K177" s="134" t="s">
        <v>402</v>
      </c>
      <c r="L177" s="135" t="s">
        <v>388</v>
      </c>
      <c r="M177" s="135"/>
      <c r="N177" s="136" t="s">
        <v>388</v>
      </c>
      <c r="O177" s="136" t="s">
        <v>388</v>
      </c>
    </row>
    <row r="178" spans="1:15" hidden="1">
      <c r="A178" s="92" t="s">
        <v>90</v>
      </c>
      <c r="B178" s="105" t="s">
        <v>388</v>
      </c>
      <c r="C178" s="105"/>
      <c r="D178" s="105"/>
      <c r="E178" s="124" t="s">
        <v>91</v>
      </c>
      <c r="G178" s="121" t="s">
        <v>388</v>
      </c>
      <c r="H178" s="121"/>
      <c r="I178" s="105"/>
      <c r="J178" s="108"/>
      <c r="K178" s="134" t="s">
        <v>405</v>
      </c>
      <c r="L178" s="135" t="s">
        <v>388</v>
      </c>
      <c r="M178" s="135"/>
      <c r="N178" s="136" t="s">
        <v>388</v>
      </c>
      <c r="O178" s="136" t="s">
        <v>388</v>
      </c>
    </row>
    <row r="179" spans="1:15" hidden="1">
      <c r="A179" s="92" t="s">
        <v>92</v>
      </c>
      <c r="B179" s="138" t="s">
        <v>388</v>
      </c>
      <c r="C179" s="139" t="s">
        <v>388</v>
      </c>
      <c r="D179" s="140"/>
      <c r="E179" s="124" t="s">
        <v>93</v>
      </c>
      <c r="G179" s="141" t="s">
        <v>388</v>
      </c>
      <c r="H179" s="140"/>
      <c r="I179" s="140"/>
      <c r="K179" s="134" t="s">
        <v>409</v>
      </c>
      <c r="L179" s="135" t="s">
        <v>388</v>
      </c>
      <c r="M179" s="135"/>
      <c r="N179" s="136" t="s">
        <v>388</v>
      </c>
      <c r="O179" s="136" t="s">
        <v>388</v>
      </c>
    </row>
    <row r="180" spans="1:15" hidden="1">
      <c r="A180" s="92" t="s">
        <v>94</v>
      </c>
      <c r="B180" s="142" t="s">
        <v>388</v>
      </c>
      <c r="C180" s="142"/>
      <c r="D180" s="143"/>
      <c r="E180" s="124" t="s">
        <v>95</v>
      </c>
      <c r="G180" s="141" t="s">
        <v>388</v>
      </c>
      <c r="H180" s="105"/>
      <c r="I180" s="105"/>
      <c r="J180" s="108"/>
      <c r="K180" s="134" t="s">
        <v>412</v>
      </c>
      <c r="L180" s="135" t="s">
        <v>388</v>
      </c>
      <c r="M180" s="135"/>
      <c r="N180" s="136" t="s">
        <v>388</v>
      </c>
      <c r="O180" s="136" t="s">
        <v>388</v>
      </c>
    </row>
    <row r="181" spans="1:15" hidden="1">
      <c r="A181" s="92" t="s">
        <v>96</v>
      </c>
      <c r="B181" s="144" t="s">
        <v>388</v>
      </c>
      <c r="C181" s="92" t="s">
        <v>97</v>
      </c>
      <c r="D181" s="145" t="s">
        <v>388</v>
      </c>
      <c r="E181" s="124" t="s">
        <v>98</v>
      </c>
      <c r="G181" s="146" t="s">
        <v>388</v>
      </c>
      <c r="H181" s="105"/>
      <c r="I181" s="105"/>
      <c r="J181" s="105"/>
      <c r="K181" s="155" t="s">
        <v>99</v>
      </c>
      <c r="L181" s="148">
        <v>0</v>
      </c>
      <c r="M181" s="149" t="s">
        <v>388</v>
      </c>
      <c r="N181" s="150" t="s">
        <v>388</v>
      </c>
      <c r="O181" s="150" t="s">
        <v>388</v>
      </c>
    </row>
    <row r="182" spans="1:15" hidden="1">
      <c r="A182" s="98" t="s">
        <v>100</v>
      </c>
      <c r="B182" s="105" t="s">
        <v>388</v>
      </c>
      <c r="C182" s="105"/>
      <c r="D182" s="151"/>
      <c r="E182" s="152" t="s">
        <v>101</v>
      </c>
      <c r="F182" s="98"/>
      <c r="G182" s="153" t="s">
        <v>388</v>
      </c>
      <c r="H182" s="105"/>
      <c r="I182" s="140"/>
      <c r="J182" s="154" t="s">
        <v>388</v>
      </c>
      <c r="K182" s="98"/>
      <c r="L182" s="98"/>
      <c r="M182" s="98"/>
      <c r="N182" s="98"/>
      <c r="O182" s="98"/>
    </row>
    <row r="183" spans="1:15" hidden="1">
      <c r="E183" s="111"/>
      <c r="F183" s="111"/>
      <c r="G183" s="120" t="s">
        <v>120</v>
      </c>
      <c r="H183" s="102"/>
      <c r="I183" s="102"/>
      <c r="J183" s="102"/>
      <c r="O183" s="92"/>
    </row>
    <row r="184" spans="1:15" hidden="1">
      <c r="G184" s="129" t="s">
        <v>388</v>
      </c>
      <c r="L184" s="131"/>
      <c r="M184" s="131"/>
      <c r="N184" s="124" t="s">
        <v>82</v>
      </c>
      <c r="O184" s="124" t="s">
        <v>83</v>
      </c>
    </row>
    <row r="185" spans="1:15" hidden="1">
      <c r="A185" s="92" t="s">
        <v>84</v>
      </c>
      <c r="B185" s="105" t="s">
        <v>388</v>
      </c>
      <c r="C185" s="105"/>
      <c r="D185" s="105"/>
      <c r="G185" s="120" t="s">
        <v>388</v>
      </c>
      <c r="H185" s="114"/>
      <c r="I185" s="114"/>
      <c r="J185" s="132"/>
      <c r="L185" s="124" t="s">
        <v>21</v>
      </c>
      <c r="M185" s="124" t="s">
        <v>85</v>
      </c>
      <c r="N185" s="124" t="s">
        <v>86</v>
      </c>
      <c r="O185" s="124" t="s">
        <v>87</v>
      </c>
    </row>
    <row r="186" spans="1:15" hidden="1">
      <c r="A186" s="92" t="s">
        <v>88</v>
      </c>
      <c r="B186" s="121" t="s">
        <v>388</v>
      </c>
      <c r="C186" s="98"/>
      <c r="D186" s="109"/>
      <c r="E186" s="124" t="s">
        <v>89</v>
      </c>
      <c r="G186" s="105" t="s">
        <v>388</v>
      </c>
      <c r="H186" s="105" t="s">
        <v>388</v>
      </c>
      <c r="I186" s="105"/>
      <c r="J186" s="133" t="s">
        <v>388</v>
      </c>
      <c r="K186" s="134" t="s">
        <v>402</v>
      </c>
      <c r="L186" s="135" t="s">
        <v>388</v>
      </c>
      <c r="M186" s="135"/>
      <c r="N186" s="136" t="s">
        <v>388</v>
      </c>
      <c r="O186" s="136" t="s">
        <v>388</v>
      </c>
    </row>
    <row r="187" spans="1:15" hidden="1">
      <c r="A187" s="92" t="s">
        <v>90</v>
      </c>
      <c r="B187" s="105" t="s">
        <v>388</v>
      </c>
      <c r="C187" s="105"/>
      <c r="D187" s="105"/>
      <c r="E187" s="124" t="s">
        <v>91</v>
      </c>
      <c r="G187" s="121" t="s">
        <v>388</v>
      </c>
      <c r="H187" s="121"/>
      <c r="I187" s="105"/>
      <c r="J187" s="108"/>
      <c r="K187" s="134" t="s">
        <v>405</v>
      </c>
      <c r="L187" s="135" t="s">
        <v>388</v>
      </c>
      <c r="M187" s="135"/>
      <c r="N187" s="136" t="s">
        <v>388</v>
      </c>
      <c r="O187" s="136" t="s">
        <v>388</v>
      </c>
    </row>
    <row r="188" spans="1:15" hidden="1">
      <c r="A188" s="92" t="s">
        <v>92</v>
      </c>
      <c r="B188" s="138" t="s">
        <v>388</v>
      </c>
      <c r="C188" s="139" t="s">
        <v>388</v>
      </c>
      <c r="D188" s="140"/>
      <c r="E188" s="124" t="s">
        <v>93</v>
      </c>
      <c r="G188" s="141" t="s">
        <v>388</v>
      </c>
      <c r="H188" s="140"/>
      <c r="I188" s="140"/>
      <c r="K188" s="134" t="s">
        <v>409</v>
      </c>
      <c r="L188" s="135" t="s">
        <v>388</v>
      </c>
      <c r="M188" s="135"/>
      <c r="N188" s="136" t="s">
        <v>388</v>
      </c>
      <c r="O188" s="136" t="s">
        <v>388</v>
      </c>
    </row>
    <row r="189" spans="1:15" hidden="1">
      <c r="A189" s="92" t="s">
        <v>94</v>
      </c>
      <c r="B189" s="142" t="s">
        <v>388</v>
      </c>
      <c r="C189" s="142"/>
      <c r="D189" s="143"/>
      <c r="E189" s="124" t="s">
        <v>95</v>
      </c>
      <c r="G189" s="141" t="s">
        <v>388</v>
      </c>
      <c r="H189" s="105"/>
      <c r="I189" s="105"/>
      <c r="J189" s="108"/>
      <c r="K189" s="134" t="s">
        <v>412</v>
      </c>
      <c r="L189" s="135" t="s">
        <v>388</v>
      </c>
      <c r="M189" s="135"/>
      <c r="N189" s="136" t="s">
        <v>388</v>
      </c>
      <c r="O189" s="136" t="s">
        <v>388</v>
      </c>
    </row>
    <row r="190" spans="1:15" hidden="1">
      <c r="A190" s="92" t="s">
        <v>96</v>
      </c>
      <c r="B190" s="144" t="s">
        <v>388</v>
      </c>
      <c r="C190" s="92" t="s">
        <v>97</v>
      </c>
      <c r="D190" s="145" t="s">
        <v>388</v>
      </c>
      <c r="E190" s="124" t="s">
        <v>98</v>
      </c>
      <c r="G190" s="146" t="s">
        <v>388</v>
      </c>
      <c r="H190" s="105"/>
      <c r="I190" s="105"/>
      <c r="J190" s="105"/>
      <c r="K190" s="155" t="s">
        <v>99</v>
      </c>
      <c r="L190" s="148">
        <v>0</v>
      </c>
      <c r="M190" s="149" t="s">
        <v>388</v>
      </c>
      <c r="N190" s="150" t="s">
        <v>388</v>
      </c>
      <c r="O190" s="150" t="s">
        <v>388</v>
      </c>
    </row>
    <row r="191" spans="1:15" hidden="1">
      <c r="A191" s="98" t="s">
        <v>100</v>
      </c>
      <c r="B191" s="105" t="s">
        <v>388</v>
      </c>
      <c r="C191" s="105"/>
      <c r="D191" s="151"/>
      <c r="E191" s="152" t="s">
        <v>101</v>
      </c>
      <c r="F191" s="98"/>
      <c r="G191" s="153" t="s">
        <v>388</v>
      </c>
      <c r="H191" s="105"/>
      <c r="I191" s="140"/>
      <c r="J191" s="154" t="s">
        <v>388</v>
      </c>
      <c r="K191" s="98"/>
      <c r="L191" s="98"/>
      <c r="M191" s="98"/>
      <c r="N191" s="98"/>
      <c r="O191" s="98"/>
    </row>
    <row r="192" spans="1:15">
      <c r="A192" s="111"/>
      <c r="B192" s="158"/>
      <c r="C192" s="102"/>
      <c r="D192" s="159"/>
      <c r="E192" s="111"/>
      <c r="F192" s="111"/>
      <c r="G192" s="156" t="s">
        <v>121</v>
      </c>
      <c r="H192" s="102"/>
      <c r="I192" s="102"/>
      <c r="J192" s="160"/>
      <c r="K192" s="161"/>
      <c r="L192" s="162"/>
      <c r="M192" s="163"/>
      <c r="N192" s="164" t="s">
        <v>82</v>
      </c>
      <c r="O192" s="164"/>
    </row>
    <row r="193" spans="1:46">
      <c r="A193" s="120"/>
      <c r="B193" s="111"/>
      <c r="C193" s="111"/>
      <c r="D193" s="165"/>
      <c r="E193" s="111"/>
      <c r="F193" s="111"/>
      <c r="G193" s="166" t="s">
        <v>122</v>
      </c>
      <c r="H193" s="111"/>
      <c r="I193" s="111"/>
      <c r="J193" s="111"/>
      <c r="L193" s="124" t="s">
        <v>21</v>
      </c>
      <c r="M193" s="124" t="s">
        <v>85</v>
      </c>
      <c r="N193" s="167" t="s">
        <v>86</v>
      </c>
      <c r="O193" s="168"/>
    </row>
    <row r="194" spans="1:46">
      <c r="A194" s="120"/>
      <c r="B194" s="111"/>
      <c r="C194" s="111"/>
      <c r="D194" s="111"/>
      <c r="E194" s="111"/>
      <c r="F194" s="111"/>
      <c r="G194" s="111"/>
      <c r="H194" s="111"/>
      <c r="I194" s="111"/>
      <c r="J194" s="111"/>
      <c r="K194" s="134" t="s">
        <v>402</v>
      </c>
      <c r="L194" s="135">
        <v>55.000100000000003</v>
      </c>
      <c r="M194" s="135"/>
      <c r="N194" s="136"/>
      <c r="O194" s="169"/>
    </row>
    <row r="195" spans="1:46">
      <c r="B195" s="111"/>
      <c r="C195" s="111"/>
      <c r="D195" s="111"/>
      <c r="E195" s="111"/>
      <c r="F195" s="111"/>
      <c r="G195" s="170" t="s">
        <v>123</v>
      </c>
      <c r="H195" s="111"/>
      <c r="I195" s="111"/>
      <c r="J195" s="111"/>
      <c r="K195" s="134" t="s">
        <v>405</v>
      </c>
      <c r="L195" s="135">
        <v>15</v>
      </c>
      <c r="M195" s="135"/>
      <c r="N195" s="136"/>
      <c r="O195" s="169"/>
    </row>
    <row r="196" spans="1:46">
      <c r="B196" s="165"/>
      <c r="C196" s="111"/>
      <c r="D196" s="111"/>
      <c r="E196" s="111"/>
      <c r="F196" s="111"/>
      <c r="G196" s="111"/>
      <c r="H196" s="111"/>
      <c r="I196" s="111"/>
      <c r="J196" s="111"/>
      <c r="K196" s="134" t="s">
        <v>409</v>
      </c>
      <c r="L196" s="135">
        <v>11</v>
      </c>
      <c r="M196" s="135"/>
      <c r="N196" s="136"/>
      <c r="O196" s="169"/>
    </row>
    <row r="197" spans="1:46">
      <c r="A197" s="111"/>
      <c r="B197" s="171"/>
      <c r="C197" s="111"/>
      <c r="D197" s="111"/>
      <c r="E197" s="111"/>
      <c r="F197" s="111"/>
      <c r="G197" s="111"/>
      <c r="H197" s="111"/>
      <c r="I197" s="111"/>
      <c r="J197" s="111"/>
      <c r="K197" s="134" t="s">
        <v>412</v>
      </c>
      <c r="L197" s="135">
        <v>39</v>
      </c>
      <c r="M197" s="135"/>
      <c r="N197" s="136"/>
      <c r="O197" s="169"/>
    </row>
    <row r="198" spans="1:46">
      <c r="A198" s="111"/>
      <c r="B198" s="171"/>
      <c r="C198" s="111"/>
      <c r="D198" s="111"/>
      <c r="E198" s="111"/>
      <c r="F198" s="111"/>
      <c r="G198" s="111"/>
      <c r="H198" s="111"/>
      <c r="I198" s="111"/>
      <c r="J198" s="111"/>
      <c r="K198" s="147" t="s">
        <v>99</v>
      </c>
      <c r="L198" s="148">
        <v>120.0001</v>
      </c>
      <c r="M198" s="149">
        <v>278.00009999999997</v>
      </c>
      <c r="N198" s="150">
        <v>605.56806541796209</v>
      </c>
      <c r="O198" s="169"/>
    </row>
    <row r="199" spans="1:46" ht="13.8" thickBot="1">
      <c r="A199" s="126"/>
      <c r="B199" s="172"/>
      <c r="C199" s="126"/>
      <c r="D199" s="126"/>
      <c r="E199" s="126"/>
      <c r="F199" s="126"/>
      <c r="G199" s="126"/>
      <c r="H199" s="126"/>
      <c r="I199" s="126"/>
      <c r="J199" s="126"/>
      <c r="K199" s="126"/>
      <c r="L199" s="126"/>
      <c r="M199" s="126"/>
      <c r="N199" s="126"/>
      <c r="O199" s="126"/>
    </row>
    <row r="200" spans="1:46">
      <c r="A200" s="173" t="s">
        <v>124</v>
      </c>
      <c r="B200" s="98"/>
      <c r="C200" s="98"/>
      <c r="D200" s="98"/>
      <c r="E200" s="98"/>
      <c r="F200" s="98"/>
      <c r="G200" s="174"/>
      <c r="H200" s="98"/>
      <c r="I200" s="173"/>
      <c r="J200" s="98"/>
      <c r="K200" s="98"/>
      <c r="L200" s="175"/>
      <c r="M200" s="176"/>
      <c r="N200" s="98"/>
      <c r="O200" s="98"/>
      <c r="P200" s="111"/>
      <c r="Q200" s="111"/>
      <c r="R200" s="111"/>
      <c r="AF200" s="111"/>
      <c r="AG200" s="111"/>
      <c r="AH200" s="111"/>
      <c r="AI200" s="111"/>
      <c r="AJ200" s="111"/>
      <c r="AK200" s="111"/>
      <c r="AL200" s="111"/>
      <c r="AM200" s="111"/>
      <c r="AN200" s="111"/>
      <c r="AO200" s="111"/>
      <c r="AP200" s="111"/>
      <c r="AQ200" s="111"/>
      <c r="AR200" s="111"/>
      <c r="AS200" s="111"/>
      <c r="AT200" s="111"/>
    </row>
    <row r="201" spans="1:46">
      <c r="A201" s="177" t="s">
        <v>432</v>
      </c>
      <c r="B201" s="98"/>
      <c r="C201" s="98"/>
      <c r="D201" s="98"/>
      <c r="E201" s="98"/>
      <c r="F201" s="105"/>
      <c r="G201" s="98"/>
      <c r="H201" s="98"/>
      <c r="I201" s="98"/>
      <c r="J201" s="98"/>
      <c r="K201" s="178" t="s">
        <v>388</v>
      </c>
      <c r="L201" s="179"/>
      <c r="M201" s="180" t="s">
        <v>388</v>
      </c>
      <c r="N201" s="180" t="s">
        <v>388</v>
      </c>
      <c r="O201" s="140"/>
      <c r="P201" s="111"/>
      <c r="Q201" s="111"/>
      <c r="R201" s="111"/>
      <c r="AF201" s="111"/>
      <c r="AG201" s="111"/>
      <c r="AH201" s="111"/>
      <c r="AI201" s="111"/>
      <c r="AJ201" s="111"/>
      <c r="AK201" s="111"/>
      <c r="AL201" s="111"/>
      <c r="AM201" s="111"/>
      <c r="AN201" s="111"/>
      <c r="AO201" s="111"/>
      <c r="AP201" s="111"/>
      <c r="AQ201" s="111"/>
      <c r="AR201" s="111"/>
      <c r="AS201" s="111"/>
      <c r="AT201" s="111"/>
    </row>
    <row r="202" spans="1:46">
      <c r="A202" s="181" t="s">
        <v>125</v>
      </c>
      <c r="B202" s="98"/>
      <c r="C202" s="98"/>
      <c r="D202" s="98"/>
      <c r="E202" s="98"/>
      <c r="F202" s="98"/>
      <c r="G202" s="98"/>
      <c r="H202" s="98"/>
      <c r="I202" s="173"/>
      <c r="J202" s="98"/>
      <c r="K202" s="98"/>
      <c r="L202" s="140"/>
      <c r="M202" s="182"/>
      <c r="N202" s="98"/>
      <c r="O202" s="140"/>
      <c r="P202" s="111"/>
      <c r="Q202" s="111"/>
      <c r="R202" s="111"/>
      <c r="AF202" s="111"/>
      <c r="AG202" s="111"/>
      <c r="AH202" s="111"/>
      <c r="AI202" s="111"/>
      <c r="AJ202" s="111"/>
      <c r="AK202" s="111"/>
      <c r="AL202" s="111"/>
      <c r="AM202" s="111"/>
      <c r="AN202" s="111"/>
      <c r="AO202" s="111"/>
      <c r="AP202" s="111"/>
      <c r="AQ202" s="111"/>
      <c r="AR202" s="111"/>
      <c r="AS202" s="111"/>
      <c r="AT202" s="111"/>
    </row>
    <row r="203" spans="1:46" ht="12.75" customHeight="1">
      <c r="A203" s="183" t="s">
        <v>126</v>
      </c>
      <c r="B203" s="98"/>
      <c r="C203" s="184"/>
      <c r="D203" s="98"/>
      <c r="E203" s="98"/>
      <c r="F203" s="98"/>
      <c r="G203" s="185" t="s">
        <v>123</v>
      </c>
      <c r="H203" s="98"/>
      <c r="I203" s="140"/>
      <c r="J203" s="98"/>
      <c r="K203" s="120"/>
      <c r="L203" s="179"/>
      <c r="M203" s="179"/>
      <c r="N203" s="179"/>
      <c r="O203" s="140"/>
      <c r="AF203" s="111"/>
      <c r="AG203" s="111"/>
      <c r="AH203" s="111"/>
      <c r="AI203" s="111"/>
      <c r="AJ203" s="111"/>
      <c r="AK203" s="111"/>
      <c r="AL203" s="111"/>
      <c r="AM203" s="111"/>
      <c r="AN203" s="111"/>
      <c r="AO203" s="111"/>
      <c r="AP203" s="111"/>
      <c r="AQ203" s="111"/>
      <c r="AR203" s="111"/>
      <c r="AS203" s="111"/>
      <c r="AT203" s="111"/>
    </row>
    <row r="204" spans="1:46">
      <c r="A204" s="186" t="s">
        <v>127</v>
      </c>
      <c r="B204" s="98"/>
      <c r="C204" s="98"/>
      <c r="D204" s="98"/>
      <c r="E204" s="98"/>
      <c r="F204" s="98"/>
      <c r="G204" s="98"/>
      <c r="H204" s="98"/>
      <c r="I204" s="98"/>
      <c r="J204" s="98"/>
      <c r="K204" s="178"/>
      <c r="L204" s="179"/>
      <c r="M204" s="179"/>
      <c r="N204" s="179"/>
      <c r="O204" s="140"/>
    </row>
    <row r="205" spans="1:46">
      <c r="A205" s="183" t="s">
        <v>128</v>
      </c>
      <c r="B205" s="98"/>
      <c r="C205" s="98"/>
      <c r="D205" s="98"/>
      <c r="E205" s="98"/>
      <c r="F205" s="98"/>
      <c r="G205" s="98"/>
      <c r="H205" s="98"/>
      <c r="I205" s="173"/>
      <c r="J205" s="140"/>
      <c r="K205" s="187"/>
      <c r="L205" s="188"/>
      <c r="M205" s="189"/>
      <c r="N205" s="140"/>
      <c r="O205" s="140"/>
    </row>
    <row r="206" spans="1:46" ht="13.8">
      <c r="A206" s="190" t="s">
        <v>433</v>
      </c>
      <c r="B206" s="140"/>
      <c r="C206" s="140"/>
      <c r="D206" s="140"/>
      <c r="E206" s="140"/>
      <c r="F206" s="140"/>
      <c r="G206" s="140"/>
      <c r="H206" s="140"/>
      <c r="I206" s="191"/>
      <c r="J206" s="98"/>
      <c r="K206" s="187"/>
      <c r="L206" s="188"/>
      <c r="M206" s="140"/>
      <c r="N206" s="98"/>
      <c r="O206" s="140"/>
    </row>
    <row r="207" spans="1:46">
      <c r="A207" s="190" t="s">
        <v>434</v>
      </c>
      <c r="B207" s="98"/>
      <c r="C207" s="98"/>
      <c r="D207" s="98"/>
      <c r="E207" s="98"/>
      <c r="F207" s="98"/>
      <c r="G207" s="98"/>
      <c r="H207" s="192"/>
      <c r="I207" s="98"/>
      <c r="J207" s="98"/>
      <c r="K207" s="187"/>
      <c r="L207" s="188"/>
      <c r="M207" s="98"/>
      <c r="N207" s="98"/>
      <c r="O207" s="140"/>
    </row>
    <row r="208" spans="1:46">
      <c r="A208" s="193" t="s">
        <v>435</v>
      </c>
      <c r="B208" s="98"/>
      <c r="C208" s="98"/>
      <c r="D208" s="98"/>
      <c r="E208" s="98"/>
      <c r="F208" s="98"/>
      <c r="G208" s="98"/>
      <c r="H208" s="98"/>
      <c r="I208" s="140"/>
      <c r="J208" s="98"/>
      <c r="K208" s="98"/>
      <c r="L208" s="98"/>
      <c r="M208" s="98"/>
      <c r="N208" s="98"/>
      <c r="O208" s="140"/>
    </row>
    <row r="209" spans="1:31">
      <c r="A209" s="193" t="s">
        <v>436</v>
      </c>
      <c r="B209" s="98"/>
      <c r="C209" s="98"/>
      <c r="D209" s="98"/>
      <c r="E209" s="98"/>
      <c r="F209" s="98"/>
      <c r="G209" s="98"/>
      <c r="H209" s="98"/>
      <c r="I209" s="98"/>
      <c r="J209" s="98"/>
      <c r="L209" s="140"/>
      <c r="M209" s="98"/>
      <c r="N209" s="140"/>
      <c r="O209" s="140"/>
    </row>
    <row r="210" spans="1:31">
      <c r="A210" s="193" t="s">
        <v>437</v>
      </c>
      <c r="B210" s="140"/>
      <c r="C210" s="140"/>
      <c r="D210" s="140"/>
      <c r="E210" s="140"/>
      <c r="F210" s="140"/>
      <c r="G210" s="140"/>
      <c r="H210" s="140"/>
      <c r="I210" s="98"/>
      <c r="J210" s="140"/>
      <c r="K210" s="140"/>
      <c r="L210" s="140"/>
      <c r="M210" s="140"/>
      <c r="N210" s="140"/>
      <c r="O210" s="140"/>
      <c r="S210" s="111"/>
      <c r="T210" s="194"/>
      <c r="U210" s="194"/>
      <c r="V210" s="194"/>
      <c r="W210" s="194"/>
      <c r="X210" s="194"/>
      <c r="Y210" s="194"/>
      <c r="Z210" s="194"/>
      <c r="AA210" s="194"/>
      <c r="AB210" s="194"/>
      <c r="AC210" s="194"/>
      <c r="AD210" s="194"/>
      <c r="AE210" s="194"/>
    </row>
    <row r="211" spans="1:31">
      <c r="A211" s="193" t="s">
        <v>438</v>
      </c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</row>
    <row r="212" spans="1:31">
      <c r="A212" s="193" t="s">
        <v>439</v>
      </c>
      <c r="B212" s="140"/>
      <c r="C212" s="140"/>
      <c r="D212" s="140"/>
      <c r="E212" s="140"/>
      <c r="F212" s="140"/>
      <c r="G212" s="140"/>
      <c r="H212" s="140"/>
      <c r="N212" s="140"/>
      <c r="O212" s="140"/>
    </row>
    <row r="213" spans="1:31">
      <c r="A213" s="193" t="s">
        <v>440</v>
      </c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</row>
    <row r="214" spans="1:31">
      <c r="A214" s="193" t="s">
        <v>441</v>
      </c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</row>
    <row r="215" spans="1:31">
      <c r="A215" s="193" t="s">
        <v>388</v>
      </c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</row>
    <row r="216" spans="1:31">
      <c r="A216" s="193" t="s">
        <v>388</v>
      </c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</row>
    <row r="217" spans="1:31">
      <c r="A217" s="193" t="s">
        <v>388</v>
      </c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</row>
    <row r="218" spans="1:31">
      <c r="A218" s="195" t="s">
        <v>442</v>
      </c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</row>
    <row r="219" spans="1:31">
      <c r="A219" s="140" t="s">
        <v>443</v>
      </c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</row>
    <row r="220" spans="1:31">
      <c r="A220" s="111"/>
      <c r="B220" s="111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11"/>
      <c r="N220" s="111"/>
    </row>
    <row r="221" spans="1:31">
      <c r="A221" s="111"/>
      <c r="B221" s="111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11"/>
      <c r="N221" s="111"/>
    </row>
    <row r="222" spans="1:31">
      <c r="A222" s="111"/>
      <c r="B222" s="111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11"/>
      <c r="N222" s="111"/>
    </row>
    <row r="223" spans="1:31">
      <c r="A223" s="111"/>
      <c r="B223" s="111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11"/>
      <c r="N223" s="111"/>
    </row>
    <row r="224" spans="1:31">
      <c r="A224" s="111"/>
      <c r="B224" s="111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11"/>
      <c r="N224" s="111"/>
    </row>
    <row r="225" spans="1:14">
      <c r="A225" s="111"/>
      <c r="B225" s="111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11"/>
      <c r="N225" s="111"/>
    </row>
    <row r="226" spans="1:14">
      <c r="A226" s="111"/>
      <c r="B226" s="111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11"/>
      <c r="N226" s="111"/>
    </row>
    <row r="227" spans="1:14">
      <c r="A227" s="111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</row>
    <row r="228" spans="1:14">
      <c r="A228" s="111"/>
      <c r="B228" s="111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11"/>
      <c r="N228" s="111"/>
    </row>
    <row r="229" spans="1:14">
      <c r="A229" s="111"/>
      <c r="B229" s="111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11"/>
      <c r="N229" s="111"/>
    </row>
    <row r="230" spans="1:14">
      <c r="A230" s="111"/>
      <c r="B230" s="111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11"/>
      <c r="N230" s="111"/>
    </row>
    <row r="231" spans="1:14">
      <c r="A231" s="111"/>
      <c r="B231" s="111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11"/>
      <c r="N231" s="111"/>
    </row>
    <row r="232" spans="1:14">
      <c r="A232" s="111"/>
      <c r="B232" s="111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11"/>
      <c r="N232" s="111"/>
    </row>
    <row r="233" spans="1:14">
      <c r="A233" s="111"/>
      <c r="B233" s="111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11"/>
      <c r="N233" s="111"/>
    </row>
    <row r="234" spans="1:14">
      <c r="A234" s="111"/>
      <c r="B234" s="111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11"/>
      <c r="N234" s="111"/>
    </row>
    <row r="235" spans="1:14">
      <c r="A235" s="111"/>
      <c r="B235" s="111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11"/>
      <c r="N235" s="111"/>
    </row>
    <row r="236" spans="1:14">
      <c r="A236" s="111"/>
      <c r="B236" s="111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11"/>
      <c r="N236" s="111"/>
    </row>
    <row r="237" spans="1:14">
      <c r="A237" s="111"/>
      <c r="B237" s="111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11"/>
      <c r="N237" s="111"/>
    </row>
    <row r="238" spans="1:14">
      <c r="A238" s="111"/>
      <c r="B238" s="111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11"/>
      <c r="N238" s="111"/>
    </row>
    <row r="239" spans="1:14">
      <c r="A239" s="111"/>
      <c r="B239" s="111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11"/>
      <c r="N239" s="111"/>
    </row>
    <row r="240" spans="1:14">
      <c r="A240" s="111"/>
      <c r="B240" s="111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11"/>
      <c r="N240" s="111"/>
    </row>
    <row r="241" spans="1:14">
      <c r="A241" s="111"/>
      <c r="B241" s="111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11"/>
      <c r="N241" s="111"/>
    </row>
    <row r="242" spans="1:14">
      <c r="A242" s="111"/>
      <c r="B242" s="111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11"/>
      <c r="N242" s="111"/>
    </row>
    <row r="243" spans="1:14">
      <c r="A243" s="111"/>
      <c r="B243" s="111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11"/>
      <c r="N243" s="111"/>
    </row>
    <row r="244" spans="1:14">
      <c r="A244" s="111"/>
      <c r="B244" s="111"/>
      <c r="C244" s="111"/>
      <c r="D244" s="111"/>
      <c r="E244" s="111"/>
      <c r="F244" s="111"/>
      <c r="G244" s="111"/>
      <c r="H244" s="111"/>
      <c r="I244" s="111"/>
      <c r="J244" s="111"/>
      <c r="K244" s="111"/>
      <c r="L244" s="111"/>
      <c r="M244" s="111"/>
      <c r="N244" s="111"/>
    </row>
    <row r="245" spans="1:14">
      <c r="A245" s="111"/>
      <c r="B245" s="111"/>
      <c r="C245" s="111"/>
      <c r="D245" s="111"/>
      <c r="E245" s="111"/>
      <c r="F245" s="111"/>
      <c r="G245" s="111"/>
      <c r="H245" s="111"/>
      <c r="I245" s="111"/>
      <c r="J245" s="111"/>
      <c r="K245" s="111"/>
      <c r="L245" s="111"/>
      <c r="M245" s="111"/>
      <c r="N245" s="111"/>
    </row>
    <row r="246" spans="1:14">
      <c r="A246" s="111"/>
      <c r="B246" s="111"/>
      <c r="C246" s="111"/>
      <c r="D246" s="111"/>
      <c r="E246" s="111"/>
      <c r="F246" s="111"/>
      <c r="G246" s="111"/>
      <c r="H246" s="111"/>
      <c r="I246" s="111"/>
      <c r="J246" s="111"/>
      <c r="K246" s="111"/>
      <c r="L246" s="111"/>
      <c r="M246" s="111"/>
      <c r="N246" s="111"/>
    </row>
    <row r="247" spans="1:14">
      <c r="A247" s="111"/>
      <c r="B247" s="111"/>
      <c r="C247" s="111"/>
      <c r="D247" s="111"/>
      <c r="E247" s="111"/>
      <c r="F247" s="111"/>
      <c r="G247" s="111"/>
      <c r="H247" s="111"/>
      <c r="I247" s="111"/>
      <c r="J247" s="111"/>
      <c r="K247" s="111"/>
      <c r="L247" s="111"/>
      <c r="M247" s="111"/>
      <c r="N247" s="111"/>
    </row>
    <row r="248" spans="1:14">
      <c r="A248" s="196"/>
      <c r="B248" s="111"/>
      <c r="C248" s="111"/>
      <c r="D248" s="111"/>
      <c r="E248" s="111"/>
      <c r="F248" s="111"/>
      <c r="G248" s="111"/>
      <c r="H248" s="111"/>
      <c r="I248" s="111"/>
      <c r="J248" s="111"/>
      <c r="K248" s="111"/>
      <c r="L248" s="111"/>
      <c r="M248" s="111"/>
      <c r="N248" s="111"/>
    </row>
    <row r="254" spans="1:14">
      <c r="B254" s="124" t="s">
        <v>129</v>
      </c>
      <c r="C254" s="124" t="s">
        <v>130</v>
      </c>
      <c r="D254" s="124" t="s">
        <v>131</v>
      </c>
      <c r="E254" s="124" t="s">
        <v>132</v>
      </c>
      <c r="F254" s="124" t="s">
        <v>133</v>
      </c>
      <c r="G254" s="124" t="s">
        <v>22</v>
      </c>
      <c r="H254" s="124" t="s">
        <v>134</v>
      </c>
      <c r="I254" s="124" t="s">
        <v>135</v>
      </c>
    </row>
    <row r="255" spans="1:14">
      <c r="A255" s="92" t="s">
        <v>136</v>
      </c>
      <c r="B255" s="197">
        <v>45</v>
      </c>
      <c r="C255" s="197">
        <v>10</v>
      </c>
      <c r="D255" s="197">
        <v>9</v>
      </c>
      <c r="E255" s="198">
        <v>25</v>
      </c>
      <c r="F255" s="199">
        <v>89</v>
      </c>
      <c r="G255" s="198">
        <v>188</v>
      </c>
      <c r="H255" s="198">
        <v>704.51260638297867</v>
      </c>
      <c r="I255" s="200">
        <v>132448.37</v>
      </c>
      <c r="J255" s="92" t="b">
        <v>1</v>
      </c>
    </row>
    <row r="256" spans="1:14">
      <c r="A256" s="92" t="s">
        <v>137</v>
      </c>
      <c r="B256" s="197">
        <v>10</v>
      </c>
      <c r="C256" s="197">
        <v>5</v>
      </c>
      <c r="D256" s="197">
        <v>2</v>
      </c>
      <c r="E256" s="198">
        <v>13</v>
      </c>
      <c r="F256" s="199">
        <v>30</v>
      </c>
      <c r="G256" s="198">
        <v>84</v>
      </c>
      <c r="H256" s="198">
        <v>397.45607142857142</v>
      </c>
      <c r="I256" s="200">
        <v>33386.31</v>
      </c>
      <c r="J256" s="92" t="b">
        <v>1</v>
      </c>
    </row>
    <row r="257" spans="1:10">
      <c r="A257" s="92" t="s">
        <v>138</v>
      </c>
      <c r="B257" s="197">
        <v>0</v>
      </c>
      <c r="C257" s="197">
        <v>0</v>
      </c>
      <c r="D257" s="197">
        <v>0</v>
      </c>
      <c r="E257" s="198">
        <v>1</v>
      </c>
      <c r="F257" s="199">
        <v>1</v>
      </c>
      <c r="G257" s="198">
        <v>6</v>
      </c>
      <c r="H257" s="198">
        <v>418.875</v>
      </c>
      <c r="I257" s="200">
        <v>2513.25</v>
      </c>
      <c r="J257" s="92" t="b">
        <v>1</v>
      </c>
    </row>
    <row r="258" spans="1:10">
      <c r="A258" s="92" t="s">
        <v>139</v>
      </c>
      <c r="B258" s="197">
        <v>1E-4</v>
      </c>
      <c r="C258" s="197">
        <v>0</v>
      </c>
      <c r="D258" s="197">
        <v>0</v>
      </c>
      <c r="E258" s="198">
        <v>0</v>
      </c>
      <c r="F258" s="199">
        <v>1E-4</v>
      </c>
      <c r="G258" s="198">
        <v>1E-4</v>
      </c>
      <c r="H258" s="198">
        <v>527.42999999999995</v>
      </c>
      <c r="I258" s="200">
        <v>5.2742999999999998E-2</v>
      </c>
      <c r="J258" s="92" t="b">
        <v>1</v>
      </c>
    </row>
    <row r="259" spans="1:10">
      <c r="A259" s="92" t="s">
        <v>140</v>
      </c>
      <c r="B259" s="197" t="s">
        <v>388</v>
      </c>
      <c r="C259" s="197" t="s">
        <v>388</v>
      </c>
      <c r="D259" s="197" t="s">
        <v>388</v>
      </c>
      <c r="E259" s="198" t="s">
        <v>388</v>
      </c>
      <c r="F259" s="199">
        <v>0</v>
      </c>
      <c r="G259" s="198" t="s">
        <v>388</v>
      </c>
      <c r="H259" s="198" t="s">
        <v>388</v>
      </c>
      <c r="I259" s="200" t="e">
        <v>#VALUE!</v>
      </c>
      <c r="J259" s="92" t="b">
        <v>0</v>
      </c>
    </row>
    <row r="260" spans="1:10">
      <c r="A260" s="92" t="s">
        <v>141</v>
      </c>
      <c r="B260" s="197" t="s">
        <v>388</v>
      </c>
      <c r="C260" s="197" t="s">
        <v>388</v>
      </c>
      <c r="D260" s="197" t="s">
        <v>388</v>
      </c>
      <c r="E260" s="198" t="s">
        <v>388</v>
      </c>
      <c r="F260" s="199">
        <v>0</v>
      </c>
      <c r="G260" s="198" t="s">
        <v>388</v>
      </c>
      <c r="H260" s="198" t="s">
        <v>388</v>
      </c>
      <c r="I260" s="200" t="e">
        <v>#VALUE!</v>
      </c>
      <c r="J260" s="92" t="b">
        <v>0</v>
      </c>
    </row>
    <row r="261" spans="1:10">
      <c r="A261" s="92" t="s">
        <v>142</v>
      </c>
      <c r="B261" s="197" t="s">
        <v>388</v>
      </c>
      <c r="C261" s="197" t="s">
        <v>388</v>
      </c>
      <c r="D261" s="197" t="s">
        <v>388</v>
      </c>
      <c r="E261" s="198" t="s">
        <v>388</v>
      </c>
      <c r="F261" s="199">
        <v>0</v>
      </c>
      <c r="G261" s="198" t="s">
        <v>388</v>
      </c>
      <c r="H261" s="198" t="s">
        <v>388</v>
      </c>
      <c r="I261" s="200" t="e">
        <v>#VALUE!</v>
      </c>
      <c r="J261" s="92" t="b">
        <v>0</v>
      </c>
    </row>
    <row r="262" spans="1:10">
      <c r="A262" s="92" t="s">
        <v>143</v>
      </c>
      <c r="B262" s="197" t="s">
        <v>388</v>
      </c>
      <c r="C262" s="197" t="s">
        <v>388</v>
      </c>
      <c r="D262" s="197" t="s">
        <v>388</v>
      </c>
      <c r="E262" s="198" t="s">
        <v>388</v>
      </c>
      <c r="F262" s="199">
        <v>0</v>
      </c>
      <c r="G262" s="198" t="s">
        <v>388</v>
      </c>
      <c r="H262" s="198" t="s">
        <v>388</v>
      </c>
      <c r="I262" s="200" t="e">
        <v>#VALUE!</v>
      </c>
      <c r="J262" s="92" t="b">
        <v>0</v>
      </c>
    </row>
    <row r="263" spans="1:10">
      <c r="A263" s="92" t="s">
        <v>144</v>
      </c>
      <c r="B263" s="197" t="s">
        <v>388</v>
      </c>
      <c r="C263" s="197" t="s">
        <v>388</v>
      </c>
      <c r="D263" s="197" t="s">
        <v>388</v>
      </c>
      <c r="E263" s="198" t="s">
        <v>388</v>
      </c>
      <c r="F263" s="199">
        <v>0</v>
      </c>
      <c r="G263" s="198" t="s">
        <v>388</v>
      </c>
      <c r="H263" s="198" t="s">
        <v>388</v>
      </c>
      <c r="I263" s="200" t="e">
        <v>#VALUE!</v>
      </c>
      <c r="J263" s="92" t="b">
        <v>0</v>
      </c>
    </row>
    <row r="264" spans="1:10">
      <c r="A264" s="92" t="s">
        <v>145</v>
      </c>
      <c r="B264" s="197" t="s">
        <v>388</v>
      </c>
      <c r="C264" s="197" t="s">
        <v>388</v>
      </c>
      <c r="D264" s="197" t="s">
        <v>388</v>
      </c>
      <c r="E264" s="198" t="s">
        <v>388</v>
      </c>
      <c r="F264" s="199">
        <v>0</v>
      </c>
      <c r="G264" s="198" t="s">
        <v>388</v>
      </c>
      <c r="H264" s="198" t="s">
        <v>388</v>
      </c>
      <c r="I264" s="200" t="e">
        <v>#VALUE!</v>
      </c>
      <c r="J264" s="92" t="b">
        <v>0</v>
      </c>
    </row>
    <row r="265" spans="1:10">
      <c r="A265" s="92" t="s">
        <v>146</v>
      </c>
      <c r="B265" s="197" t="s">
        <v>388</v>
      </c>
      <c r="C265" s="197" t="s">
        <v>388</v>
      </c>
      <c r="D265" s="197" t="s">
        <v>388</v>
      </c>
      <c r="E265" s="198" t="s">
        <v>388</v>
      </c>
      <c r="F265" s="199">
        <v>0</v>
      </c>
      <c r="G265" s="198" t="s">
        <v>388</v>
      </c>
      <c r="H265" s="198" t="s">
        <v>388</v>
      </c>
      <c r="I265" s="200" t="e">
        <v>#VALUE!</v>
      </c>
      <c r="J265" s="92" t="b">
        <v>0</v>
      </c>
    </row>
    <row r="266" spans="1:10">
      <c r="A266" s="92" t="s">
        <v>147</v>
      </c>
      <c r="B266" s="197" t="s">
        <v>388</v>
      </c>
      <c r="C266" s="197" t="s">
        <v>388</v>
      </c>
      <c r="D266" s="197" t="s">
        <v>388</v>
      </c>
      <c r="E266" s="197" t="s">
        <v>388</v>
      </c>
      <c r="F266" s="199">
        <v>0</v>
      </c>
      <c r="G266" s="197" t="s">
        <v>388</v>
      </c>
      <c r="H266" s="197" t="s">
        <v>388</v>
      </c>
      <c r="I266" s="200" t="e">
        <v>#VALUE!</v>
      </c>
      <c r="J266" s="92" t="b">
        <v>0</v>
      </c>
    </row>
    <row r="267" spans="1:10">
      <c r="A267" s="92" t="s">
        <v>148</v>
      </c>
      <c r="B267" s="197" t="s">
        <v>388</v>
      </c>
      <c r="C267" s="197" t="s">
        <v>388</v>
      </c>
      <c r="D267" s="197" t="s">
        <v>388</v>
      </c>
      <c r="E267" s="197" t="s">
        <v>388</v>
      </c>
      <c r="F267" s="199">
        <v>0</v>
      </c>
      <c r="G267" s="197" t="s">
        <v>388</v>
      </c>
      <c r="H267" s="197" t="s">
        <v>388</v>
      </c>
      <c r="I267" s="200" t="e">
        <v>#VALUE!</v>
      </c>
      <c r="J267" s="92" t="b">
        <v>0</v>
      </c>
    </row>
    <row r="268" spans="1:10">
      <c r="A268" s="92" t="s">
        <v>149</v>
      </c>
      <c r="B268" s="197" t="s">
        <v>388</v>
      </c>
      <c r="C268" s="197" t="s">
        <v>388</v>
      </c>
      <c r="D268" s="197" t="s">
        <v>388</v>
      </c>
      <c r="E268" s="197" t="s">
        <v>388</v>
      </c>
      <c r="F268" s="199">
        <v>0</v>
      </c>
      <c r="G268" s="197" t="s">
        <v>388</v>
      </c>
      <c r="H268" s="197" t="s">
        <v>388</v>
      </c>
      <c r="I268" s="200" t="e">
        <v>#VALUE!</v>
      </c>
      <c r="J268" s="92" t="b">
        <v>0</v>
      </c>
    </row>
    <row r="269" spans="1:10">
      <c r="A269" s="92" t="s">
        <v>150</v>
      </c>
      <c r="B269" s="197" t="s">
        <v>388</v>
      </c>
      <c r="C269" s="197" t="s">
        <v>388</v>
      </c>
      <c r="D269" s="197" t="s">
        <v>388</v>
      </c>
      <c r="E269" s="197" t="s">
        <v>388</v>
      </c>
      <c r="F269" s="199">
        <v>0</v>
      </c>
      <c r="G269" s="197" t="s">
        <v>388</v>
      </c>
      <c r="H269" s="197" t="s">
        <v>388</v>
      </c>
      <c r="I269" s="200" t="e">
        <v>#VALUE!</v>
      </c>
      <c r="J269" s="92" t="b">
        <v>0</v>
      </c>
    </row>
    <row r="270" spans="1:10">
      <c r="A270" s="92" t="s">
        <v>151</v>
      </c>
      <c r="B270" s="197" t="s">
        <v>388</v>
      </c>
      <c r="C270" s="197" t="s">
        <v>388</v>
      </c>
      <c r="D270" s="197" t="s">
        <v>388</v>
      </c>
      <c r="E270" s="197" t="s">
        <v>388</v>
      </c>
      <c r="F270" s="199">
        <v>0</v>
      </c>
      <c r="G270" s="197" t="s">
        <v>388</v>
      </c>
      <c r="H270" s="197" t="s">
        <v>388</v>
      </c>
      <c r="I270" s="200" t="e">
        <v>#VALUE!</v>
      </c>
      <c r="J270" s="92" t="b">
        <v>0</v>
      </c>
    </row>
    <row r="271" spans="1:10">
      <c r="A271" s="92" t="s">
        <v>152</v>
      </c>
      <c r="B271" s="197" t="s">
        <v>388</v>
      </c>
      <c r="C271" s="197" t="s">
        <v>388</v>
      </c>
      <c r="D271" s="197" t="s">
        <v>388</v>
      </c>
      <c r="E271" s="197" t="s">
        <v>388</v>
      </c>
      <c r="F271" s="199">
        <v>0</v>
      </c>
      <c r="G271" s="197" t="s">
        <v>388</v>
      </c>
      <c r="H271" s="197" t="s">
        <v>388</v>
      </c>
      <c r="I271" s="200" t="e">
        <v>#VALUE!</v>
      </c>
      <c r="J271" s="92" t="b">
        <v>0</v>
      </c>
    </row>
    <row r="272" spans="1:10">
      <c r="A272" s="92" t="s">
        <v>153</v>
      </c>
      <c r="B272" s="197" t="s">
        <v>388</v>
      </c>
      <c r="C272" s="197" t="s">
        <v>388</v>
      </c>
      <c r="D272" s="197" t="s">
        <v>388</v>
      </c>
      <c r="E272" s="197" t="s">
        <v>388</v>
      </c>
      <c r="F272" s="199">
        <v>0</v>
      </c>
      <c r="G272" s="197" t="s">
        <v>388</v>
      </c>
      <c r="H272" s="197" t="s">
        <v>388</v>
      </c>
      <c r="I272" s="200" t="e">
        <v>#VALUE!</v>
      </c>
      <c r="J272" s="92" t="b">
        <v>0</v>
      </c>
    </row>
    <row r="273" spans="1:14">
      <c r="A273" s="92" t="s">
        <v>154</v>
      </c>
      <c r="B273" s="197" t="s">
        <v>388</v>
      </c>
      <c r="C273" s="197" t="s">
        <v>388</v>
      </c>
      <c r="D273" s="197" t="s">
        <v>388</v>
      </c>
      <c r="E273" s="197" t="s">
        <v>388</v>
      </c>
      <c r="F273" s="199">
        <v>0</v>
      </c>
      <c r="G273" s="197" t="s">
        <v>388</v>
      </c>
      <c r="H273" s="197" t="s">
        <v>388</v>
      </c>
      <c r="I273" s="200" t="e">
        <v>#VALUE!</v>
      </c>
      <c r="J273" s="92" t="b">
        <v>0</v>
      </c>
    </row>
    <row r="274" spans="1:14">
      <c r="A274" s="92" t="s">
        <v>155</v>
      </c>
      <c r="B274" s="197" t="s">
        <v>388</v>
      </c>
      <c r="C274" s="197" t="s">
        <v>388</v>
      </c>
      <c r="D274" s="197" t="s">
        <v>388</v>
      </c>
      <c r="E274" s="197" t="s">
        <v>388</v>
      </c>
      <c r="F274" s="199">
        <v>0</v>
      </c>
      <c r="G274" s="197" t="s">
        <v>388</v>
      </c>
      <c r="H274" s="197" t="s">
        <v>388</v>
      </c>
      <c r="I274" s="200" t="e">
        <v>#VALUE!</v>
      </c>
      <c r="J274" s="92" t="b">
        <v>0</v>
      </c>
    </row>
    <row r="275" spans="1:14">
      <c r="B275" s="124"/>
      <c r="C275" s="124"/>
      <c r="D275" s="124"/>
      <c r="E275" s="124"/>
      <c r="F275" s="124"/>
      <c r="G275" s="124"/>
      <c r="H275" s="124"/>
      <c r="I275" s="124"/>
    </row>
    <row r="276" spans="1:14">
      <c r="A276" s="92" t="s">
        <v>156</v>
      </c>
      <c r="B276" s="201">
        <v>55.000100000000003</v>
      </c>
      <c r="C276" s="201">
        <v>15</v>
      </c>
      <c r="D276" s="201">
        <v>11</v>
      </c>
      <c r="E276" s="201">
        <v>39</v>
      </c>
      <c r="F276" s="201">
        <v>120.0001</v>
      </c>
      <c r="G276" s="201">
        <v>278.00009999999997</v>
      </c>
      <c r="H276" s="202">
        <v>605.56806541796209</v>
      </c>
      <c r="I276" s="201">
        <v>168347.982743</v>
      </c>
    </row>
    <row r="279" spans="1:14">
      <c r="A279" s="111"/>
      <c r="B279" s="111"/>
      <c r="C279" s="111"/>
      <c r="D279" s="111"/>
      <c r="E279" s="111"/>
      <c r="F279" s="111"/>
      <c r="G279" s="111"/>
      <c r="H279" s="111"/>
      <c r="I279" s="111"/>
      <c r="J279" s="111"/>
      <c r="K279" s="111"/>
      <c r="L279" s="111"/>
      <c r="M279" s="111"/>
      <c r="N279" s="111"/>
    </row>
    <row r="280" spans="1:14">
      <c r="A280" s="124" t="s">
        <v>284</v>
      </c>
      <c r="B280" s="203"/>
      <c r="C280" s="203"/>
      <c r="D280" s="203"/>
      <c r="E280" s="203"/>
      <c r="F280" s="203"/>
      <c r="G280" s="203"/>
      <c r="H280" s="203"/>
      <c r="I280" s="203"/>
      <c r="J280" s="203"/>
      <c r="K280" s="203"/>
      <c r="L280" s="203"/>
      <c r="M280" s="203"/>
      <c r="N280" s="111"/>
    </row>
    <row r="281" spans="1:14">
      <c r="A281" s="92">
        <v>0</v>
      </c>
      <c r="B281" s="111"/>
      <c r="C281" s="111"/>
      <c r="D281" s="111"/>
      <c r="E281" s="111"/>
      <c r="F281" s="111"/>
      <c r="G281" s="111"/>
      <c r="H281" s="111"/>
      <c r="I281" s="111"/>
      <c r="J281" s="111"/>
      <c r="K281" s="111"/>
      <c r="L281" s="111"/>
      <c r="M281" s="203"/>
      <c r="N281" s="111"/>
    </row>
    <row r="282" spans="1:14">
      <c r="A282" s="92">
        <v>0</v>
      </c>
      <c r="B282" s="203"/>
      <c r="C282" s="203"/>
      <c r="D282" s="203"/>
      <c r="E282" s="203"/>
      <c r="F282" s="203"/>
      <c r="G282" s="203"/>
      <c r="H282" s="203"/>
      <c r="I282" s="203"/>
      <c r="J282" s="203"/>
      <c r="K282" s="203"/>
      <c r="L282" s="203"/>
      <c r="M282" s="203"/>
      <c r="N282" s="111"/>
    </row>
    <row r="283" spans="1:14">
      <c r="A283" s="92" t="s">
        <v>444</v>
      </c>
      <c r="B283" s="203"/>
      <c r="C283" s="203"/>
      <c r="D283" s="203"/>
      <c r="E283" s="203"/>
      <c r="F283" s="203"/>
      <c r="G283" s="203"/>
      <c r="H283" s="203"/>
      <c r="I283" s="203"/>
      <c r="J283" s="203"/>
      <c r="K283" s="203"/>
      <c r="L283" s="203"/>
      <c r="M283" s="203"/>
      <c r="N283" s="111"/>
    </row>
    <row r="284" spans="1:14">
      <c r="A284" s="111"/>
      <c r="B284" s="203"/>
      <c r="C284" s="203"/>
      <c r="D284" s="203"/>
      <c r="E284" s="203"/>
      <c r="F284" s="203"/>
      <c r="G284" s="203"/>
      <c r="H284" s="203"/>
      <c r="I284" s="203"/>
      <c r="J284" s="203"/>
      <c r="K284" s="203"/>
      <c r="L284" s="203"/>
      <c r="M284" s="203"/>
      <c r="N284" s="111"/>
    </row>
    <row r="285" spans="1:14">
      <c r="A285" s="111"/>
      <c r="B285" s="204"/>
      <c r="C285" s="204"/>
      <c r="D285" s="204"/>
      <c r="E285" s="204"/>
      <c r="F285" s="204"/>
      <c r="G285" s="204"/>
      <c r="H285" s="204"/>
      <c r="I285" s="204"/>
      <c r="J285" s="204"/>
      <c r="K285" s="204"/>
      <c r="L285" s="204"/>
      <c r="M285" s="204"/>
      <c r="N285" s="111"/>
    </row>
    <row r="286" spans="1:14">
      <c r="A286" s="111"/>
      <c r="B286" s="203"/>
      <c r="C286" s="203"/>
      <c r="D286" s="203"/>
      <c r="E286" s="203"/>
      <c r="F286" s="203"/>
      <c r="G286" s="203"/>
      <c r="H286" s="203"/>
      <c r="I286" s="203"/>
      <c r="J286" s="203"/>
      <c r="K286" s="203"/>
      <c r="L286" s="203"/>
      <c r="M286" s="203"/>
      <c r="N286" s="111"/>
    </row>
    <row r="287" spans="1:14">
      <c r="A287" s="111"/>
      <c r="B287" s="205"/>
      <c r="C287" s="205"/>
      <c r="D287" s="205"/>
      <c r="E287" s="205"/>
      <c r="F287" s="205"/>
      <c r="G287" s="205"/>
      <c r="H287" s="205"/>
      <c r="I287" s="205"/>
      <c r="J287" s="205"/>
      <c r="K287" s="205"/>
      <c r="L287" s="205"/>
      <c r="M287" s="205"/>
      <c r="N287" s="111"/>
    </row>
    <row r="288" spans="1:14">
      <c r="A288" s="111"/>
      <c r="B288" s="194"/>
      <c r="C288" s="194"/>
      <c r="D288" s="194"/>
      <c r="E288" s="194"/>
      <c r="F288" s="194"/>
      <c r="G288" s="194"/>
      <c r="H288" s="194"/>
      <c r="I288" s="194"/>
      <c r="J288" s="194"/>
      <c r="K288" s="194"/>
      <c r="L288" s="194"/>
      <c r="M288" s="194"/>
      <c r="N288" s="111"/>
    </row>
    <row r="289" spans="1:14">
      <c r="A289" s="111"/>
      <c r="B289" s="111"/>
      <c r="C289" s="111"/>
      <c r="D289" s="111"/>
      <c r="E289" s="111"/>
      <c r="F289" s="111"/>
      <c r="G289" s="111"/>
      <c r="H289" s="111"/>
      <c r="I289" s="111"/>
      <c r="J289" s="111"/>
      <c r="K289" s="111"/>
      <c r="L289" s="111"/>
      <c r="M289" s="111"/>
      <c r="N289" s="111"/>
    </row>
    <row r="290" spans="1:14">
      <c r="A290" s="111"/>
      <c r="B290" s="111"/>
      <c r="C290" s="111"/>
      <c r="D290" s="111"/>
      <c r="E290" s="111"/>
      <c r="F290" s="111"/>
      <c r="G290" s="111"/>
      <c r="H290" s="111"/>
      <c r="I290" s="111"/>
      <c r="J290" s="111"/>
      <c r="K290" s="111"/>
      <c r="L290" s="111"/>
      <c r="M290" s="111"/>
      <c r="N290" s="111"/>
    </row>
    <row r="291" spans="1:14">
      <c r="A291" s="111"/>
      <c r="B291" s="111"/>
      <c r="C291" s="111"/>
      <c r="D291" s="111"/>
      <c r="E291" s="111"/>
      <c r="F291" s="111"/>
      <c r="G291" s="111"/>
      <c r="H291" s="111"/>
      <c r="I291" s="111"/>
      <c r="J291" s="111"/>
      <c r="K291" s="111"/>
      <c r="L291" s="111"/>
      <c r="M291" s="111"/>
      <c r="N291" s="111"/>
    </row>
  </sheetData>
  <sheetProtection password="8AA1" sheet="1" objects="1" scenarios="1"/>
  <mergeCells count="1">
    <mergeCell ref="J13:L13"/>
  </mergeCells>
  <printOptions horizontalCentered="1"/>
  <pageMargins left="0.25" right="0.25" top="0.25" bottom="0.25" header="0.25" footer="0"/>
  <pageSetup scale="60" orientation="landscape" r:id="rId1"/>
  <headerFooter alignWithMargins="0">
    <oddFooter>&amp;L&amp;8&amp;F &amp;A - &amp;D &amp;T</oddFooter>
  </headerFooter>
  <rowBreaks count="1" manualBreakCount="1">
    <brk id="199" max="14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3" tint="0.59999389629810485"/>
  </sheetPr>
  <dimension ref="A1:Q401"/>
  <sheetViews>
    <sheetView topLeftCell="B1" zoomScale="80" zoomScaleNormal="80" workbookViewId="0"/>
  </sheetViews>
  <sheetFormatPr defaultColWidth="9.109375" defaultRowHeight="13.2"/>
  <cols>
    <col min="1" max="1" width="16.6640625" style="207" customWidth="1"/>
    <col min="2" max="2" width="5.33203125" style="207" customWidth="1"/>
    <col min="3" max="3" width="15.6640625" style="207" customWidth="1"/>
    <col min="4" max="4" width="10.6640625" style="207" customWidth="1"/>
    <col min="5" max="5" width="7.6640625" style="207" customWidth="1"/>
    <col min="6" max="6" width="15.6640625" style="207" customWidth="1"/>
    <col min="7" max="7" width="10.6640625" style="207" customWidth="1"/>
    <col min="8" max="8" width="7.6640625" style="207" customWidth="1"/>
    <col min="9" max="9" width="15.6640625" style="207" customWidth="1"/>
    <col min="10" max="10" width="10.6640625" style="207" customWidth="1"/>
    <col min="11" max="11" width="7.6640625" style="207" customWidth="1"/>
    <col min="12" max="12" width="15.6640625" style="207" customWidth="1"/>
    <col min="13" max="13" width="10.6640625" style="207" customWidth="1"/>
    <col min="14" max="14" width="7.6640625" style="207" customWidth="1"/>
    <col min="15" max="27" width="9.109375" style="207"/>
    <col min="28" max="28" width="14.109375" style="207" customWidth="1"/>
    <col min="29" max="16384" width="9.109375" style="207"/>
  </cols>
  <sheetData>
    <row r="1" spans="1:14" ht="26.1" customHeight="1">
      <c r="A1" s="206"/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</row>
    <row r="2" spans="1:14" ht="5.25" customHeight="1">
      <c r="A2" s="208" t="s">
        <v>263</v>
      </c>
      <c r="B2" s="209">
        <v>0</v>
      </c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</row>
    <row r="3" spans="1:14" s="216" customFormat="1" ht="32.1" customHeight="1">
      <c r="A3" s="211"/>
      <c r="B3" s="212"/>
      <c r="C3" s="212"/>
      <c r="D3" s="212"/>
      <c r="E3" s="212"/>
      <c r="F3" s="212"/>
      <c r="G3" s="212"/>
      <c r="H3" s="212"/>
      <c r="I3" s="212"/>
      <c r="J3" s="212"/>
      <c r="K3" s="213" t="s">
        <v>392</v>
      </c>
      <c r="L3" s="214" t="s">
        <v>157</v>
      </c>
      <c r="M3" s="215"/>
      <c r="N3" s="215"/>
    </row>
    <row r="4" spans="1:14" s="216" customFormat="1" ht="24" customHeight="1">
      <c r="A4" s="217" t="s">
        <v>365</v>
      </c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</row>
    <row r="5" spans="1:14" s="216" customFormat="1" ht="18" customHeight="1">
      <c r="A5" s="218" t="s">
        <v>158</v>
      </c>
      <c r="B5" s="219"/>
      <c r="C5" s="219"/>
      <c r="D5" s="219"/>
      <c r="E5" s="219"/>
      <c r="F5" s="219"/>
      <c r="G5" s="219"/>
      <c r="H5" s="219"/>
      <c r="I5" s="219"/>
      <c r="J5" s="219"/>
      <c r="K5" s="219"/>
      <c r="L5" s="219"/>
      <c r="M5" s="219"/>
      <c r="N5" s="219"/>
    </row>
    <row r="6" spans="1:14" s="216" customFormat="1" ht="18" customHeight="1">
      <c r="A6" s="220"/>
      <c r="B6" s="212"/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</row>
    <row r="7" spans="1:14" s="216" customFormat="1" ht="15.75" customHeight="1">
      <c r="A7" s="221"/>
      <c r="B7" s="222" t="s">
        <v>159</v>
      </c>
      <c r="C7" s="223" t="s">
        <v>392</v>
      </c>
      <c r="D7" s="224"/>
      <c r="E7" s="224"/>
      <c r="F7" s="224"/>
      <c r="G7" s="225"/>
      <c r="H7" s="212"/>
      <c r="I7" s="211"/>
      <c r="J7" s="211"/>
      <c r="K7" s="211"/>
      <c r="L7" s="211"/>
      <c r="M7" s="211"/>
      <c r="N7" s="211"/>
    </row>
    <row r="8" spans="1:14" ht="12.75" customHeight="1">
      <c r="A8" s="226"/>
      <c r="B8" s="227" t="s">
        <v>160</v>
      </c>
      <c r="C8" s="228" t="s">
        <v>395</v>
      </c>
      <c r="D8" s="228"/>
      <c r="E8" s="212"/>
      <c r="F8" s="212"/>
      <c r="G8" s="229"/>
      <c r="H8" s="212"/>
      <c r="I8" s="211"/>
      <c r="J8" s="211"/>
      <c r="K8" s="211"/>
      <c r="L8" s="211"/>
      <c r="M8" s="211"/>
      <c r="N8" s="211"/>
    </row>
    <row r="9" spans="1:14" ht="18" customHeight="1">
      <c r="A9" s="230"/>
      <c r="B9" s="231" t="s">
        <v>161</v>
      </c>
      <c r="C9" s="232" t="s">
        <v>464</v>
      </c>
      <c r="D9" s="233"/>
      <c r="E9" s="233"/>
      <c r="F9" s="233"/>
      <c r="G9" s="234"/>
      <c r="H9" s="212"/>
      <c r="I9" s="211"/>
      <c r="J9" s="211"/>
      <c r="K9" s="211"/>
      <c r="L9" s="211"/>
      <c r="M9" s="211"/>
      <c r="N9" s="211"/>
    </row>
    <row r="10" spans="1:14" ht="12.75" customHeight="1">
      <c r="A10" s="210"/>
      <c r="B10" s="235"/>
      <c r="C10" s="235"/>
      <c r="D10" s="235"/>
      <c r="E10" s="235"/>
      <c r="F10" s="235"/>
      <c r="G10" s="235"/>
      <c r="H10" s="235"/>
      <c r="I10" s="235"/>
      <c r="J10" s="235"/>
      <c r="K10" s="235"/>
      <c r="L10" s="210"/>
      <c r="M10" s="210"/>
      <c r="N10" s="210"/>
    </row>
    <row r="11" spans="1:14" ht="12.75" customHeight="1">
      <c r="A11" s="236" t="s">
        <v>162</v>
      </c>
      <c r="B11" s="235"/>
      <c r="C11" s="235"/>
      <c r="D11" s="235"/>
      <c r="E11" s="235"/>
      <c r="F11" s="235"/>
      <c r="G11" s="235"/>
      <c r="H11" s="235"/>
      <c r="I11" s="235"/>
      <c r="J11" s="235"/>
      <c r="K11" s="235"/>
      <c r="L11" s="210"/>
      <c r="M11" s="210"/>
      <c r="N11" s="210"/>
    </row>
    <row r="12" spans="1:14" ht="12.75" customHeight="1" thickBot="1">
      <c r="A12" s="210"/>
      <c r="B12" s="210"/>
      <c r="C12" s="237" t="s">
        <v>388</v>
      </c>
      <c r="D12" s="210"/>
      <c r="E12" s="210"/>
      <c r="F12" s="237" t="s">
        <v>598</v>
      </c>
      <c r="G12" s="210"/>
      <c r="H12" s="210"/>
      <c r="I12" s="237" t="s">
        <v>388</v>
      </c>
      <c r="J12" s="210"/>
      <c r="K12" s="210"/>
      <c r="L12" s="237" t="s">
        <v>598</v>
      </c>
      <c r="M12" s="210"/>
      <c r="N12" s="210"/>
    </row>
    <row r="13" spans="1:14" ht="18" customHeight="1">
      <c r="A13" s="210"/>
      <c r="B13" s="210"/>
      <c r="C13" s="238" t="s">
        <v>599</v>
      </c>
      <c r="D13" s="239"/>
      <c r="E13" s="240" t="s">
        <v>388</v>
      </c>
      <c r="F13" s="238" t="s">
        <v>600</v>
      </c>
      <c r="G13" s="239"/>
      <c r="H13" s="240" t="s">
        <v>601</v>
      </c>
      <c r="I13" s="238" t="s">
        <v>602</v>
      </c>
      <c r="J13" s="239"/>
      <c r="K13" s="240" t="s">
        <v>388</v>
      </c>
      <c r="L13" s="238" t="s">
        <v>603</v>
      </c>
      <c r="M13" s="239"/>
      <c r="N13" s="240" t="s">
        <v>601</v>
      </c>
    </row>
    <row r="14" spans="1:14" s="245" customFormat="1" ht="45" customHeight="1">
      <c r="A14" s="241" t="s">
        <v>163</v>
      </c>
      <c r="B14" s="241"/>
      <c r="C14" s="242" t="s">
        <v>604</v>
      </c>
      <c r="D14" s="243"/>
      <c r="E14" s="244"/>
      <c r="F14" s="242" t="s">
        <v>605</v>
      </c>
      <c r="G14" s="243"/>
      <c r="H14" s="244"/>
      <c r="I14" s="242" t="s">
        <v>606</v>
      </c>
      <c r="J14" s="243"/>
      <c r="K14" s="244"/>
      <c r="L14" s="242" t="s">
        <v>607</v>
      </c>
      <c r="M14" s="243"/>
      <c r="N14" s="244"/>
    </row>
    <row r="15" spans="1:14" ht="15" customHeight="1">
      <c r="A15" s="216" t="s">
        <v>164</v>
      </c>
      <c r="B15" s="216"/>
      <c r="C15" s="246" t="s">
        <v>608</v>
      </c>
      <c r="D15" s="247"/>
      <c r="E15" s="248"/>
      <c r="F15" s="246" t="s">
        <v>608</v>
      </c>
      <c r="G15" s="247"/>
      <c r="H15" s="248"/>
      <c r="I15" s="246" t="s">
        <v>609</v>
      </c>
      <c r="J15" s="247"/>
      <c r="K15" s="248"/>
      <c r="L15" s="246" t="s">
        <v>609</v>
      </c>
      <c r="M15" s="247"/>
      <c r="N15" s="248"/>
    </row>
    <row r="16" spans="1:14" ht="15" customHeight="1">
      <c r="A16" s="216" t="s">
        <v>165</v>
      </c>
      <c r="B16" s="216"/>
      <c r="C16" s="246" t="s">
        <v>400</v>
      </c>
      <c r="D16" s="247"/>
      <c r="E16" s="248"/>
      <c r="F16" s="246" t="s">
        <v>423</v>
      </c>
      <c r="G16" s="247"/>
      <c r="H16" s="248"/>
      <c r="I16" s="246" t="s">
        <v>428</v>
      </c>
      <c r="J16" s="247"/>
      <c r="K16" s="248"/>
      <c r="L16" s="246" t="s">
        <v>431</v>
      </c>
      <c r="M16" s="247"/>
      <c r="N16" s="248"/>
    </row>
    <row r="17" spans="1:14" ht="15" customHeight="1">
      <c r="A17" s="216" t="s">
        <v>166</v>
      </c>
      <c r="B17" s="216"/>
      <c r="C17" s="246" t="s">
        <v>610</v>
      </c>
      <c r="D17" s="247"/>
      <c r="E17" s="248"/>
      <c r="F17" s="246" t="s">
        <v>610</v>
      </c>
      <c r="G17" s="247"/>
      <c r="H17" s="248"/>
      <c r="I17" s="246" t="s">
        <v>610</v>
      </c>
      <c r="J17" s="247"/>
      <c r="K17" s="248"/>
      <c r="L17" s="246" t="s">
        <v>610</v>
      </c>
      <c r="M17" s="247"/>
      <c r="N17" s="248"/>
    </row>
    <row r="18" spans="1:14" ht="15" customHeight="1">
      <c r="A18" s="216" t="s">
        <v>167</v>
      </c>
      <c r="B18" s="216"/>
      <c r="C18" s="249" t="s">
        <v>611</v>
      </c>
      <c r="D18" s="130"/>
      <c r="E18" s="250"/>
      <c r="F18" s="249" t="s">
        <v>611</v>
      </c>
      <c r="G18" s="130"/>
      <c r="H18" s="250"/>
      <c r="I18" s="249" t="s">
        <v>611</v>
      </c>
      <c r="J18" s="130"/>
      <c r="K18" s="250"/>
      <c r="L18" s="249" t="s">
        <v>611</v>
      </c>
      <c r="M18" s="130"/>
      <c r="N18" s="250"/>
    </row>
    <row r="19" spans="1:14" ht="20.100000000000001" customHeight="1">
      <c r="A19" s="251" t="s">
        <v>168</v>
      </c>
      <c r="B19" s="251"/>
      <c r="C19" s="252" t="s">
        <v>448</v>
      </c>
      <c r="D19" s="253"/>
      <c r="E19" s="254"/>
      <c r="F19" s="252" t="s">
        <v>419</v>
      </c>
      <c r="G19" s="253"/>
      <c r="H19" s="254"/>
      <c r="I19" s="252" t="s">
        <v>448</v>
      </c>
      <c r="J19" s="253"/>
      <c r="K19" s="254"/>
      <c r="L19" s="252" t="s">
        <v>419</v>
      </c>
      <c r="M19" s="253"/>
      <c r="N19" s="254"/>
    </row>
    <row r="20" spans="1:14" ht="15" customHeight="1">
      <c r="A20" s="255" t="s">
        <v>169</v>
      </c>
      <c r="B20" s="256"/>
      <c r="C20" s="257" t="s">
        <v>170</v>
      </c>
      <c r="D20" s="258"/>
      <c r="E20" s="259"/>
      <c r="F20" s="257" t="s">
        <v>170</v>
      </c>
      <c r="G20" s="258"/>
      <c r="H20" s="259"/>
      <c r="I20" s="257" t="s">
        <v>170</v>
      </c>
      <c r="J20" s="258"/>
      <c r="K20" s="259"/>
      <c r="L20" s="257" t="s">
        <v>170</v>
      </c>
      <c r="M20" s="258"/>
      <c r="N20" s="259"/>
    </row>
    <row r="21" spans="1:14" ht="15" customHeight="1">
      <c r="A21" s="216" t="s">
        <v>171</v>
      </c>
      <c r="B21" s="216"/>
      <c r="C21" s="246" t="s">
        <v>449</v>
      </c>
      <c r="D21" s="247"/>
      <c r="E21" s="248"/>
      <c r="F21" s="246" t="s">
        <v>450</v>
      </c>
      <c r="G21" s="247"/>
      <c r="H21" s="248"/>
      <c r="I21" s="246" t="s">
        <v>449</v>
      </c>
      <c r="J21" s="247"/>
      <c r="K21" s="248"/>
      <c r="L21" s="246" t="s">
        <v>450</v>
      </c>
      <c r="M21" s="247"/>
      <c r="N21" s="248"/>
    </row>
    <row r="22" spans="1:14" ht="15" customHeight="1">
      <c r="A22" s="216" t="s">
        <v>172</v>
      </c>
      <c r="B22" s="216"/>
      <c r="C22" s="246" t="s">
        <v>612</v>
      </c>
      <c r="D22" s="247"/>
      <c r="E22" s="248"/>
      <c r="F22" s="246" t="s">
        <v>612</v>
      </c>
      <c r="G22" s="247"/>
      <c r="H22" s="248"/>
      <c r="I22" s="246" t="s">
        <v>612</v>
      </c>
      <c r="J22" s="247"/>
      <c r="K22" s="248"/>
      <c r="L22" s="246" t="s">
        <v>612</v>
      </c>
      <c r="M22" s="247"/>
      <c r="N22" s="248"/>
    </row>
    <row r="23" spans="1:14" ht="15" customHeight="1">
      <c r="A23" s="216" t="s">
        <v>173</v>
      </c>
      <c r="B23" s="216"/>
      <c r="C23" s="246" t="s">
        <v>613</v>
      </c>
      <c r="D23" s="247"/>
      <c r="E23" s="248"/>
      <c r="F23" s="246" t="s">
        <v>614</v>
      </c>
      <c r="G23" s="247"/>
      <c r="H23" s="248"/>
      <c r="I23" s="246" t="s">
        <v>613</v>
      </c>
      <c r="J23" s="247"/>
      <c r="K23" s="248"/>
      <c r="L23" s="246" t="s">
        <v>614</v>
      </c>
      <c r="M23" s="247"/>
      <c r="N23" s="248"/>
    </row>
    <row r="24" spans="1:14" ht="15" customHeight="1">
      <c r="A24" s="216" t="s">
        <v>174</v>
      </c>
      <c r="B24" s="216"/>
      <c r="C24" s="246" t="s">
        <v>80</v>
      </c>
      <c r="D24" s="247"/>
      <c r="E24" s="248"/>
      <c r="F24" s="246" t="s">
        <v>80</v>
      </c>
      <c r="G24" s="247"/>
      <c r="H24" s="248"/>
      <c r="I24" s="246" t="s">
        <v>80</v>
      </c>
      <c r="J24" s="247"/>
      <c r="K24" s="248"/>
      <c r="L24" s="246" t="s">
        <v>80</v>
      </c>
      <c r="M24" s="247"/>
      <c r="N24" s="248"/>
    </row>
    <row r="25" spans="1:14" ht="15" customHeight="1">
      <c r="A25" s="216" t="s">
        <v>175</v>
      </c>
      <c r="B25" s="216"/>
      <c r="C25" s="249" t="s">
        <v>453</v>
      </c>
      <c r="D25" s="130"/>
      <c r="E25" s="250"/>
      <c r="F25" s="249" t="s">
        <v>454</v>
      </c>
      <c r="G25" s="130"/>
      <c r="H25" s="250"/>
      <c r="I25" s="249" t="s">
        <v>453</v>
      </c>
      <c r="J25" s="130"/>
      <c r="K25" s="250"/>
      <c r="L25" s="249" t="s">
        <v>454</v>
      </c>
      <c r="M25" s="130"/>
      <c r="N25" s="250"/>
    </row>
    <row r="26" spans="1:14" ht="15" customHeight="1">
      <c r="A26" s="216" t="s">
        <v>176</v>
      </c>
      <c r="B26" s="216"/>
      <c r="C26" s="246" t="s">
        <v>455</v>
      </c>
      <c r="D26" s="247"/>
      <c r="E26" s="248"/>
      <c r="F26" s="246" t="s">
        <v>455</v>
      </c>
      <c r="G26" s="247"/>
      <c r="H26" s="248"/>
      <c r="I26" s="246" t="s">
        <v>455</v>
      </c>
      <c r="J26" s="247"/>
      <c r="K26" s="248"/>
      <c r="L26" s="246" t="s">
        <v>455</v>
      </c>
      <c r="M26" s="247"/>
      <c r="N26" s="248"/>
    </row>
    <row r="27" spans="1:14" ht="15" customHeight="1">
      <c r="A27" s="216" t="s">
        <v>177</v>
      </c>
      <c r="B27" s="216"/>
      <c r="C27" s="246" t="s">
        <v>456</v>
      </c>
      <c r="D27" s="247"/>
      <c r="E27" s="248"/>
      <c r="F27" s="246" t="s">
        <v>457</v>
      </c>
      <c r="G27" s="247"/>
      <c r="H27" s="248"/>
      <c r="I27" s="246" t="s">
        <v>456</v>
      </c>
      <c r="J27" s="247"/>
      <c r="K27" s="248"/>
      <c r="L27" s="246" t="s">
        <v>457</v>
      </c>
      <c r="M27" s="247"/>
      <c r="N27" s="248"/>
    </row>
    <row r="28" spans="1:14" ht="32.85" customHeight="1">
      <c r="A28" s="251" t="s">
        <v>178</v>
      </c>
      <c r="B28" s="251"/>
      <c r="C28" s="260" t="s">
        <v>414</v>
      </c>
      <c r="D28" s="261"/>
      <c r="E28" s="262"/>
      <c r="F28" s="260" t="s">
        <v>424</v>
      </c>
      <c r="G28" s="261"/>
      <c r="H28" s="262"/>
      <c r="I28" s="260" t="s">
        <v>414</v>
      </c>
      <c r="J28" s="261"/>
      <c r="K28" s="262"/>
      <c r="L28" s="260" t="s">
        <v>424</v>
      </c>
      <c r="M28" s="261"/>
      <c r="N28" s="262"/>
    </row>
    <row r="29" spans="1:14" ht="15" customHeight="1">
      <c r="A29" s="256"/>
      <c r="B29" s="256"/>
      <c r="C29" s="257" t="s">
        <v>179</v>
      </c>
      <c r="D29" s="258"/>
      <c r="E29" s="259"/>
      <c r="F29" s="257" t="s">
        <v>179</v>
      </c>
      <c r="G29" s="258"/>
      <c r="H29" s="259"/>
      <c r="I29" s="257" t="s">
        <v>179</v>
      </c>
      <c r="J29" s="258"/>
      <c r="K29" s="259"/>
      <c r="L29" s="257" t="s">
        <v>179</v>
      </c>
      <c r="M29" s="258"/>
      <c r="N29" s="259"/>
    </row>
    <row r="30" spans="1:14" ht="15" customHeight="1">
      <c r="A30" s="216" t="s">
        <v>175</v>
      </c>
      <c r="B30" s="216"/>
      <c r="C30" s="249" t="s">
        <v>532</v>
      </c>
      <c r="D30" s="130"/>
      <c r="E30" s="250"/>
      <c r="F30" s="249" t="s">
        <v>615</v>
      </c>
      <c r="G30" s="130"/>
      <c r="H30" s="250"/>
      <c r="I30" s="249" t="s">
        <v>532</v>
      </c>
      <c r="J30" s="130"/>
      <c r="K30" s="250"/>
      <c r="L30" s="249" t="s">
        <v>615</v>
      </c>
      <c r="M30" s="130"/>
      <c r="N30" s="250"/>
    </row>
    <row r="31" spans="1:14" ht="15" customHeight="1">
      <c r="A31" s="216" t="s">
        <v>176</v>
      </c>
      <c r="B31" s="216"/>
      <c r="C31" s="246" t="s">
        <v>459</v>
      </c>
      <c r="D31" s="247"/>
      <c r="E31" s="248"/>
      <c r="F31" s="246" t="s">
        <v>459</v>
      </c>
      <c r="G31" s="247"/>
      <c r="H31" s="248"/>
      <c r="I31" s="246" t="s">
        <v>459</v>
      </c>
      <c r="J31" s="247"/>
      <c r="K31" s="248"/>
      <c r="L31" s="246" t="s">
        <v>459</v>
      </c>
      <c r="M31" s="247"/>
      <c r="N31" s="248"/>
    </row>
    <row r="32" spans="1:14" ht="20.100000000000001" customHeight="1">
      <c r="A32" s="251" t="s">
        <v>180</v>
      </c>
      <c r="B32" s="251"/>
      <c r="C32" s="252" t="s">
        <v>460</v>
      </c>
      <c r="D32" s="253"/>
      <c r="E32" s="254"/>
      <c r="F32" s="252" t="s">
        <v>461</v>
      </c>
      <c r="G32" s="253"/>
      <c r="H32" s="254"/>
      <c r="I32" s="252" t="s">
        <v>460</v>
      </c>
      <c r="J32" s="253"/>
      <c r="K32" s="254"/>
      <c r="L32" s="252" t="s">
        <v>461</v>
      </c>
      <c r="M32" s="253"/>
      <c r="N32" s="254"/>
    </row>
    <row r="33" spans="1:14" ht="15" customHeight="1">
      <c r="A33" s="241" t="s">
        <v>181</v>
      </c>
      <c r="B33" s="241"/>
      <c r="C33" s="263"/>
      <c r="D33" s="264"/>
      <c r="E33" s="265"/>
      <c r="F33" s="263"/>
      <c r="G33" s="264"/>
      <c r="H33" s="265"/>
      <c r="I33" s="263"/>
      <c r="J33" s="264"/>
      <c r="K33" s="265"/>
      <c r="L33" s="263"/>
      <c r="M33" s="264"/>
      <c r="N33" s="265"/>
    </row>
    <row r="34" spans="1:14" ht="15" customHeight="1">
      <c r="A34" s="216" t="s">
        <v>182</v>
      </c>
      <c r="B34" s="216"/>
      <c r="C34" s="266">
        <v>45</v>
      </c>
      <c r="D34" s="267"/>
      <c r="E34" s="268"/>
      <c r="F34" s="266">
        <v>10</v>
      </c>
      <c r="G34" s="267"/>
      <c r="H34" s="268"/>
      <c r="I34" s="266">
        <v>0</v>
      </c>
      <c r="J34" s="267"/>
      <c r="K34" s="268"/>
      <c r="L34" s="266">
        <v>0</v>
      </c>
      <c r="M34" s="267"/>
      <c r="N34" s="268"/>
    </row>
    <row r="35" spans="1:14" ht="15" customHeight="1">
      <c r="A35" s="211" t="s">
        <v>462</v>
      </c>
      <c r="B35" s="216"/>
      <c r="C35" s="266">
        <v>10</v>
      </c>
      <c r="D35" s="269"/>
      <c r="E35" s="270"/>
      <c r="F35" s="266">
        <v>5</v>
      </c>
      <c r="G35" s="269"/>
      <c r="H35" s="270"/>
      <c r="I35" s="266">
        <v>0</v>
      </c>
      <c r="J35" s="269"/>
      <c r="K35" s="270"/>
      <c r="L35" s="266">
        <v>0</v>
      </c>
      <c r="M35" s="269"/>
      <c r="N35" s="270"/>
    </row>
    <row r="36" spans="1:14" ht="15" customHeight="1">
      <c r="A36" s="211" t="s">
        <v>463</v>
      </c>
      <c r="B36" s="216"/>
      <c r="C36" s="266">
        <v>9</v>
      </c>
      <c r="D36" s="269"/>
      <c r="E36" s="270"/>
      <c r="F36" s="266">
        <v>2</v>
      </c>
      <c r="G36" s="269"/>
      <c r="H36" s="270"/>
      <c r="I36" s="266">
        <v>0</v>
      </c>
      <c r="J36" s="269"/>
      <c r="K36" s="270"/>
      <c r="L36" s="266">
        <v>0</v>
      </c>
      <c r="M36" s="269"/>
      <c r="N36" s="270"/>
    </row>
    <row r="37" spans="1:14" ht="15" customHeight="1">
      <c r="A37" s="216" t="s">
        <v>183</v>
      </c>
      <c r="B37" s="216"/>
      <c r="C37" s="266">
        <v>25</v>
      </c>
      <c r="D37" s="269"/>
      <c r="E37" s="270"/>
      <c r="F37" s="266">
        <v>13</v>
      </c>
      <c r="G37" s="269"/>
      <c r="H37" s="270"/>
      <c r="I37" s="266">
        <v>1</v>
      </c>
      <c r="J37" s="269"/>
      <c r="K37" s="270"/>
      <c r="L37" s="266">
        <v>0</v>
      </c>
      <c r="M37" s="269"/>
      <c r="N37" s="270"/>
    </row>
    <row r="38" spans="1:14" ht="20.100000000000001" customHeight="1">
      <c r="A38" s="251" t="s">
        <v>133</v>
      </c>
      <c r="B38" s="251"/>
      <c r="C38" s="271">
        <v>89</v>
      </c>
      <c r="D38" s="272"/>
      <c r="E38" s="273"/>
      <c r="F38" s="271">
        <v>30</v>
      </c>
      <c r="G38" s="272"/>
      <c r="H38" s="273"/>
      <c r="I38" s="271">
        <v>1</v>
      </c>
      <c r="J38" s="272"/>
      <c r="K38" s="273"/>
      <c r="L38" s="271">
        <v>0</v>
      </c>
      <c r="M38" s="272"/>
      <c r="N38" s="273"/>
    </row>
    <row r="39" spans="1:14" ht="15" customHeight="1">
      <c r="B39" s="241"/>
      <c r="C39" s="274" t="s">
        <v>184</v>
      </c>
      <c r="D39" s="275"/>
      <c r="E39" s="276"/>
      <c r="F39" s="274" t="s">
        <v>184</v>
      </c>
      <c r="G39" s="275"/>
      <c r="H39" s="276"/>
      <c r="I39" s="274" t="s">
        <v>184</v>
      </c>
      <c r="J39" s="275"/>
      <c r="K39" s="276"/>
      <c r="L39" s="274" t="s">
        <v>184</v>
      </c>
      <c r="M39" s="275"/>
      <c r="N39" s="276"/>
    </row>
    <row r="40" spans="1:14" ht="15" customHeight="1">
      <c r="A40" s="241" t="s">
        <v>185</v>
      </c>
      <c r="B40" s="216"/>
      <c r="C40" s="277" t="s">
        <v>186</v>
      </c>
      <c r="D40" s="278" t="s">
        <v>187</v>
      </c>
      <c r="E40" s="279"/>
      <c r="F40" s="277" t="s">
        <v>186</v>
      </c>
      <c r="G40" s="278" t="s">
        <v>187</v>
      </c>
      <c r="H40" s="279"/>
      <c r="I40" s="277" t="s">
        <v>186</v>
      </c>
      <c r="J40" s="278" t="s">
        <v>187</v>
      </c>
      <c r="K40" s="279"/>
      <c r="L40" s="277" t="s">
        <v>186</v>
      </c>
      <c r="M40" s="278" t="s">
        <v>187</v>
      </c>
      <c r="N40" s="279"/>
    </row>
    <row r="41" spans="1:14" ht="15" customHeight="1">
      <c r="A41" s="207" t="s">
        <v>182</v>
      </c>
      <c r="B41" s="216"/>
      <c r="C41" s="280">
        <v>729.14</v>
      </c>
      <c r="D41" s="281">
        <v>837.75</v>
      </c>
      <c r="E41" s="282"/>
      <c r="F41" s="280">
        <v>465.52</v>
      </c>
      <c r="G41" s="281">
        <v>527.42999999999995</v>
      </c>
      <c r="H41" s="282"/>
      <c r="I41" s="280">
        <v>729.14</v>
      </c>
      <c r="J41" s="281">
        <v>837.75</v>
      </c>
      <c r="K41" s="282"/>
      <c r="L41" s="280">
        <v>465.52</v>
      </c>
      <c r="M41" s="281">
        <v>527.42999999999995</v>
      </c>
      <c r="N41" s="282"/>
    </row>
    <row r="42" spans="1:14" ht="15" customHeight="1">
      <c r="A42" s="207" t="s">
        <v>462</v>
      </c>
      <c r="B42" s="216"/>
      <c r="C42" s="280">
        <v>1531.2</v>
      </c>
      <c r="D42" s="281">
        <v>1759.28</v>
      </c>
      <c r="E42" s="282"/>
      <c r="F42" s="280">
        <v>977.59</v>
      </c>
      <c r="G42" s="281">
        <v>1107.5999999999999</v>
      </c>
      <c r="H42" s="282"/>
      <c r="I42" s="280">
        <v>1531.2</v>
      </c>
      <c r="J42" s="281">
        <v>1759.28</v>
      </c>
      <c r="K42" s="282"/>
      <c r="L42" s="280">
        <v>977.59</v>
      </c>
      <c r="M42" s="281">
        <v>1107.5999999999999</v>
      </c>
      <c r="N42" s="282"/>
    </row>
    <row r="43" spans="1:14" ht="15" customHeight="1">
      <c r="A43" s="207" t="s">
        <v>463</v>
      </c>
      <c r="B43" s="216"/>
      <c r="C43" s="280">
        <v>1385.37</v>
      </c>
      <c r="D43" s="281">
        <v>1591.73</v>
      </c>
      <c r="E43" s="282"/>
      <c r="F43" s="280">
        <v>884.49</v>
      </c>
      <c r="G43" s="281">
        <v>1002.12</v>
      </c>
      <c r="H43" s="282"/>
      <c r="I43" s="280">
        <v>1385.37</v>
      </c>
      <c r="J43" s="281">
        <v>1591.73</v>
      </c>
      <c r="K43" s="282"/>
      <c r="L43" s="280">
        <v>884.49</v>
      </c>
      <c r="M43" s="281">
        <v>1002.12</v>
      </c>
      <c r="N43" s="282"/>
    </row>
    <row r="44" spans="1:14" ht="15" customHeight="1">
      <c r="A44" s="207" t="s">
        <v>183</v>
      </c>
      <c r="B44" s="216"/>
      <c r="C44" s="280">
        <v>2187.42</v>
      </c>
      <c r="D44" s="281">
        <v>2513.25</v>
      </c>
      <c r="E44" s="282"/>
      <c r="F44" s="280">
        <v>1396.56</v>
      </c>
      <c r="G44" s="281">
        <v>1582.29</v>
      </c>
      <c r="H44" s="282"/>
      <c r="I44" s="280">
        <v>2187.42</v>
      </c>
      <c r="J44" s="281">
        <v>2513.25</v>
      </c>
      <c r="K44" s="282"/>
      <c r="L44" s="280">
        <v>1396.56</v>
      </c>
      <c r="M44" s="281">
        <v>1582.29</v>
      </c>
      <c r="N44" s="282"/>
    </row>
    <row r="45" spans="1:14" ht="15" customHeight="1">
      <c r="A45" s="241" t="s">
        <v>188</v>
      </c>
      <c r="B45" s="241"/>
      <c r="C45" s="283">
        <v>115277.13</v>
      </c>
      <c r="D45" s="284">
        <v>132448.37</v>
      </c>
      <c r="E45" s="285"/>
      <c r="F45" s="283">
        <v>29467.409999999996</v>
      </c>
      <c r="G45" s="284">
        <v>33386.31</v>
      </c>
      <c r="H45" s="285"/>
      <c r="I45" s="283">
        <v>2187.42</v>
      </c>
      <c r="J45" s="284">
        <v>2513.25</v>
      </c>
      <c r="K45" s="285"/>
      <c r="L45" s="283">
        <v>0</v>
      </c>
      <c r="M45" s="284">
        <v>0</v>
      </c>
      <c r="N45" s="285"/>
    </row>
    <row r="46" spans="1:14" ht="20.100000000000001" customHeight="1" thickBot="1">
      <c r="A46" s="256" t="s">
        <v>189</v>
      </c>
      <c r="B46" s="256"/>
      <c r="C46" s="286">
        <v>1383325.56</v>
      </c>
      <c r="D46" s="287">
        <v>1589380.44</v>
      </c>
      <c r="E46" s="288"/>
      <c r="F46" s="286">
        <v>353608.91999999993</v>
      </c>
      <c r="G46" s="287">
        <v>400635.72</v>
      </c>
      <c r="H46" s="288"/>
      <c r="I46" s="286">
        <v>26249.040000000001</v>
      </c>
      <c r="J46" s="287">
        <v>30159</v>
      </c>
      <c r="K46" s="288"/>
      <c r="L46" s="286">
        <v>0</v>
      </c>
      <c r="M46" s="287">
        <v>0</v>
      </c>
      <c r="N46" s="288"/>
    </row>
    <row r="47" spans="1:14" ht="18" customHeight="1" thickBot="1">
      <c r="A47" s="289" t="s">
        <v>190</v>
      </c>
      <c r="B47" s="289"/>
      <c r="C47" s="290">
        <v>0.1489567395760798</v>
      </c>
      <c r="D47" s="291"/>
      <c r="E47" s="292"/>
      <c r="F47" s="290">
        <v>0.13298656925461416</v>
      </c>
      <c r="G47" s="291"/>
      <c r="H47" s="292"/>
      <c r="I47" s="290">
        <v>0.1489567395760798</v>
      </c>
      <c r="J47" s="291"/>
      <c r="K47" s="292"/>
      <c r="L47" s="290">
        <v>0.13298656925461416</v>
      </c>
      <c r="M47" s="291"/>
      <c r="N47" s="292"/>
    </row>
    <row r="48" spans="1:14" ht="18" hidden="1" customHeight="1" thickBot="1">
      <c r="A48" s="289" t="s">
        <v>191</v>
      </c>
      <c r="B48" s="289"/>
      <c r="C48" s="290">
        <v>0</v>
      </c>
      <c r="D48" s="291"/>
      <c r="E48" s="292"/>
      <c r="F48" s="290">
        <v>0</v>
      </c>
      <c r="G48" s="291"/>
      <c r="H48" s="292"/>
      <c r="I48" s="290">
        <v>0</v>
      </c>
      <c r="J48" s="291"/>
      <c r="K48" s="292"/>
      <c r="L48" s="290">
        <v>0</v>
      </c>
      <c r="M48" s="291"/>
      <c r="N48" s="292"/>
    </row>
    <row r="49" spans="1:14" ht="12.75" customHeight="1">
      <c r="B49" s="293"/>
    </row>
    <row r="50" spans="1:14" ht="12.75" customHeight="1">
      <c r="B50" s="293"/>
    </row>
    <row r="51" spans="1:14" ht="12.75" customHeight="1">
      <c r="B51" s="293"/>
      <c r="F51" s="294"/>
      <c r="G51" s="294"/>
      <c r="H51" s="294"/>
      <c r="I51" s="294"/>
      <c r="J51" s="294"/>
      <c r="K51" s="294"/>
      <c r="L51" s="294"/>
      <c r="M51" s="294"/>
      <c r="N51" s="294"/>
    </row>
    <row r="52" spans="1:14" ht="12.75" customHeight="1">
      <c r="A52" s="295"/>
      <c r="B52" s="293"/>
      <c r="F52" s="294"/>
      <c r="G52" s="294"/>
      <c r="H52" s="294"/>
      <c r="I52" s="294"/>
      <c r="J52" s="294"/>
      <c r="K52" s="294"/>
      <c r="L52" s="294"/>
      <c r="M52" s="294"/>
      <c r="N52" s="294"/>
    </row>
    <row r="53" spans="1:14" ht="12.75" customHeight="1">
      <c r="B53" s="293"/>
      <c r="F53" s="294"/>
      <c r="G53" s="294"/>
      <c r="H53" s="294"/>
      <c r="I53" s="294"/>
      <c r="J53" s="294"/>
      <c r="K53" s="294"/>
      <c r="L53" s="294"/>
      <c r="M53" s="294"/>
      <c r="N53" s="294"/>
    </row>
    <row r="54" spans="1:14" ht="12.75" customHeight="1">
      <c r="A54" s="296" t="s">
        <v>388</v>
      </c>
      <c r="B54" s="293"/>
      <c r="F54" s="294"/>
      <c r="G54" s="294"/>
      <c r="H54" s="294"/>
      <c r="I54" s="294"/>
      <c r="J54" s="294"/>
      <c r="K54" s="294"/>
      <c r="L54" s="294"/>
      <c r="M54" s="294"/>
      <c r="N54" s="294"/>
    </row>
    <row r="55" spans="1:14" ht="12.75" customHeight="1">
      <c r="A55" s="210"/>
      <c r="B55" s="293"/>
      <c r="F55" s="294"/>
      <c r="G55" s="294"/>
      <c r="H55" s="294"/>
      <c r="I55" s="294"/>
      <c r="J55" s="294"/>
      <c r="K55" s="294"/>
      <c r="L55" s="294"/>
      <c r="M55" s="294"/>
      <c r="N55" s="294"/>
    </row>
    <row r="56" spans="1:14" ht="12.75" customHeight="1">
      <c r="A56" s="297" t="s">
        <v>192</v>
      </c>
      <c r="B56" s="293"/>
      <c r="F56" s="294"/>
      <c r="G56" s="294"/>
      <c r="H56" s="294"/>
      <c r="I56" s="294"/>
      <c r="J56" s="294"/>
      <c r="K56" s="294"/>
      <c r="L56" s="294"/>
      <c r="M56" s="294"/>
      <c r="N56" s="294"/>
    </row>
    <row r="57" spans="1:14" ht="12.75" customHeight="1">
      <c r="A57" s="293" t="s">
        <v>193</v>
      </c>
      <c r="B57" s="293"/>
      <c r="F57" s="294"/>
      <c r="G57" s="294"/>
      <c r="H57" s="294"/>
      <c r="I57" s="294"/>
      <c r="J57" s="294"/>
      <c r="K57" s="294"/>
      <c r="L57" s="294"/>
      <c r="M57" s="294"/>
      <c r="N57" s="294"/>
    </row>
    <row r="58" spans="1:14" ht="12.75" customHeight="1">
      <c r="A58" s="296" t="s">
        <v>194</v>
      </c>
      <c r="B58" s="293"/>
      <c r="F58" s="294"/>
      <c r="G58" s="294"/>
      <c r="H58" s="294"/>
      <c r="I58" s="294"/>
      <c r="J58" s="294"/>
      <c r="K58" s="294"/>
      <c r="L58" s="294"/>
      <c r="M58" s="294"/>
      <c r="N58" s="294"/>
    </row>
    <row r="59" spans="1:14" ht="12.75" customHeight="1">
      <c r="A59" s="296" t="s">
        <v>195</v>
      </c>
      <c r="B59" s="293"/>
      <c r="F59" s="294"/>
      <c r="G59" s="294"/>
      <c r="H59" s="294"/>
      <c r="I59" s="294"/>
      <c r="J59" s="294"/>
      <c r="K59" s="294"/>
      <c r="L59" s="294"/>
      <c r="M59" s="294"/>
      <c r="N59" s="294"/>
    </row>
    <row r="60" spans="1:14" ht="12.75" customHeight="1">
      <c r="A60" s="210"/>
      <c r="B60" s="293"/>
      <c r="F60" s="294"/>
      <c r="G60" s="294"/>
      <c r="H60" s="294"/>
      <c r="I60" s="294"/>
      <c r="J60" s="294"/>
      <c r="K60" s="294"/>
      <c r="L60" s="294"/>
      <c r="M60" s="294"/>
      <c r="N60" s="294"/>
    </row>
    <row r="61" spans="1:14" ht="12.75" customHeight="1">
      <c r="A61" s="298" t="s">
        <v>616</v>
      </c>
      <c r="B61" s="293"/>
      <c r="F61" s="294"/>
      <c r="G61" s="294"/>
      <c r="H61" s="294"/>
      <c r="I61" s="294"/>
      <c r="J61" s="294"/>
      <c r="K61" s="294"/>
      <c r="L61" s="294"/>
      <c r="M61" s="294"/>
      <c r="N61" s="294"/>
    </row>
    <row r="62" spans="1:14" ht="12.75" customHeight="1">
      <c r="A62" s="298" t="s">
        <v>617</v>
      </c>
      <c r="B62" s="293"/>
      <c r="F62" s="294"/>
      <c r="G62" s="294"/>
      <c r="H62" s="294"/>
      <c r="I62" s="294"/>
      <c r="J62" s="294"/>
      <c r="K62" s="294"/>
      <c r="L62" s="294"/>
      <c r="M62" s="294"/>
      <c r="N62" s="294"/>
    </row>
    <row r="63" spans="1:14" ht="12.75" customHeight="1">
      <c r="A63" s="298" t="s">
        <v>618</v>
      </c>
      <c r="B63" s="293"/>
      <c r="F63" s="294"/>
      <c r="G63" s="294"/>
      <c r="H63" s="294"/>
      <c r="I63" s="294"/>
      <c r="J63" s="294"/>
      <c r="K63" s="294"/>
      <c r="L63" s="294"/>
      <c r="M63" s="294"/>
      <c r="N63" s="294"/>
    </row>
    <row r="64" spans="1:14" ht="12.75" customHeight="1">
      <c r="A64" s="293"/>
      <c r="B64" s="293"/>
      <c r="F64" s="294"/>
      <c r="G64" s="294"/>
      <c r="H64" s="294"/>
      <c r="I64" s="294"/>
      <c r="J64" s="294"/>
      <c r="K64" s="294"/>
      <c r="L64" s="294"/>
      <c r="M64" s="294"/>
      <c r="N64" s="294"/>
    </row>
    <row r="65" spans="1:14" ht="12.75" customHeight="1">
      <c r="A65" s="293" t="s">
        <v>196</v>
      </c>
      <c r="B65" s="293"/>
      <c r="F65" s="294"/>
      <c r="G65" s="294"/>
      <c r="H65" s="294"/>
      <c r="I65" s="294"/>
      <c r="J65" s="294"/>
      <c r="K65" s="294"/>
      <c r="L65" s="294"/>
      <c r="M65" s="294"/>
      <c r="N65" s="294"/>
    </row>
    <row r="66" spans="1:14" ht="26.1" hidden="1" customHeight="1">
      <c r="A66" s="299"/>
      <c r="B66" s="299"/>
      <c r="C66" s="299"/>
      <c r="D66" s="299"/>
      <c r="E66" s="299"/>
      <c r="F66" s="299"/>
      <c r="G66" s="299"/>
      <c r="H66" s="299"/>
      <c r="I66" s="299"/>
      <c r="J66" s="299"/>
      <c r="K66" s="299"/>
      <c r="L66" s="299"/>
      <c r="M66" s="299"/>
      <c r="N66" s="299"/>
    </row>
    <row r="67" spans="1:14" ht="5.25" hidden="1" customHeight="1"/>
    <row r="68" spans="1:14" ht="32.1" hidden="1" customHeight="1">
      <c r="A68" s="216"/>
      <c r="B68" s="300"/>
      <c r="C68" s="300"/>
      <c r="D68" s="300"/>
      <c r="E68" s="300"/>
      <c r="F68" s="300"/>
      <c r="G68" s="300"/>
      <c r="H68" s="300"/>
      <c r="I68" s="300"/>
      <c r="J68" s="300"/>
      <c r="K68" s="301" t="s">
        <v>392</v>
      </c>
      <c r="L68" s="302" t="s">
        <v>157</v>
      </c>
      <c r="M68" s="303"/>
      <c r="N68" s="303"/>
    </row>
    <row r="69" spans="1:14" s="216" customFormat="1" ht="24" hidden="1" customHeight="1">
      <c r="A69" s="304" t="s">
        <v>365</v>
      </c>
      <c r="B69" s="300"/>
      <c r="C69" s="300"/>
      <c r="D69" s="300"/>
      <c r="E69" s="300"/>
      <c r="F69" s="300"/>
      <c r="G69" s="300"/>
      <c r="H69" s="300"/>
      <c r="I69" s="300"/>
      <c r="J69" s="300"/>
      <c r="K69" s="300"/>
      <c r="L69" s="300"/>
      <c r="M69" s="300"/>
      <c r="N69" s="300"/>
    </row>
    <row r="70" spans="1:14" s="216" customFormat="1" ht="18" hidden="1" customHeight="1">
      <c r="A70" s="305" t="s">
        <v>158</v>
      </c>
      <c r="C70" s="306"/>
      <c r="D70" s="306"/>
      <c r="E70" s="306"/>
      <c r="F70" s="306"/>
      <c r="G70" s="300"/>
      <c r="H70" s="300"/>
    </row>
    <row r="71" spans="1:14" s="216" customFormat="1" ht="18" hidden="1" customHeight="1">
      <c r="A71" s="300"/>
      <c r="B71" s="300"/>
      <c r="C71" s="300"/>
      <c r="D71" s="300"/>
      <c r="E71" s="300"/>
      <c r="F71" s="300"/>
      <c r="G71" s="300"/>
      <c r="H71" s="300"/>
      <c r="I71" s="300"/>
      <c r="J71" s="300"/>
      <c r="K71" s="300"/>
      <c r="L71" s="300"/>
      <c r="M71" s="300"/>
      <c r="N71" s="300"/>
    </row>
    <row r="72" spans="1:14" s="211" customFormat="1" ht="15.75" hidden="1" customHeight="1">
      <c r="A72" s="221"/>
      <c r="B72" s="222" t="s">
        <v>159</v>
      </c>
      <c r="C72" s="223" t="s">
        <v>392</v>
      </c>
      <c r="D72" s="224"/>
      <c r="E72" s="224"/>
      <c r="F72" s="224"/>
      <c r="G72" s="225"/>
      <c r="H72" s="212"/>
      <c r="I72" s="212"/>
      <c r="J72" s="212"/>
      <c r="K72" s="212"/>
      <c r="L72" s="212"/>
      <c r="M72" s="212"/>
      <c r="N72" s="212"/>
    </row>
    <row r="73" spans="1:14" s="211" customFormat="1" ht="12.75" hidden="1" customHeight="1">
      <c r="A73" s="226"/>
      <c r="B73" s="227" t="s">
        <v>160</v>
      </c>
      <c r="C73" s="228" t="s">
        <v>395</v>
      </c>
      <c r="D73" s="228"/>
      <c r="E73" s="212"/>
      <c r="F73" s="212"/>
      <c r="G73" s="229"/>
      <c r="H73" s="212"/>
      <c r="I73" s="212"/>
      <c r="J73" s="212"/>
      <c r="K73" s="212"/>
      <c r="L73" s="212"/>
      <c r="M73" s="212"/>
      <c r="N73" s="212"/>
    </row>
    <row r="74" spans="1:14" s="211" customFormat="1" ht="18" hidden="1" customHeight="1">
      <c r="A74" s="230"/>
      <c r="B74" s="231" t="s">
        <v>161</v>
      </c>
      <c r="C74" s="232" t="s">
        <v>464</v>
      </c>
      <c r="D74" s="233"/>
      <c r="E74" s="233"/>
      <c r="F74" s="233"/>
      <c r="G74" s="234"/>
      <c r="H74" s="212"/>
    </row>
    <row r="75" spans="1:14" s="216" customFormat="1" ht="12.75" hidden="1" customHeight="1">
      <c r="A75" s="300"/>
      <c r="B75" s="256"/>
      <c r="C75" s="256"/>
      <c r="D75" s="256"/>
      <c r="E75" s="256"/>
      <c r="F75" s="256"/>
      <c r="G75" s="300"/>
      <c r="H75" s="300"/>
    </row>
    <row r="76" spans="1:14" ht="12.75" hidden="1" customHeight="1">
      <c r="A76" s="307" t="s">
        <v>162</v>
      </c>
      <c r="B76" s="308"/>
      <c r="C76" s="308"/>
      <c r="D76" s="308"/>
      <c r="E76" s="308"/>
      <c r="F76" s="308"/>
      <c r="G76" s="308"/>
      <c r="H76" s="308"/>
      <c r="J76" s="308"/>
      <c r="K76" s="308"/>
    </row>
    <row r="77" spans="1:14" ht="12.75" hidden="1" customHeight="1" thickBot="1">
      <c r="C77" s="309" t="s">
        <v>388</v>
      </c>
      <c r="D77" s="310"/>
      <c r="E77" s="310"/>
      <c r="F77" s="309" t="s">
        <v>388</v>
      </c>
      <c r="G77" s="310"/>
      <c r="H77" s="310"/>
      <c r="I77" s="309" t="s">
        <v>388</v>
      </c>
      <c r="J77" s="310"/>
      <c r="K77" s="310"/>
      <c r="L77" s="309" t="s">
        <v>388</v>
      </c>
      <c r="M77" s="310"/>
      <c r="N77" s="310"/>
    </row>
    <row r="78" spans="1:14" ht="18" hidden="1" customHeight="1">
      <c r="A78" s="216"/>
      <c r="B78" s="216"/>
      <c r="C78" s="311" t="s">
        <v>619</v>
      </c>
      <c r="D78" s="312"/>
      <c r="E78" s="312" t="s">
        <v>388</v>
      </c>
      <c r="F78" s="313" t="s">
        <v>620</v>
      </c>
      <c r="G78" s="312"/>
      <c r="H78" s="312" t="s">
        <v>388</v>
      </c>
      <c r="I78" s="313" t="s">
        <v>621</v>
      </c>
      <c r="J78" s="312"/>
      <c r="K78" s="312" t="s">
        <v>388</v>
      </c>
      <c r="L78" s="313" t="s">
        <v>622</v>
      </c>
      <c r="M78" s="312"/>
      <c r="N78" s="312" t="s">
        <v>388</v>
      </c>
    </row>
    <row r="79" spans="1:14" ht="45" hidden="1" customHeight="1">
      <c r="A79" s="241" t="s">
        <v>163</v>
      </c>
      <c r="B79" s="314"/>
      <c r="C79" s="315" t="s">
        <v>623</v>
      </c>
      <c r="D79" s="316"/>
      <c r="E79" s="316"/>
      <c r="F79" s="316" t="s">
        <v>623</v>
      </c>
      <c r="G79" s="316"/>
      <c r="H79" s="316"/>
      <c r="I79" s="316" t="s">
        <v>623</v>
      </c>
      <c r="J79" s="316"/>
      <c r="K79" s="316"/>
      <c r="L79" s="316" t="s">
        <v>623</v>
      </c>
      <c r="M79" s="316"/>
      <c r="N79" s="316"/>
    </row>
    <row r="80" spans="1:14" ht="15" hidden="1" customHeight="1">
      <c r="A80" s="216" t="s">
        <v>164</v>
      </c>
      <c r="B80" s="216"/>
      <c r="C80" s="317" t="s">
        <v>388</v>
      </c>
      <c r="D80" s="318"/>
      <c r="E80" s="318"/>
      <c r="F80" s="318" t="s">
        <v>388</v>
      </c>
      <c r="G80" s="318"/>
      <c r="H80" s="318"/>
      <c r="I80" s="318" t="s">
        <v>388</v>
      </c>
      <c r="J80" s="318"/>
      <c r="K80" s="318"/>
      <c r="L80" s="318" t="s">
        <v>388</v>
      </c>
      <c r="M80" s="318"/>
      <c r="N80" s="318"/>
    </row>
    <row r="81" spans="1:14" ht="15" hidden="1" customHeight="1">
      <c r="A81" s="216" t="s">
        <v>165</v>
      </c>
      <c r="B81" s="216"/>
      <c r="C81" s="317" t="s">
        <v>388</v>
      </c>
      <c r="D81" s="318"/>
      <c r="E81" s="318"/>
      <c r="F81" s="318" t="s">
        <v>388</v>
      </c>
      <c r="G81" s="318"/>
      <c r="H81" s="318"/>
      <c r="I81" s="318" t="s">
        <v>388</v>
      </c>
      <c r="J81" s="318"/>
      <c r="K81" s="318"/>
      <c r="L81" s="318" t="s">
        <v>388</v>
      </c>
      <c r="M81" s="318"/>
      <c r="N81" s="318"/>
    </row>
    <row r="82" spans="1:14" ht="15" hidden="1" customHeight="1">
      <c r="A82" s="216" t="s">
        <v>166</v>
      </c>
      <c r="B82" s="216"/>
      <c r="C82" s="317" t="s">
        <v>388</v>
      </c>
      <c r="D82" s="318"/>
      <c r="E82" s="318"/>
      <c r="F82" s="318" t="s">
        <v>388</v>
      </c>
      <c r="G82" s="318"/>
      <c r="H82" s="318"/>
      <c r="I82" s="318" t="s">
        <v>388</v>
      </c>
      <c r="J82" s="318"/>
      <c r="K82" s="318"/>
      <c r="L82" s="318" t="s">
        <v>388</v>
      </c>
      <c r="M82" s="318"/>
      <c r="N82" s="318"/>
    </row>
    <row r="83" spans="1:14" ht="15" hidden="1" customHeight="1">
      <c r="A83" s="216" t="s">
        <v>167</v>
      </c>
      <c r="B83" s="216"/>
      <c r="C83" s="319" t="s">
        <v>388</v>
      </c>
      <c r="D83" s="320"/>
      <c r="E83" s="320"/>
      <c r="F83" s="320" t="s">
        <v>388</v>
      </c>
      <c r="G83" s="320"/>
      <c r="H83" s="320"/>
      <c r="I83" s="320" t="s">
        <v>388</v>
      </c>
      <c r="J83" s="320"/>
      <c r="K83" s="320"/>
      <c r="L83" s="320" t="s">
        <v>388</v>
      </c>
      <c r="M83" s="320"/>
      <c r="N83" s="320"/>
    </row>
    <row r="84" spans="1:14" ht="20.100000000000001" hidden="1" customHeight="1">
      <c r="A84" s="251" t="s">
        <v>168</v>
      </c>
      <c r="B84" s="251"/>
      <c r="C84" s="321" t="s">
        <v>388</v>
      </c>
      <c r="D84" s="322"/>
      <c r="E84" s="322"/>
      <c r="F84" s="322" t="s">
        <v>388</v>
      </c>
      <c r="G84" s="322"/>
      <c r="H84" s="322"/>
      <c r="I84" s="322" t="s">
        <v>388</v>
      </c>
      <c r="J84" s="322"/>
      <c r="K84" s="322"/>
      <c r="L84" s="322" t="s">
        <v>388</v>
      </c>
      <c r="M84" s="322"/>
      <c r="N84" s="322"/>
    </row>
    <row r="85" spans="1:14" ht="15" hidden="1" customHeight="1">
      <c r="A85" s="241" t="s">
        <v>169</v>
      </c>
      <c r="B85" s="241"/>
      <c r="C85" s="323" t="s">
        <v>170</v>
      </c>
      <c r="D85" s="324"/>
      <c r="E85" s="324"/>
      <c r="F85" s="324" t="s">
        <v>170</v>
      </c>
      <c r="G85" s="324"/>
      <c r="H85" s="324"/>
      <c r="I85" s="324" t="s">
        <v>170</v>
      </c>
      <c r="J85" s="324"/>
      <c r="K85" s="324"/>
      <c r="L85" s="324" t="s">
        <v>170</v>
      </c>
      <c r="M85" s="324"/>
      <c r="N85" s="324"/>
    </row>
    <row r="86" spans="1:14" ht="15" hidden="1" customHeight="1">
      <c r="A86" s="216" t="s">
        <v>171</v>
      </c>
      <c r="B86" s="216"/>
      <c r="C86" s="317" t="s">
        <v>388</v>
      </c>
      <c r="D86" s="318"/>
      <c r="E86" s="318"/>
      <c r="F86" s="318" t="s">
        <v>388</v>
      </c>
      <c r="G86" s="318"/>
      <c r="H86" s="318"/>
      <c r="I86" s="318" t="s">
        <v>388</v>
      </c>
      <c r="J86" s="318"/>
      <c r="K86" s="318"/>
      <c r="L86" s="318" t="s">
        <v>388</v>
      </c>
      <c r="M86" s="318"/>
      <c r="N86" s="318"/>
    </row>
    <row r="87" spans="1:14" ht="15" hidden="1" customHeight="1">
      <c r="A87" s="216" t="s">
        <v>172</v>
      </c>
      <c r="B87" s="216"/>
      <c r="C87" s="317" t="s">
        <v>388</v>
      </c>
      <c r="D87" s="318"/>
      <c r="E87" s="318"/>
      <c r="F87" s="318" t="s">
        <v>388</v>
      </c>
      <c r="G87" s="318"/>
      <c r="H87" s="318"/>
      <c r="I87" s="318" t="s">
        <v>388</v>
      </c>
      <c r="J87" s="318"/>
      <c r="K87" s="318"/>
      <c r="L87" s="318" t="s">
        <v>388</v>
      </c>
      <c r="M87" s="318"/>
      <c r="N87" s="318"/>
    </row>
    <row r="88" spans="1:14" ht="15" hidden="1" customHeight="1">
      <c r="A88" s="216" t="s">
        <v>173</v>
      </c>
      <c r="B88" s="216"/>
      <c r="C88" s="317" t="s">
        <v>388</v>
      </c>
      <c r="D88" s="318"/>
      <c r="E88" s="318"/>
      <c r="F88" s="318" t="s">
        <v>388</v>
      </c>
      <c r="G88" s="318"/>
      <c r="H88" s="318"/>
      <c r="I88" s="318" t="s">
        <v>388</v>
      </c>
      <c r="J88" s="318"/>
      <c r="K88" s="318"/>
      <c r="L88" s="318" t="s">
        <v>388</v>
      </c>
      <c r="M88" s="318"/>
      <c r="N88" s="318"/>
    </row>
    <row r="89" spans="1:14" ht="15" hidden="1" customHeight="1">
      <c r="A89" s="216" t="s">
        <v>174</v>
      </c>
      <c r="B89" s="216"/>
      <c r="C89" s="317" t="s">
        <v>80</v>
      </c>
      <c r="D89" s="318"/>
      <c r="E89" s="318"/>
      <c r="F89" s="318" t="s">
        <v>80</v>
      </c>
      <c r="G89" s="318"/>
      <c r="H89" s="318"/>
      <c r="I89" s="318" t="s">
        <v>80</v>
      </c>
      <c r="J89" s="318"/>
      <c r="K89" s="318"/>
      <c r="L89" s="318" t="s">
        <v>80</v>
      </c>
      <c r="M89" s="318"/>
      <c r="N89" s="318"/>
    </row>
    <row r="90" spans="1:14" ht="15" hidden="1" customHeight="1">
      <c r="A90" s="216" t="s">
        <v>175</v>
      </c>
      <c r="B90" s="216"/>
      <c r="C90" s="319" t="s">
        <v>388</v>
      </c>
      <c r="D90" s="320"/>
      <c r="E90" s="320"/>
      <c r="F90" s="320" t="s">
        <v>388</v>
      </c>
      <c r="G90" s="320"/>
      <c r="H90" s="320"/>
      <c r="I90" s="320" t="s">
        <v>388</v>
      </c>
      <c r="J90" s="320"/>
      <c r="K90" s="320"/>
      <c r="L90" s="320" t="s">
        <v>388</v>
      </c>
      <c r="M90" s="320"/>
      <c r="N90" s="320"/>
    </row>
    <row r="91" spans="1:14" ht="15" hidden="1" customHeight="1">
      <c r="A91" s="216" t="s">
        <v>176</v>
      </c>
      <c r="B91" s="216"/>
      <c r="C91" s="317" t="s">
        <v>388</v>
      </c>
      <c r="D91" s="318"/>
      <c r="E91" s="318"/>
      <c r="F91" s="318" t="s">
        <v>388</v>
      </c>
      <c r="G91" s="318"/>
      <c r="H91" s="318"/>
      <c r="I91" s="318" t="s">
        <v>388</v>
      </c>
      <c r="J91" s="318"/>
      <c r="K91" s="318"/>
      <c r="L91" s="318" t="s">
        <v>388</v>
      </c>
      <c r="M91" s="318"/>
      <c r="N91" s="318"/>
    </row>
    <row r="92" spans="1:14" ht="15" hidden="1" customHeight="1">
      <c r="A92" s="216" t="s">
        <v>177</v>
      </c>
      <c r="B92" s="216"/>
      <c r="C92" s="317" t="s">
        <v>388</v>
      </c>
      <c r="D92" s="318"/>
      <c r="E92" s="318"/>
      <c r="F92" s="318" t="s">
        <v>388</v>
      </c>
      <c r="G92" s="318"/>
      <c r="H92" s="318"/>
      <c r="I92" s="318" t="s">
        <v>388</v>
      </c>
      <c r="J92" s="318"/>
      <c r="K92" s="318"/>
      <c r="L92" s="318" t="s">
        <v>388</v>
      </c>
      <c r="M92" s="318"/>
      <c r="N92" s="318"/>
    </row>
    <row r="93" spans="1:14" ht="32.85" hidden="1" customHeight="1">
      <c r="A93" s="251" t="s">
        <v>178</v>
      </c>
      <c r="B93" s="251"/>
      <c r="C93" s="325" t="s">
        <v>388</v>
      </c>
      <c r="D93" s="326"/>
      <c r="E93" s="326"/>
      <c r="F93" s="327" t="s">
        <v>388</v>
      </c>
      <c r="G93" s="326"/>
      <c r="H93" s="326"/>
      <c r="I93" s="327" t="s">
        <v>388</v>
      </c>
      <c r="J93" s="326"/>
      <c r="K93" s="326"/>
      <c r="L93" s="327" t="s">
        <v>388</v>
      </c>
      <c r="M93" s="326"/>
      <c r="N93" s="326"/>
    </row>
    <row r="94" spans="1:14" ht="15" hidden="1" customHeight="1">
      <c r="A94" s="241"/>
      <c r="B94" s="241"/>
      <c r="C94" s="323" t="s">
        <v>179</v>
      </c>
      <c r="D94" s="324"/>
      <c r="E94" s="324"/>
      <c r="F94" s="324" t="s">
        <v>179</v>
      </c>
      <c r="G94" s="324"/>
      <c r="H94" s="324"/>
      <c r="I94" s="324" t="s">
        <v>179</v>
      </c>
      <c r="J94" s="324"/>
      <c r="K94" s="324"/>
      <c r="L94" s="324" t="s">
        <v>179</v>
      </c>
      <c r="M94" s="324"/>
      <c r="N94" s="324"/>
    </row>
    <row r="95" spans="1:14" ht="15" hidden="1" customHeight="1">
      <c r="A95" s="216" t="s">
        <v>175</v>
      </c>
      <c r="B95" s="216"/>
      <c r="C95" s="319" t="s">
        <v>388</v>
      </c>
      <c r="D95" s="320"/>
      <c r="E95" s="320"/>
      <c r="F95" s="320" t="s">
        <v>388</v>
      </c>
      <c r="G95" s="320"/>
      <c r="H95" s="320"/>
      <c r="I95" s="320" t="s">
        <v>388</v>
      </c>
      <c r="J95" s="320"/>
      <c r="K95" s="320"/>
      <c r="L95" s="320" t="s">
        <v>388</v>
      </c>
      <c r="M95" s="320"/>
      <c r="N95" s="320"/>
    </row>
    <row r="96" spans="1:14" ht="15" hidden="1" customHeight="1">
      <c r="A96" s="216" t="s">
        <v>176</v>
      </c>
      <c r="B96" s="216"/>
      <c r="C96" s="317" t="s">
        <v>388</v>
      </c>
      <c r="D96" s="318"/>
      <c r="E96" s="318"/>
      <c r="F96" s="318" t="s">
        <v>388</v>
      </c>
      <c r="G96" s="318"/>
      <c r="H96" s="318"/>
      <c r="I96" s="318" t="s">
        <v>388</v>
      </c>
      <c r="J96" s="318"/>
      <c r="K96" s="318"/>
      <c r="L96" s="318" t="s">
        <v>388</v>
      </c>
      <c r="M96" s="318"/>
      <c r="N96" s="318"/>
    </row>
    <row r="97" spans="1:14" ht="20.100000000000001" hidden="1" customHeight="1">
      <c r="A97" s="251" t="s">
        <v>180</v>
      </c>
      <c r="B97" s="251"/>
      <c r="C97" s="321" t="s">
        <v>388</v>
      </c>
      <c r="D97" s="322"/>
      <c r="E97" s="322"/>
      <c r="F97" s="322" t="s">
        <v>388</v>
      </c>
      <c r="G97" s="322"/>
      <c r="H97" s="322"/>
      <c r="I97" s="322" t="s">
        <v>388</v>
      </c>
      <c r="J97" s="322"/>
      <c r="K97" s="322"/>
      <c r="L97" s="322" t="s">
        <v>388</v>
      </c>
      <c r="M97" s="322"/>
      <c r="N97" s="322"/>
    </row>
    <row r="98" spans="1:14" ht="15" hidden="1" customHeight="1">
      <c r="A98" s="241" t="s">
        <v>181</v>
      </c>
      <c r="B98" s="241"/>
      <c r="C98" s="328"/>
      <c r="D98" s="329"/>
      <c r="E98" s="329"/>
      <c r="F98" s="329"/>
      <c r="G98" s="329"/>
      <c r="H98" s="329"/>
      <c r="I98" s="329"/>
      <c r="J98" s="329"/>
      <c r="K98" s="329"/>
      <c r="L98" s="329"/>
      <c r="M98" s="329"/>
      <c r="N98" s="329"/>
    </row>
    <row r="99" spans="1:14" ht="15" hidden="1" customHeight="1">
      <c r="A99" s="216" t="s">
        <v>182</v>
      </c>
      <c r="B99" s="216"/>
      <c r="C99" s="330" t="s">
        <v>388</v>
      </c>
      <c r="D99" s="331"/>
      <c r="E99" s="331"/>
      <c r="F99" s="332" t="s">
        <v>388</v>
      </c>
      <c r="G99" s="331"/>
      <c r="H99" s="331"/>
      <c r="I99" s="332" t="s">
        <v>388</v>
      </c>
      <c r="J99" s="331"/>
      <c r="K99" s="331"/>
      <c r="L99" s="332" t="s">
        <v>388</v>
      </c>
      <c r="M99" s="331"/>
      <c r="N99" s="331"/>
    </row>
    <row r="100" spans="1:14" ht="15" hidden="1" customHeight="1">
      <c r="A100" s="216" t="s">
        <v>462</v>
      </c>
      <c r="B100" s="216"/>
      <c r="C100" s="330" t="s">
        <v>388</v>
      </c>
      <c r="D100" s="332"/>
      <c r="E100" s="332"/>
      <c r="F100" s="332" t="s">
        <v>388</v>
      </c>
      <c r="G100" s="332"/>
      <c r="H100" s="332"/>
      <c r="I100" s="332" t="s">
        <v>388</v>
      </c>
      <c r="J100" s="332"/>
      <c r="K100" s="332"/>
      <c r="L100" s="332" t="s">
        <v>388</v>
      </c>
      <c r="M100" s="332"/>
      <c r="N100" s="332"/>
    </row>
    <row r="101" spans="1:14" ht="15" hidden="1" customHeight="1">
      <c r="A101" s="216" t="s">
        <v>463</v>
      </c>
      <c r="B101" s="216"/>
      <c r="C101" s="330" t="s">
        <v>388</v>
      </c>
      <c r="D101" s="332"/>
      <c r="E101" s="332"/>
      <c r="F101" s="332" t="s">
        <v>388</v>
      </c>
      <c r="G101" s="332"/>
      <c r="H101" s="332"/>
      <c r="I101" s="332" t="s">
        <v>388</v>
      </c>
      <c r="J101" s="332"/>
      <c r="K101" s="332"/>
      <c r="L101" s="332" t="s">
        <v>388</v>
      </c>
      <c r="M101" s="332"/>
      <c r="N101" s="332"/>
    </row>
    <row r="102" spans="1:14" ht="15" hidden="1" customHeight="1">
      <c r="A102" s="216" t="s">
        <v>183</v>
      </c>
      <c r="B102" s="216"/>
      <c r="C102" s="330" t="s">
        <v>388</v>
      </c>
      <c r="D102" s="332"/>
      <c r="E102" s="332"/>
      <c r="F102" s="332" t="s">
        <v>388</v>
      </c>
      <c r="G102" s="332"/>
      <c r="H102" s="332"/>
      <c r="I102" s="332" t="s">
        <v>388</v>
      </c>
      <c r="J102" s="332"/>
      <c r="K102" s="332"/>
      <c r="L102" s="332" t="s">
        <v>388</v>
      </c>
      <c r="M102" s="332"/>
      <c r="N102" s="332"/>
    </row>
    <row r="103" spans="1:14" ht="20.100000000000001" hidden="1" customHeight="1">
      <c r="A103" s="251" t="s">
        <v>133</v>
      </c>
      <c r="B103" s="251"/>
      <c r="C103" s="333">
        <v>0</v>
      </c>
      <c r="D103" s="334"/>
      <c r="E103" s="334"/>
      <c r="F103" s="334">
        <v>0</v>
      </c>
      <c r="G103" s="334"/>
      <c r="H103" s="334"/>
      <c r="I103" s="334">
        <v>0</v>
      </c>
      <c r="J103" s="334"/>
      <c r="K103" s="334"/>
      <c r="L103" s="334">
        <v>0</v>
      </c>
      <c r="M103" s="334"/>
      <c r="N103" s="334"/>
    </row>
    <row r="104" spans="1:14" ht="15" hidden="1" customHeight="1">
      <c r="B104" s="241"/>
      <c r="C104" s="335" t="s">
        <v>184</v>
      </c>
      <c r="D104" s="336"/>
      <c r="E104" s="336"/>
      <c r="F104" s="336" t="s">
        <v>184</v>
      </c>
      <c r="G104" s="336"/>
      <c r="H104" s="336"/>
      <c r="I104" s="336" t="s">
        <v>184</v>
      </c>
      <c r="J104" s="336"/>
      <c r="K104" s="336"/>
      <c r="L104" s="336" t="s">
        <v>184</v>
      </c>
      <c r="M104" s="336"/>
      <c r="N104" s="336"/>
    </row>
    <row r="105" spans="1:14" ht="15" hidden="1" customHeight="1">
      <c r="A105" s="241" t="s">
        <v>185</v>
      </c>
      <c r="B105" s="216"/>
      <c r="C105" s="337" t="s">
        <v>186</v>
      </c>
      <c r="D105" s="338" t="s">
        <v>187</v>
      </c>
      <c r="E105" s="338"/>
      <c r="F105" s="312" t="s">
        <v>186</v>
      </c>
      <c r="G105" s="338" t="s">
        <v>187</v>
      </c>
      <c r="H105" s="338"/>
      <c r="I105" s="312" t="s">
        <v>186</v>
      </c>
      <c r="J105" s="338" t="s">
        <v>187</v>
      </c>
      <c r="K105" s="338"/>
      <c r="L105" s="312" t="s">
        <v>186</v>
      </c>
      <c r="M105" s="338" t="s">
        <v>187</v>
      </c>
      <c r="N105" s="338"/>
    </row>
    <row r="106" spans="1:14" ht="15" hidden="1" customHeight="1">
      <c r="A106" s="216" t="s">
        <v>182</v>
      </c>
      <c r="B106" s="216"/>
      <c r="C106" s="339" t="s">
        <v>388</v>
      </c>
      <c r="D106" s="340" t="s">
        <v>388</v>
      </c>
      <c r="E106" s="340"/>
      <c r="F106" s="341" t="s">
        <v>388</v>
      </c>
      <c r="G106" s="340" t="s">
        <v>388</v>
      </c>
      <c r="H106" s="340"/>
      <c r="I106" s="341" t="s">
        <v>388</v>
      </c>
      <c r="J106" s="340" t="s">
        <v>388</v>
      </c>
      <c r="K106" s="340"/>
      <c r="L106" s="341" t="s">
        <v>388</v>
      </c>
      <c r="M106" s="340" t="s">
        <v>388</v>
      </c>
      <c r="N106" s="340"/>
    </row>
    <row r="107" spans="1:14" ht="15" hidden="1" customHeight="1">
      <c r="A107" s="216" t="s">
        <v>462</v>
      </c>
      <c r="B107" s="216"/>
      <c r="C107" s="339" t="s">
        <v>388</v>
      </c>
      <c r="D107" s="340" t="s">
        <v>388</v>
      </c>
      <c r="E107" s="340"/>
      <c r="F107" s="341" t="s">
        <v>388</v>
      </c>
      <c r="G107" s="340" t="s">
        <v>388</v>
      </c>
      <c r="H107" s="340"/>
      <c r="I107" s="341" t="s">
        <v>388</v>
      </c>
      <c r="J107" s="340" t="s">
        <v>388</v>
      </c>
      <c r="K107" s="340"/>
      <c r="L107" s="341" t="s">
        <v>388</v>
      </c>
      <c r="M107" s="340" t="s">
        <v>388</v>
      </c>
      <c r="N107" s="340"/>
    </row>
    <row r="108" spans="1:14" ht="15" hidden="1" customHeight="1">
      <c r="A108" s="216" t="s">
        <v>463</v>
      </c>
      <c r="B108" s="216"/>
      <c r="C108" s="339" t="s">
        <v>388</v>
      </c>
      <c r="D108" s="340" t="s">
        <v>388</v>
      </c>
      <c r="E108" s="340"/>
      <c r="F108" s="341" t="s">
        <v>388</v>
      </c>
      <c r="G108" s="340" t="s">
        <v>388</v>
      </c>
      <c r="H108" s="340"/>
      <c r="I108" s="341" t="s">
        <v>388</v>
      </c>
      <c r="J108" s="340" t="s">
        <v>388</v>
      </c>
      <c r="K108" s="340"/>
      <c r="L108" s="341" t="s">
        <v>388</v>
      </c>
      <c r="M108" s="340" t="s">
        <v>388</v>
      </c>
      <c r="N108" s="340"/>
    </row>
    <row r="109" spans="1:14" ht="15" hidden="1" customHeight="1">
      <c r="A109" s="216" t="s">
        <v>183</v>
      </c>
      <c r="B109" s="216"/>
      <c r="C109" s="339" t="s">
        <v>388</v>
      </c>
      <c r="D109" s="340" t="s">
        <v>388</v>
      </c>
      <c r="E109" s="340"/>
      <c r="F109" s="341" t="s">
        <v>388</v>
      </c>
      <c r="G109" s="340" t="s">
        <v>388</v>
      </c>
      <c r="H109" s="340"/>
      <c r="I109" s="341" t="s">
        <v>388</v>
      </c>
      <c r="J109" s="340" t="s">
        <v>388</v>
      </c>
      <c r="K109" s="340"/>
      <c r="L109" s="341" t="s">
        <v>388</v>
      </c>
      <c r="M109" s="340" t="s">
        <v>388</v>
      </c>
      <c r="N109" s="340"/>
    </row>
    <row r="110" spans="1:14" ht="15" hidden="1" customHeight="1">
      <c r="A110" s="241" t="s">
        <v>188</v>
      </c>
      <c r="B110" s="241"/>
      <c r="C110" s="342" t="s">
        <v>388</v>
      </c>
      <c r="D110" s="343">
        <v>0</v>
      </c>
      <c r="E110" s="343"/>
      <c r="F110" s="344" t="s">
        <v>388</v>
      </c>
      <c r="G110" s="343">
        <v>0</v>
      </c>
      <c r="H110" s="343"/>
      <c r="I110" s="344" t="s">
        <v>388</v>
      </c>
      <c r="J110" s="343">
        <v>0</v>
      </c>
      <c r="K110" s="343"/>
      <c r="L110" s="344" t="s">
        <v>388</v>
      </c>
      <c r="M110" s="343">
        <v>0</v>
      </c>
      <c r="N110" s="343"/>
    </row>
    <row r="111" spans="1:14" ht="20.100000000000001" hidden="1" customHeight="1" thickBot="1">
      <c r="A111" s="256" t="s">
        <v>189</v>
      </c>
      <c r="B111" s="256"/>
      <c r="C111" s="345" t="s">
        <v>388</v>
      </c>
      <c r="D111" s="346">
        <v>0</v>
      </c>
      <c r="E111" s="346"/>
      <c r="F111" s="347" t="s">
        <v>388</v>
      </c>
      <c r="G111" s="346">
        <v>0</v>
      </c>
      <c r="H111" s="346"/>
      <c r="I111" s="347" t="s">
        <v>388</v>
      </c>
      <c r="J111" s="346">
        <v>0</v>
      </c>
      <c r="K111" s="346"/>
      <c r="L111" s="347" t="s">
        <v>388</v>
      </c>
      <c r="M111" s="346">
        <v>0</v>
      </c>
      <c r="N111" s="346"/>
    </row>
    <row r="112" spans="1:14" ht="18" hidden="1" customHeight="1" thickBot="1">
      <c r="A112" s="256" t="s">
        <v>190</v>
      </c>
      <c r="B112" s="255"/>
      <c r="C112" s="348" t="s">
        <v>388</v>
      </c>
      <c r="D112" s="349"/>
      <c r="E112" s="349"/>
      <c r="F112" s="349" t="s">
        <v>388</v>
      </c>
      <c r="G112" s="349"/>
      <c r="H112" s="349"/>
      <c r="I112" s="349" t="s">
        <v>388</v>
      </c>
      <c r="J112" s="349"/>
      <c r="K112" s="349"/>
      <c r="L112" s="349" t="s">
        <v>388</v>
      </c>
      <c r="M112" s="349"/>
      <c r="N112" s="349"/>
    </row>
    <row r="113" spans="1:14" ht="18" hidden="1" customHeight="1" thickBot="1">
      <c r="A113" s="289" t="s">
        <v>191</v>
      </c>
      <c r="B113" s="289"/>
      <c r="C113" s="348">
        <v>0</v>
      </c>
      <c r="D113" s="349"/>
      <c r="E113" s="349"/>
      <c r="F113" s="349">
        <v>0</v>
      </c>
      <c r="G113" s="349"/>
      <c r="H113" s="349"/>
      <c r="I113" s="349">
        <v>0</v>
      </c>
      <c r="J113" s="349"/>
      <c r="K113" s="349"/>
      <c r="L113" s="349">
        <v>0</v>
      </c>
      <c r="M113" s="349"/>
      <c r="N113" s="349"/>
    </row>
    <row r="114" spans="1:14" ht="12.75" hidden="1" customHeight="1">
      <c r="B114" s="216"/>
      <c r="C114" s="350"/>
      <c r="D114" s="350"/>
      <c r="E114" s="350"/>
      <c r="F114" s="350"/>
      <c r="G114" s="350"/>
      <c r="H114" s="350"/>
      <c r="I114" s="350"/>
      <c r="J114" s="350"/>
      <c r="K114" s="350"/>
      <c r="L114" s="350"/>
      <c r="M114" s="350"/>
      <c r="N114" s="350"/>
    </row>
    <row r="115" spans="1:14" ht="12.75" hidden="1" customHeight="1">
      <c r="B115" s="216"/>
    </row>
    <row r="116" spans="1:14" ht="12.75" hidden="1" customHeight="1">
      <c r="B116" s="216"/>
      <c r="C116" s="294"/>
      <c r="D116" s="294"/>
      <c r="E116" s="294"/>
      <c r="F116" s="294"/>
      <c r="G116" s="294"/>
      <c r="H116" s="294"/>
      <c r="I116" s="294"/>
      <c r="J116" s="294"/>
      <c r="K116" s="294"/>
      <c r="L116" s="294"/>
      <c r="M116" s="294"/>
      <c r="N116" s="294"/>
    </row>
    <row r="117" spans="1:14" ht="12.75" hidden="1" customHeight="1">
      <c r="A117" s="351"/>
      <c r="B117" s="216"/>
      <c r="C117" s="294"/>
      <c r="D117" s="294"/>
      <c r="E117" s="294"/>
      <c r="F117" s="294"/>
      <c r="G117" s="294"/>
      <c r="H117" s="294"/>
      <c r="I117" s="294"/>
      <c r="J117" s="294"/>
      <c r="K117" s="294"/>
      <c r="L117" s="294"/>
      <c r="M117" s="294"/>
      <c r="N117" s="294"/>
    </row>
    <row r="118" spans="1:14" ht="12.75" hidden="1" customHeight="1">
      <c r="A118" s="351"/>
      <c r="B118" s="216"/>
      <c r="C118" s="294"/>
      <c r="D118" s="294"/>
      <c r="E118" s="294"/>
      <c r="F118" s="294"/>
      <c r="G118" s="294"/>
      <c r="H118" s="294"/>
      <c r="I118" s="294"/>
      <c r="J118" s="294"/>
      <c r="K118" s="294"/>
      <c r="L118" s="294"/>
      <c r="M118" s="294"/>
      <c r="N118" s="294"/>
    </row>
    <row r="119" spans="1:14" ht="12.75" hidden="1" customHeight="1">
      <c r="A119" s="351" t="s">
        <v>388</v>
      </c>
      <c r="B119" s="216"/>
      <c r="C119" s="294"/>
      <c r="D119" s="294"/>
      <c r="E119" s="294"/>
      <c r="F119" s="294"/>
      <c r="G119" s="294"/>
      <c r="H119" s="294"/>
      <c r="I119" s="294"/>
      <c r="J119" s="294"/>
      <c r="K119" s="294"/>
      <c r="L119" s="294"/>
      <c r="M119" s="294"/>
      <c r="N119" s="294"/>
    </row>
    <row r="120" spans="1:14" ht="12.75" hidden="1" customHeight="1">
      <c r="A120" s="351"/>
      <c r="B120" s="216"/>
      <c r="C120" s="294"/>
      <c r="D120" s="294"/>
      <c r="E120" s="294"/>
      <c r="F120" s="294"/>
      <c r="G120" s="294"/>
      <c r="H120" s="294"/>
      <c r="I120" s="294"/>
      <c r="J120" s="294"/>
      <c r="K120" s="294"/>
      <c r="L120" s="294"/>
      <c r="M120" s="294"/>
      <c r="N120" s="294"/>
    </row>
    <row r="121" spans="1:14" ht="12.75" hidden="1" customHeight="1">
      <c r="A121" s="352" t="s">
        <v>192</v>
      </c>
      <c r="B121" s="216"/>
      <c r="C121" s="294"/>
      <c r="D121" s="294"/>
      <c r="E121" s="294"/>
      <c r="F121" s="294"/>
      <c r="G121" s="294"/>
      <c r="H121" s="294"/>
      <c r="I121" s="294"/>
      <c r="J121" s="294"/>
      <c r="K121" s="294"/>
      <c r="L121" s="294"/>
      <c r="M121" s="294"/>
      <c r="N121" s="294"/>
    </row>
    <row r="122" spans="1:14" ht="12.75" hidden="1" customHeight="1">
      <c r="A122" s="351" t="s">
        <v>193</v>
      </c>
      <c r="B122" s="216"/>
      <c r="C122" s="294"/>
      <c r="D122" s="294"/>
      <c r="E122" s="294"/>
      <c r="F122" s="294"/>
      <c r="G122" s="294"/>
      <c r="H122" s="294"/>
      <c r="I122" s="294"/>
      <c r="J122" s="294"/>
      <c r="K122" s="294"/>
      <c r="L122" s="294"/>
      <c r="M122" s="294"/>
      <c r="N122" s="294"/>
    </row>
    <row r="123" spans="1:14" ht="12.75" hidden="1" customHeight="1">
      <c r="A123" s="351" t="s">
        <v>194</v>
      </c>
      <c r="B123" s="216"/>
      <c r="C123" s="294"/>
      <c r="D123" s="294"/>
      <c r="E123" s="294"/>
      <c r="F123" s="294"/>
      <c r="G123" s="294"/>
      <c r="H123" s="294"/>
      <c r="I123" s="294"/>
      <c r="J123" s="294"/>
      <c r="K123" s="294"/>
      <c r="L123" s="294"/>
      <c r="M123" s="294"/>
      <c r="N123" s="294"/>
    </row>
    <row r="124" spans="1:14" ht="12.75" hidden="1" customHeight="1">
      <c r="A124" s="351" t="s">
        <v>195</v>
      </c>
      <c r="B124" s="216"/>
      <c r="C124" s="294"/>
      <c r="D124" s="294"/>
      <c r="E124" s="294"/>
      <c r="F124" s="294"/>
      <c r="G124" s="294"/>
      <c r="H124" s="294"/>
      <c r="I124" s="294"/>
      <c r="J124" s="294"/>
      <c r="K124" s="294"/>
      <c r="L124" s="294"/>
      <c r="M124" s="294"/>
      <c r="N124" s="294"/>
    </row>
    <row r="125" spans="1:14" ht="12.75" hidden="1" customHeight="1">
      <c r="A125" s="351"/>
      <c r="B125" s="216"/>
      <c r="C125" s="294"/>
      <c r="D125" s="294"/>
      <c r="E125" s="294"/>
      <c r="F125" s="294"/>
      <c r="G125" s="294"/>
      <c r="H125" s="294"/>
      <c r="I125" s="294"/>
      <c r="J125" s="294"/>
      <c r="K125" s="294"/>
      <c r="L125" s="294"/>
      <c r="M125" s="294"/>
      <c r="N125" s="294"/>
    </row>
    <row r="126" spans="1:14" ht="12.75" hidden="1" customHeight="1">
      <c r="A126" s="351" t="s">
        <v>616</v>
      </c>
      <c r="B126" s="216"/>
      <c r="C126" s="294"/>
      <c r="D126" s="294"/>
      <c r="E126" s="294"/>
      <c r="F126" s="294"/>
      <c r="G126" s="294"/>
      <c r="H126" s="294"/>
      <c r="I126" s="294"/>
      <c r="J126" s="294"/>
      <c r="K126" s="294"/>
      <c r="L126" s="294"/>
      <c r="M126" s="294"/>
      <c r="N126" s="294"/>
    </row>
    <row r="127" spans="1:14" ht="12.75" hidden="1" customHeight="1">
      <c r="A127" s="351" t="s">
        <v>617</v>
      </c>
      <c r="B127" s="216"/>
      <c r="C127" s="294"/>
      <c r="D127" s="294"/>
      <c r="E127" s="294"/>
      <c r="F127" s="294"/>
      <c r="G127" s="294"/>
      <c r="H127" s="294"/>
      <c r="I127" s="294"/>
      <c r="J127" s="294"/>
      <c r="K127" s="294"/>
      <c r="L127" s="294"/>
      <c r="M127" s="294"/>
      <c r="N127" s="294"/>
    </row>
    <row r="128" spans="1:14" ht="12.75" hidden="1" customHeight="1">
      <c r="A128" s="351" t="s">
        <v>618</v>
      </c>
      <c r="B128" s="216"/>
      <c r="C128" s="294"/>
      <c r="D128" s="294"/>
      <c r="E128" s="294"/>
      <c r="F128" s="294"/>
      <c r="G128" s="294"/>
      <c r="H128" s="294"/>
      <c r="I128" s="294"/>
      <c r="J128" s="294"/>
      <c r="K128" s="294"/>
      <c r="L128" s="294"/>
      <c r="M128" s="294"/>
      <c r="N128" s="294"/>
    </row>
    <row r="129" spans="1:14" ht="12.75" hidden="1" customHeight="1">
      <c r="A129" s="351"/>
      <c r="B129" s="216"/>
      <c r="C129" s="294"/>
      <c r="D129" s="294"/>
      <c r="E129" s="294"/>
      <c r="F129" s="294"/>
      <c r="G129" s="294"/>
      <c r="H129" s="294"/>
      <c r="I129" s="294"/>
      <c r="J129" s="294"/>
      <c r="K129" s="294"/>
      <c r="L129" s="294"/>
      <c r="M129" s="294"/>
      <c r="N129" s="294"/>
    </row>
    <row r="130" spans="1:14" ht="12.75" hidden="1" customHeight="1">
      <c r="A130" s="351" t="s">
        <v>196</v>
      </c>
      <c r="B130" s="216"/>
      <c r="C130" s="294"/>
      <c r="D130" s="294"/>
      <c r="E130" s="294"/>
      <c r="F130" s="294"/>
      <c r="G130" s="294"/>
      <c r="H130" s="294"/>
      <c r="I130" s="294"/>
      <c r="J130" s="294"/>
      <c r="K130" s="294"/>
      <c r="L130" s="294"/>
      <c r="M130" s="294"/>
      <c r="N130" s="294"/>
    </row>
    <row r="131" spans="1:14" ht="26.1" hidden="1" customHeight="1">
      <c r="A131" s="299"/>
      <c r="B131" s="299"/>
      <c r="C131" s="299"/>
      <c r="D131" s="299"/>
      <c r="E131" s="299"/>
      <c r="F131" s="299"/>
      <c r="G131" s="299"/>
      <c r="H131" s="299"/>
      <c r="I131" s="299"/>
      <c r="J131" s="299"/>
      <c r="K131" s="299"/>
      <c r="L131" s="299"/>
      <c r="M131" s="299"/>
      <c r="N131" s="299"/>
    </row>
    <row r="132" spans="1:14" ht="5.25" hidden="1" customHeight="1"/>
    <row r="133" spans="1:14" ht="32.1" hidden="1" customHeight="1">
      <c r="A133" s="216"/>
      <c r="B133" s="300"/>
      <c r="C133" s="300"/>
      <c r="D133" s="300"/>
      <c r="E133" s="300"/>
      <c r="F133" s="300"/>
      <c r="G133" s="300"/>
      <c r="H133" s="300"/>
      <c r="I133" s="300"/>
      <c r="J133" s="300"/>
      <c r="K133" s="301" t="s">
        <v>392</v>
      </c>
      <c r="L133" s="302" t="s">
        <v>157</v>
      </c>
      <c r="M133" s="303"/>
      <c r="N133" s="303"/>
    </row>
    <row r="134" spans="1:14" ht="24" hidden="1" customHeight="1">
      <c r="A134" s="304" t="s">
        <v>365</v>
      </c>
      <c r="B134" s="300"/>
      <c r="C134" s="300"/>
      <c r="D134" s="300"/>
      <c r="E134" s="300"/>
      <c r="F134" s="300"/>
      <c r="G134" s="300"/>
      <c r="H134" s="300"/>
      <c r="I134" s="300"/>
      <c r="J134" s="300"/>
      <c r="K134" s="300"/>
      <c r="L134" s="300"/>
      <c r="M134" s="300"/>
      <c r="N134" s="300"/>
    </row>
    <row r="135" spans="1:14" ht="18" hidden="1" customHeight="1">
      <c r="A135" s="305" t="s">
        <v>158</v>
      </c>
      <c r="B135" s="216"/>
      <c r="C135" s="306"/>
      <c r="D135" s="306"/>
      <c r="E135" s="306"/>
      <c r="F135" s="306"/>
      <c r="G135" s="300"/>
      <c r="H135" s="300"/>
      <c r="I135" s="216"/>
      <c r="J135" s="216"/>
      <c r="K135" s="216"/>
      <c r="L135" s="216"/>
      <c r="M135" s="216"/>
      <c r="N135" s="216"/>
    </row>
    <row r="136" spans="1:14" ht="18" hidden="1" customHeight="1">
      <c r="A136" s="300"/>
      <c r="B136" s="300"/>
      <c r="C136" s="300"/>
      <c r="D136" s="300"/>
      <c r="E136" s="300"/>
      <c r="F136" s="300"/>
      <c r="G136" s="300"/>
      <c r="H136" s="300"/>
      <c r="I136" s="300"/>
      <c r="J136" s="300"/>
      <c r="K136" s="300"/>
      <c r="L136" s="300"/>
      <c r="M136" s="300"/>
      <c r="N136" s="300"/>
    </row>
    <row r="137" spans="1:14" s="211" customFormat="1" ht="15.75" hidden="1" customHeight="1">
      <c r="A137" s="221"/>
      <c r="B137" s="222" t="s">
        <v>159</v>
      </c>
      <c r="C137" s="223" t="s">
        <v>392</v>
      </c>
      <c r="D137" s="224"/>
      <c r="E137" s="224"/>
      <c r="F137" s="224"/>
      <c r="G137" s="225"/>
      <c r="H137" s="212"/>
      <c r="I137" s="212"/>
      <c r="J137" s="212"/>
      <c r="K137" s="212"/>
      <c r="L137" s="212"/>
      <c r="M137" s="212"/>
      <c r="N137" s="212"/>
    </row>
    <row r="138" spans="1:14" s="211" customFormat="1" ht="12.75" hidden="1" customHeight="1">
      <c r="A138" s="226"/>
      <c r="B138" s="227" t="s">
        <v>160</v>
      </c>
      <c r="C138" s="228" t="s">
        <v>395</v>
      </c>
      <c r="D138" s="228"/>
      <c r="E138" s="212"/>
      <c r="F138" s="212"/>
      <c r="G138" s="229"/>
      <c r="H138" s="212"/>
      <c r="I138" s="212"/>
      <c r="J138" s="212"/>
      <c r="K138" s="212"/>
      <c r="L138" s="212"/>
      <c r="M138" s="212"/>
      <c r="N138" s="212"/>
    </row>
    <row r="139" spans="1:14" s="211" customFormat="1" ht="18" hidden="1" customHeight="1">
      <c r="A139" s="230"/>
      <c r="B139" s="231" t="s">
        <v>161</v>
      </c>
      <c r="C139" s="232" t="s">
        <v>464</v>
      </c>
      <c r="D139" s="233"/>
      <c r="E139" s="233"/>
      <c r="F139" s="233"/>
      <c r="G139" s="234"/>
      <c r="H139" s="212"/>
    </row>
    <row r="140" spans="1:14" ht="12.75" hidden="1" customHeight="1">
      <c r="A140" s="300"/>
      <c r="B140" s="256"/>
      <c r="C140" s="256"/>
      <c r="D140" s="256"/>
      <c r="E140" s="256"/>
      <c r="F140" s="256"/>
      <c r="G140" s="300"/>
      <c r="H140" s="300"/>
      <c r="I140" s="216"/>
      <c r="J140" s="216"/>
      <c r="K140" s="216"/>
      <c r="L140" s="216"/>
      <c r="M140" s="216"/>
      <c r="N140" s="216"/>
    </row>
    <row r="141" spans="1:14" ht="12.75" hidden="1" customHeight="1">
      <c r="A141" s="307" t="s">
        <v>162</v>
      </c>
      <c r="B141" s="308"/>
      <c r="C141" s="308"/>
      <c r="D141" s="308"/>
      <c r="E141" s="308"/>
      <c r="F141" s="308"/>
      <c r="G141" s="308"/>
      <c r="H141" s="308"/>
      <c r="J141" s="308"/>
      <c r="K141" s="308"/>
    </row>
    <row r="142" spans="1:14" ht="12.75" hidden="1" customHeight="1" thickBot="1">
      <c r="A142" s="216"/>
      <c r="B142" s="216"/>
      <c r="C142" s="309" t="s">
        <v>388</v>
      </c>
      <c r="D142" s="310"/>
      <c r="E142" s="310"/>
      <c r="F142" s="309" t="s">
        <v>388</v>
      </c>
      <c r="G142" s="310"/>
      <c r="H142" s="310"/>
      <c r="I142" s="309" t="s">
        <v>388</v>
      </c>
      <c r="J142" s="310"/>
      <c r="K142" s="310"/>
      <c r="L142" s="309" t="s">
        <v>388</v>
      </c>
      <c r="M142" s="310"/>
      <c r="N142" s="310"/>
    </row>
    <row r="143" spans="1:14" ht="18" hidden="1" customHeight="1">
      <c r="A143" s="216"/>
      <c r="B143" s="216"/>
      <c r="C143" s="311" t="s">
        <v>624</v>
      </c>
      <c r="D143" s="312"/>
      <c r="E143" s="312" t="s">
        <v>388</v>
      </c>
      <c r="F143" s="313" t="s">
        <v>625</v>
      </c>
      <c r="G143" s="312"/>
      <c r="H143" s="312" t="s">
        <v>388</v>
      </c>
      <c r="I143" s="313" t="s">
        <v>626</v>
      </c>
      <c r="J143" s="312"/>
      <c r="K143" s="312" t="s">
        <v>388</v>
      </c>
      <c r="L143" s="313" t="s">
        <v>627</v>
      </c>
      <c r="M143" s="312"/>
      <c r="N143" s="312" t="s">
        <v>388</v>
      </c>
    </row>
    <row r="144" spans="1:14" ht="45" hidden="1" customHeight="1">
      <c r="A144" s="241" t="s">
        <v>163</v>
      </c>
      <c r="B144" s="216"/>
      <c r="C144" s="315" t="s">
        <v>623</v>
      </c>
      <c r="D144" s="316"/>
      <c r="E144" s="316"/>
      <c r="F144" s="316" t="s">
        <v>623</v>
      </c>
      <c r="G144" s="316"/>
      <c r="H144" s="316"/>
      <c r="I144" s="316" t="s">
        <v>623</v>
      </c>
      <c r="J144" s="316"/>
      <c r="K144" s="316"/>
      <c r="L144" s="316" t="s">
        <v>623</v>
      </c>
      <c r="M144" s="316"/>
      <c r="N144" s="316"/>
    </row>
    <row r="145" spans="1:14" ht="15" hidden="1" customHeight="1">
      <c r="A145" s="216" t="s">
        <v>164</v>
      </c>
      <c r="B145" s="216"/>
      <c r="C145" s="317" t="s">
        <v>388</v>
      </c>
      <c r="D145" s="318"/>
      <c r="E145" s="318"/>
      <c r="F145" s="318" t="s">
        <v>388</v>
      </c>
      <c r="G145" s="318"/>
      <c r="H145" s="318"/>
      <c r="I145" s="318" t="s">
        <v>388</v>
      </c>
      <c r="J145" s="318"/>
      <c r="K145" s="318"/>
      <c r="L145" s="318" t="s">
        <v>388</v>
      </c>
      <c r="M145" s="318"/>
      <c r="N145" s="318"/>
    </row>
    <row r="146" spans="1:14" ht="15" hidden="1" customHeight="1">
      <c r="A146" s="216" t="s">
        <v>165</v>
      </c>
      <c r="B146" s="216"/>
      <c r="C146" s="317" t="s">
        <v>388</v>
      </c>
      <c r="D146" s="318"/>
      <c r="E146" s="318"/>
      <c r="F146" s="318" t="s">
        <v>388</v>
      </c>
      <c r="G146" s="318"/>
      <c r="H146" s="318"/>
      <c r="I146" s="318" t="s">
        <v>388</v>
      </c>
      <c r="J146" s="318"/>
      <c r="K146" s="318"/>
      <c r="L146" s="318" t="s">
        <v>388</v>
      </c>
      <c r="M146" s="318"/>
      <c r="N146" s="318"/>
    </row>
    <row r="147" spans="1:14" ht="15" hidden="1" customHeight="1">
      <c r="A147" s="216" t="s">
        <v>166</v>
      </c>
      <c r="B147" s="216"/>
      <c r="C147" s="317" t="s">
        <v>388</v>
      </c>
      <c r="D147" s="318"/>
      <c r="E147" s="318"/>
      <c r="F147" s="318" t="s">
        <v>388</v>
      </c>
      <c r="G147" s="318"/>
      <c r="H147" s="318"/>
      <c r="I147" s="318" t="s">
        <v>388</v>
      </c>
      <c r="J147" s="318"/>
      <c r="K147" s="318"/>
      <c r="L147" s="318" t="s">
        <v>388</v>
      </c>
      <c r="M147" s="318"/>
      <c r="N147" s="318"/>
    </row>
    <row r="148" spans="1:14" ht="15" hidden="1" customHeight="1">
      <c r="A148" s="216" t="s">
        <v>167</v>
      </c>
      <c r="B148" s="216"/>
      <c r="C148" s="319" t="s">
        <v>388</v>
      </c>
      <c r="D148" s="320"/>
      <c r="E148" s="320"/>
      <c r="F148" s="320" t="s">
        <v>388</v>
      </c>
      <c r="G148" s="320"/>
      <c r="H148" s="320"/>
      <c r="I148" s="320" t="s">
        <v>388</v>
      </c>
      <c r="J148" s="320"/>
      <c r="K148" s="320"/>
      <c r="L148" s="320" t="s">
        <v>388</v>
      </c>
      <c r="M148" s="320"/>
      <c r="N148" s="320"/>
    </row>
    <row r="149" spans="1:14" ht="20.100000000000001" hidden="1" customHeight="1">
      <c r="A149" s="251" t="s">
        <v>168</v>
      </c>
      <c r="B149" s="216"/>
      <c r="C149" s="321" t="s">
        <v>388</v>
      </c>
      <c r="D149" s="322"/>
      <c r="E149" s="322"/>
      <c r="F149" s="322" t="s">
        <v>388</v>
      </c>
      <c r="G149" s="322"/>
      <c r="H149" s="322"/>
      <c r="I149" s="322" t="s">
        <v>388</v>
      </c>
      <c r="J149" s="322"/>
      <c r="K149" s="322"/>
      <c r="L149" s="322" t="s">
        <v>388</v>
      </c>
      <c r="M149" s="322"/>
      <c r="N149" s="322"/>
    </row>
    <row r="150" spans="1:14" ht="15" hidden="1" customHeight="1">
      <c r="A150" s="241" t="s">
        <v>169</v>
      </c>
      <c r="B150" s="216"/>
      <c r="C150" s="323" t="s">
        <v>170</v>
      </c>
      <c r="D150" s="324"/>
      <c r="E150" s="324"/>
      <c r="F150" s="324" t="s">
        <v>170</v>
      </c>
      <c r="G150" s="324"/>
      <c r="H150" s="324"/>
      <c r="I150" s="324" t="s">
        <v>170</v>
      </c>
      <c r="J150" s="324"/>
      <c r="K150" s="324"/>
      <c r="L150" s="324" t="s">
        <v>170</v>
      </c>
      <c r="M150" s="324"/>
      <c r="N150" s="324"/>
    </row>
    <row r="151" spans="1:14" ht="15" hidden="1" customHeight="1">
      <c r="A151" s="216" t="s">
        <v>171</v>
      </c>
      <c r="B151" s="216"/>
      <c r="C151" s="317" t="s">
        <v>388</v>
      </c>
      <c r="D151" s="318"/>
      <c r="E151" s="318"/>
      <c r="F151" s="318" t="s">
        <v>388</v>
      </c>
      <c r="G151" s="318"/>
      <c r="H151" s="318"/>
      <c r="I151" s="318" t="s">
        <v>388</v>
      </c>
      <c r="J151" s="318"/>
      <c r="K151" s="318"/>
      <c r="L151" s="318" t="s">
        <v>388</v>
      </c>
      <c r="M151" s="318"/>
      <c r="N151" s="318"/>
    </row>
    <row r="152" spans="1:14" ht="15" hidden="1" customHeight="1">
      <c r="A152" s="216" t="s">
        <v>172</v>
      </c>
      <c r="B152" s="216"/>
      <c r="C152" s="317" t="s">
        <v>388</v>
      </c>
      <c r="D152" s="318"/>
      <c r="E152" s="318"/>
      <c r="F152" s="318" t="s">
        <v>388</v>
      </c>
      <c r="G152" s="318"/>
      <c r="H152" s="318"/>
      <c r="I152" s="318" t="s">
        <v>388</v>
      </c>
      <c r="J152" s="318"/>
      <c r="K152" s="318"/>
      <c r="L152" s="318" t="s">
        <v>388</v>
      </c>
      <c r="M152" s="318"/>
      <c r="N152" s="318"/>
    </row>
    <row r="153" spans="1:14" ht="15" hidden="1" customHeight="1">
      <c r="A153" s="216" t="s">
        <v>173</v>
      </c>
      <c r="B153" s="216"/>
      <c r="C153" s="317" t="s">
        <v>388</v>
      </c>
      <c r="D153" s="318"/>
      <c r="E153" s="318"/>
      <c r="F153" s="318" t="s">
        <v>388</v>
      </c>
      <c r="G153" s="318"/>
      <c r="H153" s="318"/>
      <c r="I153" s="318" t="s">
        <v>388</v>
      </c>
      <c r="J153" s="318"/>
      <c r="K153" s="318"/>
      <c r="L153" s="318" t="s">
        <v>388</v>
      </c>
      <c r="M153" s="318"/>
      <c r="N153" s="318"/>
    </row>
    <row r="154" spans="1:14" ht="15" hidden="1" customHeight="1">
      <c r="A154" s="216" t="s">
        <v>174</v>
      </c>
      <c r="B154" s="216"/>
      <c r="C154" s="317" t="s">
        <v>80</v>
      </c>
      <c r="D154" s="318"/>
      <c r="E154" s="318"/>
      <c r="F154" s="318" t="s">
        <v>80</v>
      </c>
      <c r="G154" s="318"/>
      <c r="H154" s="318"/>
      <c r="I154" s="318" t="s">
        <v>80</v>
      </c>
      <c r="J154" s="318"/>
      <c r="K154" s="318"/>
      <c r="L154" s="318" t="s">
        <v>80</v>
      </c>
      <c r="M154" s="318"/>
      <c r="N154" s="318"/>
    </row>
    <row r="155" spans="1:14" ht="15" hidden="1" customHeight="1">
      <c r="A155" s="216" t="s">
        <v>175</v>
      </c>
      <c r="B155" s="216"/>
      <c r="C155" s="319" t="s">
        <v>388</v>
      </c>
      <c r="D155" s="320"/>
      <c r="E155" s="320"/>
      <c r="F155" s="320" t="s">
        <v>388</v>
      </c>
      <c r="G155" s="320"/>
      <c r="H155" s="320"/>
      <c r="I155" s="320" t="s">
        <v>388</v>
      </c>
      <c r="J155" s="320"/>
      <c r="K155" s="320"/>
      <c r="L155" s="320" t="s">
        <v>388</v>
      </c>
      <c r="M155" s="320"/>
      <c r="N155" s="320"/>
    </row>
    <row r="156" spans="1:14" ht="15" hidden="1" customHeight="1">
      <c r="A156" s="216" t="s">
        <v>176</v>
      </c>
      <c r="B156" s="216"/>
      <c r="C156" s="317" t="s">
        <v>388</v>
      </c>
      <c r="D156" s="318"/>
      <c r="E156" s="318"/>
      <c r="F156" s="318" t="s">
        <v>388</v>
      </c>
      <c r="G156" s="318"/>
      <c r="H156" s="318"/>
      <c r="I156" s="318" t="s">
        <v>388</v>
      </c>
      <c r="J156" s="318"/>
      <c r="K156" s="318"/>
      <c r="L156" s="318" t="s">
        <v>388</v>
      </c>
      <c r="M156" s="318"/>
      <c r="N156" s="318"/>
    </row>
    <row r="157" spans="1:14" ht="15" hidden="1" customHeight="1">
      <c r="A157" s="216" t="s">
        <v>177</v>
      </c>
      <c r="B157" s="216"/>
      <c r="C157" s="317" t="s">
        <v>388</v>
      </c>
      <c r="D157" s="318"/>
      <c r="E157" s="318"/>
      <c r="F157" s="318" t="s">
        <v>388</v>
      </c>
      <c r="G157" s="318"/>
      <c r="H157" s="318"/>
      <c r="I157" s="318" t="s">
        <v>388</v>
      </c>
      <c r="J157" s="318"/>
      <c r="K157" s="318"/>
      <c r="L157" s="318" t="s">
        <v>388</v>
      </c>
      <c r="M157" s="318"/>
      <c r="N157" s="318"/>
    </row>
    <row r="158" spans="1:14" ht="32.85" hidden="1" customHeight="1">
      <c r="A158" s="251" t="s">
        <v>178</v>
      </c>
      <c r="B158" s="216"/>
      <c r="C158" s="325" t="s">
        <v>388</v>
      </c>
      <c r="D158" s="326"/>
      <c r="E158" s="326"/>
      <c r="F158" s="327" t="s">
        <v>388</v>
      </c>
      <c r="G158" s="326"/>
      <c r="H158" s="326"/>
      <c r="I158" s="327" t="s">
        <v>388</v>
      </c>
      <c r="J158" s="326"/>
      <c r="K158" s="326"/>
      <c r="L158" s="327" t="s">
        <v>388</v>
      </c>
      <c r="M158" s="326"/>
      <c r="N158" s="326"/>
    </row>
    <row r="159" spans="1:14" ht="15" hidden="1" customHeight="1">
      <c r="A159" s="216"/>
      <c r="B159" s="216"/>
      <c r="C159" s="323" t="s">
        <v>179</v>
      </c>
      <c r="D159" s="324"/>
      <c r="E159" s="324"/>
      <c r="F159" s="324" t="s">
        <v>179</v>
      </c>
      <c r="G159" s="324"/>
      <c r="H159" s="324"/>
      <c r="I159" s="324" t="s">
        <v>179</v>
      </c>
      <c r="J159" s="324"/>
      <c r="K159" s="324"/>
      <c r="L159" s="324" t="s">
        <v>179</v>
      </c>
      <c r="M159" s="324"/>
      <c r="N159" s="324"/>
    </row>
    <row r="160" spans="1:14" ht="15" hidden="1" customHeight="1">
      <c r="A160" s="216" t="s">
        <v>175</v>
      </c>
      <c r="B160" s="216"/>
      <c r="C160" s="319" t="s">
        <v>388</v>
      </c>
      <c r="D160" s="320"/>
      <c r="E160" s="320"/>
      <c r="F160" s="320" t="s">
        <v>388</v>
      </c>
      <c r="G160" s="320"/>
      <c r="H160" s="320"/>
      <c r="I160" s="320" t="s">
        <v>388</v>
      </c>
      <c r="J160" s="320"/>
      <c r="K160" s="320"/>
      <c r="L160" s="320" t="s">
        <v>388</v>
      </c>
      <c r="M160" s="320"/>
      <c r="N160" s="320"/>
    </row>
    <row r="161" spans="1:14" ht="15" hidden="1" customHeight="1">
      <c r="A161" s="216" t="s">
        <v>176</v>
      </c>
      <c r="B161" s="216"/>
      <c r="C161" s="317" t="s">
        <v>388</v>
      </c>
      <c r="D161" s="318"/>
      <c r="E161" s="318"/>
      <c r="F161" s="318" t="s">
        <v>388</v>
      </c>
      <c r="G161" s="318"/>
      <c r="H161" s="318"/>
      <c r="I161" s="318" t="s">
        <v>388</v>
      </c>
      <c r="J161" s="318"/>
      <c r="K161" s="318"/>
      <c r="L161" s="318" t="s">
        <v>388</v>
      </c>
      <c r="M161" s="318"/>
      <c r="N161" s="318"/>
    </row>
    <row r="162" spans="1:14" ht="20.100000000000001" hidden="1" customHeight="1">
      <c r="A162" s="251" t="s">
        <v>180</v>
      </c>
      <c r="B162" s="216"/>
      <c r="C162" s="321" t="s">
        <v>388</v>
      </c>
      <c r="D162" s="322"/>
      <c r="E162" s="322"/>
      <c r="F162" s="322" t="s">
        <v>388</v>
      </c>
      <c r="G162" s="322"/>
      <c r="H162" s="322"/>
      <c r="I162" s="322" t="s">
        <v>388</v>
      </c>
      <c r="J162" s="322"/>
      <c r="K162" s="322"/>
      <c r="L162" s="322" t="s">
        <v>388</v>
      </c>
      <c r="M162" s="322"/>
      <c r="N162" s="322"/>
    </row>
    <row r="163" spans="1:14" ht="15" hidden="1" customHeight="1">
      <c r="A163" s="241" t="s">
        <v>181</v>
      </c>
      <c r="B163" s="216"/>
      <c r="C163" s="328"/>
      <c r="D163" s="329"/>
      <c r="E163" s="329"/>
      <c r="F163" s="329"/>
      <c r="G163" s="329"/>
      <c r="H163" s="329"/>
      <c r="I163" s="329"/>
      <c r="J163" s="329"/>
      <c r="K163" s="329"/>
      <c r="L163" s="329"/>
      <c r="M163" s="329"/>
      <c r="N163" s="329"/>
    </row>
    <row r="164" spans="1:14" ht="15" hidden="1" customHeight="1">
      <c r="A164" s="216" t="s">
        <v>182</v>
      </c>
      <c r="B164" s="216"/>
      <c r="C164" s="330" t="s">
        <v>388</v>
      </c>
      <c r="D164" s="331"/>
      <c r="E164" s="331"/>
      <c r="F164" s="332" t="s">
        <v>388</v>
      </c>
      <c r="G164" s="331"/>
      <c r="H164" s="331"/>
      <c r="I164" s="332" t="s">
        <v>388</v>
      </c>
      <c r="J164" s="331"/>
      <c r="K164" s="331"/>
      <c r="L164" s="332" t="s">
        <v>388</v>
      </c>
      <c r="M164" s="331"/>
      <c r="N164" s="331"/>
    </row>
    <row r="165" spans="1:14" ht="15" hidden="1" customHeight="1">
      <c r="A165" s="216" t="s">
        <v>462</v>
      </c>
      <c r="B165" s="216"/>
      <c r="C165" s="330" t="s">
        <v>388</v>
      </c>
      <c r="D165" s="332"/>
      <c r="E165" s="332"/>
      <c r="F165" s="332" t="s">
        <v>388</v>
      </c>
      <c r="G165" s="332"/>
      <c r="H165" s="332"/>
      <c r="I165" s="332" t="s">
        <v>388</v>
      </c>
      <c r="J165" s="332"/>
      <c r="K165" s="332"/>
      <c r="L165" s="332" t="s">
        <v>388</v>
      </c>
      <c r="M165" s="332"/>
      <c r="N165" s="332"/>
    </row>
    <row r="166" spans="1:14" ht="15" hidden="1" customHeight="1">
      <c r="A166" s="216" t="s">
        <v>463</v>
      </c>
      <c r="B166" s="216"/>
      <c r="C166" s="330" t="s">
        <v>388</v>
      </c>
      <c r="D166" s="332"/>
      <c r="E166" s="332"/>
      <c r="F166" s="332" t="s">
        <v>388</v>
      </c>
      <c r="G166" s="332"/>
      <c r="H166" s="332"/>
      <c r="I166" s="332" t="s">
        <v>388</v>
      </c>
      <c r="J166" s="332"/>
      <c r="K166" s="332"/>
      <c r="L166" s="332" t="s">
        <v>388</v>
      </c>
      <c r="M166" s="332"/>
      <c r="N166" s="332"/>
    </row>
    <row r="167" spans="1:14" ht="15" hidden="1" customHeight="1">
      <c r="A167" s="216" t="s">
        <v>183</v>
      </c>
      <c r="B167" s="216"/>
      <c r="C167" s="330" t="s">
        <v>388</v>
      </c>
      <c r="D167" s="332"/>
      <c r="E167" s="332"/>
      <c r="F167" s="332" t="s">
        <v>388</v>
      </c>
      <c r="G167" s="332"/>
      <c r="H167" s="332"/>
      <c r="I167" s="332" t="s">
        <v>388</v>
      </c>
      <c r="J167" s="332"/>
      <c r="K167" s="332"/>
      <c r="L167" s="332" t="s">
        <v>388</v>
      </c>
      <c r="M167" s="332"/>
      <c r="N167" s="332"/>
    </row>
    <row r="168" spans="1:14" ht="20.100000000000001" hidden="1" customHeight="1">
      <c r="A168" s="251" t="s">
        <v>133</v>
      </c>
      <c r="B168" s="216"/>
      <c r="C168" s="333">
        <v>0</v>
      </c>
      <c r="D168" s="334"/>
      <c r="E168" s="334"/>
      <c r="F168" s="334">
        <v>0</v>
      </c>
      <c r="G168" s="334"/>
      <c r="H168" s="334"/>
      <c r="I168" s="334">
        <v>0</v>
      </c>
      <c r="J168" s="334"/>
      <c r="K168" s="334"/>
      <c r="L168" s="334">
        <v>0</v>
      </c>
      <c r="M168" s="334"/>
      <c r="N168" s="334"/>
    </row>
    <row r="169" spans="1:14" ht="15" hidden="1" customHeight="1">
      <c r="B169" s="216"/>
      <c r="C169" s="335" t="s">
        <v>184</v>
      </c>
      <c r="D169" s="336"/>
      <c r="E169" s="336"/>
      <c r="F169" s="336" t="s">
        <v>184</v>
      </c>
      <c r="G169" s="336"/>
      <c r="H169" s="336"/>
      <c r="I169" s="336" t="s">
        <v>184</v>
      </c>
      <c r="J169" s="336"/>
      <c r="K169" s="336"/>
      <c r="L169" s="336" t="s">
        <v>184</v>
      </c>
      <c r="M169" s="336"/>
      <c r="N169" s="336"/>
    </row>
    <row r="170" spans="1:14" ht="15" hidden="1" customHeight="1">
      <c r="A170" s="241" t="s">
        <v>185</v>
      </c>
      <c r="B170" s="216"/>
      <c r="C170" s="337" t="s">
        <v>186</v>
      </c>
      <c r="D170" s="338" t="s">
        <v>187</v>
      </c>
      <c r="E170" s="338"/>
      <c r="F170" s="312" t="s">
        <v>186</v>
      </c>
      <c r="G170" s="338" t="s">
        <v>187</v>
      </c>
      <c r="H170" s="338"/>
      <c r="I170" s="312" t="s">
        <v>186</v>
      </c>
      <c r="J170" s="338" t="s">
        <v>187</v>
      </c>
      <c r="K170" s="338"/>
      <c r="L170" s="312" t="s">
        <v>186</v>
      </c>
      <c r="M170" s="338" t="s">
        <v>187</v>
      </c>
      <c r="N170" s="338"/>
    </row>
    <row r="171" spans="1:14" ht="15" hidden="1" customHeight="1">
      <c r="A171" s="216" t="s">
        <v>182</v>
      </c>
      <c r="B171" s="216"/>
      <c r="C171" s="339" t="s">
        <v>388</v>
      </c>
      <c r="D171" s="340" t="s">
        <v>388</v>
      </c>
      <c r="E171" s="340"/>
      <c r="F171" s="341" t="s">
        <v>388</v>
      </c>
      <c r="G171" s="340" t="s">
        <v>388</v>
      </c>
      <c r="H171" s="340"/>
      <c r="I171" s="341" t="s">
        <v>388</v>
      </c>
      <c r="J171" s="340" t="s">
        <v>388</v>
      </c>
      <c r="K171" s="340"/>
      <c r="L171" s="341" t="s">
        <v>388</v>
      </c>
      <c r="M171" s="340" t="s">
        <v>388</v>
      </c>
      <c r="N171" s="340"/>
    </row>
    <row r="172" spans="1:14" ht="15" hidden="1" customHeight="1">
      <c r="A172" s="216" t="s">
        <v>462</v>
      </c>
      <c r="B172" s="216"/>
      <c r="C172" s="339" t="s">
        <v>388</v>
      </c>
      <c r="D172" s="340" t="s">
        <v>388</v>
      </c>
      <c r="E172" s="340"/>
      <c r="F172" s="341" t="s">
        <v>388</v>
      </c>
      <c r="G172" s="340" t="s">
        <v>388</v>
      </c>
      <c r="H172" s="340"/>
      <c r="I172" s="341" t="s">
        <v>388</v>
      </c>
      <c r="J172" s="340" t="s">
        <v>388</v>
      </c>
      <c r="K172" s="340"/>
      <c r="L172" s="341" t="s">
        <v>388</v>
      </c>
      <c r="M172" s="340" t="s">
        <v>388</v>
      </c>
      <c r="N172" s="340"/>
    </row>
    <row r="173" spans="1:14" ht="15" hidden="1" customHeight="1">
      <c r="A173" s="216" t="s">
        <v>463</v>
      </c>
      <c r="B173" s="216"/>
      <c r="C173" s="339" t="s">
        <v>388</v>
      </c>
      <c r="D173" s="340" t="s">
        <v>388</v>
      </c>
      <c r="E173" s="340"/>
      <c r="F173" s="341" t="s">
        <v>388</v>
      </c>
      <c r="G173" s="340" t="s">
        <v>388</v>
      </c>
      <c r="H173" s="340"/>
      <c r="I173" s="341" t="s">
        <v>388</v>
      </c>
      <c r="J173" s="340" t="s">
        <v>388</v>
      </c>
      <c r="K173" s="340"/>
      <c r="L173" s="341" t="s">
        <v>388</v>
      </c>
      <c r="M173" s="340" t="s">
        <v>388</v>
      </c>
      <c r="N173" s="340"/>
    </row>
    <row r="174" spans="1:14" ht="15" hidden="1" customHeight="1">
      <c r="A174" s="216" t="s">
        <v>183</v>
      </c>
      <c r="B174" s="216"/>
      <c r="C174" s="339" t="s">
        <v>388</v>
      </c>
      <c r="D174" s="340" t="s">
        <v>388</v>
      </c>
      <c r="E174" s="340"/>
      <c r="F174" s="341" t="s">
        <v>388</v>
      </c>
      <c r="G174" s="340" t="s">
        <v>388</v>
      </c>
      <c r="H174" s="340"/>
      <c r="I174" s="341" t="s">
        <v>388</v>
      </c>
      <c r="J174" s="340" t="s">
        <v>388</v>
      </c>
      <c r="K174" s="340"/>
      <c r="L174" s="341" t="s">
        <v>388</v>
      </c>
      <c r="M174" s="340" t="s">
        <v>388</v>
      </c>
      <c r="N174" s="340"/>
    </row>
    <row r="175" spans="1:14" ht="15" hidden="1" customHeight="1">
      <c r="A175" s="241" t="s">
        <v>188</v>
      </c>
      <c r="B175" s="216"/>
      <c r="C175" s="342" t="s">
        <v>388</v>
      </c>
      <c r="D175" s="343">
        <v>0</v>
      </c>
      <c r="E175" s="343"/>
      <c r="F175" s="344" t="s">
        <v>388</v>
      </c>
      <c r="G175" s="343">
        <v>0</v>
      </c>
      <c r="H175" s="343"/>
      <c r="I175" s="344" t="s">
        <v>388</v>
      </c>
      <c r="J175" s="343">
        <v>0</v>
      </c>
      <c r="K175" s="343"/>
      <c r="L175" s="344" t="s">
        <v>388</v>
      </c>
      <c r="M175" s="343">
        <v>0</v>
      </c>
      <c r="N175" s="343"/>
    </row>
    <row r="176" spans="1:14" ht="20.100000000000001" hidden="1" customHeight="1" thickBot="1">
      <c r="A176" s="256" t="s">
        <v>189</v>
      </c>
      <c r="B176" s="216"/>
      <c r="C176" s="345" t="s">
        <v>388</v>
      </c>
      <c r="D176" s="346">
        <v>0</v>
      </c>
      <c r="E176" s="346"/>
      <c r="F176" s="347" t="s">
        <v>388</v>
      </c>
      <c r="G176" s="346">
        <v>0</v>
      </c>
      <c r="H176" s="346"/>
      <c r="I176" s="347" t="s">
        <v>388</v>
      </c>
      <c r="J176" s="346">
        <v>0</v>
      </c>
      <c r="K176" s="346"/>
      <c r="L176" s="347" t="s">
        <v>388</v>
      </c>
      <c r="M176" s="346">
        <v>0</v>
      </c>
      <c r="N176" s="346"/>
    </row>
    <row r="177" spans="1:14" ht="18" hidden="1" customHeight="1" thickBot="1">
      <c r="A177" s="256" t="s">
        <v>190</v>
      </c>
      <c r="B177" s="216"/>
      <c r="C177" s="348" t="s">
        <v>388</v>
      </c>
      <c r="D177" s="349"/>
      <c r="E177" s="349"/>
      <c r="F177" s="349" t="s">
        <v>388</v>
      </c>
      <c r="G177" s="349"/>
      <c r="H177" s="349"/>
      <c r="I177" s="349" t="s">
        <v>388</v>
      </c>
      <c r="J177" s="349"/>
      <c r="K177" s="349"/>
      <c r="L177" s="349" t="s">
        <v>388</v>
      </c>
      <c r="M177" s="349"/>
      <c r="N177" s="349"/>
    </row>
    <row r="178" spans="1:14" ht="18" hidden="1" customHeight="1" thickBot="1">
      <c r="A178" s="289" t="s">
        <v>191</v>
      </c>
      <c r="B178" s="289"/>
      <c r="C178" s="348">
        <v>0</v>
      </c>
      <c r="D178" s="349"/>
      <c r="E178" s="349"/>
      <c r="F178" s="349">
        <v>0</v>
      </c>
      <c r="G178" s="349"/>
      <c r="H178" s="349"/>
      <c r="I178" s="349">
        <v>0</v>
      </c>
      <c r="J178" s="349"/>
      <c r="K178" s="349"/>
      <c r="L178" s="349">
        <v>0</v>
      </c>
      <c r="M178" s="349"/>
      <c r="N178" s="349"/>
    </row>
    <row r="179" spans="1:14" ht="12.75" hidden="1" customHeight="1">
      <c r="B179" s="216"/>
      <c r="C179" s="350"/>
      <c r="D179" s="350"/>
      <c r="E179" s="350"/>
      <c r="F179" s="350"/>
      <c r="G179" s="350"/>
      <c r="H179" s="350"/>
      <c r="I179" s="350"/>
      <c r="J179" s="350"/>
      <c r="K179" s="350"/>
      <c r="L179" s="353"/>
      <c r="M179" s="353"/>
      <c r="N179" s="353"/>
    </row>
    <row r="180" spans="1:14" ht="12.75" hidden="1" customHeight="1">
      <c r="B180" s="216"/>
      <c r="L180" s="294"/>
      <c r="M180" s="294"/>
      <c r="N180" s="294"/>
    </row>
    <row r="181" spans="1:14" ht="12.75" hidden="1" customHeight="1">
      <c r="B181" s="216"/>
      <c r="C181" s="294"/>
      <c r="D181" s="294"/>
      <c r="E181" s="294"/>
      <c r="F181" s="294"/>
      <c r="G181" s="294"/>
      <c r="H181" s="294"/>
      <c r="I181" s="294"/>
      <c r="J181" s="294"/>
      <c r="K181" s="294"/>
      <c r="L181" s="294"/>
      <c r="M181" s="294"/>
      <c r="N181" s="294"/>
    </row>
    <row r="182" spans="1:14" ht="12.75" hidden="1" customHeight="1">
      <c r="A182" s="351"/>
      <c r="B182" s="216"/>
      <c r="C182" s="294"/>
      <c r="D182" s="294"/>
      <c r="E182" s="294"/>
      <c r="F182" s="294"/>
      <c r="G182" s="294"/>
      <c r="H182" s="294"/>
      <c r="I182" s="294"/>
      <c r="J182" s="294"/>
      <c r="K182" s="294"/>
      <c r="L182" s="294"/>
      <c r="M182" s="294"/>
      <c r="N182" s="294"/>
    </row>
    <row r="183" spans="1:14" ht="12.75" hidden="1" customHeight="1">
      <c r="A183" s="351"/>
      <c r="B183" s="216"/>
      <c r="C183" s="294"/>
      <c r="D183" s="294"/>
      <c r="E183" s="294"/>
      <c r="F183" s="294"/>
      <c r="G183" s="294"/>
      <c r="H183" s="294"/>
      <c r="I183" s="294"/>
      <c r="J183" s="294"/>
      <c r="K183" s="294"/>
      <c r="L183" s="294"/>
      <c r="M183" s="294"/>
      <c r="N183" s="294"/>
    </row>
    <row r="184" spans="1:14" ht="12.75" hidden="1" customHeight="1">
      <c r="A184" s="351" t="s">
        <v>388</v>
      </c>
      <c r="B184" s="216"/>
      <c r="C184" s="294"/>
      <c r="D184" s="294"/>
      <c r="E184" s="294"/>
      <c r="F184" s="294"/>
      <c r="G184" s="294"/>
      <c r="H184" s="294"/>
      <c r="I184" s="294"/>
      <c r="J184" s="294"/>
      <c r="K184" s="294"/>
      <c r="L184" s="294"/>
      <c r="M184" s="294"/>
      <c r="N184" s="294"/>
    </row>
    <row r="185" spans="1:14" ht="12.75" hidden="1" customHeight="1">
      <c r="A185" s="351"/>
      <c r="B185" s="216"/>
      <c r="C185" s="294"/>
      <c r="D185" s="294"/>
      <c r="E185" s="294"/>
      <c r="F185" s="294"/>
      <c r="G185" s="294"/>
      <c r="H185" s="294"/>
      <c r="I185" s="294"/>
      <c r="J185" s="294"/>
      <c r="K185" s="294"/>
      <c r="L185" s="294"/>
      <c r="M185" s="294"/>
      <c r="N185" s="294"/>
    </row>
    <row r="186" spans="1:14" ht="12.75" hidden="1" customHeight="1">
      <c r="A186" s="352" t="s">
        <v>192</v>
      </c>
      <c r="B186" s="216"/>
      <c r="C186" s="294"/>
      <c r="D186" s="294"/>
      <c r="E186" s="294"/>
      <c r="F186" s="294"/>
      <c r="G186" s="294"/>
      <c r="H186" s="294"/>
      <c r="I186" s="294"/>
      <c r="J186" s="294"/>
      <c r="K186" s="294"/>
      <c r="L186" s="294"/>
      <c r="M186" s="294"/>
      <c r="N186" s="294"/>
    </row>
    <row r="187" spans="1:14" ht="12.75" hidden="1" customHeight="1">
      <c r="A187" s="351" t="s">
        <v>193</v>
      </c>
      <c r="B187" s="216"/>
      <c r="C187" s="294"/>
      <c r="D187" s="294"/>
      <c r="E187" s="294"/>
      <c r="F187" s="294"/>
      <c r="G187" s="294"/>
      <c r="H187" s="294"/>
      <c r="I187" s="294"/>
      <c r="J187" s="294"/>
      <c r="K187" s="294"/>
      <c r="L187" s="294"/>
      <c r="M187" s="294"/>
      <c r="N187" s="294"/>
    </row>
    <row r="188" spans="1:14" ht="12.75" hidden="1" customHeight="1">
      <c r="A188" s="351" t="s">
        <v>194</v>
      </c>
      <c r="B188" s="216"/>
      <c r="C188" s="294"/>
      <c r="D188" s="294"/>
      <c r="E188" s="294"/>
      <c r="F188" s="294"/>
      <c r="G188" s="294"/>
      <c r="H188" s="294"/>
      <c r="I188" s="294"/>
      <c r="J188" s="294"/>
      <c r="K188" s="294"/>
      <c r="L188" s="294"/>
      <c r="M188" s="294"/>
      <c r="N188" s="294"/>
    </row>
    <row r="189" spans="1:14" ht="12.75" hidden="1" customHeight="1">
      <c r="A189" s="351" t="s">
        <v>195</v>
      </c>
      <c r="B189" s="216"/>
      <c r="C189" s="294"/>
      <c r="D189" s="294"/>
      <c r="E189" s="294"/>
      <c r="F189" s="294"/>
      <c r="G189" s="294"/>
      <c r="H189" s="294"/>
      <c r="I189" s="294"/>
      <c r="J189" s="294"/>
      <c r="K189" s="294"/>
      <c r="L189" s="294"/>
      <c r="M189" s="294"/>
      <c r="N189" s="294"/>
    </row>
    <row r="190" spans="1:14" ht="12.75" hidden="1" customHeight="1">
      <c r="A190" s="351"/>
      <c r="B190" s="216"/>
      <c r="C190" s="294"/>
      <c r="D190" s="294"/>
      <c r="E190" s="294"/>
      <c r="F190" s="294"/>
      <c r="G190" s="294"/>
      <c r="H190" s="294"/>
      <c r="I190" s="294"/>
      <c r="J190" s="294"/>
      <c r="K190" s="294"/>
      <c r="L190" s="294"/>
      <c r="M190" s="294"/>
      <c r="N190" s="294"/>
    </row>
    <row r="191" spans="1:14" ht="12.75" hidden="1" customHeight="1">
      <c r="A191" s="351" t="s">
        <v>616</v>
      </c>
      <c r="B191" s="216"/>
      <c r="C191" s="294"/>
      <c r="D191" s="294"/>
      <c r="E191" s="294"/>
      <c r="F191" s="294"/>
      <c r="G191" s="294"/>
      <c r="H191" s="294"/>
      <c r="I191" s="294"/>
      <c r="J191" s="294"/>
      <c r="K191" s="294"/>
      <c r="L191" s="294"/>
      <c r="M191" s="294"/>
      <c r="N191" s="294"/>
    </row>
    <row r="192" spans="1:14" ht="12.75" hidden="1" customHeight="1">
      <c r="A192" s="351" t="s">
        <v>617</v>
      </c>
      <c r="B192" s="216"/>
      <c r="C192" s="294"/>
      <c r="D192" s="294"/>
      <c r="E192" s="294"/>
      <c r="F192" s="294"/>
      <c r="G192" s="294"/>
      <c r="H192" s="294"/>
      <c r="I192" s="294"/>
      <c r="J192" s="294"/>
      <c r="K192" s="294"/>
      <c r="L192" s="294"/>
      <c r="M192" s="294"/>
      <c r="N192" s="294"/>
    </row>
    <row r="193" spans="1:14" ht="12.75" hidden="1" customHeight="1">
      <c r="A193" s="351" t="s">
        <v>618</v>
      </c>
      <c r="B193" s="216"/>
      <c r="C193" s="294"/>
      <c r="D193" s="294"/>
      <c r="E193" s="294"/>
      <c r="F193" s="294"/>
      <c r="G193" s="294"/>
      <c r="H193" s="294"/>
      <c r="I193" s="294"/>
      <c r="J193" s="294"/>
      <c r="K193" s="294"/>
      <c r="L193" s="294"/>
      <c r="M193" s="294"/>
      <c r="N193" s="294"/>
    </row>
    <row r="194" spans="1:14" ht="12.75" hidden="1" customHeight="1">
      <c r="A194" s="351"/>
      <c r="B194" s="216"/>
      <c r="C194" s="294"/>
      <c r="D194" s="294"/>
      <c r="E194" s="294"/>
      <c r="F194" s="294"/>
      <c r="G194" s="294"/>
      <c r="H194" s="294"/>
      <c r="I194" s="294"/>
      <c r="J194" s="294"/>
      <c r="K194" s="294"/>
      <c r="L194" s="294"/>
      <c r="M194" s="294"/>
      <c r="N194" s="294"/>
    </row>
    <row r="195" spans="1:14" ht="12.75" hidden="1" customHeight="1">
      <c r="A195" s="351" t="s">
        <v>196</v>
      </c>
      <c r="B195" s="216"/>
      <c r="C195" s="294"/>
      <c r="D195" s="294"/>
      <c r="E195" s="294"/>
      <c r="F195" s="294"/>
      <c r="G195" s="294"/>
      <c r="H195" s="294"/>
      <c r="I195" s="294"/>
      <c r="J195" s="294"/>
      <c r="K195" s="294"/>
      <c r="L195" s="294"/>
      <c r="M195" s="294"/>
      <c r="N195" s="294"/>
    </row>
    <row r="196" spans="1:14" ht="26.1" hidden="1" customHeight="1">
      <c r="A196" s="299"/>
      <c r="B196" s="299"/>
      <c r="C196" s="299"/>
      <c r="D196" s="299"/>
      <c r="E196" s="299"/>
      <c r="F196" s="299"/>
      <c r="G196" s="299"/>
      <c r="H196" s="299"/>
      <c r="I196" s="299"/>
      <c r="J196" s="299"/>
      <c r="K196" s="299"/>
      <c r="L196" s="299"/>
      <c r="M196" s="299"/>
      <c r="N196" s="299"/>
    </row>
    <row r="197" spans="1:14" ht="5.25" hidden="1" customHeight="1"/>
    <row r="198" spans="1:14" ht="32.1" hidden="1" customHeight="1">
      <c r="A198" s="216"/>
      <c r="B198" s="300"/>
      <c r="C198" s="300"/>
      <c r="D198" s="300"/>
      <c r="E198" s="300"/>
      <c r="F198" s="300"/>
      <c r="G198" s="300"/>
      <c r="H198" s="300"/>
      <c r="I198" s="300"/>
      <c r="J198" s="300"/>
      <c r="K198" s="301" t="s">
        <v>392</v>
      </c>
      <c r="L198" s="302" t="s">
        <v>157</v>
      </c>
      <c r="M198" s="303"/>
      <c r="N198" s="303"/>
    </row>
    <row r="199" spans="1:14" ht="24" hidden="1" customHeight="1">
      <c r="A199" s="304" t="s">
        <v>365</v>
      </c>
      <c r="B199" s="300"/>
      <c r="C199" s="300"/>
      <c r="D199" s="300"/>
      <c r="E199" s="300"/>
      <c r="F199" s="300"/>
      <c r="G199" s="300"/>
      <c r="H199" s="300"/>
      <c r="I199" s="300"/>
      <c r="J199" s="300"/>
      <c r="K199" s="300"/>
      <c r="L199" s="300"/>
      <c r="M199" s="300"/>
      <c r="N199" s="300"/>
    </row>
    <row r="200" spans="1:14" ht="18" hidden="1" customHeight="1">
      <c r="A200" s="305" t="s">
        <v>158</v>
      </c>
      <c r="B200" s="216"/>
      <c r="C200" s="306"/>
      <c r="D200" s="306"/>
      <c r="E200" s="306"/>
      <c r="F200" s="306"/>
      <c r="G200" s="300"/>
      <c r="H200" s="300"/>
      <c r="I200" s="216"/>
      <c r="J200" s="216"/>
      <c r="K200" s="216"/>
      <c r="L200" s="216"/>
      <c r="M200" s="216"/>
      <c r="N200" s="216"/>
    </row>
    <row r="201" spans="1:14" ht="18" hidden="1" customHeight="1">
      <c r="A201" s="300"/>
      <c r="B201" s="300"/>
      <c r="C201" s="300"/>
      <c r="D201" s="300"/>
      <c r="E201" s="300"/>
      <c r="F201" s="300"/>
      <c r="G201" s="300"/>
      <c r="H201" s="300"/>
      <c r="I201" s="300"/>
      <c r="J201" s="300"/>
      <c r="K201" s="300"/>
      <c r="L201" s="300"/>
      <c r="M201" s="300"/>
      <c r="N201" s="300"/>
    </row>
    <row r="202" spans="1:14" s="211" customFormat="1" ht="15.75" hidden="1" customHeight="1">
      <c r="A202" s="221"/>
      <c r="B202" s="222" t="s">
        <v>159</v>
      </c>
      <c r="C202" s="223" t="s">
        <v>392</v>
      </c>
      <c r="D202" s="224"/>
      <c r="E202" s="224"/>
      <c r="F202" s="224"/>
      <c r="G202" s="225"/>
      <c r="H202" s="212"/>
      <c r="I202" s="212"/>
      <c r="J202" s="212"/>
      <c r="K202" s="212"/>
      <c r="L202" s="212"/>
      <c r="M202" s="212"/>
      <c r="N202" s="212"/>
    </row>
    <row r="203" spans="1:14" s="211" customFormat="1" ht="12.75" hidden="1" customHeight="1">
      <c r="A203" s="226"/>
      <c r="B203" s="227" t="s">
        <v>160</v>
      </c>
      <c r="C203" s="228" t="s">
        <v>395</v>
      </c>
      <c r="D203" s="228"/>
      <c r="E203" s="212"/>
      <c r="F203" s="212"/>
      <c r="G203" s="229"/>
      <c r="H203" s="212"/>
      <c r="I203" s="212"/>
      <c r="J203" s="212"/>
      <c r="K203" s="212"/>
      <c r="L203" s="212"/>
      <c r="M203" s="212"/>
      <c r="N203" s="212"/>
    </row>
    <row r="204" spans="1:14" s="211" customFormat="1" ht="18" hidden="1" customHeight="1">
      <c r="A204" s="230"/>
      <c r="B204" s="231" t="s">
        <v>161</v>
      </c>
      <c r="C204" s="232" t="s">
        <v>464</v>
      </c>
      <c r="D204" s="233"/>
      <c r="E204" s="233"/>
      <c r="F204" s="233"/>
      <c r="G204" s="234"/>
      <c r="H204" s="212"/>
    </row>
    <row r="205" spans="1:14" ht="12.75" hidden="1" customHeight="1">
      <c r="A205" s="300"/>
      <c r="B205" s="256"/>
      <c r="C205" s="256"/>
      <c r="D205" s="256"/>
      <c r="E205" s="256"/>
      <c r="F205" s="256"/>
      <c r="G205" s="300"/>
      <c r="H205" s="300"/>
      <c r="I205" s="216"/>
      <c r="J205" s="216"/>
      <c r="K205" s="216"/>
      <c r="L205" s="216"/>
      <c r="M205" s="216"/>
      <c r="N205" s="216"/>
    </row>
    <row r="206" spans="1:14" ht="12.75" hidden="1" customHeight="1">
      <c r="A206" s="307" t="s">
        <v>162</v>
      </c>
      <c r="B206" s="308"/>
      <c r="C206" s="308"/>
      <c r="D206" s="308"/>
      <c r="E206" s="308"/>
      <c r="F206" s="308"/>
      <c r="G206" s="308"/>
      <c r="H206" s="308"/>
      <c r="J206" s="308"/>
      <c r="K206" s="308"/>
    </row>
    <row r="207" spans="1:14" ht="12.75" hidden="1" customHeight="1" thickBot="1">
      <c r="A207" s="216"/>
      <c r="B207" s="216"/>
      <c r="C207" s="309" t="s">
        <v>388</v>
      </c>
      <c r="D207" s="310"/>
      <c r="E207" s="310"/>
      <c r="F207" s="309" t="s">
        <v>388</v>
      </c>
      <c r="G207" s="310"/>
      <c r="H207" s="310"/>
      <c r="I207" s="309" t="s">
        <v>388</v>
      </c>
      <c r="J207" s="310"/>
      <c r="K207" s="310"/>
      <c r="L207" s="309" t="s">
        <v>388</v>
      </c>
      <c r="M207" s="310"/>
      <c r="N207" s="310"/>
    </row>
    <row r="208" spans="1:14" ht="18" hidden="1" customHeight="1">
      <c r="A208" s="216"/>
      <c r="B208" s="216"/>
      <c r="C208" s="311" t="s">
        <v>628</v>
      </c>
      <c r="D208" s="312"/>
      <c r="E208" s="312" t="s">
        <v>388</v>
      </c>
      <c r="F208" s="313" t="s">
        <v>629</v>
      </c>
      <c r="G208" s="312"/>
      <c r="H208" s="312" t="s">
        <v>388</v>
      </c>
      <c r="I208" s="313" t="s">
        <v>630</v>
      </c>
      <c r="J208" s="312"/>
      <c r="K208" s="312" t="s">
        <v>388</v>
      </c>
      <c r="L208" s="313" t="s">
        <v>631</v>
      </c>
      <c r="M208" s="312"/>
      <c r="N208" s="312" t="s">
        <v>388</v>
      </c>
    </row>
    <row r="209" spans="1:14" ht="45" hidden="1" customHeight="1">
      <c r="A209" s="241" t="s">
        <v>163</v>
      </c>
      <c r="B209" s="216"/>
      <c r="C209" s="315" t="s">
        <v>623</v>
      </c>
      <c r="D209" s="316"/>
      <c r="E209" s="316"/>
      <c r="F209" s="316" t="s">
        <v>623</v>
      </c>
      <c r="G209" s="316"/>
      <c r="H209" s="316"/>
      <c r="I209" s="316" t="s">
        <v>623</v>
      </c>
      <c r="J209" s="316"/>
      <c r="K209" s="316"/>
      <c r="L209" s="316" t="s">
        <v>623</v>
      </c>
      <c r="M209" s="316"/>
      <c r="N209" s="316"/>
    </row>
    <row r="210" spans="1:14" ht="15" hidden="1" customHeight="1">
      <c r="A210" s="216" t="s">
        <v>164</v>
      </c>
      <c r="B210" s="216"/>
      <c r="C210" s="317" t="s">
        <v>388</v>
      </c>
      <c r="D210" s="318"/>
      <c r="E210" s="318"/>
      <c r="F210" s="318" t="s">
        <v>388</v>
      </c>
      <c r="G210" s="318"/>
      <c r="H210" s="318"/>
      <c r="I210" s="318" t="s">
        <v>388</v>
      </c>
      <c r="J210" s="318"/>
      <c r="K210" s="318"/>
      <c r="L210" s="318" t="s">
        <v>388</v>
      </c>
      <c r="M210" s="318"/>
      <c r="N210" s="318"/>
    </row>
    <row r="211" spans="1:14" ht="15" hidden="1" customHeight="1">
      <c r="A211" s="216" t="s">
        <v>165</v>
      </c>
      <c r="B211" s="216"/>
      <c r="C211" s="317" t="s">
        <v>388</v>
      </c>
      <c r="D211" s="318"/>
      <c r="E211" s="318"/>
      <c r="F211" s="318" t="s">
        <v>388</v>
      </c>
      <c r="G211" s="318"/>
      <c r="H211" s="318"/>
      <c r="I211" s="318" t="s">
        <v>388</v>
      </c>
      <c r="J211" s="318"/>
      <c r="K211" s="318"/>
      <c r="L211" s="318" t="s">
        <v>388</v>
      </c>
      <c r="M211" s="318"/>
      <c r="N211" s="318"/>
    </row>
    <row r="212" spans="1:14" ht="15" hidden="1" customHeight="1">
      <c r="A212" s="216" t="s">
        <v>166</v>
      </c>
      <c r="B212" s="216"/>
      <c r="C212" s="317" t="s">
        <v>388</v>
      </c>
      <c r="D212" s="318"/>
      <c r="E212" s="318"/>
      <c r="F212" s="318" t="s">
        <v>388</v>
      </c>
      <c r="G212" s="318"/>
      <c r="H212" s="318"/>
      <c r="I212" s="318" t="s">
        <v>388</v>
      </c>
      <c r="J212" s="318"/>
      <c r="K212" s="318"/>
      <c r="L212" s="318" t="s">
        <v>388</v>
      </c>
      <c r="M212" s="318"/>
      <c r="N212" s="318"/>
    </row>
    <row r="213" spans="1:14" ht="15" hidden="1" customHeight="1">
      <c r="A213" s="216" t="s">
        <v>167</v>
      </c>
      <c r="B213" s="216"/>
      <c r="C213" s="319" t="s">
        <v>388</v>
      </c>
      <c r="D213" s="320"/>
      <c r="E213" s="320"/>
      <c r="F213" s="320" t="s">
        <v>388</v>
      </c>
      <c r="G213" s="320"/>
      <c r="H213" s="320"/>
      <c r="I213" s="320" t="s">
        <v>388</v>
      </c>
      <c r="J213" s="320"/>
      <c r="K213" s="320"/>
      <c r="L213" s="320" t="s">
        <v>388</v>
      </c>
      <c r="M213" s="320"/>
      <c r="N213" s="320"/>
    </row>
    <row r="214" spans="1:14" ht="20.100000000000001" hidden="1" customHeight="1">
      <c r="A214" s="251" t="s">
        <v>168</v>
      </c>
      <c r="B214" s="216"/>
      <c r="C214" s="321" t="s">
        <v>388</v>
      </c>
      <c r="D214" s="322"/>
      <c r="E214" s="322"/>
      <c r="F214" s="322" t="s">
        <v>388</v>
      </c>
      <c r="G214" s="322"/>
      <c r="H214" s="322"/>
      <c r="I214" s="322" t="s">
        <v>388</v>
      </c>
      <c r="J214" s="322"/>
      <c r="K214" s="322"/>
      <c r="L214" s="322" t="s">
        <v>388</v>
      </c>
      <c r="M214" s="322"/>
      <c r="N214" s="322"/>
    </row>
    <row r="215" spans="1:14" ht="15" hidden="1" customHeight="1">
      <c r="A215" s="241" t="s">
        <v>169</v>
      </c>
      <c r="B215" s="216"/>
      <c r="C215" s="323" t="s">
        <v>170</v>
      </c>
      <c r="D215" s="324"/>
      <c r="E215" s="324"/>
      <c r="F215" s="324" t="s">
        <v>170</v>
      </c>
      <c r="G215" s="324"/>
      <c r="H215" s="324"/>
      <c r="I215" s="324" t="s">
        <v>170</v>
      </c>
      <c r="J215" s="324"/>
      <c r="K215" s="324"/>
      <c r="L215" s="324" t="s">
        <v>170</v>
      </c>
      <c r="M215" s="324"/>
      <c r="N215" s="324"/>
    </row>
    <row r="216" spans="1:14" ht="15" hidden="1" customHeight="1">
      <c r="A216" s="216" t="s">
        <v>171</v>
      </c>
      <c r="B216" s="216"/>
      <c r="C216" s="317" t="s">
        <v>388</v>
      </c>
      <c r="D216" s="318"/>
      <c r="E216" s="318"/>
      <c r="F216" s="318" t="s">
        <v>388</v>
      </c>
      <c r="G216" s="318"/>
      <c r="H216" s="318"/>
      <c r="I216" s="318" t="s">
        <v>388</v>
      </c>
      <c r="J216" s="318"/>
      <c r="K216" s="318"/>
      <c r="L216" s="318" t="s">
        <v>388</v>
      </c>
      <c r="M216" s="318"/>
      <c r="N216" s="318"/>
    </row>
    <row r="217" spans="1:14" ht="15" hidden="1" customHeight="1">
      <c r="A217" s="216" t="s">
        <v>172</v>
      </c>
      <c r="B217" s="216"/>
      <c r="C217" s="317" t="s">
        <v>388</v>
      </c>
      <c r="D217" s="318"/>
      <c r="E217" s="318"/>
      <c r="F217" s="318" t="s">
        <v>388</v>
      </c>
      <c r="G217" s="318"/>
      <c r="H217" s="318"/>
      <c r="I217" s="318" t="s">
        <v>388</v>
      </c>
      <c r="J217" s="318"/>
      <c r="K217" s="318"/>
      <c r="L217" s="318" t="s">
        <v>388</v>
      </c>
      <c r="M217" s="318"/>
      <c r="N217" s="318"/>
    </row>
    <row r="218" spans="1:14" ht="15" hidden="1" customHeight="1">
      <c r="A218" s="216" t="s">
        <v>173</v>
      </c>
      <c r="B218" s="216"/>
      <c r="C218" s="317" t="s">
        <v>388</v>
      </c>
      <c r="D218" s="318"/>
      <c r="E218" s="318"/>
      <c r="F218" s="318" t="s">
        <v>388</v>
      </c>
      <c r="G218" s="318"/>
      <c r="H218" s="318"/>
      <c r="I218" s="318" t="s">
        <v>388</v>
      </c>
      <c r="J218" s="318"/>
      <c r="K218" s="318"/>
      <c r="L218" s="318" t="s">
        <v>388</v>
      </c>
      <c r="M218" s="318"/>
      <c r="N218" s="318"/>
    </row>
    <row r="219" spans="1:14" ht="15" hidden="1" customHeight="1">
      <c r="A219" s="216" t="s">
        <v>174</v>
      </c>
      <c r="B219" s="216"/>
      <c r="C219" s="317" t="s">
        <v>80</v>
      </c>
      <c r="D219" s="318"/>
      <c r="E219" s="318"/>
      <c r="F219" s="318" t="s">
        <v>80</v>
      </c>
      <c r="G219" s="318"/>
      <c r="H219" s="318"/>
      <c r="I219" s="318" t="s">
        <v>80</v>
      </c>
      <c r="J219" s="318"/>
      <c r="K219" s="318"/>
      <c r="L219" s="318" t="s">
        <v>80</v>
      </c>
      <c r="M219" s="318"/>
      <c r="N219" s="318"/>
    </row>
    <row r="220" spans="1:14" ht="15" hidden="1" customHeight="1">
      <c r="A220" s="216" t="s">
        <v>175</v>
      </c>
      <c r="B220" s="216"/>
      <c r="C220" s="319" t="s">
        <v>388</v>
      </c>
      <c r="D220" s="320"/>
      <c r="E220" s="320"/>
      <c r="F220" s="320" t="s">
        <v>388</v>
      </c>
      <c r="G220" s="320"/>
      <c r="H220" s="320"/>
      <c r="I220" s="320" t="s">
        <v>388</v>
      </c>
      <c r="J220" s="320"/>
      <c r="K220" s="320"/>
      <c r="L220" s="320" t="s">
        <v>388</v>
      </c>
      <c r="M220" s="320"/>
      <c r="N220" s="320"/>
    </row>
    <row r="221" spans="1:14" ht="15" hidden="1" customHeight="1">
      <c r="A221" s="216" t="s">
        <v>176</v>
      </c>
      <c r="B221" s="216"/>
      <c r="C221" s="317" t="s">
        <v>388</v>
      </c>
      <c r="D221" s="318"/>
      <c r="E221" s="318"/>
      <c r="F221" s="318" t="s">
        <v>388</v>
      </c>
      <c r="G221" s="318"/>
      <c r="H221" s="318"/>
      <c r="I221" s="318" t="s">
        <v>388</v>
      </c>
      <c r="J221" s="318"/>
      <c r="K221" s="318"/>
      <c r="L221" s="318" t="s">
        <v>388</v>
      </c>
      <c r="M221" s="318"/>
      <c r="N221" s="318"/>
    </row>
    <row r="222" spans="1:14" ht="15" hidden="1" customHeight="1">
      <c r="A222" s="216" t="s">
        <v>177</v>
      </c>
      <c r="B222" s="216"/>
      <c r="C222" s="317" t="s">
        <v>388</v>
      </c>
      <c r="D222" s="318"/>
      <c r="E222" s="318"/>
      <c r="F222" s="318" t="s">
        <v>388</v>
      </c>
      <c r="G222" s="318"/>
      <c r="H222" s="318"/>
      <c r="I222" s="318" t="s">
        <v>388</v>
      </c>
      <c r="J222" s="318"/>
      <c r="K222" s="318"/>
      <c r="L222" s="318" t="s">
        <v>388</v>
      </c>
      <c r="M222" s="318"/>
      <c r="N222" s="318"/>
    </row>
    <row r="223" spans="1:14" ht="32.85" hidden="1" customHeight="1">
      <c r="A223" s="251" t="s">
        <v>178</v>
      </c>
      <c r="B223" s="216"/>
      <c r="C223" s="325" t="s">
        <v>388</v>
      </c>
      <c r="D223" s="326"/>
      <c r="E223" s="326"/>
      <c r="F223" s="327" t="s">
        <v>388</v>
      </c>
      <c r="G223" s="326"/>
      <c r="H223" s="326"/>
      <c r="I223" s="327" t="s">
        <v>388</v>
      </c>
      <c r="J223" s="326"/>
      <c r="K223" s="326"/>
      <c r="L223" s="327" t="s">
        <v>388</v>
      </c>
      <c r="M223" s="326"/>
      <c r="N223" s="326"/>
    </row>
    <row r="224" spans="1:14" ht="15" hidden="1" customHeight="1">
      <c r="A224" s="216"/>
      <c r="B224" s="216"/>
      <c r="C224" s="323" t="s">
        <v>179</v>
      </c>
      <c r="D224" s="324"/>
      <c r="E224" s="324"/>
      <c r="F224" s="324" t="s">
        <v>179</v>
      </c>
      <c r="G224" s="324"/>
      <c r="H224" s="324"/>
      <c r="I224" s="324" t="s">
        <v>179</v>
      </c>
      <c r="J224" s="324"/>
      <c r="K224" s="324"/>
      <c r="L224" s="324" t="s">
        <v>179</v>
      </c>
      <c r="M224" s="324"/>
      <c r="N224" s="324"/>
    </row>
    <row r="225" spans="1:14" ht="15" hidden="1" customHeight="1">
      <c r="A225" s="216" t="s">
        <v>175</v>
      </c>
      <c r="B225" s="216"/>
      <c r="C225" s="319" t="s">
        <v>388</v>
      </c>
      <c r="D225" s="320"/>
      <c r="E225" s="320"/>
      <c r="F225" s="320" t="s">
        <v>388</v>
      </c>
      <c r="G225" s="320"/>
      <c r="H225" s="320"/>
      <c r="I225" s="320" t="s">
        <v>388</v>
      </c>
      <c r="J225" s="320"/>
      <c r="K225" s="320"/>
      <c r="L225" s="320" t="s">
        <v>388</v>
      </c>
      <c r="M225" s="320"/>
      <c r="N225" s="320"/>
    </row>
    <row r="226" spans="1:14" ht="15" hidden="1" customHeight="1">
      <c r="A226" s="216" t="s">
        <v>176</v>
      </c>
      <c r="B226" s="216"/>
      <c r="C226" s="317" t="s">
        <v>388</v>
      </c>
      <c r="D226" s="318"/>
      <c r="E226" s="318"/>
      <c r="F226" s="318" t="s">
        <v>388</v>
      </c>
      <c r="G226" s="318"/>
      <c r="H226" s="318"/>
      <c r="I226" s="318" t="s">
        <v>388</v>
      </c>
      <c r="J226" s="318"/>
      <c r="K226" s="318"/>
      <c r="L226" s="318" t="s">
        <v>388</v>
      </c>
      <c r="M226" s="318"/>
      <c r="N226" s="318"/>
    </row>
    <row r="227" spans="1:14" ht="20.100000000000001" hidden="1" customHeight="1">
      <c r="A227" s="251" t="s">
        <v>180</v>
      </c>
      <c r="B227" s="216"/>
      <c r="C227" s="321" t="s">
        <v>388</v>
      </c>
      <c r="D227" s="322"/>
      <c r="E227" s="322"/>
      <c r="F227" s="322" t="s">
        <v>388</v>
      </c>
      <c r="G227" s="322"/>
      <c r="H227" s="322"/>
      <c r="I227" s="322" t="s">
        <v>388</v>
      </c>
      <c r="J227" s="322"/>
      <c r="K227" s="322"/>
      <c r="L227" s="322" t="s">
        <v>388</v>
      </c>
      <c r="M227" s="322"/>
      <c r="N227" s="322"/>
    </row>
    <row r="228" spans="1:14" ht="15" hidden="1" customHeight="1">
      <c r="A228" s="241" t="s">
        <v>181</v>
      </c>
      <c r="B228" s="216"/>
      <c r="C228" s="328"/>
      <c r="D228" s="329"/>
      <c r="E228" s="329"/>
      <c r="F228" s="329"/>
      <c r="G228" s="329"/>
      <c r="H228" s="329"/>
      <c r="I228" s="329"/>
      <c r="J228" s="329"/>
      <c r="K228" s="329"/>
      <c r="L228" s="329"/>
      <c r="M228" s="329"/>
      <c r="N228" s="329"/>
    </row>
    <row r="229" spans="1:14" ht="15" hidden="1" customHeight="1">
      <c r="A229" s="216" t="s">
        <v>182</v>
      </c>
      <c r="B229" s="216"/>
      <c r="C229" s="330" t="s">
        <v>388</v>
      </c>
      <c r="D229" s="331"/>
      <c r="E229" s="331"/>
      <c r="F229" s="332" t="s">
        <v>388</v>
      </c>
      <c r="G229" s="331"/>
      <c r="H229" s="331"/>
      <c r="I229" s="332" t="s">
        <v>388</v>
      </c>
      <c r="J229" s="331"/>
      <c r="K229" s="331"/>
      <c r="L229" s="332" t="s">
        <v>388</v>
      </c>
      <c r="M229" s="331"/>
      <c r="N229" s="331"/>
    </row>
    <row r="230" spans="1:14" ht="15" hidden="1" customHeight="1">
      <c r="A230" s="216" t="s">
        <v>462</v>
      </c>
      <c r="B230" s="216"/>
      <c r="C230" s="330" t="s">
        <v>388</v>
      </c>
      <c r="D230" s="332"/>
      <c r="E230" s="332"/>
      <c r="F230" s="332" t="s">
        <v>388</v>
      </c>
      <c r="G230" s="332"/>
      <c r="H230" s="332"/>
      <c r="I230" s="332" t="s">
        <v>388</v>
      </c>
      <c r="J230" s="332"/>
      <c r="K230" s="332"/>
      <c r="L230" s="332" t="s">
        <v>388</v>
      </c>
      <c r="M230" s="332"/>
      <c r="N230" s="332"/>
    </row>
    <row r="231" spans="1:14" ht="15" hidden="1" customHeight="1">
      <c r="A231" s="216" t="s">
        <v>463</v>
      </c>
      <c r="B231" s="216"/>
      <c r="C231" s="330" t="s">
        <v>388</v>
      </c>
      <c r="D231" s="332"/>
      <c r="E231" s="332"/>
      <c r="F231" s="332" t="s">
        <v>388</v>
      </c>
      <c r="G231" s="332"/>
      <c r="H231" s="332"/>
      <c r="I231" s="332" t="s">
        <v>388</v>
      </c>
      <c r="J231" s="332"/>
      <c r="K231" s="332"/>
      <c r="L231" s="332" t="s">
        <v>388</v>
      </c>
      <c r="M231" s="332"/>
      <c r="N231" s="332"/>
    </row>
    <row r="232" spans="1:14" ht="15" hidden="1" customHeight="1">
      <c r="A232" s="216" t="s">
        <v>183</v>
      </c>
      <c r="B232" s="216"/>
      <c r="C232" s="330" t="s">
        <v>388</v>
      </c>
      <c r="D232" s="332"/>
      <c r="E232" s="332"/>
      <c r="F232" s="332" t="s">
        <v>388</v>
      </c>
      <c r="G232" s="332"/>
      <c r="H232" s="332"/>
      <c r="I232" s="332" t="s">
        <v>388</v>
      </c>
      <c r="J232" s="332"/>
      <c r="K232" s="332"/>
      <c r="L232" s="332" t="s">
        <v>388</v>
      </c>
      <c r="M232" s="332"/>
      <c r="N232" s="332"/>
    </row>
    <row r="233" spans="1:14" ht="20.100000000000001" hidden="1" customHeight="1">
      <c r="A233" s="251" t="s">
        <v>133</v>
      </c>
      <c r="B233" s="216"/>
      <c r="C233" s="333">
        <v>0</v>
      </c>
      <c r="D233" s="334"/>
      <c r="E233" s="334"/>
      <c r="F233" s="334">
        <v>0</v>
      </c>
      <c r="G233" s="334"/>
      <c r="H233" s="334"/>
      <c r="I233" s="334">
        <v>0</v>
      </c>
      <c r="J233" s="334"/>
      <c r="K233" s="334"/>
      <c r="L233" s="334">
        <v>0</v>
      </c>
      <c r="M233" s="334"/>
      <c r="N233" s="334"/>
    </row>
    <row r="234" spans="1:14" ht="15" hidden="1" customHeight="1">
      <c r="B234" s="216"/>
      <c r="C234" s="335" t="s">
        <v>184</v>
      </c>
      <c r="D234" s="336"/>
      <c r="E234" s="336"/>
      <c r="F234" s="336" t="s">
        <v>184</v>
      </c>
      <c r="G234" s="336"/>
      <c r="H234" s="336"/>
      <c r="I234" s="336" t="s">
        <v>184</v>
      </c>
      <c r="J234" s="336"/>
      <c r="K234" s="336"/>
      <c r="L234" s="336" t="s">
        <v>184</v>
      </c>
      <c r="M234" s="336"/>
      <c r="N234" s="336"/>
    </row>
    <row r="235" spans="1:14" ht="15" hidden="1" customHeight="1">
      <c r="A235" s="241" t="s">
        <v>185</v>
      </c>
      <c r="B235" s="216"/>
      <c r="C235" s="337" t="s">
        <v>186</v>
      </c>
      <c r="D235" s="338" t="s">
        <v>187</v>
      </c>
      <c r="E235" s="338"/>
      <c r="F235" s="312" t="s">
        <v>186</v>
      </c>
      <c r="G235" s="338" t="s">
        <v>187</v>
      </c>
      <c r="H235" s="338"/>
      <c r="I235" s="312" t="s">
        <v>186</v>
      </c>
      <c r="J235" s="338" t="s">
        <v>187</v>
      </c>
      <c r="K235" s="338"/>
      <c r="L235" s="312" t="s">
        <v>186</v>
      </c>
      <c r="M235" s="338" t="s">
        <v>187</v>
      </c>
      <c r="N235" s="338"/>
    </row>
    <row r="236" spans="1:14" ht="15" hidden="1" customHeight="1">
      <c r="A236" s="216" t="s">
        <v>182</v>
      </c>
      <c r="B236" s="216"/>
      <c r="C236" s="339" t="s">
        <v>388</v>
      </c>
      <c r="D236" s="340" t="s">
        <v>388</v>
      </c>
      <c r="E236" s="340"/>
      <c r="F236" s="341" t="s">
        <v>388</v>
      </c>
      <c r="G236" s="340" t="s">
        <v>388</v>
      </c>
      <c r="H236" s="340"/>
      <c r="I236" s="341" t="s">
        <v>388</v>
      </c>
      <c r="J236" s="340" t="s">
        <v>388</v>
      </c>
      <c r="K236" s="340"/>
      <c r="L236" s="341" t="s">
        <v>388</v>
      </c>
      <c r="M236" s="340" t="s">
        <v>388</v>
      </c>
      <c r="N236" s="340"/>
    </row>
    <row r="237" spans="1:14" ht="15" hidden="1" customHeight="1">
      <c r="A237" s="216" t="s">
        <v>462</v>
      </c>
      <c r="B237" s="216"/>
      <c r="C237" s="339" t="s">
        <v>388</v>
      </c>
      <c r="D237" s="340" t="s">
        <v>388</v>
      </c>
      <c r="E237" s="340"/>
      <c r="F237" s="341" t="s">
        <v>388</v>
      </c>
      <c r="G237" s="340" t="s">
        <v>388</v>
      </c>
      <c r="H237" s="340"/>
      <c r="I237" s="341" t="s">
        <v>388</v>
      </c>
      <c r="J237" s="340" t="s">
        <v>388</v>
      </c>
      <c r="K237" s="340"/>
      <c r="L237" s="341" t="s">
        <v>388</v>
      </c>
      <c r="M237" s="340" t="s">
        <v>388</v>
      </c>
      <c r="N237" s="340"/>
    </row>
    <row r="238" spans="1:14" ht="15" hidden="1" customHeight="1">
      <c r="A238" s="216" t="s">
        <v>463</v>
      </c>
      <c r="B238" s="216"/>
      <c r="C238" s="339" t="s">
        <v>388</v>
      </c>
      <c r="D238" s="340" t="s">
        <v>388</v>
      </c>
      <c r="E238" s="340"/>
      <c r="F238" s="341" t="s">
        <v>388</v>
      </c>
      <c r="G238" s="340" t="s">
        <v>388</v>
      </c>
      <c r="H238" s="340"/>
      <c r="I238" s="341" t="s">
        <v>388</v>
      </c>
      <c r="J238" s="340" t="s">
        <v>388</v>
      </c>
      <c r="K238" s="340"/>
      <c r="L238" s="341" t="s">
        <v>388</v>
      </c>
      <c r="M238" s="340" t="s">
        <v>388</v>
      </c>
      <c r="N238" s="340"/>
    </row>
    <row r="239" spans="1:14" ht="15" hidden="1" customHeight="1">
      <c r="A239" s="216" t="s">
        <v>183</v>
      </c>
      <c r="B239" s="216"/>
      <c r="C239" s="339" t="s">
        <v>388</v>
      </c>
      <c r="D239" s="340" t="s">
        <v>388</v>
      </c>
      <c r="E239" s="340"/>
      <c r="F239" s="341" t="s">
        <v>388</v>
      </c>
      <c r="G239" s="340" t="s">
        <v>388</v>
      </c>
      <c r="H239" s="340"/>
      <c r="I239" s="341" t="s">
        <v>388</v>
      </c>
      <c r="J239" s="340" t="s">
        <v>388</v>
      </c>
      <c r="K239" s="340"/>
      <c r="L239" s="341" t="s">
        <v>388</v>
      </c>
      <c r="M239" s="340" t="s">
        <v>388</v>
      </c>
      <c r="N239" s="340"/>
    </row>
    <row r="240" spans="1:14" ht="15" hidden="1" customHeight="1">
      <c r="A240" s="241" t="s">
        <v>188</v>
      </c>
      <c r="B240" s="216"/>
      <c r="C240" s="342" t="s">
        <v>388</v>
      </c>
      <c r="D240" s="343">
        <v>0</v>
      </c>
      <c r="E240" s="343"/>
      <c r="F240" s="344" t="s">
        <v>388</v>
      </c>
      <c r="G240" s="343">
        <v>0</v>
      </c>
      <c r="H240" s="343"/>
      <c r="I240" s="344" t="s">
        <v>388</v>
      </c>
      <c r="J240" s="343">
        <v>0</v>
      </c>
      <c r="K240" s="343"/>
      <c r="L240" s="344" t="s">
        <v>388</v>
      </c>
      <c r="M240" s="343">
        <v>0</v>
      </c>
      <c r="N240" s="343"/>
    </row>
    <row r="241" spans="1:14" ht="20.100000000000001" hidden="1" customHeight="1" thickBot="1">
      <c r="A241" s="256" t="s">
        <v>189</v>
      </c>
      <c r="B241" s="216"/>
      <c r="C241" s="345" t="s">
        <v>388</v>
      </c>
      <c r="D241" s="346">
        <v>0</v>
      </c>
      <c r="E241" s="346"/>
      <c r="F241" s="347" t="s">
        <v>388</v>
      </c>
      <c r="G241" s="346">
        <v>0</v>
      </c>
      <c r="H241" s="346"/>
      <c r="I241" s="347" t="s">
        <v>388</v>
      </c>
      <c r="J241" s="346">
        <v>0</v>
      </c>
      <c r="K241" s="346"/>
      <c r="L241" s="347" t="s">
        <v>388</v>
      </c>
      <c r="M241" s="346">
        <v>0</v>
      </c>
      <c r="N241" s="346"/>
    </row>
    <row r="242" spans="1:14" ht="18" hidden="1" customHeight="1" thickBot="1">
      <c r="A242" s="256" t="s">
        <v>190</v>
      </c>
      <c r="B242" s="216"/>
      <c r="C242" s="348" t="s">
        <v>388</v>
      </c>
      <c r="D242" s="349"/>
      <c r="E242" s="349"/>
      <c r="F242" s="349" t="s">
        <v>388</v>
      </c>
      <c r="G242" s="349"/>
      <c r="H242" s="349"/>
      <c r="I242" s="349" t="s">
        <v>388</v>
      </c>
      <c r="J242" s="349"/>
      <c r="K242" s="349"/>
      <c r="L242" s="349" t="s">
        <v>388</v>
      </c>
      <c r="M242" s="349"/>
      <c r="N242" s="349"/>
    </row>
    <row r="243" spans="1:14" ht="18" hidden="1" customHeight="1" thickBot="1">
      <c r="A243" s="289" t="s">
        <v>191</v>
      </c>
      <c r="B243" s="289"/>
      <c r="C243" s="348">
        <v>0</v>
      </c>
      <c r="D243" s="349"/>
      <c r="E243" s="349"/>
      <c r="F243" s="349">
        <v>0</v>
      </c>
      <c r="G243" s="349"/>
      <c r="H243" s="349"/>
      <c r="I243" s="349">
        <v>0</v>
      </c>
      <c r="J243" s="349"/>
      <c r="K243" s="349"/>
      <c r="L243" s="349">
        <v>0</v>
      </c>
      <c r="M243" s="349"/>
      <c r="N243" s="349"/>
    </row>
    <row r="244" spans="1:14" ht="12.75" hidden="1" customHeight="1">
      <c r="B244" s="216"/>
      <c r="C244" s="350"/>
      <c r="D244" s="350"/>
      <c r="E244" s="350"/>
      <c r="F244" s="350"/>
      <c r="G244" s="350"/>
      <c r="H244" s="350"/>
      <c r="I244" s="350"/>
      <c r="J244" s="350"/>
      <c r="K244" s="350"/>
      <c r="L244" s="353"/>
      <c r="M244" s="353"/>
      <c r="N244" s="353"/>
    </row>
    <row r="245" spans="1:14" ht="12.75" hidden="1" customHeight="1">
      <c r="B245" s="216"/>
      <c r="L245" s="294"/>
      <c r="M245" s="294"/>
      <c r="N245" s="294"/>
    </row>
    <row r="246" spans="1:14" ht="12.75" hidden="1" customHeight="1">
      <c r="B246" s="216"/>
      <c r="C246" s="294"/>
      <c r="D246" s="294"/>
      <c r="E246" s="294"/>
      <c r="F246" s="294"/>
      <c r="G246" s="294"/>
      <c r="H246" s="294"/>
      <c r="I246" s="294"/>
      <c r="J246" s="294"/>
      <c r="K246" s="294"/>
      <c r="L246" s="294"/>
      <c r="M246" s="294"/>
      <c r="N246" s="294"/>
    </row>
    <row r="247" spans="1:14" ht="12.75" hidden="1" customHeight="1">
      <c r="A247" s="351"/>
      <c r="B247" s="216"/>
      <c r="C247" s="294"/>
      <c r="D247" s="294"/>
      <c r="E247" s="294"/>
      <c r="F247" s="294"/>
      <c r="G247" s="294"/>
      <c r="H247" s="294"/>
      <c r="I247" s="294"/>
      <c r="J247" s="294"/>
      <c r="K247" s="294"/>
      <c r="L247" s="294"/>
      <c r="M247" s="294"/>
      <c r="N247" s="294"/>
    </row>
    <row r="248" spans="1:14" ht="12.75" hidden="1" customHeight="1">
      <c r="A248" s="351"/>
      <c r="B248" s="216"/>
      <c r="C248" s="294"/>
      <c r="D248" s="294"/>
      <c r="E248" s="294"/>
      <c r="F248" s="294"/>
      <c r="G248" s="294"/>
      <c r="H248" s="294"/>
      <c r="I248" s="294"/>
      <c r="J248" s="294"/>
      <c r="K248" s="294"/>
      <c r="L248" s="294"/>
      <c r="M248" s="294"/>
      <c r="N248" s="294"/>
    </row>
    <row r="249" spans="1:14" ht="12.75" hidden="1" customHeight="1">
      <c r="A249" s="351" t="s">
        <v>388</v>
      </c>
      <c r="B249" s="216"/>
      <c r="C249" s="294"/>
      <c r="D249" s="294"/>
      <c r="E249" s="294"/>
      <c r="F249" s="294"/>
      <c r="G249" s="294"/>
      <c r="H249" s="294"/>
      <c r="I249" s="294"/>
      <c r="J249" s="294"/>
      <c r="K249" s="294"/>
      <c r="L249" s="294"/>
      <c r="M249" s="294"/>
      <c r="N249" s="294"/>
    </row>
    <row r="250" spans="1:14" ht="12.75" hidden="1" customHeight="1">
      <c r="A250" s="351"/>
      <c r="B250" s="216"/>
      <c r="C250" s="294"/>
      <c r="D250" s="294"/>
      <c r="E250" s="294"/>
      <c r="F250" s="294"/>
      <c r="G250" s="294"/>
      <c r="H250" s="294"/>
      <c r="I250" s="294"/>
      <c r="J250" s="294"/>
      <c r="K250" s="294"/>
      <c r="L250" s="294"/>
      <c r="M250" s="294"/>
      <c r="N250" s="294"/>
    </row>
    <row r="251" spans="1:14" ht="12.75" hidden="1" customHeight="1">
      <c r="A251" s="352" t="s">
        <v>192</v>
      </c>
      <c r="B251" s="216"/>
      <c r="C251" s="294"/>
      <c r="D251" s="294"/>
      <c r="E251" s="294"/>
      <c r="F251" s="294"/>
      <c r="G251" s="294"/>
      <c r="H251" s="294"/>
      <c r="I251" s="294"/>
      <c r="J251" s="294"/>
      <c r="K251" s="294"/>
      <c r="L251" s="294"/>
      <c r="M251" s="294"/>
      <c r="N251" s="294"/>
    </row>
    <row r="252" spans="1:14" ht="12.75" hidden="1" customHeight="1">
      <c r="A252" s="351" t="s">
        <v>193</v>
      </c>
      <c r="B252" s="216"/>
      <c r="C252" s="294"/>
      <c r="D252" s="294"/>
      <c r="E252" s="294"/>
      <c r="F252" s="294"/>
      <c r="G252" s="294"/>
      <c r="H252" s="294"/>
      <c r="I252" s="294"/>
      <c r="J252" s="294"/>
      <c r="K252" s="294"/>
      <c r="L252" s="294"/>
      <c r="M252" s="294"/>
      <c r="N252" s="294"/>
    </row>
    <row r="253" spans="1:14" ht="12.75" hidden="1" customHeight="1">
      <c r="A253" s="351" t="s">
        <v>194</v>
      </c>
      <c r="B253" s="216"/>
      <c r="C253" s="294"/>
      <c r="D253" s="294"/>
      <c r="E253" s="294"/>
      <c r="F253" s="294"/>
      <c r="G253" s="294"/>
      <c r="H253" s="294"/>
      <c r="I253" s="294"/>
      <c r="J253" s="294"/>
      <c r="K253" s="294"/>
      <c r="L253" s="294"/>
      <c r="M253" s="294"/>
      <c r="N253" s="294"/>
    </row>
    <row r="254" spans="1:14" ht="12.75" hidden="1" customHeight="1">
      <c r="A254" s="351" t="s">
        <v>195</v>
      </c>
      <c r="B254" s="216"/>
      <c r="C254" s="294"/>
      <c r="D254" s="294"/>
      <c r="E254" s="294"/>
      <c r="F254" s="294"/>
      <c r="G254" s="294"/>
      <c r="H254" s="294"/>
      <c r="I254" s="294"/>
      <c r="J254" s="294"/>
      <c r="K254" s="294"/>
      <c r="L254" s="294"/>
      <c r="M254" s="294"/>
      <c r="N254" s="294"/>
    </row>
    <row r="255" spans="1:14" ht="12.75" hidden="1" customHeight="1">
      <c r="A255" s="351"/>
      <c r="B255" s="216"/>
      <c r="C255" s="294"/>
      <c r="D255" s="294"/>
      <c r="E255" s="294"/>
      <c r="F255" s="294"/>
      <c r="G255" s="294"/>
      <c r="H255" s="294"/>
      <c r="I255" s="294"/>
      <c r="J255" s="294"/>
      <c r="K255" s="294"/>
      <c r="L255" s="294"/>
      <c r="M255" s="294"/>
      <c r="N255" s="294"/>
    </row>
    <row r="256" spans="1:14" ht="12.75" hidden="1" customHeight="1">
      <c r="A256" s="351" t="s">
        <v>616</v>
      </c>
      <c r="B256" s="216"/>
      <c r="C256" s="294"/>
      <c r="D256" s="294"/>
      <c r="E256" s="294"/>
      <c r="F256" s="294"/>
      <c r="G256" s="294"/>
      <c r="H256" s="294"/>
      <c r="I256" s="294"/>
      <c r="J256" s="294"/>
      <c r="K256" s="294"/>
      <c r="L256" s="294"/>
      <c r="M256" s="294"/>
      <c r="N256" s="294"/>
    </row>
    <row r="257" spans="1:14" ht="12.75" hidden="1" customHeight="1">
      <c r="A257" s="351" t="s">
        <v>617</v>
      </c>
      <c r="B257" s="216"/>
      <c r="C257" s="294"/>
      <c r="D257" s="294"/>
      <c r="E257" s="294"/>
      <c r="F257" s="294"/>
      <c r="G257" s="294"/>
      <c r="H257" s="294"/>
      <c r="I257" s="294"/>
      <c r="J257" s="294"/>
      <c r="K257" s="294"/>
      <c r="L257" s="294"/>
      <c r="M257" s="294"/>
      <c r="N257" s="294"/>
    </row>
    <row r="258" spans="1:14" ht="12.75" hidden="1" customHeight="1">
      <c r="A258" s="351" t="s">
        <v>618</v>
      </c>
      <c r="B258" s="216"/>
      <c r="C258" s="294"/>
      <c r="D258" s="294"/>
      <c r="E258" s="294"/>
      <c r="F258" s="294"/>
      <c r="G258" s="294"/>
      <c r="H258" s="294"/>
      <c r="I258" s="294"/>
      <c r="J258" s="294"/>
      <c r="K258" s="294"/>
      <c r="L258" s="294"/>
      <c r="M258" s="294"/>
      <c r="N258" s="294"/>
    </row>
    <row r="259" spans="1:14" ht="12.75" hidden="1" customHeight="1">
      <c r="A259" s="351"/>
      <c r="B259" s="216"/>
      <c r="C259" s="294"/>
      <c r="D259" s="294"/>
      <c r="E259" s="294"/>
      <c r="F259" s="294"/>
      <c r="G259" s="294"/>
      <c r="H259" s="294"/>
      <c r="I259" s="294"/>
      <c r="J259" s="294"/>
      <c r="K259" s="294"/>
      <c r="L259" s="294"/>
      <c r="M259" s="294"/>
      <c r="N259" s="294"/>
    </row>
    <row r="260" spans="1:14" ht="12.75" hidden="1" customHeight="1">
      <c r="A260" s="351" t="s">
        <v>196</v>
      </c>
      <c r="B260" s="216"/>
      <c r="C260" s="294"/>
      <c r="D260" s="294"/>
      <c r="E260" s="294"/>
      <c r="F260" s="294"/>
      <c r="G260" s="294"/>
      <c r="H260" s="294"/>
      <c r="I260" s="294"/>
      <c r="J260" s="294"/>
      <c r="K260" s="294"/>
      <c r="L260" s="294"/>
      <c r="M260" s="294"/>
      <c r="N260" s="294"/>
    </row>
    <row r="261" spans="1:14" ht="26.1" hidden="1" customHeight="1">
      <c r="A261" s="299"/>
      <c r="B261" s="299"/>
      <c r="C261" s="299"/>
      <c r="D261" s="299"/>
      <c r="E261" s="299"/>
      <c r="F261" s="299"/>
      <c r="G261" s="299"/>
      <c r="H261" s="299"/>
      <c r="I261" s="299"/>
      <c r="J261" s="299"/>
      <c r="K261" s="299"/>
      <c r="L261" s="299"/>
      <c r="M261" s="299"/>
      <c r="N261" s="299"/>
    </row>
    <row r="262" spans="1:14" ht="5.25" hidden="1" customHeight="1"/>
    <row r="263" spans="1:14" ht="32.1" hidden="1" customHeight="1">
      <c r="A263" s="216"/>
      <c r="B263" s="300"/>
      <c r="C263" s="300"/>
      <c r="D263" s="300"/>
      <c r="E263" s="300"/>
      <c r="F263" s="300"/>
      <c r="G263" s="300"/>
      <c r="H263" s="300"/>
      <c r="I263" s="300"/>
      <c r="J263" s="300"/>
      <c r="K263" s="301" t="s">
        <v>392</v>
      </c>
      <c r="L263" s="302" t="s">
        <v>157</v>
      </c>
      <c r="M263" s="303"/>
      <c r="N263" s="303"/>
    </row>
    <row r="264" spans="1:14" ht="24" hidden="1" customHeight="1">
      <c r="A264" s="304" t="s">
        <v>365</v>
      </c>
      <c r="B264" s="300"/>
      <c r="C264" s="300"/>
      <c r="D264" s="300"/>
      <c r="E264" s="300"/>
      <c r="F264" s="300"/>
      <c r="G264" s="300"/>
      <c r="H264" s="300"/>
      <c r="I264" s="300"/>
      <c r="J264" s="300"/>
      <c r="K264" s="300"/>
      <c r="L264" s="300"/>
      <c r="M264" s="300"/>
      <c r="N264" s="300"/>
    </row>
    <row r="265" spans="1:14" ht="18" hidden="1" customHeight="1">
      <c r="A265" s="305" t="s">
        <v>158</v>
      </c>
      <c r="B265" s="216"/>
      <c r="C265" s="306"/>
      <c r="D265" s="306"/>
      <c r="E265" s="306"/>
      <c r="F265" s="306"/>
      <c r="G265" s="300"/>
      <c r="H265" s="300"/>
      <c r="I265" s="216"/>
      <c r="J265" s="216"/>
      <c r="K265" s="216"/>
      <c r="L265" s="216"/>
      <c r="M265" s="216"/>
      <c r="N265" s="216"/>
    </row>
    <row r="266" spans="1:14" ht="18" hidden="1" customHeight="1">
      <c r="A266" s="300"/>
      <c r="B266" s="300"/>
      <c r="C266" s="300"/>
      <c r="D266" s="300"/>
      <c r="E266" s="300"/>
      <c r="F266" s="300"/>
      <c r="G266" s="300"/>
      <c r="H266" s="300"/>
      <c r="I266" s="300"/>
      <c r="J266" s="300"/>
      <c r="K266" s="300"/>
      <c r="L266" s="300"/>
      <c r="M266" s="300"/>
      <c r="N266" s="300"/>
    </row>
    <row r="267" spans="1:14" s="211" customFormat="1" ht="15.75" hidden="1" customHeight="1">
      <c r="A267" s="221"/>
      <c r="B267" s="222" t="s">
        <v>159</v>
      </c>
      <c r="C267" s="223" t="s">
        <v>392</v>
      </c>
      <c r="D267" s="224"/>
      <c r="E267" s="224"/>
      <c r="F267" s="224"/>
      <c r="G267" s="225"/>
      <c r="H267" s="212"/>
      <c r="I267" s="212"/>
      <c r="J267" s="212"/>
      <c r="K267" s="212"/>
      <c r="L267" s="212"/>
      <c r="M267" s="212"/>
      <c r="N267" s="212"/>
    </row>
    <row r="268" spans="1:14" s="211" customFormat="1" ht="12.75" hidden="1" customHeight="1">
      <c r="A268" s="226"/>
      <c r="B268" s="227" t="s">
        <v>160</v>
      </c>
      <c r="C268" s="228" t="s">
        <v>395</v>
      </c>
      <c r="D268" s="228"/>
      <c r="E268" s="212"/>
      <c r="F268" s="212"/>
      <c r="G268" s="229"/>
      <c r="H268" s="212"/>
      <c r="I268" s="212"/>
      <c r="J268" s="212"/>
      <c r="K268" s="212"/>
      <c r="L268" s="212"/>
      <c r="M268" s="212"/>
      <c r="N268" s="212"/>
    </row>
    <row r="269" spans="1:14" s="211" customFormat="1" ht="18" hidden="1" customHeight="1">
      <c r="A269" s="230"/>
      <c r="B269" s="231" t="s">
        <v>161</v>
      </c>
      <c r="C269" s="232" t="s">
        <v>464</v>
      </c>
      <c r="D269" s="233"/>
      <c r="E269" s="233"/>
      <c r="F269" s="233"/>
      <c r="G269" s="234"/>
      <c r="H269" s="212"/>
    </row>
    <row r="270" spans="1:14" ht="12.75" hidden="1" customHeight="1">
      <c r="A270" s="300"/>
      <c r="B270" s="256"/>
      <c r="C270" s="256"/>
      <c r="D270" s="256"/>
      <c r="E270" s="256"/>
      <c r="F270" s="256"/>
      <c r="G270" s="300"/>
      <c r="H270" s="300"/>
      <c r="I270" s="216"/>
      <c r="J270" s="216"/>
      <c r="K270" s="216"/>
      <c r="L270" s="216"/>
      <c r="M270" s="216"/>
      <c r="N270" s="216"/>
    </row>
    <row r="271" spans="1:14" ht="12.75" hidden="1" customHeight="1">
      <c r="A271" s="307" t="s">
        <v>162</v>
      </c>
      <c r="B271" s="308"/>
      <c r="C271" s="308"/>
      <c r="D271" s="308"/>
      <c r="E271" s="308"/>
      <c r="F271" s="308"/>
      <c r="G271" s="308"/>
      <c r="H271" s="308"/>
      <c r="J271" s="308"/>
      <c r="K271" s="308"/>
    </row>
    <row r="272" spans="1:14" ht="12.75" hidden="1" customHeight="1" thickBot="1">
      <c r="A272" s="216"/>
      <c r="B272" s="216"/>
      <c r="C272" s="309" t="s">
        <v>388</v>
      </c>
      <c r="D272" s="310"/>
      <c r="E272" s="310"/>
      <c r="F272" s="309" t="s">
        <v>388</v>
      </c>
      <c r="G272" s="310"/>
      <c r="H272" s="310"/>
      <c r="I272" s="309" t="s">
        <v>388</v>
      </c>
      <c r="J272" s="310"/>
      <c r="K272" s="310"/>
      <c r="L272" s="309" t="s">
        <v>388</v>
      </c>
      <c r="M272" s="310"/>
      <c r="N272" s="310"/>
    </row>
    <row r="273" spans="1:14" ht="18" hidden="1" customHeight="1">
      <c r="A273" s="216"/>
      <c r="B273" s="216"/>
      <c r="C273" s="311" t="s">
        <v>632</v>
      </c>
      <c r="D273" s="312"/>
      <c r="E273" s="312" t="s">
        <v>388</v>
      </c>
      <c r="F273" s="313" t="s">
        <v>633</v>
      </c>
      <c r="G273" s="312"/>
      <c r="H273" s="312" t="s">
        <v>388</v>
      </c>
      <c r="I273" s="313" t="s">
        <v>634</v>
      </c>
      <c r="J273" s="312"/>
      <c r="K273" s="312" t="s">
        <v>388</v>
      </c>
      <c r="L273" s="313" t="s">
        <v>635</v>
      </c>
      <c r="M273" s="312"/>
      <c r="N273" s="312" t="s">
        <v>388</v>
      </c>
    </row>
    <row r="274" spans="1:14" ht="45" hidden="1" customHeight="1">
      <c r="A274" s="241" t="s">
        <v>163</v>
      </c>
      <c r="B274" s="216"/>
      <c r="C274" s="315" t="s">
        <v>623</v>
      </c>
      <c r="D274" s="316"/>
      <c r="E274" s="316"/>
      <c r="F274" s="316" t="s">
        <v>623</v>
      </c>
      <c r="G274" s="316"/>
      <c r="H274" s="316"/>
      <c r="I274" s="316" t="s">
        <v>623</v>
      </c>
      <c r="J274" s="316"/>
      <c r="K274" s="316"/>
      <c r="L274" s="316" t="s">
        <v>623</v>
      </c>
      <c r="M274" s="316"/>
      <c r="N274" s="316"/>
    </row>
    <row r="275" spans="1:14" ht="15" hidden="1" customHeight="1">
      <c r="A275" s="216" t="s">
        <v>164</v>
      </c>
      <c r="B275" s="216"/>
      <c r="C275" s="317" t="s">
        <v>388</v>
      </c>
      <c r="D275" s="318"/>
      <c r="E275" s="318"/>
      <c r="F275" s="318" t="s">
        <v>388</v>
      </c>
      <c r="G275" s="318"/>
      <c r="H275" s="318"/>
      <c r="I275" s="318" t="s">
        <v>388</v>
      </c>
      <c r="J275" s="318"/>
      <c r="K275" s="318"/>
      <c r="L275" s="318" t="s">
        <v>388</v>
      </c>
      <c r="M275" s="318"/>
      <c r="N275" s="318"/>
    </row>
    <row r="276" spans="1:14" ht="15" hidden="1" customHeight="1">
      <c r="A276" s="216" t="s">
        <v>165</v>
      </c>
      <c r="B276" s="216"/>
      <c r="C276" s="317" t="s">
        <v>388</v>
      </c>
      <c r="D276" s="318"/>
      <c r="E276" s="318"/>
      <c r="F276" s="318" t="s">
        <v>388</v>
      </c>
      <c r="G276" s="318"/>
      <c r="H276" s="318"/>
      <c r="I276" s="318" t="s">
        <v>388</v>
      </c>
      <c r="J276" s="318"/>
      <c r="K276" s="318"/>
      <c r="L276" s="318" t="s">
        <v>388</v>
      </c>
      <c r="M276" s="318"/>
      <c r="N276" s="318"/>
    </row>
    <row r="277" spans="1:14" ht="15" hidden="1" customHeight="1">
      <c r="A277" s="216" t="s">
        <v>166</v>
      </c>
      <c r="B277" s="216"/>
      <c r="C277" s="317" t="s">
        <v>388</v>
      </c>
      <c r="D277" s="318"/>
      <c r="E277" s="318"/>
      <c r="F277" s="318" t="s">
        <v>388</v>
      </c>
      <c r="G277" s="318"/>
      <c r="H277" s="318"/>
      <c r="I277" s="318" t="s">
        <v>388</v>
      </c>
      <c r="J277" s="318"/>
      <c r="K277" s="318"/>
      <c r="L277" s="318" t="s">
        <v>388</v>
      </c>
      <c r="M277" s="318"/>
      <c r="N277" s="318"/>
    </row>
    <row r="278" spans="1:14" ht="15" hidden="1" customHeight="1">
      <c r="A278" s="216" t="s">
        <v>167</v>
      </c>
      <c r="B278" s="216"/>
      <c r="C278" s="319" t="s">
        <v>388</v>
      </c>
      <c r="D278" s="320"/>
      <c r="E278" s="320"/>
      <c r="F278" s="320" t="s">
        <v>388</v>
      </c>
      <c r="G278" s="320"/>
      <c r="H278" s="320"/>
      <c r="I278" s="320" t="s">
        <v>388</v>
      </c>
      <c r="J278" s="320"/>
      <c r="K278" s="320"/>
      <c r="L278" s="320" t="s">
        <v>388</v>
      </c>
      <c r="M278" s="320"/>
      <c r="N278" s="320"/>
    </row>
    <row r="279" spans="1:14" ht="20.100000000000001" hidden="1" customHeight="1">
      <c r="A279" s="251" t="s">
        <v>168</v>
      </c>
      <c r="B279" s="216"/>
      <c r="C279" s="321" t="s">
        <v>388</v>
      </c>
      <c r="D279" s="322"/>
      <c r="E279" s="322"/>
      <c r="F279" s="322" t="s">
        <v>388</v>
      </c>
      <c r="G279" s="322"/>
      <c r="H279" s="322"/>
      <c r="I279" s="322" t="s">
        <v>388</v>
      </c>
      <c r="J279" s="322"/>
      <c r="K279" s="322"/>
      <c r="L279" s="322" t="s">
        <v>388</v>
      </c>
      <c r="M279" s="322"/>
      <c r="N279" s="322"/>
    </row>
    <row r="280" spans="1:14" ht="15" hidden="1" customHeight="1">
      <c r="A280" s="241" t="s">
        <v>169</v>
      </c>
      <c r="B280" s="216"/>
      <c r="C280" s="323" t="s">
        <v>170</v>
      </c>
      <c r="D280" s="324"/>
      <c r="E280" s="324"/>
      <c r="F280" s="324" t="s">
        <v>170</v>
      </c>
      <c r="G280" s="324"/>
      <c r="H280" s="324"/>
      <c r="I280" s="324" t="s">
        <v>170</v>
      </c>
      <c r="J280" s="324"/>
      <c r="K280" s="324"/>
      <c r="L280" s="324" t="s">
        <v>170</v>
      </c>
      <c r="M280" s="324"/>
      <c r="N280" s="324"/>
    </row>
    <row r="281" spans="1:14" ht="15" hidden="1" customHeight="1">
      <c r="A281" s="216" t="s">
        <v>171</v>
      </c>
      <c r="B281" s="216"/>
      <c r="C281" s="317" t="s">
        <v>388</v>
      </c>
      <c r="D281" s="318"/>
      <c r="E281" s="318"/>
      <c r="F281" s="318" t="s">
        <v>388</v>
      </c>
      <c r="G281" s="318"/>
      <c r="H281" s="318"/>
      <c r="I281" s="318" t="s">
        <v>388</v>
      </c>
      <c r="J281" s="318"/>
      <c r="K281" s="318"/>
      <c r="L281" s="318" t="s">
        <v>388</v>
      </c>
      <c r="M281" s="318"/>
      <c r="N281" s="318"/>
    </row>
    <row r="282" spans="1:14" ht="15" hidden="1" customHeight="1">
      <c r="A282" s="216" t="s">
        <v>172</v>
      </c>
      <c r="B282" s="216"/>
      <c r="C282" s="317" t="s">
        <v>388</v>
      </c>
      <c r="D282" s="318"/>
      <c r="E282" s="318"/>
      <c r="F282" s="318" t="s">
        <v>388</v>
      </c>
      <c r="G282" s="318"/>
      <c r="H282" s="318"/>
      <c r="I282" s="318" t="s">
        <v>388</v>
      </c>
      <c r="J282" s="318"/>
      <c r="K282" s="318"/>
      <c r="L282" s="318" t="s">
        <v>388</v>
      </c>
      <c r="M282" s="318"/>
      <c r="N282" s="318"/>
    </row>
    <row r="283" spans="1:14" ht="15" hidden="1" customHeight="1">
      <c r="A283" s="216" t="s">
        <v>173</v>
      </c>
      <c r="B283" s="216"/>
      <c r="C283" s="317" t="s">
        <v>388</v>
      </c>
      <c r="D283" s="318"/>
      <c r="E283" s="318"/>
      <c r="F283" s="318" t="s">
        <v>388</v>
      </c>
      <c r="G283" s="318"/>
      <c r="H283" s="318"/>
      <c r="I283" s="318" t="s">
        <v>388</v>
      </c>
      <c r="J283" s="318"/>
      <c r="K283" s="318"/>
      <c r="L283" s="318" t="s">
        <v>388</v>
      </c>
      <c r="M283" s="318"/>
      <c r="N283" s="318"/>
    </row>
    <row r="284" spans="1:14" ht="15" hidden="1" customHeight="1">
      <c r="A284" s="216" t="s">
        <v>174</v>
      </c>
      <c r="B284" s="216"/>
      <c r="C284" s="317" t="s">
        <v>80</v>
      </c>
      <c r="D284" s="318"/>
      <c r="E284" s="318"/>
      <c r="F284" s="318" t="s">
        <v>80</v>
      </c>
      <c r="G284" s="318"/>
      <c r="H284" s="318"/>
      <c r="I284" s="318" t="s">
        <v>80</v>
      </c>
      <c r="J284" s="318"/>
      <c r="K284" s="318"/>
      <c r="L284" s="318" t="s">
        <v>80</v>
      </c>
      <c r="M284" s="318"/>
      <c r="N284" s="318"/>
    </row>
    <row r="285" spans="1:14" ht="15" hidden="1" customHeight="1">
      <c r="A285" s="216" t="s">
        <v>175</v>
      </c>
      <c r="B285" s="216"/>
      <c r="C285" s="319" t="s">
        <v>388</v>
      </c>
      <c r="D285" s="320"/>
      <c r="E285" s="320"/>
      <c r="F285" s="320" t="s">
        <v>388</v>
      </c>
      <c r="G285" s="320"/>
      <c r="H285" s="320"/>
      <c r="I285" s="320" t="s">
        <v>388</v>
      </c>
      <c r="J285" s="320"/>
      <c r="K285" s="320"/>
      <c r="L285" s="320" t="s">
        <v>388</v>
      </c>
      <c r="M285" s="320"/>
      <c r="N285" s="320"/>
    </row>
    <row r="286" spans="1:14" ht="15" hidden="1" customHeight="1">
      <c r="A286" s="216" t="s">
        <v>176</v>
      </c>
      <c r="B286" s="216"/>
      <c r="C286" s="317" t="s">
        <v>388</v>
      </c>
      <c r="D286" s="318"/>
      <c r="E286" s="318"/>
      <c r="F286" s="318" t="s">
        <v>388</v>
      </c>
      <c r="G286" s="318"/>
      <c r="H286" s="318"/>
      <c r="I286" s="318" t="s">
        <v>388</v>
      </c>
      <c r="J286" s="318"/>
      <c r="K286" s="318"/>
      <c r="L286" s="318" t="s">
        <v>388</v>
      </c>
      <c r="M286" s="318"/>
      <c r="N286" s="318"/>
    </row>
    <row r="287" spans="1:14" ht="15" hidden="1" customHeight="1">
      <c r="A287" s="216" t="s">
        <v>177</v>
      </c>
      <c r="B287" s="216"/>
      <c r="C287" s="317" t="s">
        <v>388</v>
      </c>
      <c r="D287" s="318"/>
      <c r="E287" s="318"/>
      <c r="F287" s="318" t="s">
        <v>388</v>
      </c>
      <c r="G287" s="318"/>
      <c r="H287" s="318"/>
      <c r="I287" s="318" t="s">
        <v>388</v>
      </c>
      <c r="J287" s="318"/>
      <c r="K287" s="318"/>
      <c r="L287" s="318" t="s">
        <v>388</v>
      </c>
      <c r="M287" s="318"/>
      <c r="N287" s="318"/>
    </row>
    <row r="288" spans="1:14" ht="32.85" hidden="1" customHeight="1">
      <c r="A288" s="251" t="s">
        <v>178</v>
      </c>
      <c r="B288" s="216"/>
      <c r="C288" s="325" t="s">
        <v>388</v>
      </c>
      <c r="D288" s="326"/>
      <c r="E288" s="326"/>
      <c r="F288" s="327" t="s">
        <v>388</v>
      </c>
      <c r="G288" s="326"/>
      <c r="H288" s="326"/>
      <c r="I288" s="327" t="s">
        <v>388</v>
      </c>
      <c r="J288" s="326"/>
      <c r="K288" s="326"/>
      <c r="L288" s="327" t="s">
        <v>388</v>
      </c>
      <c r="M288" s="326"/>
      <c r="N288" s="326"/>
    </row>
    <row r="289" spans="1:14" ht="15" hidden="1" customHeight="1">
      <c r="A289" s="216"/>
      <c r="B289" s="216"/>
      <c r="C289" s="323" t="s">
        <v>179</v>
      </c>
      <c r="D289" s="324"/>
      <c r="E289" s="324"/>
      <c r="F289" s="324" t="s">
        <v>179</v>
      </c>
      <c r="G289" s="324"/>
      <c r="H289" s="324"/>
      <c r="I289" s="324" t="s">
        <v>179</v>
      </c>
      <c r="J289" s="324"/>
      <c r="K289" s="324"/>
      <c r="L289" s="324" t="s">
        <v>179</v>
      </c>
      <c r="M289" s="324"/>
      <c r="N289" s="324"/>
    </row>
    <row r="290" spans="1:14" ht="15" hidden="1" customHeight="1">
      <c r="A290" s="216" t="s">
        <v>175</v>
      </c>
      <c r="B290" s="216"/>
      <c r="C290" s="319" t="s">
        <v>388</v>
      </c>
      <c r="D290" s="320"/>
      <c r="E290" s="320"/>
      <c r="F290" s="320" t="s">
        <v>388</v>
      </c>
      <c r="G290" s="320"/>
      <c r="H290" s="320"/>
      <c r="I290" s="320" t="s">
        <v>388</v>
      </c>
      <c r="J290" s="320"/>
      <c r="K290" s="320"/>
      <c r="L290" s="320" t="s">
        <v>388</v>
      </c>
      <c r="M290" s="320"/>
      <c r="N290" s="320"/>
    </row>
    <row r="291" spans="1:14" ht="15" hidden="1" customHeight="1">
      <c r="A291" s="216" t="s">
        <v>176</v>
      </c>
      <c r="B291" s="216"/>
      <c r="C291" s="317" t="s">
        <v>388</v>
      </c>
      <c r="D291" s="318"/>
      <c r="E291" s="318"/>
      <c r="F291" s="318" t="s">
        <v>388</v>
      </c>
      <c r="G291" s="318"/>
      <c r="H291" s="318"/>
      <c r="I291" s="318" t="s">
        <v>388</v>
      </c>
      <c r="J291" s="318"/>
      <c r="K291" s="318"/>
      <c r="L291" s="318" t="s">
        <v>388</v>
      </c>
      <c r="M291" s="318"/>
      <c r="N291" s="318"/>
    </row>
    <row r="292" spans="1:14" ht="20.100000000000001" hidden="1" customHeight="1">
      <c r="A292" s="251" t="s">
        <v>180</v>
      </c>
      <c r="B292" s="216"/>
      <c r="C292" s="321" t="s">
        <v>388</v>
      </c>
      <c r="D292" s="322"/>
      <c r="E292" s="322"/>
      <c r="F292" s="322" t="s">
        <v>388</v>
      </c>
      <c r="G292" s="322"/>
      <c r="H292" s="322"/>
      <c r="I292" s="322" t="s">
        <v>388</v>
      </c>
      <c r="J292" s="322"/>
      <c r="K292" s="322"/>
      <c r="L292" s="322" t="s">
        <v>388</v>
      </c>
      <c r="M292" s="322"/>
      <c r="N292" s="322"/>
    </row>
    <row r="293" spans="1:14" ht="15" hidden="1" customHeight="1">
      <c r="A293" s="241" t="s">
        <v>181</v>
      </c>
      <c r="B293" s="216"/>
      <c r="C293" s="328"/>
      <c r="D293" s="329"/>
      <c r="E293" s="329"/>
      <c r="F293" s="329"/>
      <c r="G293" s="329"/>
      <c r="H293" s="329"/>
      <c r="I293" s="329"/>
      <c r="J293" s="329"/>
      <c r="K293" s="329"/>
      <c r="L293" s="329"/>
      <c r="M293" s="329"/>
      <c r="N293" s="329"/>
    </row>
    <row r="294" spans="1:14" ht="15" hidden="1" customHeight="1">
      <c r="A294" s="216" t="s">
        <v>182</v>
      </c>
      <c r="B294" s="216"/>
      <c r="C294" s="330" t="s">
        <v>388</v>
      </c>
      <c r="D294" s="331"/>
      <c r="E294" s="331"/>
      <c r="F294" s="332" t="s">
        <v>388</v>
      </c>
      <c r="G294" s="331"/>
      <c r="H294" s="331"/>
      <c r="I294" s="332" t="s">
        <v>388</v>
      </c>
      <c r="J294" s="331"/>
      <c r="K294" s="331"/>
      <c r="L294" s="332" t="s">
        <v>388</v>
      </c>
      <c r="M294" s="331"/>
      <c r="N294" s="331"/>
    </row>
    <row r="295" spans="1:14" ht="15" hidden="1" customHeight="1">
      <c r="A295" s="216" t="s">
        <v>462</v>
      </c>
      <c r="B295" s="216"/>
      <c r="C295" s="330" t="s">
        <v>388</v>
      </c>
      <c r="D295" s="332"/>
      <c r="E295" s="332"/>
      <c r="F295" s="332" t="s">
        <v>388</v>
      </c>
      <c r="G295" s="332"/>
      <c r="H295" s="332"/>
      <c r="I295" s="332" t="s">
        <v>388</v>
      </c>
      <c r="J295" s="332"/>
      <c r="K295" s="332"/>
      <c r="L295" s="332" t="s">
        <v>388</v>
      </c>
      <c r="M295" s="332"/>
      <c r="N295" s="332"/>
    </row>
    <row r="296" spans="1:14" ht="15" hidden="1" customHeight="1">
      <c r="A296" s="216" t="s">
        <v>463</v>
      </c>
      <c r="B296" s="216"/>
      <c r="C296" s="330" t="s">
        <v>388</v>
      </c>
      <c r="D296" s="332"/>
      <c r="E296" s="332"/>
      <c r="F296" s="332" t="s">
        <v>388</v>
      </c>
      <c r="G296" s="332"/>
      <c r="H296" s="332"/>
      <c r="I296" s="332" t="s">
        <v>388</v>
      </c>
      <c r="J296" s="332"/>
      <c r="K296" s="332"/>
      <c r="L296" s="332" t="s">
        <v>388</v>
      </c>
      <c r="M296" s="332"/>
      <c r="N296" s="332"/>
    </row>
    <row r="297" spans="1:14" ht="15" hidden="1" customHeight="1">
      <c r="A297" s="216" t="s">
        <v>183</v>
      </c>
      <c r="B297" s="216"/>
      <c r="C297" s="330" t="s">
        <v>388</v>
      </c>
      <c r="D297" s="332"/>
      <c r="E297" s="332"/>
      <c r="F297" s="332" t="s">
        <v>388</v>
      </c>
      <c r="G297" s="332"/>
      <c r="H297" s="332"/>
      <c r="I297" s="332" t="s">
        <v>388</v>
      </c>
      <c r="J297" s="332"/>
      <c r="K297" s="332"/>
      <c r="L297" s="332" t="s">
        <v>388</v>
      </c>
      <c r="M297" s="332"/>
      <c r="N297" s="332"/>
    </row>
    <row r="298" spans="1:14" ht="20.100000000000001" hidden="1" customHeight="1">
      <c r="A298" s="251" t="s">
        <v>133</v>
      </c>
      <c r="B298" s="216"/>
      <c r="C298" s="333">
        <v>0</v>
      </c>
      <c r="D298" s="334"/>
      <c r="E298" s="334"/>
      <c r="F298" s="334">
        <v>0</v>
      </c>
      <c r="G298" s="334"/>
      <c r="H298" s="334"/>
      <c r="I298" s="334">
        <v>0</v>
      </c>
      <c r="J298" s="334"/>
      <c r="K298" s="334"/>
      <c r="L298" s="334">
        <v>0</v>
      </c>
      <c r="M298" s="334"/>
      <c r="N298" s="334"/>
    </row>
    <row r="299" spans="1:14" ht="15" hidden="1" customHeight="1">
      <c r="B299" s="216"/>
      <c r="C299" s="335" t="s">
        <v>184</v>
      </c>
      <c r="D299" s="336"/>
      <c r="E299" s="336"/>
      <c r="F299" s="336" t="s">
        <v>184</v>
      </c>
      <c r="G299" s="336"/>
      <c r="H299" s="336"/>
      <c r="I299" s="336" t="s">
        <v>184</v>
      </c>
      <c r="J299" s="336"/>
      <c r="K299" s="336"/>
      <c r="L299" s="336" t="s">
        <v>184</v>
      </c>
      <c r="M299" s="336"/>
      <c r="N299" s="336"/>
    </row>
    <row r="300" spans="1:14" ht="15" hidden="1" customHeight="1">
      <c r="A300" s="241" t="s">
        <v>185</v>
      </c>
      <c r="B300" s="216"/>
      <c r="C300" s="337" t="s">
        <v>186</v>
      </c>
      <c r="D300" s="338" t="s">
        <v>187</v>
      </c>
      <c r="E300" s="338"/>
      <c r="F300" s="312" t="s">
        <v>186</v>
      </c>
      <c r="G300" s="338" t="s">
        <v>187</v>
      </c>
      <c r="H300" s="338"/>
      <c r="I300" s="312" t="s">
        <v>186</v>
      </c>
      <c r="J300" s="338" t="s">
        <v>187</v>
      </c>
      <c r="K300" s="338"/>
      <c r="L300" s="312" t="s">
        <v>186</v>
      </c>
      <c r="M300" s="338" t="s">
        <v>187</v>
      </c>
      <c r="N300" s="338"/>
    </row>
    <row r="301" spans="1:14" ht="15" hidden="1" customHeight="1">
      <c r="A301" s="216" t="s">
        <v>182</v>
      </c>
      <c r="B301" s="216"/>
      <c r="C301" s="339" t="s">
        <v>388</v>
      </c>
      <c r="D301" s="340" t="s">
        <v>388</v>
      </c>
      <c r="E301" s="340"/>
      <c r="F301" s="341" t="s">
        <v>388</v>
      </c>
      <c r="G301" s="340" t="s">
        <v>388</v>
      </c>
      <c r="H301" s="340"/>
      <c r="I301" s="341" t="s">
        <v>388</v>
      </c>
      <c r="J301" s="340" t="s">
        <v>388</v>
      </c>
      <c r="K301" s="340"/>
      <c r="L301" s="341" t="s">
        <v>388</v>
      </c>
      <c r="M301" s="340" t="s">
        <v>388</v>
      </c>
      <c r="N301" s="340"/>
    </row>
    <row r="302" spans="1:14" ht="15" hidden="1" customHeight="1">
      <c r="A302" s="216" t="s">
        <v>462</v>
      </c>
      <c r="B302" s="216"/>
      <c r="C302" s="339" t="s">
        <v>388</v>
      </c>
      <c r="D302" s="340" t="s">
        <v>388</v>
      </c>
      <c r="E302" s="340"/>
      <c r="F302" s="341" t="s">
        <v>388</v>
      </c>
      <c r="G302" s="340" t="s">
        <v>388</v>
      </c>
      <c r="H302" s="340"/>
      <c r="I302" s="341" t="s">
        <v>388</v>
      </c>
      <c r="J302" s="340" t="s">
        <v>388</v>
      </c>
      <c r="K302" s="340"/>
      <c r="L302" s="341" t="s">
        <v>388</v>
      </c>
      <c r="M302" s="340" t="s">
        <v>388</v>
      </c>
      <c r="N302" s="340"/>
    </row>
    <row r="303" spans="1:14" ht="15" hidden="1" customHeight="1">
      <c r="A303" s="216" t="s">
        <v>463</v>
      </c>
      <c r="B303" s="216"/>
      <c r="C303" s="339" t="s">
        <v>388</v>
      </c>
      <c r="D303" s="340" t="s">
        <v>388</v>
      </c>
      <c r="E303" s="340"/>
      <c r="F303" s="341" t="s">
        <v>388</v>
      </c>
      <c r="G303" s="340" t="s">
        <v>388</v>
      </c>
      <c r="H303" s="340"/>
      <c r="I303" s="341" t="s">
        <v>388</v>
      </c>
      <c r="J303" s="340" t="s">
        <v>388</v>
      </c>
      <c r="K303" s="340"/>
      <c r="L303" s="341" t="s">
        <v>388</v>
      </c>
      <c r="M303" s="340" t="s">
        <v>388</v>
      </c>
      <c r="N303" s="340"/>
    </row>
    <row r="304" spans="1:14" ht="15" hidden="1" customHeight="1">
      <c r="A304" s="216" t="s">
        <v>183</v>
      </c>
      <c r="B304" s="216"/>
      <c r="C304" s="339" t="s">
        <v>388</v>
      </c>
      <c r="D304" s="340" t="s">
        <v>388</v>
      </c>
      <c r="E304" s="340"/>
      <c r="F304" s="341" t="s">
        <v>388</v>
      </c>
      <c r="G304" s="340" t="s">
        <v>388</v>
      </c>
      <c r="H304" s="340"/>
      <c r="I304" s="341" t="s">
        <v>388</v>
      </c>
      <c r="J304" s="340" t="s">
        <v>388</v>
      </c>
      <c r="K304" s="340"/>
      <c r="L304" s="341" t="s">
        <v>388</v>
      </c>
      <c r="M304" s="340" t="s">
        <v>388</v>
      </c>
      <c r="N304" s="340"/>
    </row>
    <row r="305" spans="1:14" ht="15" hidden="1" customHeight="1">
      <c r="A305" s="241" t="s">
        <v>188</v>
      </c>
      <c r="B305" s="216"/>
      <c r="C305" s="342" t="s">
        <v>388</v>
      </c>
      <c r="D305" s="343">
        <v>0</v>
      </c>
      <c r="E305" s="343"/>
      <c r="F305" s="344" t="s">
        <v>388</v>
      </c>
      <c r="G305" s="343">
        <v>0</v>
      </c>
      <c r="H305" s="343"/>
      <c r="I305" s="344" t="s">
        <v>388</v>
      </c>
      <c r="J305" s="343">
        <v>0</v>
      </c>
      <c r="K305" s="343"/>
      <c r="L305" s="344" t="s">
        <v>388</v>
      </c>
      <c r="M305" s="343">
        <v>0</v>
      </c>
      <c r="N305" s="343"/>
    </row>
    <row r="306" spans="1:14" ht="20.100000000000001" hidden="1" customHeight="1" thickBot="1">
      <c r="A306" s="256" t="s">
        <v>189</v>
      </c>
      <c r="B306" s="216"/>
      <c r="C306" s="345" t="s">
        <v>388</v>
      </c>
      <c r="D306" s="346">
        <v>0</v>
      </c>
      <c r="E306" s="346"/>
      <c r="F306" s="347" t="s">
        <v>388</v>
      </c>
      <c r="G306" s="346">
        <v>0</v>
      </c>
      <c r="H306" s="346"/>
      <c r="I306" s="347" t="s">
        <v>388</v>
      </c>
      <c r="J306" s="346">
        <v>0</v>
      </c>
      <c r="K306" s="346"/>
      <c r="L306" s="347" t="s">
        <v>388</v>
      </c>
      <c r="M306" s="346">
        <v>0</v>
      </c>
      <c r="N306" s="346"/>
    </row>
    <row r="307" spans="1:14" ht="18" hidden="1" customHeight="1" thickBot="1">
      <c r="A307" s="256" t="s">
        <v>190</v>
      </c>
      <c r="B307" s="216"/>
      <c r="C307" s="348" t="s">
        <v>388</v>
      </c>
      <c r="D307" s="349"/>
      <c r="E307" s="349"/>
      <c r="F307" s="349" t="s">
        <v>388</v>
      </c>
      <c r="G307" s="349"/>
      <c r="H307" s="349"/>
      <c r="I307" s="349" t="s">
        <v>388</v>
      </c>
      <c r="J307" s="349"/>
      <c r="K307" s="349"/>
      <c r="L307" s="349" t="s">
        <v>388</v>
      </c>
      <c r="M307" s="349"/>
      <c r="N307" s="349"/>
    </row>
    <row r="308" spans="1:14" ht="18" hidden="1" customHeight="1" thickBot="1">
      <c r="A308" s="289" t="s">
        <v>191</v>
      </c>
      <c r="B308" s="289"/>
      <c r="C308" s="348">
        <v>0</v>
      </c>
      <c r="D308" s="349"/>
      <c r="E308" s="349"/>
      <c r="F308" s="349">
        <v>0</v>
      </c>
      <c r="G308" s="349"/>
      <c r="H308" s="349"/>
      <c r="I308" s="349">
        <v>0</v>
      </c>
      <c r="J308" s="349"/>
      <c r="K308" s="349"/>
      <c r="L308" s="349">
        <v>0</v>
      </c>
      <c r="M308" s="349"/>
      <c r="N308" s="349"/>
    </row>
    <row r="309" spans="1:14" ht="12.75" hidden="1" customHeight="1">
      <c r="B309" s="216"/>
      <c r="C309" s="350"/>
      <c r="D309" s="350"/>
      <c r="E309" s="350"/>
      <c r="F309" s="350"/>
      <c r="G309" s="350"/>
      <c r="H309" s="350"/>
      <c r="I309" s="350"/>
      <c r="J309" s="350"/>
      <c r="K309" s="350"/>
      <c r="L309" s="353"/>
      <c r="M309" s="353"/>
      <c r="N309" s="353"/>
    </row>
    <row r="310" spans="1:14" ht="12.75" hidden="1" customHeight="1">
      <c r="B310" s="216"/>
      <c r="L310" s="294"/>
      <c r="M310" s="294"/>
      <c r="N310" s="294"/>
    </row>
    <row r="311" spans="1:14" ht="12.75" hidden="1" customHeight="1">
      <c r="B311" s="216"/>
      <c r="C311" s="294"/>
      <c r="D311" s="294"/>
      <c r="E311" s="294"/>
      <c r="F311" s="294"/>
      <c r="G311" s="294"/>
      <c r="H311" s="294"/>
      <c r="I311" s="294"/>
      <c r="J311" s="294"/>
      <c r="K311" s="294"/>
      <c r="L311" s="294"/>
      <c r="M311" s="294"/>
      <c r="N311" s="294"/>
    </row>
    <row r="312" spans="1:14" ht="12.75" hidden="1" customHeight="1">
      <c r="A312" s="351"/>
      <c r="B312" s="216"/>
      <c r="C312" s="294"/>
      <c r="D312" s="294"/>
      <c r="E312" s="294"/>
      <c r="F312" s="294"/>
      <c r="G312" s="294"/>
      <c r="H312" s="294"/>
      <c r="I312" s="294"/>
      <c r="J312" s="294"/>
      <c r="K312" s="294"/>
      <c r="L312" s="294"/>
      <c r="M312" s="294"/>
      <c r="N312" s="294"/>
    </row>
    <row r="313" spans="1:14" ht="12.75" hidden="1" customHeight="1">
      <c r="A313" s="351"/>
      <c r="B313" s="216"/>
      <c r="C313" s="294"/>
      <c r="D313" s="294"/>
      <c r="E313" s="294"/>
      <c r="F313" s="294"/>
      <c r="G313" s="294"/>
      <c r="H313" s="294"/>
      <c r="I313" s="294"/>
      <c r="J313" s="294"/>
      <c r="K313" s="294"/>
      <c r="L313" s="294"/>
      <c r="M313" s="294"/>
      <c r="N313" s="294"/>
    </row>
    <row r="314" spans="1:14" ht="12.75" hidden="1" customHeight="1">
      <c r="A314" s="351" t="s">
        <v>388</v>
      </c>
      <c r="B314" s="216"/>
      <c r="C314" s="294"/>
      <c r="D314" s="294"/>
      <c r="E314" s="294"/>
      <c r="F314" s="294"/>
      <c r="G314" s="294"/>
      <c r="H314" s="294"/>
      <c r="I314" s="294"/>
      <c r="J314" s="294"/>
      <c r="K314" s="294"/>
      <c r="L314" s="294"/>
      <c r="M314" s="294"/>
      <c r="N314" s="294"/>
    </row>
    <row r="315" spans="1:14" ht="12.75" hidden="1" customHeight="1">
      <c r="A315" s="351"/>
      <c r="B315" s="216"/>
      <c r="C315" s="294"/>
      <c r="D315" s="294"/>
      <c r="E315" s="294"/>
      <c r="F315" s="294"/>
      <c r="G315" s="294"/>
      <c r="H315" s="294"/>
      <c r="I315" s="294"/>
      <c r="J315" s="294"/>
      <c r="K315" s="294"/>
      <c r="L315" s="294"/>
      <c r="M315" s="294"/>
      <c r="N315" s="294"/>
    </row>
    <row r="316" spans="1:14" ht="12.75" hidden="1" customHeight="1">
      <c r="A316" s="352" t="s">
        <v>192</v>
      </c>
      <c r="B316" s="216"/>
      <c r="C316" s="294"/>
      <c r="D316" s="294"/>
      <c r="E316" s="294"/>
      <c r="F316" s="294"/>
      <c r="G316" s="294"/>
      <c r="H316" s="294"/>
      <c r="I316" s="294"/>
      <c r="J316" s="294"/>
      <c r="K316" s="294"/>
      <c r="L316" s="294"/>
      <c r="M316" s="294"/>
      <c r="N316" s="294"/>
    </row>
    <row r="317" spans="1:14" ht="12.75" hidden="1" customHeight="1">
      <c r="A317" s="351" t="s">
        <v>193</v>
      </c>
      <c r="B317" s="216"/>
      <c r="C317" s="294"/>
      <c r="D317" s="294"/>
      <c r="E317" s="294"/>
      <c r="F317" s="294"/>
      <c r="G317" s="294"/>
      <c r="H317" s="294"/>
      <c r="I317" s="294"/>
      <c r="J317" s="294"/>
      <c r="K317" s="294"/>
      <c r="L317" s="294"/>
      <c r="M317" s="294"/>
      <c r="N317" s="294"/>
    </row>
    <row r="318" spans="1:14" ht="12.75" hidden="1" customHeight="1">
      <c r="A318" s="351" t="s">
        <v>194</v>
      </c>
      <c r="B318" s="216"/>
      <c r="C318" s="294"/>
      <c r="D318" s="294"/>
      <c r="E318" s="294"/>
      <c r="F318" s="294"/>
      <c r="G318" s="294"/>
      <c r="H318" s="294"/>
      <c r="I318" s="294"/>
      <c r="J318" s="294"/>
      <c r="K318" s="294"/>
      <c r="L318" s="294"/>
      <c r="M318" s="294"/>
      <c r="N318" s="294"/>
    </row>
    <row r="319" spans="1:14" ht="12.75" hidden="1" customHeight="1">
      <c r="A319" s="351" t="s">
        <v>195</v>
      </c>
      <c r="B319" s="216"/>
      <c r="C319" s="294"/>
      <c r="D319" s="294"/>
      <c r="E319" s="294"/>
      <c r="F319" s="294"/>
      <c r="G319" s="294"/>
      <c r="H319" s="294"/>
      <c r="I319" s="294"/>
      <c r="J319" s="294"/>
      <c r="K319" s="294"/>
      <c r="L319" s="294"/>
      <c r="M319" s="294"/>
      <c r="N319" s="294"/>
    </row>
    <row r="320" spans="1:14" ht="12.75" hidden="1" customHeight="1">
      <c r="A320" s="351"/>
      <c r="B320" s="216"/>
      <c r="C320" s="294"/>
      <c r="D320" s="294"/>
      <c r="E320" s="294"/>
      <c r="F320" s="294"/>
      <c r="G320" s="294"/>
      <c r="H320" s="294"/>
      <c r="I320" s="294"/>
      <c r="J320" s="294"/>
      <c r="K320" s="294"/>
      <c r="L320" s="294"/>
      <c r="M320" s="294"/>
      <c r="N320" s="294"/>
    </row>
    <row r="321" spans="1:14" ht="12.75" hidden="1" customHeight="1">
      <c r="A321" s="351" t="s">
        <v>616</v>
      </c>
      <c r="B321" s="216"/>
      <c r="C321" s="294"/>
      <c r="D321" s="294"/>
      <c r="E321" s="294"/>
      <c r="F321" s="294"/>
      <c r="G321" s="294"/>
      <c r="H321" s="294"/>
      <c r="I321" s="294"/>
      <c r="J321" s="294"/>
      <c r="K321" s="294"/>
      <c r="L321" s="294"/>
      <c r="M321" s="294"/>
      <c r="N321" s="294"/>
    </row>
    <row r="322" spans="1:14" ht="12.75" hidden="1" customHeight="1">
      <c r="A322" s="351" t="s">
        <v>617</v>
      </c>
      <c r="B322" s="216"/>
      <c r="C322" s="294"/>
      <c r="D322" s="294"/>
      <c r="E322" s="294"/>
      <c r="F322" s="294"/>
      <c r="G322" s="294"/>
      <c r="H322" s="294"/>
      <c r="I322" s="294"/>
      <c r="J322" s="294"/>
      <c r="K322" s="294"/>
      <c r="L322" s="294"/>
      <c r="M322" s="294"/>
      <c r="N322" s="294"/>
    </row>
    <row r="323" spans="1:14" ht="12.75" hidden="1" customHeight="1">
      <c r="A323" s="351" t="s">
        <v>618</v>
      </c>
      <c r="B323" s="216"/>
      <c r="C323" s="294"/>
      <c r="D323" s="294"/>
      <c r="E323" s="294"/>
      <c r="F323" s="294"/>
      <c r="G323" s="294"/>
      <c r="H323" s="294"/>
      <c r="I323" s="294"/>
      <c r="J323" s="294"/>
      <c r="K323" s="294"/>
      <c r="L323" s="294"/>
      <c r="M323" s="294"/>
      <c r="N323" s="294"/>
    </row>
    <row r="324" spans="1:14" ht="12.75" hidden="1" customHeight="1">
      <c r="A324" s="351"/>
      <c r="B324" s="216"/>
      <c r="C324" s="294"/>
      <c r="D324" s="294"/>
      <c r="E324" s="294"/>
      <c r="F324" s="294"/>
      <c r="G324" s="294"/>
      <c r="H324" s="294"/>
      <c r="I324" s="294"/>
      <c r="J324" s="294"/>
      <c r="K324" s="294"/>
      <c r="L324" s="294"/>
      <c r="M324" s="294"/>
      <c r="N324" s="294"/>
    </row>
    <row r="325" spans="1:14" ht="12.75" hidden="1" customHeight="1">
      <c r="A325" s="351" t="s">
        <v>196</v>
      </c>
      <c r="B325" s="216"/>
      <c r="C325" s="294"/>
      <c r="D325" s="294"/>
      <c r="E325" s="294"/>
      <c r="F325" s="294"/>
      <c r="G325" s="294"/>
      <c r="H325" s="294"/>
      <c r="I325" s="294"/>
      <c r="J325" s="294"/>
      <c r="K325" s="294"/>
      <c r="L325" s="294"/>
      <c r="M325" s="294"/>
      <c r="N325" s="294"/>
    </row>
    <row r="326" spans="1:14" ht="26.1" customHeight="1">
      <c r="A326" s="299"/>
      <c r="B326" s="299"/>
      <c r="C326" s="299"/>
      <c r="D326" s="299"/>
      <c r="E326" s="299"/>
      <c r="F326" s="299"/>
      <c r="G326" s="299"/>
      <c r="H326" s="299"/>
      <c r="I326" s="299"/>
      <c r="J326" s="299"/>
      <c r="K326" s="299"/>
      <c r="L326" s="299"/>
      <c r="M326" s="299"/>
      <c r="N326" s="299"/>
    </row>
    <row r="327" spans="1:14" ht="5.25" customHeight="1"/>
    <row r="328" spans="1:14" ht="32.1" customHeight="1">
      <c r="A328" s="216"/>
      <c r="B328" s="300"/>
      <c r="C328" s="300"/>
      <c r="D328" s="300"/>
      <c r="E328" s="300"/>
      <c r="F328" s="300"/>
      <c r="G328" s="300"/>
      <c r="H328" s="300"/>
      <c r="I328" s="300"/>
      <c r="J328" s="300"/>
      <c r="K328" s="301" t="s">
        <v>392</v>
      </c>
      <c r="L328" s="302" t="s">
        <v>197</v>
      </c>
      <c r="M328" s="303"/>
      <c r="N328" s="303"/>
    </row>
    <row r="329" spans="1:14" ht="24" customHeight="1">
      <c r="A329" s="304" t="s">
        <v>365</v>
      </c>
      <c r="B329" s="300"/>
      <c r="C329" s="300"/>
      <c r="D329" s="300"/>
      <c r="E329" s="300"/>
      <c r="F329" s="300"/>
      <c r="G329" s="300"/>
      <c r="H329" s="300"/>
      <c r="I329" s="300"/>
      <c r="J329" s="300"/>
      <c r="K329" s="300"/>
      <c r="L329" s="300"/>
      <c r="M329" s="300"/>
      <c r="N329" s="300"/>
    </row>
    <row r="330" spans="1:14" ht="18" customHeight="1">
      <c r="A330" s="305" t="s">
        <v>197</v>
      </c>
      <c r="B330" s="300"/>
      <c r="C330" s="300"/>
      <c r="D330" s="300"/>
      <c r="E330" s="300"/>
      <c r="F330" s="300"/>
      <c r="G330" s="300"/>
      <c r="H330" s="300"/>
      <c r="I330" s="300"/>
      <c r="J330" s="300"/>
      <c r="K330" s="300"/>
      <c r="L330" s="300"/>
      <c r="M330" s="300"/>
      <c r="N330" s="300"/>
    </row>
    <row r="331" spans="1:14" ht="18" customHeight="1">
      <c r="A331" s="300"/>
      <c r="C331" s="354"/>
      <c r="D331" s="354"/>
      <c r="E331" s="354"/>
      <c r="F331" s="354"/>
      <c r="G331" s="300"/>
      <c r="H331" s="300"/>
    </row>
    <row r="332" spans="1:14" s="211" customFormat="1" ht="15.75" customHeight="1">
      <c r="A332" s="221"/>
      <c r="B332" s="222" t="s">
        <v>159</v>
      </c>
      <c r="C332" s="223" t="s">
        <v>392</v>
      </c>
      <c r="D332" s="224"/>
      <c r="E332" s="224"/>
      <c r="F332" s="224"/>
      <c r="G332" s="225"/>
      <c r="H332" s="212"/>
      <c r="I332" s="212"/>
      <c r="J332" s="212"/>
      <c r="K332" s="212"/>
      <c r="L332" s="212"/>
      <c r="M332" s="212"/>
      <c r="N332" s="212"/>
    </row>
    <row r="333" spans="1:14" s="211" customFormat="1" ht="12.75" customHeight="1">
      <c r="A333" s="226"/>
      <c r="B333" s="227" t="s">
        <v>160</v>
      </c>
      <c r="C333" s="228" t="s">
        <v>395</v>
      </c>
      <c r="D333" s="228"/>
      <c r="E333" s="212"/>
      <c r="F333" s="212"/>
      <c r="G333" s="229"/>
      <c r="H333" s="212"/>
      <c r="I333" s="212"/>
      <c r="J333" s="212"/>
      <c r="K333" s="212"/>
      <c r="L333" s="212"/>
      <c r="M333" s="212"/>
      <c r="N333" s="212"/>
    </row>
    <row r="334" spans="1:14" s="211" customFormat="1" ht="18" customHeight="1">
      <c r="A334" s="230"/>
      <c r="B334" s="231" t="s">
        <v>161</v>
      </c>
      <c r="C334" s="232" t="s">
        <v>464</v>
      </c>
      <c r="D334" s="233"/>
      <c r="E334" s="233"/>
      <c r="F334" s="233"/>
      <c r="G334" s="234"/>
      <c r="H334" s="212"/>
    </row>
    <row r="335" spans="1:14" ht="12.75" customHeight="1">
      <c r="A335" s="245"/>
    </row>
    <row r="336" spans="1:14" ht="12.75" customHeight="1">
      <c r="A336" s="355" t="s">
        <v>636</v>
      </c>
      <c r="B336" s="356"/>
      <c r="C336" s="245"/>
      <c r="D336" s="245"/>
      <c r="E336" s="245"/>
    </row>
    <row r="337" spans="1:14">
      <c r="A337" s="245"/>
      <c r="B337" s="356"/>
      <c r="C337" s="245"/>
      <c r="D337" s="245"/>
      <c r="E337" s="245"/>
    </row>
    <row r="338" spans="1:14" ht="15" customHeight="1">
      <c r="A338" s="357" t="s">
        <v>197</v>
      </c>
      <c r="B338" s="357"/>
      <c r="C338" s="357"/>
      <c r="D338" s="357"/>
      <c r="E338" s="357"/>
      <c r="F338" s="357"/>
      <c r="G338" s="357"/>
      <c r="H338" s="357"/>
      <c r="I338" s="357"/>
      <c r="J338" s="357"/>
      <c r="K338" s="357"/>
      <c r="L338" s="357"/>
      <c r="M338" s="357"/>
      <c r="N338" s="357"/>
    </row>
    <row r="340" spans="1:14">
      <c r="A340" s="207" t="s">
        <v>432</v>
      </c>
    </row>
    <row r="341" spans="1:14">
      <c r="A341" s="207" t="s">
        <v>125</v>
      </c>
    </row>
    <row r="342" spans="1:14">
      <c r="A342" s="207" t="s">
        <v>126</v>
      </c>
    </row>
    <row r="343" spans="1:14">
      <c r="A343" s="207" t="s">
        <v>127</v>
      </c>
    </row>
    <row r="344" spans="1:14">
      <c r="A344" s="207" t="s">
        <v>128</v>
      </c>
    </row>
    <row r="345" spans="1:14">
      <c r="A345" s="207" t="s">
        <v>433</v>
      </c>
    </row>
    <row r="346" spans="1:14">
      <c r="A346" s="207" t="s">
        <v>434</v>
      </c>
    </row>
    <row r="347" spans="1:14">
      <c r="A347" s="207" t="s">
        <v>435</v>
      </c>
      <c r="F347" s="358"/>
      <c r="G347" s="358"/>
      <c r="H347" s="358"/>
      <c r="I347" s="358"/>
      <c r="J347" s="358"/>
      <c r="K347" s="358"/>
      <c r="L347" s="358"/>
      <c r="M347" s="358"/>
      <c r="N347" s="358"/>
    </row>
    <row r="348" spans="1:14">
      <c r="A348" s="207" t="s">
        <v>436</v>
      </c>
    </row>
    <row r="349" spans="1:14">
      <c r="A349" s="207" t="s">
        <v>437</v>
      </c>
    </row>
    <row r="350" spans="1:14">
      <c r="A350" s="207" t="s">
        <v>438</v>
      </c>
    </row>
    <row r="351" spans="1:14">
      <c r="A351" s="207" t="s">
        <v>439</v>
      </c>
    </row>
    <row r="352" spans="1:14" ht="12.75" customHeight="1">
      <c r="A352" s="207" t="s">
        <v>440</v>
      </c>
    </row>
    <row r="353" spans="1:1" ht="12.75" customHeight="1">
      <c r="A353" s="207" t="s">
        <v>441</v>
      </c>
    </row>
    <row r="354" spans="1:1" ht="12.75" customHeight="1">
      <c r="A354" s="207" t="s">
        <v>388</v>
      </c>
    </row>
    <row r="355" spans="1:1" ht="12.75" customHeight="1">
      <c r="A355" s="207" t="s">
        <v>388</v>
      </c>
    </row>
    <row r="356" spans="1:1" ht="12.75" customHeight="1">
      <c r="A356" s="207" t="s">
        <v>388</v>
      </c>
    </row>
    <row r="357" spans="1:1">
      <c r="A357" s="207" t="s">
        <v>442</v>
      </c>
    </row>
    <row r="358" spans="1:1">
      <c r="A358" s="207" t="s">
        <v>443</v>
      </c>
    </row>
    <row r="360" spans="1:1">
      <c r="A360" s="207" t="s">
        <v>637</v>
      </c>
    </row>
    <row r="361" spans="1:1">
      <c r="A361" s="207" t="s">
        <v>638</v>
      </c>
    </row>
    <row r="362" spans="1:1">
      <c r="A362" s="359" t="s">
        <v>198</v>
      </c>
    </row>
    <row r="363" spans="1:1">
      <c r="A363" s="360" t="s">
        <v>639</v>
      </c>
    </row>
    <row r="364" spans="1:1">
      <c r="A364" s="360" t="s">
        <v>640</v>
      </c>
    </row>
    <row r="365" spans="1:1">
      <c r="A365" s="361" t="s">
        <v>641</v>
      </c>
    </row>
    <row r="366" spans="1:1">
      <c r="A366" s="362" t="s">
        <v>199</v>
      </c>
    </row>
    <row r="368" spans="1:1">
      <c r="A368" s="363" t="s">
        <v>642</v>
      </c>
    </row>
    <row r="369" spans="1:17">
      <c r="A369" s="363" t="s">
        <v>388</v>
      </c>
    </row>
    <row r="370" spans="1:17">
      <c r="A370" s="363" t="s">
        <v>388</v>
      </c>
      <c r="Q370" s="364"/>
    </row>
    <row r="371" spans="1:17">
      <c r="A371" s="365" t="s">
        <v>200</v>
      </c>
    </row>
    <row r="372" spans="1:17">
      <c r="A372" s="365" t="s">
        <v>201</v>
      </c>
    </row>
    <row r="373" spans="1:17">
      <c r="A373" s="366" t="s">
        <v>202</v>
      </c>
    </row>
    <row r="374" spans="1:17">
      <c r="A374" s="210" t="s">
        <v>643</v>
      </c>
    </row>
    <row r="375" spans="1:17">
      <c r="A375" s="210" t="s">
        <v>644</v>
      </c>
      <c r="I375" s="367"/>
      <c r="J375" s="367"/>
      <c r="K375" s="367"/>
    </row>
    <row r="376" spans="1:17" ht="12.75" customHeight="1">
      <c r="A376" s="210" t="s">
        <v>388</v>
      </c>
      <c r="I376" s="367"/>
      <c r="J376" s="367"/>
      <c r="K376" s="367"/>
    </row>
    <row r="377" spans="1:17">
      <c r="A377" s="210" t="s">
        <v>388</v>
      </c>
      <c r="I377" s="367"/>
      <c r="J377" s="367"/>
      <c r="K377" s="367"/>
    </row>
    <row r="378" spans="1:17" ht="12.75" customHeight="1">
      <c r="A378" s="368" t="s">
        <v>203</v>
      </c>
      <c r="I378" s="367"/>
      <c r="J378" s="367"/>
      <c r="K378" s="367"/>
    </row>
    <row r="379" spans="1:17">
      <c r="A379" s="210" t="s">
        <v>204</v>
      </c>
    </row>
    <row r="380" spans="1:17" ht="12.75" customHeight="1">
      <c r="A380" s="210" t="s">
        <v>205</v>
      </c>
    </row>
    <row r="381" spans="1:17">
      <c r="A381" s="210" t="s">
        <v>206</v>
      </c>
    </row>
    <row r="382" spans="1:17">
      <c r="A382" s="210" t="s">
        <v>207</v>
      </c>
    </row>
    <row r="383" spans="1:17" ht="15" customHeight="1">
      <c r="A383" s="357" t="s">
        <v>208</v>
      </c>
      <c r="B383" s="357"/>
      <c r="C383" s="357"/>
      <c r="D383" s="357"/>
      <c r="E383" s="357"/>
      <c r="F383" s="357"/>
      <c r="G383" s="357"/>
      <c r="H383" s="357"/>
      <c r="I383" s="357"/>
      <c r="J383" s="357"/>
      <c r="K383" s="357"/>
      <c r="L383" s="357"/>
      <c r="M383" s="357"/>
      <c r="N383" s="357"/>
    </row>
    <row r="384" spans="1:17" ht="12.75" customHeight="1">
      <c r="A384" s="369" t="s">
        <v>209</v>
      </c>
    </row>
    <row r="385" spans="1:2" ht="12.75" customHeight="1">
      <c r="A385" s="111" t="s">
        <v>645</v>
      </c>
    </row>
    <row r="386" spans="1:2">
      <c r="A386" s="111" t="s">
        <v>646</v>
      </c>
    </row>
    <row r="387" spans="1:2">
      <c r="A387" s="111" t="s">
        <v>210</v>
      </c>
    </row>
    <row r="388" spans="1:2">
      <c r="A388" s="370" t="s">
        <v>211</v>
      </c>
    </row>
    <row r="389" spans="1:2">
      <c r="A389" s="111" t="s">
        <v>498</v>
      </c>
    </row>
    <row r="390" spans="1:2">
      <c r="A390" s="111" t="s">
        <v>499</v>
      </c>
    </row>
    <row r="391" spans="1:2">
      <c r="A391" s="111" t="s">
        <v>500</v>
      </c>
    </row>
    <row r="392" spans="1:2">
      <c r="A392" s="370" t="s">
        <v>212</v>
      </c>
    </row>
    <row r="393" spans="1:2">
      <c r="A393" s="370" t="s">
        <v>213</v>
      </c>
    </row>
    <row r="394" spans="1:2">
      <c r="A394" s="370" t="s">
        <v>214</v>
      </c>
    </row>
    <row r="395" spans="1:2">
      <c r="B395" s="111"/>
    </row>
    <row r="401" spans="2:8">
      <c r="B401" s="371"/>
      <c r="F401" s="371"/>
      <c r="G401" s="371"/>
      <c r="H401" s="371"/>
    </row>
  </sheetData>
  <sheetProtection password="8AA1" sheet="1" objects="1" scenarios="1"/>
  <mergeCells count="694">
    <mergeCell ref="A338:N338"/>
    <mergeCell ref="A383:N383"/>
    <mergeCell ref="C308:E308"/>
    <mergeCell ref="F308:H308"/>
    <mergeCell ref="I308:K308"/>
    <mergeCell ref="L308:N308"/>
    <mergeCell ref="L328:N328"/>
    <mergeCell ref="C333:D333"/>
    <mergeCell ref="D306:E306"/>
    <mergeCell ref="G306:H306"/>
    <mergeCell ref="J306:K306"/>
    <mergeCell ref="M306:N306"/>
    <mergeCell ref="C307:E307"/>
    <mergeCell ref="F307:H307"/>
    <mergeCell ref="I307:K307"/>
    <mergeCell ref="L307:N307"/>
    <mergeCell ref="D304:E304"/>
    <mergeCell ref="G304:H304"/>
    <mergeCell ref="J304:K304"/>
    <mergeCell ref="M304:N304"/>
    <mergeCell ref="D305:E305"/>
    <mergeCell ref="G305:H305"/>
    <mergeCell ref="J305:K305"/>
    <mergeCell ref="M305:N305"/>
    <mergeCell ref="D302:E302"/>
    <mergeCell ref="G302:H302"/>
    <mergeCell ref="J302:K302"/>
    <mergeCell ref="M302:N302"/>
    <mergeCell ref="D303:E303"/>
    <mergeCell ref="G303:H303"/>
    <mergeCell ref="J303:K303"/>
    <mergeCell ref="M303:N303"/>
    <mergeCell ref="D300:E300"/>
    <mergeCell ref="G300:H300"/>
    <mergeCell ref="J300:K300"/>
    <mergeCell ref="M300:N300"/>
    <mergeCell ref="D301:E301"/>
    <mergeCell ref="G301:H301"/>
    <mergeCell ref="J301:K301"/>
    <mergeCell ref="M301:N301"/>
    <mergeCell ref="C298:E298"/>
    <mergeCell ref="F298:H298"/>
    <mergeCell ref="I298:K298"/>
    <mergeCell ref="L298:N298"/>
    <mergeCell ref="C299:E299"/>
    <mergeCell ref="F299:H299"/>
    <mergeCell ref="I299:K299"/>
    <mergeCell ref="L299:N299"/>
    <mergeCell ref="C296:E296"/>
    <mergeCell ref="F296:H296"/>
    <mergeCell ref="I296:K296"/>
    <mergeCell ref="L296:N296"/>
    <mergeCell ref="C297:E297"/>
    <mergeCell ref="F297:H297"/>
    <mergeCell ref="I297:K297"/>
    <mergeCell ref="L297:N297"/>
    <mergeCell ref="C294:E294"/>
    <mergeCell ref="F294:H294"/>
    <mergeCell ref="I294:K294"/>
    <mergeCell ref="L294:N294"/>
    <mergeCell ref="C295:E295"/>
    <mergeCell ref="F295:H295"/>
    <mergeCell ref="I295:K295"/>
    <mergeCell ref="L295:N295"/>
    <mergeCell ref="C291:E291"/>
    <mergeCell ref="F291:H291"/>
    <mergeCell ref="I291:K291"/>
    <mergeCell ref="L291:N291"/>
    <mergeCell ref="C292:E292"/>
    <mergeCell ref="F292:H292"/>
    <mergeCell ref="I292:K292"/>
    <mergeCell ref="L292:N292"/>
    <mergeCell ref="C289:E289"/>
    <mergeCell ref="F289:H289"/>
    <mergeCell ref="I289:K289"/>
    <mergeCell ref="L289:N289"/>
    <mergeCell ref="C290:E290"/>
    <mergeCell ref="F290:H290"/>
    <mergeCell ref="I290:K290"/>
    <mergeCell ref="L290:N290"/>
    <mergeCell ref="C287:E287"/>
    <mergeCell ref="F287:H287"/>
    <mergeCell ref="I287:K287"/>
    <mergeCell ref="L287:N287"/>
    <mergeCell ref="C288:E288"/>
    <mergeCell ref="F288:H288"/>
    <mergeCell ref="I288:K288"/>
    <mergeCell ref="L288:N288"/>
    <mergeCell ref="C285:E285"/>
    <mergeCell ref="F285:H285"/>
    <mergeCell ref="I285:K285"/>
    <mergeCell ref="L285:N285"/>
    <mergeCell ref="C286:E286"/>
    <mergeCell ref="F286:H286"/>
    <mergeCell ref="I286:K286"/>
    <mergeCell ref="L286:N286"/>
    <mergeCell ref="C283:E283"/>
    <mergeCell ref="F283:H283"/>
    <mergeCell ref="I283:K283"/>
    <mergeCell ref="L283:N283"/>
    <mergeCell ref="C284:E284"/>
    <mergeCell ref="F284:H284"/>
    <mergeCell ref="I284:K284"/>
    <mergeCell ref="L284:N284"/>
    <mergeCell ref="C281:E281"/>
    <mergeCell ref="F281:H281"/>
    <mergeCell ref="I281:K281"/>
    <mergeCell ref="L281:N281"/>
    <mergeCell ref="C282:E282"/>
    <mergeCell ref="F282:H282"/>
    <mergeCell ref="I282:K282"/>
    <mergeCell ref="L282:N282"/>
    <mergeCell ref="C279:E279"/>
    <mergeCell ref="F279:H279"/>
    <mergeCell ref="I279:K279"/>
    <mergeCell ref="L279:N279"/>
    <mergeCell ref="C280:E280"/>
    <mergeCell ref="F280:H280"/>
    <mergeCell ref="I280:K280"/>
    <mergeCell ref="L280:N280"/>
    <mergeCell ref="C277:E277"/>
    <mergeCell ref="F277:H277"/>
    <mergeCell ref="I277:K277"/>
    <mergeCell ref="L277:N277"/>
    <mergeCell ref="C278:E278"/>
    <mergeCell ref="F278:H278"/>
    <mergeCell ref="I278:K278"/>
    <mergeCell ref="L278:N278"/>
    <mergeCell ref="C275:E275"/>
    <mergeCell ref="F275:H275"/>
    <mergeCell ref="I275:K275"/>
    <mergeCell ref="L275:N275"/>
    <mergeCell ref="C276:E276"/>
    <mergeCell ref="F276:H276"/>
    <mergeCell ref="I276:K276"/>
    <mergeCell ref="L276:N276"/>
    <mergeCell ref="L263:N263"/>
    <mergeCell ref="C268:D268"/>
    <mergeCell ref="C274:E274"/>
    <mergeCell ref="F274:H274"/>
    <mergeCell ref="I274:K274"/>
    <mergeCell ref="L274:N274"/>
    <mergeCell ref="C242:E242"/>
    <mergeCell ref="F242:H242"/>
    <mergeCell ref="I242:K242"/>
    <mergeCell ref="L242:N242"/>
    <mergeCell ref="C243:E243"/>
    <mergeCell ref="F243:H243"/>
    <mergeCell ref="I243:K243"/>
    <mergeCell ref="L243:N243"/>
    <mergeCell ref="D240:E240"/>
    <mergeCell ref="G240:H240"/>
    <mergeCell ref="J240:K240"/>
    <mergeCell ref="M240:N240"/>
    <mergeCell ref="D241:E241"/>
    <mergeCell ref="G241:H241"/>
    <mergeCell ref="J241:K241"/>
    <mergeCell ref="M241:N241"/>
    <mergeCell ref="D238:E238"/>
    <mergeCell ref="G238:H238"/>
    <mergeCell ref="J238:K238"/>
    <mergeCell ref="M238:N238"/>
    <mergeCell ref="D239:E239"/>
    <mergeCell ref="G239:H239"/>
    <mergeCell ref="J239:K239"/>
    <mergeCell ref="M239:N239"/>
    <mergeCell ref="D236:E236"/>
    <mergeCell ref="G236:H236"/>
    <mergeCell ref="J236:K236"/>
    <mergeCell ref="M236:N236"/>
    <mergeCell ref="D237:E237"/>
    <mergeCell ref="G237:H237"/>
    <mergeCell ref="J237:K237"/>
    <mergeCell ref="M237:N237"/>
    <mergeCell ref="C234:E234"/>
    <mergeCell ref="F234:H234"/>
    <mergeCell ref="I234:K234"/>
    <mergeCell ref="L234:N234"/>
    <mergeCell ref="D235:E235"/>
    <mergeCell ref="G235:H235"/>
    <mergeCell ref="J235:K235"/>
    <mergeCell ref="M235:N235"/>
    <mergeCell ref="C232:E232"/>
    <mergeCell ref="F232:H232"/>
    <mergeCell ref="I232:K232"/>
    <mergeCell ref="L232:N232"/>
    <mergeCell ref="C233:E233"/>
    <mergeCell ref="F233:H233"/>
    <mergeCell ref="I233:K233"/>
    <mergeCell ref="L233:N233"/>
    <mergeCell ref="C230:E230"/>
    <mergeCell ref="F230:H230"/>
    <mergeCell ref="I230:K230"/>
    <mergeCell ref="L230:N230"/>
    <mergeCell ref="C231:E231"/>
    <mergeCell ref="F231:H231"/>
    <mergeCell ref="I231:K231"/>
    <mergeCell ref="L231:N231"/>
    <mergeCell ref="C227:E227"/>
    <mergeCell ref="F227:H227"/>
    <mergeCell ref="I227:K227"/>
    <mergeCell ref="L227:N227"/>
    <mergeCell ref="C229:E229"/>
    <mergeCell ref="F229:H229"/>
    <mergeCell ref="I229:K229"/>
    <mergeCell ref="L229:N229"/>
    <mergeCell ref="C225:E225"/>
    <mergeCell ref="F225:H225"/>
    <mergeCell ref="I225:K225"/>
    <mergeCell ref="L225:N225"/>
    <mergeCell ref="C226:E226"/>
    <mergeCell ref="F226:H226"/>
    <mergeCell ref="I226:K226"/>
    <mergeCell ref="L226:N226"/>
    <mergeCell ref="C223:E223"/>
    <mergeCell ref="F223:H223"/>
    <mergeCell ref="I223:K223"/>
    <mergeCell ref="L223:N223"/>
    <mergeCell ref="C224:E224"/>
    <mergeCell ref="F224:H224"/>
    <mergeCell ref="I224:K224"/>
    <mergeCell ref="L224:N224"/>
    <mergeCell ref="C221:E221"/>
    <mergeCell ref="F221:H221"/>
    <mergeCell ref="I221:K221"/>
    <mergeCell ref="L221:N221"/>
    <mergeCell ref="C222:E222"/>
    <mergeCell ref="F222:H222"/>
    <mergeCell ref="I222:K222"/>
    <mergeCell ref="L222:N222"/>
    <mergeCell ref="C219:E219"/>
    <mergeCell ref="F219:H219"/>
    <mergeCell ref="I219:K219"/>
    <mergeCell ref="L219:N219"/>
    <mergeCell ref="C220:E220"/>
    <mergeCell ref="F220:H220"/>
    <mergeCell ref="I220:K220"/>
    <mergeCell ref="L220:N220"/>
    <mergeCell ref="C217:E217"/>
    <mergeCell ref="F217:H217"/>
    <mergeCell ref="I217:K217"/>
    <mergeCell ref="L217:N217"/>
    <mergeCell ref="C218:E218"/>
    <mergeCell ref="F218:H218"/>
    <mergeCell ref="I218:K218"/>
    <mergeCell ref="L218:N218"/>
    <mergeCell ref="C215:E215"/>
    <mergeCell ref="F215:H215"/>
    <mergeCell ref="I215:K215"/>
    <mergeCell ref="L215:N215"/>
    <mergeCell ref="C216:E216"/>
    <mergeCell ref="F216:H216"/>
    <mergeCell ref="I216:K216"/>
    <mergeCell ref="L216:N216"/>
    <mergeCell ref="C213:E213"/>
    <mergeCell ref="F213:H213"/>
    <mergeCell ref="I213:K213"/>
    <mergeCell ref="L213:N213"/>
    <mergeCell ref="C214:E214"/>
    <mergeCell ref="F214:H214"/>
    <mergeCell ref="I214:K214"/>
    <mergeCell ref="L214:N214"/>
    <mergeCell ref="C211:E211"/>
    <mergeCell ref="F211:H211"/>
    <mergeCell ref="I211:K211"/>
    <mergeCell ref="L211:N211"/>
    <mergeCell ref="C212:E212"/>
    <mergeCell ref="F212:H212"/>
    <mergeCell ref="I212:K212"/>
    <mergeCell ref="L212:N212"/>
    <mergeCell ref="C209:E209"/>
    <mergeCell ref="F209:H209"/>
    <mergeCell ref="I209:K209"/>
    <mergeCell ref="L209:N209"/>
    <mergeCell ref="C210:E210"/>
    <mergeCell ref="F210:H210"/>
    <mergeCell ref="I210:K210"/>
    <mergeCell ref="L210:N210"/>
    <mergeCell ref="C178:E178"/>
    <mergeCell ref="F178:H178"/>
    <mergeCell ref="I178:K178"/>
    <mergeCell ref="L178:N178"/>
    <mergeCell ref="L198:N198"/>
    <mergeCell ref="C203:D203"/>
    <mergeCell ref="D176:E176"/>
    <mergeCell ref="G176:H176"/>
    <mergeCell ref="J176:K176"/>
    <mergeCell ref="M176:N176"/>
    <mergeCell ref="C177:E177"/>
    <mergeCell ref="F177:H177"/>
    <mergeCell ref="I177:K177"/>
    <mergeCell ref="L177:N177"/>
    <mergeCell ref="D174:E174"/>
    <mergeCell ref="G174:H174"/>
    <mergeCell ref="J174:K174"/>
    <mergeCell ref="M174:N174"/>
    <mergeCell ref="D175:E175"/>
    <mergeCell ref="G175:H175"/>
    <mergeCell ref="J175:K175"/>
    <mergeCell ref="M175:N175"/>
    <mergeCell ref="D172:E172"/>
    <mergeCell ref="G172:H172"/>
    <mergeCell ref="J172:K172"/>
    <mergeCell ref="M172:N172"/>
    <mergeCell ref="D173:E173"/>
    <mergeCell ref="G173:H173"/>
    <mergeCell ref="J173:K173"/>
    <mergeCell ref="M173:N173"/>
    <mergeCell ref="D170:E170"/>
    <mergeCell ref="G170:H170"/>
    <mergeCell ref="J170:K170"/>
    <mergeCell ref="M170:N170"/>
    <mergeCell ref="D171:E171"/>
    <mergeCell ref="G171:H171"/>
    <mergeCell ref="J171:K171"/>
    <mergeCell ref="M171:N171"/>
    <mergeCell ref="C168:E168"/>
    <mergeCell ref="F168:H168"/>
    <mergeCell ref="I168:K168"/>
    <mergeCell ref="L168:N168"/>
    <mergeCell ref="C169:E169"/>
    <mergeCell ref="F169:H169"/>
    <mergeCell ref="I169:K169"/>
    <mergeCell ref="L169:N169"/>
    <mergeCell ref="C166:E166"/>
    <mergeCell ref="F166:H166"/>
    <mergeCell ref="I166:K166"/>
    <mergeCell ref="L166:N166"/>
    <mergeCell ref="C167:E167"/>
    <mergeCell ref="F167:H167"/>
    <mergeCell ref="I167:K167"/>
    <mergeCell ref="L167:N167"/>
    <mergeCell ref="C164:E164"/>
    <mergeCell ref="F164:H164"/>
    <mergeCell ref="I164:K164"/>
    <mergeCell ref="L164:N164"/>
    <mergeCell ref="C165:E165"/>
    <mergeCell ref="F165:H165"/>
    <mergeCell ref="I165:K165"/>
    <mergeCell ref="L165:N165"/>
    <mergeCell ref="C161:E161"/>
    <mergeCell ref="F161:H161"/>
    <mergeCell ref="I161:K161"/>
    <mergeCell ref="L161:N161"/>
    <mergeCell ref="C162:E162"/>
    <mergeCell ref="F162:H162"/>
    <mergeCell ref="I162:K162"/>
    <mergeCell ref="L162:N162"/>
    <mergeCell ref="C159:E159"/>
    <mergeCell ref="F159:H159"/>
    <mergeCell ref="I159:K159"/>
    <mergeCell ref="L159:N159"/>
    <mergeCell ref="C160:E160"/>
    <mergeCell ref="F160:H160"/>
    <mergeCell ref="I160:K160"/>
    <mergeCell ref="L160:N160"/>
    <mergeCell ref="C157:E157"/>
    <mergeCell ref="F157:H157"/>
    <mergeCell ref="I157:K157"/>
    <mergeCell ref="L157:N157"/>
    <mergeCell ref="C158:E158"/>
    <mergeCell ref="F158:H158"/>
    <mergeCell ref="I158:K158"/>
    <mergeCell ref="L158:N158"/>
    <mergeCell ref="C155:E155"/>
    <mergeCell ref="F155:H155"/>
    <mergeCell ref="I155:K155"/>
    <mergeCell ref="L155:N155"/>
    <mergeCell ref="C156:E156"/>
    <mergeCell ref="F156:H156"/>
    <mergeCell ref="I156:K156"/>
    <mergeCell ref="L156:N156"/>
    <mergeCell ref="C153:E153"/>
    <mergeCell ref="F153:H153"/>
    <mergeCell ref="I153:K153"/>
    <mergeCell ref="L153:N153"/>
    <mergeCell ref="C154:E154"/>
    <mergeCell ref="F154:H154"/>
    <mergeCell ref="I154:K154"/>
    <mergeCell ref="L154:N154"/>
    <mergeCell ref="C151:E151"/>
    <mergeCell ref="F151:H151"/>
    <mergeCell ref="I151:K151"/>
    <mergeCell ref="L151:N151"/>
    <mergeCell ref="C152:E152"/>
    <mergeCell ref="F152:H152"/>
    <mergeCell ref="I152:K152"/>
    <mergeCell ref="L152:N152"/>
    <mergeCell ref="C149:E149"/>
    <mergeCell ref="F149:H149"/>
    <mergeCell ref="I149:K149"/>
    <mergeCell ref="L149:N149"/>
    <mergeCell ref="C150:E150"/>
    <mergeCell ref="F150:H150"/>
    <mergeCell ref="I150:K150"/>
    <mergeCell ref="L150:N150"/>
    <mergeCell ref="C147:E147"/>
    <mergeCell ref="F147:H147"/>
    <mergeCell ref="I147:K147"/>
    <mergeCell ref="L147:N147"/>
    <mergeCell ref="C148:E148"/>
    <mergeCell ref="F148:H148"/>
    <mergeCell ref="I148:K148"/>
    <mergeCell ref="L148:N148"/>
    <mergeCell ref="C145:E145"/>
    <mergeCell ref="F145:H145"/>
    <mergeCell ref="I145:K145"/>
    <mergeCell ref="L145:N145"/>
    <mergeCell ref="C146:E146"/>
    <mergeCell ref="F146:H146"/>
    <mergeCell ref="I146:K146"/>
    <mergeCell ref="L146:N146"/>
    <mergeCell ref="L133:N133"/>
    <mergeCell ref="C138:D138"/>
    <mergeCell ref="C144:E144"/>
    <mergeCell ref="F144:H144"/>
    <mergeCell ref="I144:K144"/>
    <mergeCell ref="L144:N144"/>
    <mergeCell ref="C112:E112"/>
    <mergeCell ref="F112:H112"/>
    <mergeCell ref="I112:K112"/>
    <mergeCell ref="L112:N112"/>
    <mergeCell ref="C113:E113"/>
    <mergeCell ref="F113:H113"/>
    <mergeCell ref="I113:K113"/>
    <mergeCell ref="L113:N113"/>
    <mergeCell ref="D110:E110"/>
    <mergeCell ref="G110:H110"/>
    <mergeCell ref="J110:K110"/>
    <mergeCell ref="M110:N110"/>
    <mergeCell ref="D111:E111"/>
    <mergeCell ref="G111:H111"/>
    <mergeCell ref="J111:K111"/>
    <mergeCell ref="M111:N111"/>
    <mergeCell ref="D108:E108"/>
    <mergeCell ref="G108:H108"/>
    <mergeCell ref="J108:K108"/>
    <mergeCell ref="M108:N108"/>
    <mergeCell ref="D109:E109"/>
    <mergeCell ref="G109:H109"/>
    <mergeCell ref="J109:K109"/>
    <mergeCell ref="M109:N109"/>
    <mergeCell ref="D106:E106"/>
    <mergeCell ref="G106:H106"/>
    <mergeCell ref="J106:K106"/>
    <mergeCell ref="M106:N106"/>
    <mergeCell ref="D107:E107"/>
    <mergeCell ref="G107:H107"/>
    <mergeCell ref="J107:K107"/>
    <mergeCell ref="M107:N107"/>
    <mergeCell ref="C104:E104"/>
    <mergeCell ref="F104:H104"/>
    <mergeCell ref="I104:K104"/>
    <mergeCell ref="L104:N104"/>
    <mergeCell ref="D105:E105"/>
    <mergeCell ref="G105:H105"/>
    <mergeCell ref="J105:K105"/>
    <mergeCell ref="M105:N105"/>
    <mergeCell ref="C102:E102"/>
    <mergeCell ref="F102:H102"/>
    <mergeCell ref="I102:K102"/>
    <mergeCell ref="L102:N102"/>
    <mergeCell ref="C103:E103"/>
    <mergeCell ref="F103:H103"/>
    <mergeCell ref="I103:K103"/>
    <mergeCell ref="L103:N103"/>
    <mergeCell ref="C100:E100"/>
    <mergeCell ref="F100:H100"/>
    <mergeCell ref="I100:K100"/>
    <mergeCell ref="L100:N100"/>
    <mergeCell ref="C101:E101"/>
    <mergeCell ref="F101:H101"/>
    <mergeCell ref="I101:K101"/>
    <mergeCell ref="L101:N101"/>
    <mergeCell ref="C97:E97"/>
    <mergeCell ref="F97:H97"/>
    <mergeCell ref="I97:K97"/>
    <mergeCell ref="L97:N97"/>
    <mergeCell ref="C99:E99"/>
    <mergeCell ref="F99:H99"/>
    <mergeCell ref="I99:K99"/>
    <mergeCell ref="L99:N99"/>
    <mergeCell ref="C95:E95"/>
    <mergeCell ref="F95:H95"/>
    <mergeCell ref="I95:K95"/>
    <mergeCell ref="L95:N95"/>
    <mergeCell ref="C96:E96"/>
    <mergeCell ref="F96:H96"/>
    <mergeCell ref="I96:K96"/>
    <mergeCell ref="L96:N96"/>
    <mergeCell ref="C93:E93"/>
    <mergeCell ref="F93:H93"/>
    <mergeCell ref="I93:K93"/>
    <mergeCell ref="L93:N93"/>
    <mergeCell ref="C94:E94"/>
    <mergeCell ref="F94:H94"/>
    <mergeCell ref="I94:K94"/>
    <mergeCell ref="L94:N94"/>
    <mergeCell ref="C91:E91"/>
    <mergeCell ref="F91:H91"/>
    <mergeCell ref="I91:K91"/>
    <mergeCell ref="L91:N91"/>
    <mergeCell ref="C92:E92"/>
    <mergeCell ref="F92:H92"/>
    <mergeCell ref="I92:K92"/>
    <mergeCell ref="L92:N92"/>
    <mergeCell ref="C89:E89"/>
    <mergeCell ref="F89:H89"/>
    <mergeCell ref="I89:K89"/>
    <mergeCell ref="L89:N89"/>
    <mergeCell ref="C90:E90"/>
    <mergeCell ref="F90:H90"/>
    <mergeCell ref="I90:K90"/>
    <mergeCell ref="L90:N90"/>
    <mergeCell ref="C87:E87"/>
    <mergeCell ref="F87:H87"/>
    <mergeCell ref="I87:K87"/>
    <mergeCell ref="L87:N87"/>
    <mergeCell ref="C88:E88"/>
    <mergeCell ref="F88:H88"/>
    <mergeCell ref="I88:K88"/>
    <mergeCell ref="L88:N88"/>
    <mergeCell ref="C85:E85"/>
    <mergeCell ref="F85:H85"/>
    <mergeCell ref="I85:K85"/>
    <mergeCell ref="L85:N85"/>
    <mergeCell ref="C86:E86"/>
    <mergeCell ref="F86:H86"/>
    <mergeCell ref="I86:K86"/>
    <mergeCell ref="L86:N86"/>
    <mergeCell ref="C83:E83"/>
    <mergeCell ref="F83:H83"/>
    <mergeCell ref="I83:K83"/>
    <mergeCell ref="L83:N83"/>
    <mergeCell ref="C84:E84"/>
    <mergeCell ref="F84:H84"/>
    <mergeCell ref="I84:K84"/>
    <mergeCell ref="L84:N84"/>
    <mergeCell ref="C81:E81"/>
    <mergeCell ref="F81:H81"/>
    <mergeCell ref="I81:K81"/>
    <mergeCell ref="L81:N81"/>
    <mergeCell ref="C82:E82"/>
    <mergeCell ref="F82:H82"/>
    <mergeCell ref="I82:K82"/>
    <mergeCell ref="L82:N82"/>
    <mergeCell ref="C79:E79"/>
    <mergeCell ref="F79:H79"/>
    <mergeCell ref="I79:K79"/>
    <mergeCell ref="L79:N79"/>
    <mergeCell ref="C80:E80"/>
    <mergeCell ref="F80:H80"/>
    <mergeCell ref="I80:K80"/>
    <mergeCell ref="L80:N80"/>
    <mergeCell ref="C48:E48"/>
    <mergeCell ref="F48:H48"/>
    <mergeCell ref="I48:K48"/>
    <mergeCell ref="L48:N48"/>
    <mergeCell ref="L68:N68"/>
    <mergeCell ref="C73:D73"/>
    <mergeCell ref="D46:E46"/>
    <mergeCell ref="G46:H46"/>
    <mergeCell ref="J46:K46"/>
    <mergeCell ref="M46:N46"/>
    <mergeCell ref="C47:E47"/>
    <mergeCell ref="F47:H47"/>
    <mergeCell ref="I47:K47"/>
    <mergeCell ref="L47:N47"/>
    <mergeCell ref="D44:E44"/>
    <mergeCell ref="G44:H44"/>
    <mergeCell ref="J44:K44"/>
    <mergeCell ref="M44:N44"/>
    <mergeCell ref="D45:E45"/>
    <mergeCell ref="G45:H45"/>
    <mergeCell ref="J45:K45"/>
    <mergeCell ref="M45:N45"/>
    <mergeCell ref="D42:E42"/>
    <mergeCell ref="G42:H42"/>
    <mergeCell ref="J42:K42"/>
    <mergeCell ref="M42:N42"/>
    <mergeCell ref="D43:E43"/>
    <mergeCell ref="G43:H43"/>
    <mergeCell ref="J43:K43"/>
    <mergeCell ref="M43:N43"/>
    <mergeCell ref="D40:E40"/>
    <mergeCell ref="G40:H40"/>
    <mergeCell ref="J40:K40"/>
    <mergeCell ref="M40:N40"/>
    <mergeCell ref="D41:E41"/>
    <mergeCell ref="G41:H41"/>
    <mergeCell ref="J41:K41"/>
    <mergeCell ref="M41:N41"/>
    <mergeCell ref="C38:E38"/>
    <mergeCell ref="F38:H38"/>
    <mergeCell ref="I38:K38"/>
    <mergeCell ref="L38:N38"/>
    <mergeCell ref="C39:E39"/>
    <mergeCell ref="F39:H39"/>
    <mergeCell ref="I39:K39"/>
    <mergeCell ref="L39:N39"/>
    <mergeCell ref="C36:E36"/>
    <mergeCell ref="F36:H36"/>
    <mergeCell ref="I36:K36"/>
    <mergeCell ref="L36:N36"/>
    <mergeCell ref="C37:E37"/>
    <mergeCell ref="F37:H37"/>
    <mergeCell ref="I37:K37"/>
    <mergeCell ref="L37:N37"/>
    <mergeCell ref="C34:E34"/>
    <mergeCell ref="F34:H34"/>
    <mergeCell ref="I34:K34"/>
    <mergeCell ref="L34:N34"/>
    <mergeCell ref="C35:E35"/>
    <mergeCell ref="F35:H35"/>
    <mergeCell ref="I35:K35"/>
    <mergeCell ref="L35:N35"/>
    <mergeCell ref="C31:E31"/>
    <mergeCell ref="F31:H31"/>
    <mergeCell ref="I31:K31"/>
    <mergeCell ref="L31:N31"/>
    <mergeCell ref="C32:E32"/>
    <mergeCell ref="F32:H32"/>
    <mergeCell ref="I32:K32"/>
    <mergeCell ref="L32:N32"/>
    <mergeCell ref="C29:E29"/>
    <mergeCell ref="F29:H29"/>
    <mergeCell ref="I29:K29"/>
    <mergeCell ref="L29:N29"/>
    <mergeCell ref="C30:E30"/>
    <mergeCell ref="F30:H30"/>
    <mergeCell ref="I30:K30"/>
    <mergeCell ref="L30:N30"/>
    <mergeCell ref="C27:E27"/>
    <mergeCell ref="F27:H27"/>
    <mergeCell ref="I27:K27"/>
    <mergeCell ref="L27:N27"/>
    <mergeCell ref="C28:E28"/>
    <mergeCell ref="F28:H28"/>
    <mergeCell ref="I28:K28"/>
    <mergeCell ref="L28:N28"/>
    <mergeCell ref="C25:E25"/>
    <mergeCell ref="F25:H25"/>
    <mergeCell ref="I25:K25"/>
    <mergeCell ref="L25:N25"/>
    <mergeCell ref="C26:E26"/>
    <mergeCell ref="F26:H26"/>
    <mergeCell ref="I26:K26"/>
    <mergeCell ref="L26:N26"/>
    <mergeCell ref="C23:E23"/>
    <mergeCell ref="F23:H23"/>
    <mergeCell ref="I23:K23"/>
    <mergeCell ref="L23:N23"/>
    <mergeCell ref="C24:E24"/>
    <mergeCell ref="F24:H24"/>
    <mergeCell ref="I24:K24"/>
    <mergeCell ref="L24:N24"/>
    <mergeCell ref="C21:E21"/>
    <mergeCell ref="F21:H21"/>
    <mergeCell ref="I21:K21"/>
    <mergeCell ref="L21:N21"/>
    <mergeCell ref="C22:E22"/>
    <mergeCell ref="F22:H22"/>
    <mergeCell ref="I22:K22"/>
    <mergeCell ref="L22:N22"/>
    <mergeCell ref="C19:E19"/>
    <mergeCell ref="F19:H19"/>
    <mergeCell ref="I19:K19"/>
    <mergeCell ref="L19:N19"/>
    <mergeCell ref="C20:E20"/>
    <mergeCell ref="F20:H20"/>
    <mergeCell ref="I20:K20"/>
    <mergeCell ref="L20:N20"/>
    <mergeCell ref="C17:E17"/>
    <mergeCell ref="F17:H17"/>
    <mergeCell ref="I17:K17"/>
    <mergeCell ref="L17:N17"/>
    <mergeCell ref="C18:E18"/>
    <mergeCell ref="F18:H18"/>
    <mergeCell ref="I18:K18"/>
    <mergeCell ref="L18:N18"/>
    <mergeCell ref="C15:E15"/>
    <mergeCell ref="F15:H15"/>
    <mergeCell ref="I15:K15"/>
    <mergeCell ref="L15:N15"/>
    <mergeCell ref="C16:E16"/>
    <mergeCell ref="F16:H16"/>
    <mergeCell ref="I16:K16"/>
    <mergeCell ref="L16:N16"/>
    <mergeCell ref="L3:N3"/>
    <mergeCell ref="C8:D8"/>
    <mergeCell ref="C14:E14"/>
    <mergeCell ref="F14:H14"/>
    <mergeCell ref="I14:K14"/>
    <mergeCell ref="L14:N14"/>
  </mergeCells>
  <printOptions horizontalCentered="1"/>
  <pageMargins left="0.25" right="0.25" top="0.5" bottom="0.25" header="0.5" footer="0"/>
  <pageSetup scale="65" orientation="portrait" r:id="rId1"/>
  <headerFooter alignWithMargins="0">
    <oddFooter>&amp;R&amp;"Times New Roman,Italic"&amp;8Page &amp;P of &amp;N  &amp;D  &amp;T</oddFooter>
  </headerFooter>
  <rowBreaks count="1" manualBreakCount="1">
    <brk id="32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3" tint="0.59999389629810485"/>
    <pageSetUpPr fitToPage="1"/>
  </sheetPr>
  <dimension ref="A1:M82"/>
  <sheetViews>
    <sheetView topLeftCell="A10" zoomScale="85" zoomScaleNormal="85" workbookViewId="0"/>
  </sheetViews>
  <sheetFormatPr defaultColWidth="9.109375" defaultRowHeight="13.2"/>
  <cols>
    <col min="1" max="2" width="2.6640625" style="210" customWidth="1"/>
    <col min="3" max="3" width="3.6640625" style="210" customWidth="1"/>
    <col min="4" max="6" width="15.6640625" style="210" customWidth="1"/>
    <col min="7" max="7" width="23.33203125" style="210" customWidth="1"/>
    <col min="8" max="8" width="2.33203125" style="210" customWidth="1"/>
    <col min="9" max="9" width="21.6640625" style="210" customWidth="1"/>
    <col min="10" max="10" width="2.33203125" style="210" customWidth="1"/>
    <col min="11" max="11" width="20.6640625" style="210" customWidth="1"/>
    <col min="12" max="12" width="1.6640625" style="210" customWidth="1"/>
    <col min="13" max="13" width="2.6640625" style="210" customWidth="1"/>
    <col min="14" max="16384" width="9.109375" style="210"/>
  </cols>
  <sheetData>
    <row r="1" spans="1:13" ht="26.1" customHeight="1">
      <c r="A1" s="206"/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</row>
    <row r="2" spans="1:13" ht="5.25" customHeight="1">
      <c r="A2" s="209">
        <v>0</v>
      </c>
    </row>
    <row r="3" spans="1:13" ht="24" customHeight="1">
      <c r="I3" s="213" t="s">
        <v>392</v>
      </c>
      <c r="J3" s="372" t="s">
        <v>215</v>
      </c>
    </row>
    <row r="4" spans="1:13" ht="24" customHeight="1">
      <c r="B4" s="373" t="s">
        <v>365</v>
      </c>
      <c r="C4" s="374"/>
      <c r="D4" s="375"/>
      <c r="E4" s="376"/>
      <c r="F4" s="376"/>
      <c r="G4" s="376"/>
      <c r="H4" s="376"/>
      <c r="I4" s="376"/>
      <c r="J4" s="376"/>
      <c r="K4" s="377"/>
      <c r="L4" s="377"/>
      <c r="M4" s="378"/>
    </row>
    <row r="5" spans="1:13" s="211" customFormat="1" ht="18.75" customHeight="1">
      <c r="B5" s="379" t="s">
        <v>216</v>
      </c>
      <c r="C5" s="380"/>
      <c r="M5" s="381"/>
    </row>
    <row r="6" spans="1:13" ht="12.75" customHeight="1">
      <c r="A6" s="212"/>
      <c r="F6" s="211"/>
      <c r="M6" s="382"/>
    </row>
    <row r="7" spans="1:13" s="389" customFormat="1" ht="15.75" customHeight="1">
      <c r="A7" s="383"/>
      <c r="B7" s="384"/>
      <c r="C7" s="385"/>
      <c r="D7" s="386" t="s">
        <v>159</v>
      </c>
      <c r="E7" s="223" t="s">
        <v>392</v>
      </c>
      <c r="F7" s="387"/>
      <c r="G7" s="388"/>
      <c r="M7" s="382"/>
    </row>
    <row r="8" spans="1:13" s="389" customFormat="1" ht="12.75" customHeight="1">
      <c r="A8" s="383"/>
      <c r="B8" s="390"/>
      <c r="C8" s="391"/>
      <c r="D8" s="227" t="s">
        <v>160</v>
      </c>
      <c r="E8" s="392" t="s">
        <v>395</v>
      </c>
      <c r="F8" s="212"/>
      <c r="G8" s="229"/>
      <c r="H8" s="391"/>
      <c r="I8" s="393"/>
      <c r="J8" s="394"/>
      <c r="K8" s="394"/>
      <c r="L8" s="394"/>
      <c r="M8" s="382"/>
    </row>
    <row r="9" spans="1:13" s="389" customFormat="1" ht="18" customHeight="1">
      <c r="A9" s="383"/>
      <c r="B9" s="395"/>
      <c r="C9" s="396"/>
      <c r="D9" s="231" t="s">
        <v>161</v>
      </c>
      <c r="E9" s="232" t="s">
        <v>464</v>
      </c>
      <c r="F9" s="397"/>
      <c r="G9" s="398"/>
      <c r="H9" s="391"/>
      <c r="I9" s="393"/>
      <c r="J9" s="394"/>
      <c r="K9" s="394"/>
      <c r="L9" s="394"/>
      <c r="M9" s="382"/>
    </row>
    <row r="10" spans="1:13" s="389" customFormat="1" ht="15" customHeight="1">
      <c r="B10" s="399" t="s">
        <v>596</v>
      </c>
      <c r="F10" s="211"/>
      <c r="M10" s="382"/>
    </row>
    <row r="11" spans="1:13" ht="6" customHeight="1" thickBot="1">
      <c r="A11" s="392"/>
      <c r="B11" s="392"/>
      <c r="C11" s="392"/>
      <c r="D11" s="392"/>
      <c r="E11" s="211"/>
      <c r="F11" s="400"/>
      <c r="G11" s="211"/>
      <c r="H11" s="211"/>
      <c r="I11" s="211"/>
      <c r="J11" s="211"/>
      <c r="K11" s="381"/>
      <c r="L11" s="381"/>
      <c r="M11" s="381"/>
    </row>
    <row r="12" spans="1:13" ht="18.75" customHeight="1">
      <c r="A12" s="392"/>
      <c r="B12" s="401"/>
      <c r="C12" s="402" t="s">
        <v>217</v>
      </c>
      <c r="D12" s="402"/>
      <c r="E12" s="403"/>
      <c r="F12" s="404"/>
      <c r="G12" s="405" t="s">
        <v>218</v>
      </c>
      <c r="H12" s="406"/>
      <c r="I12" s="407" t="s">
        <v>219</v>
      </c>
      <c r="J12" s="406"/>
      <c r="K12" s="408" t="s">
        <v>235</v>
      </c>
      <c r="L12" s="409"/>
      <c r="M12" s="381"/>
    </row>
    <row r="13" spans="1:13" ht="16.5" customHeight="1">
      <c r="A13" s="392"/>
      <c r="B13" s="410"/>
      <c r="C13" s="212"/>
      <c r="D13" s="411" t="s">
        <v>236</v>
      </c>
      <c r="E13" s="211"/>
      <c r="F13" s="412"/>
      <c r="G13" s="413" t="s">
        <v>585</v>
      </c>
      <c r="H13" s="414"/>
      <c r="I13" s="415" t="s">
        <v>586</v>
      </c>
      <c r="J13" s="414"/>
      <c r="K13" s="381"/>
      <c r="L13" s="416"/>
      <c r="M13" s="381"/>
    </row>
    <row r="14" spans="1:13">
      <c r="A14" s="392"/>
      <c r="B14" s="410"/>
      <c r="C14" s="212"/>
      <c r="D14" s="411" t="s">
        <v>237</v>
      </c>
      <c r="E14" s="211"/>
      <c r="F14" s="412"/>
      <c r="G14" s="413" t="s">
        <v>587</v>
      </c>
      <c r="H14" s="414"/>
      <c r="I14" s="415" t="s">
        <v>588</v>
      </c>
      <c r="J14" s="414"/>
      <c r="K14" s="381"/>
      <c r="L14" s="416"/>
      <c r="M14" s="381"/>
    </row>
    <row r="15" spans="1:13">
      <c r="A15" s="392"/>
      <c r="B15" s="410"/>
      <c r="C15" s="212"/>
      <c r="D15" s="411" t="s">
        <v>238</v>
      </c>
      <c r="E15" s="211"/>
      <c r="F15" s="412"/>
      <c r="G15" s="417">
        <v>704713</v>
      </c>
      <c r="H15" s="418"/>
      <c r="I15" s="419">
        <v>1092043</v>
      </c>
      <c r="J15" s="414"/>
      <c r="K15" s="381"/>
      <c r="L15" s="416"/>
      <c r="M15" s="381"/>
    </row>
    <row r="16" spans="1:13">
      <c r="A16" s="392"/>
      <c r="B16" s="410"/>
      <c r="C16" s="212"/>
      <c r="D16" s="411" t="s">
        <v>239</v>
      </c>
      <c r="E16" s="211"/>
      <c r="F16" s="412"/>
      <c r="G16" s="417">
        <v>96752</v>
      </c>
      <c r="H16" s="418"/>
      <c r="I16" s="419">
        <v>128434</v>
      </c>
      <c r="J16" s="414"/>
      <c r="K16" s="381"/>
      <c r="L16" s="416"/>
      <c r="M16" s="381"/>
    </row>
    <row r="17" spans="1:13" ht="13.8" thickBot="1">
      <c r="A17" s="392"/>
      <c r="B17" s="420"/>
      <c r="C17" s="421"/>
      <c r="D17" s="422" t="s">
        <v>240</v>
      </c>
      <c r="E17" s="423"/>
      <c r="F17" s="424"/>
      <c r="G17" s="425">
        <v>3058</v>
      </c>
      <c r="H17" s="426"/>
      <c r="I17" s="427">
        <v>3042</v>
      </c>
      <c r="J17" s="428"/>
      <c r="K17" s="429"/>
      <c r="L17" s="430"/>
      <c r="M17" s="381"/>
    </row>
    <row r="18" spans="1:13" ht="6" customHeight="1">
      <c r="A18" s="392"/>
      <c r="B18" s="431"/>
      <c r="C18" s="432"/>
      <c r="D18" s="433"/>
      <c r="E18" s="434"/>
      <c r="F18" s="435"/>
      <c r="G18" s="436"/>
      <c r="H18" s="437"/>
      <c r="I18" s="438"/>
      <c r="J18" s="439"/>
      <c r="K18" s="440"/>
      <c r="L18" s="441"/>
      <c r="M18" s="381"/>
    </row>
    <row r="19" spans="1:13" ht="17.100000000000001" customHeight="1">
      <c r="A19" s="392"/>
      <c r="B19" s="410"/>
      <c r="C19" s="442" t="s">
        <v>220</v>
      </c>
      <c r="D19" s="443"/>
      <c r="E19" s="444"/>
      <c r="F19" s="412"/>
      <c r="G19" s="445"/>
      <c r="H19" s="446"/>
      <c r="I19" s="447"/>
      <c r="J19" s="414"/>
      <c r="K19" s="381"/>
      <c r="L19" s="416"/>
      <c r="M19" s="381"/>
    </row>
    <row r="20" spans="1:13" ht="17.100000000000001" customHeight="1">
      <c r="A20" s="392"/>
      <c r="B20" s="410"/>
      <c r="C20" s="392" t="s">
        <v>241</v>
      </c>
      <c r="D20" s="392" t="s">
        <v>242</v>
      </c>
      <c r="E20" s="211"/>
      <c r="F20" s="412"/>
      <c r="G20" s="448">
        <v>230.44898626553302</v>
      </c>
      <c r="H20" s="449"/>
      <c r="I20" s="450">
        <v>358.98849441157131</v>
      </c>
      <c r="J20" s="449"/>
      <c r="K20" s="451"/>
      <c r="L20" s="416"/>
      <c r="M20" s="381"/>
    </row>
    <row r="21" spans="1:13">
      <c r="A21" s="392"/>
      <c r="B21" s="410"/>
      <c r="C21" s="392" t="s">
        <v>243</v>
      </c>
      <c r="D21" s="392" t="s">
        <v>589</v>
      </c>
      <c r="E21" s="211"/>
      <c r="F21" s="412"/>
      <c r="G21" s="448">
        <v>16.8675604970569</v>
      </c>
      <c r="H21" s="449"/>
      <c r="I21" s="450">
        <v>133.79717291255753</v>
      </c>
      <c r="J21" s="449"/>
      <c r="K21" s="451"/>
      <c r="L21" s="416"/>
      <c r="M21" s="381"/>
    </row>
    <row r="22" spans="1:13">
      <c r="A22" s="392"/>
      <c r="B22" s="410"/>
      <c r="C22" s="392" t="s">
        <v>244</v>
      </c>
      <c r="D22" s="392" t="s">
        <v>245</v>
      </c>
      <c r="E22" s="211"/>
      <c r="F22" s="412"/>
      <c r="G22" s="448">
        <v>213.58142576847612</v>
      </c>
      <c r="H22" s="449"/>
      <c r="I22" s="450">
        <v>225.19132149901378</v>
      </c>
      <c r="J22" s="449"/>
      <c r="K22" s="451"/>
      <c r="L22" s="450"/>
      <c r="M22" s="381"/>
    </row>
    <row r="23" spans="1:13" ht="20.100000000000001" customHeight="1">
      <c r="A23" s="452"/>
      <c r="B23" s="453"/>
      <c r="C23" s="392" t="s">
        <v>246</v>
      </c>
      <c r="D23" s="392" t="s">
        <v>247</v>
      </c>
      <c r="E23" s="452"/>
      <c r="F23" s="412"/>
      <c r="G23" s="448">
        <v>31.638979725310662</v>
      </c>
      <c r="H23" s="449"/>
      <c r="I23" s="450">
        <v>42.220249835634448</v>
      </c>
      <c r="J23" s="454"/>
      <c r="K23" s="451"/>
      <c r="L23" s="455"/>
      <c r="M23" s="452"/>
    </row>
    <row r="24" spans="1:13" ht="20.100000000000001" customHeight="1">
      <c r="A24" s="452"/>
      <c r="B24" s="453"/>
      <c r="C24" s="392" t="s">
        <v>248</v>
      </c>
      <c r="D24" s="392" t="s">
        <v>249</v>
      </c>
      <c r="E24" s="452"/>
      <c r="F24" s="412"/>
      <c r="G24" s="448">
        <v>245.22040549378681</v>
      </c>
      <c r="H24" s="449"/>
      <c r="I24" s="450">
        <v>267.41157133464822</v>
      </c>
      <c r="J24" s="449"/>
      <c r="K24" s="451"/>
      <c r="L24" s="455"/>
      <c r="M24" s="452"/>
    </row>
    <row r="25" spans="1:13" ht="12.75" customHeight="1">
      <c r="A25" s="452"/>
      <c r="B25" s="453"/>
      <c r="C25" s="392" t="s">
        <v>250</v>
      </c>
      <c r="D25" s="392" t="s">
        <v>590</v>
      </c>
      <c r="E25" s="452"/>
      <c r="F25" s="412"/>
      <c r="G25" s="456">
        <v>1.1858707670235891</v>
      </c>
      <c r="H25" s="457"/>
      <c r="I25" s="458">
        <v>1.3160972551024044</v>
      </c>
      <c r="J25" s="449"/>
      <c r="K25" s="451"/>
      <c r="L25" s="455"/>
      <c r="M25" s="452"/>
    </row>
    <row r="26" spans="1:13" ht="12.75" customHeight="1">
      <c r="A26" s="452"/>
      <c r="B26" s="453"/>
      <c r="C26" s="392" t="s">
        <v>251</v>
      </c>
      <c r="D26" s="392" t="s">
        <v>591</v>
      </c>
      <c r="E26" s="452"/>
      <c r="F26" s="412"/>
      <c r="G26" s="456">
        <v>1</v>
      </c>
      <c r="H26" s="457"/>
      <c r="I26" s="458">
        <v>1</v>
      </c>
      <c r="J26" s="454"/>
      <c r="K26" s="459"/>
      <c r="L26" s="455"/>
      <c r="M26" s="452"/>
    </row>
    <row r="27" spans="1:13" ht="17.100000000000001" customHeight="1">
      <c r="A27" s="392"/>
      <c r="B27" s="410"/>
      <c r="C27" s="392" t="s">
        <v>252</v>
      </c>
      <c r="D27" s="392" t="s">
        <v>253</v>
      </c>
      <c r="E27" s="211"/>
      <c r="F27" s="412"/>
      <c r="G27" s="448">
        <v>290.79971035275253</v>
      </c>
      <c r="H27" s="460"/>
      <c r="I27" s="450">
        <v>351.93963501615133</v>
      </c>
      <c r="J27" s="449"/>
      <c r="K27" s="451"/>
      <c r="L27" s="461"/>
      <c r="M27" s="381"/>
    </row>
    <row r="28" spans="1:13" ht="12.75" customHeight="1">
      <c r="A28" s="392"/>
      <c r="B28" s="410"/>
      <c r="C28" s="392" t="s">
        <v>254</v>
      </c>
      <c r="D28" s="392" t="s">
        <v>255</v>
      </c>
      <c r="E28" s="211"/>
      <c r="F28" s="412"/>
      <c r="G28" s="462">
        <v>0.7</v>
      </c>
      <c r="H28" s="460"/>
      <c r="I28" s="463">
        <v>0.30000000000000004</v>
      </c>
      <c r="J28" s="449"/>
      <c r="K28" s="451">
        <v>309.14168775177217</v>
      </c>
      <c r="L28" s="461"/>
      <c r="M28" s="381"/>
    </row>
    <row r="29" spans="1:13" ht="12.75" customHeight="1">
      <c r="A29" s="392"/>
      <c r="B29" s="410"/>
      <c r="C29" s="392" t="s">
        <v>256</v>
      </c>
      <c r="D29" s="392" t="s">
        <v>592</v>
      </c>
      <c r="E29" s="211"/>
      <c r="F29" s="412"/>
      <c r="G29" s="462"/>
      <c r="H29" s="460"/>
      <c r="I29" s="463"/>
      <c r="J29" s="449"/>
      <c r="K29" s="464">
        <v>1</v>
      </c>
      <c r="L29" s="461"/>
      <c r="M29" s="381"/>
    </row>
    <row r="30" spans="1:13">
      <c r="A30" s="392"/>
      <c r="B30" s="410"/>
      <c r="C30" s="392" t="s">
        <v>257</v>
      </c>
      <c r="D30" s="392" t="s">
        <v>593</v>
      </c>
      <c r="E30" s="211"/>
      <c r="F30" s="412"/>
      <c r="G30" s="465"/>
      <c r="H30" s="460"/>
      <c r="I30" s="416"/>
      <c r="J30" s="414"/>
      <c r="K30" s="451">
        <v>114.8846566628138</v>
      </c>
      <c r="L30" s="466"/>
      <c r="M30" s="381"/>
    </row>
    <row r="31" spans="1:13">
      <c r="A31" s="392"/>
      <c r="B31" s="410"/>
      <c r="C31" s="392" t="s">
        <v>258</v>
      </c>
      <c r="D31" s="392" t="s">
        <v>259</v>
      </c>
      <c r="E31" s="211"/>
      <c r="F31" s="412"/>
      <c r="G31" s="465"/>
      <c r="H31" s="460"/>
      <c r="I31" s="416"/>
      <c r="J31" s="414"/>
      <c r="K31" s="451">
        <v>424.02634441458599</v>
      </c>
      <c r="L31" s="466"/>
      <c r="M31" s="381"/>
    </row>
    <row r="32" spans="1:13" ht="17.100000000000001" customHeight="1">
      <c r="A32" s="392"/>
      <c r="B32" s="410"/>
      <c r="C32" s="392"/>
      <c r="D32" s="467" t="s">
        <v>260</v>
      </c>
      <c r="E32" s="211"/>
      <c r="F32" s="412"/>
      <c r="G32" s="465"/>
      <c r="H32" s="460"/>
      <c r="I32" s="416"/>
      <c r="J32" s="414"/>
      <c r="K32" s="468"/>
      <c r="L32" s="466"/>
      <c r="M32" s="381"/>
    </row>
    <row r="33" spans="1:13">
      <c r="A33" s="392"/>
      <c r="B33" s="410"/>
      <c r="C33" s="392" t="s">
        <v>261</v>
      </c>
      <c r="D33" s="392" t="s">
        <v>262</v>
      </c>
      <c r="E33" s="211"/>
      <c r="F33" s="412"/>
      <c r="G33" s="465"/>
      <c r="H33" s="460"/>
      <c r="I33" s="416"/>
      <c r="J33" s="414"/>
      <c r="K33" s="468">
        <v>0.15290647557321027</v>
      </c>
      <c r="L33" s="466"/>
      <c r="M33" s="381"/>
    </row>
    <row r="34" spans="1:13">
      <c r="A34" s="392"/>
      <c r="B34" s="410"/>
      <c r="C34" s="392" t="s">
        <v>263</v>
      </c>
      <c r="D34" s="392" t="s">
        <v>264</v>
      </c>
      <c r="E34" s="211"/>
      <c r="F34" s="412"/>
      <c r="G34" s="465"/>
      <c r="H34" s="460"/>
      <c r="I34" s="416"/>
      <c r="J34" s="414"/>
      <c r="K34" s="468">
        <v>1.4405169819611593E-2</v>
      </c>
      <c r="L34" s="466"/>
      <c r="M34" s="381"/>
    </row>
    <row r="35" spans="1:13">
      <c r="A35" s="392"/>
      <c r="B35" s="410"/>
      <c r="C35" s="392" t="s">
        <v>265</v>
      </c>
      <c r="D35" s="392" t="s">
        <v>594</v>
      </c>
      <c r="E35" s="211"/>
      <c r="F35" s="412"/>
      <c r="G35" s="465"/>
      <c r="H35" s="460"/>
      <c r="I35" s="416"/>
      <c r="J35" s="414"/>
      <c r="K35" s="468">
        <v>0</v>
      </c>
      <c r="L35" s="466"/>
      <c r="M35" s="381"/>
    </row>
    <row r="36" spans="1:13">
      <c r="A36" s="392"/>
      <c r="B36" s="410"/>
      <c r="C36" s="392" t="s">
        <v>266</v>
      </c>
      <c r="D36" s="392" t="s">
        <v>267</v>
      </c>
      <c r="E36" s="211"/>
      <c r="F36" s="412"/>
      <c r="G36" s="465"/>
      <c r="H36" s="460"/>
      <c r="I36" s="416"/>
      <c r="J36" s="414"/>
      <c r="K36" s="468">
        <v>0.16731164539282187</v>
      </c>
      <c r="L36" s="466"/>
      <c r="M36" s="381"/>
    </row>
    <row r="37" spans="1:13" ht="20.100000000000001" customHeight="1">
      <c r="A37" s="392"/>
      <c r="B37" s="410"/>
      <c r="C37" s="212" t="s">
        <v>268</v>
      </c>
      <c r="D37" s="212" t="s">
        <v>269</v>
      </c>
      <c r="E37" s="211"/>
      <c r="F37" s="412"/>
      <c r="G37" s="465"/>
      <c r="H37" s="460"/>
      <c r="I37" s="450"/>
      <c r="J37" s="449"/>
      <c r="K37" s="469">
        <v>509.22574102122633</v>
      </c>
      <c r="L37" s="461"/>
      <c r="M37" s="381"/>
    </row>
    <row r="38" spans="1:13" ht="6" customHeight="1" thickBot="1">
      <c r="A38" s="392"/>
      <c r="B38" s="420"/>
      <c r="C38" s="470"/>
      <c r="D38" s="423"/>
      <c r="E38" s="423"/>
      <c r="F38" s="424"/>
      <c r="G38" s="471"/>
      <c r="H38" s="472"/>
      <c r="I38" s="473"/>
      <c r="J38" s="474"/>
      <c r="K38" s="475"/>
      <c r="L38" s="473"/>
      <c r="M38" s="381"/>
    </row>
    <row r="39" spans="1:13" ht="6" customHeight="1">
      <c r="A39" s="392"/>
      <c r="B39" s="431"/>
      <c r="C39" s="476"/>
      <c r="D39" s="434"/>
      <c r="E39" s="434"/>
      <c r="F39" s="435"/>
      <c r="G39" s="477"/>
      <c r="H39" s="478"/>
      <c r="I39" s="479"/>
      <c r="J39" s="480"/>
      <c r="K39" s="481"/>
      <c r="L39" s="479"/>
      <c r="M39" s="381"/>
    </row>
    <row r="40" spans="1:13" ht="17.100000000000001" customHeight="1">
      <c r="A40" s="392"/>
      <c r="B40" s="410"/>
      <c r="C40" s="442" t="s">
        <v>221</v>
      </c>
      <c r="D40" s="482"/>
      <c r="E40" s="444"/>
      <c r="F40" s="416"/>
      <c r="G40" s="483"/>
      <c r="H40" s="414"/>
      <c r="I40" s="416"/>
      <c r="J40" s="414"/>
      <c r="K40" s="381"/>
      <c r="L40" s="416"/>
      <c r="M40" s="381"/>
    </row>
    <row r="41" spans="1:13">
      <c r="A41" s="392"/>
      <c r="B41" s="410"/>
      <c r="C41" s="212"/>
      <c r="D41" s="381"/>
      <c r="E41" s="211"/>
      <c r="F41" s="416"/>
      <c r="G41" s="483"/>
      <c r="H41" s="414"/>
      <c r="I41" s="416"/>
      <c r="J41" s="414"/>
      <c r="K41" s="381"/>
      <c r="L41" s="416"/>
      <c r="M41" s="381"/>
    </row>
    <row r="42" spans="1:13">
      <c r="A42" s="392"/>
      <c r="B42" s="410"/>
      <c r="C42" s="392" t="s">
        <v>270</v>
      </c>
      <c r="D42" s="392" t="s">
        <v>271</v>
      </c>
      <c r="E42" s="211"/>
      <c r="F42" s="484"/>
      <c r="G42" s="483"/>
      <c r="H42" s="414"/>
      <c r="I42" s="416"/>
      <c r="J42" s="414"/>
      <c r="K42" s="451">
        <v>674.69512172687178</v>
      </c>
      <c r="L42" s="416"/>
      <c r="M42" s="381"/>
    </row>
    <row r="43" spans="1:13">
      <c r="A43" s="392"/>
      <c r="B43" s="410"/>
      <c r="C43" s="392" t="s">
        <v>272</v>
      </c>
      <c r="D43" s="392" t="s">
        <v>273</v>
      </c>
      <c r="E43" s="211"/>
      <c r="F43" s="484"/>
      <c r="G43" s="483"/>
      <c r="H43" s="414"/>
      <c r="I43" s="416"/>
      <c r="J43" s="414"/>
      <c r="K43" s="464">
        <v>0.88233852916358113</v>
      </c>
      <c r="L43" s="416"/>
      <c r="M43" s="381"/>
    </row>
    <row r="44" spans="1:13">
      <c r="A44" s="392"/>
      <c r="B44" s="410"/>
      <c r="C44" s="392" t="s">
        <v>274</v>
      </c>
      <c r="D44" s="392" t="s">
        <v>275</v>
      </c>
      <c r="E44" s="211"/>
      <c r="F44" s="484"/>
      <c r="G44" s="483"/>
      <c r="H44" s="414"/>
      <c r="I44" s="416"/>
      <c r="J44" s="414"/>
      <c r="K44" s="464">
        <v>1</v>
      </c>
      <c r="L44" s="416"/>
      <c r="M44" s="381"/>
    </row>
    <row r="45" spans="1:13">
      <c r="A45" s="392"/>
      <c r="B45" s="410"/>
      <c r="C45" s="212" t="s">
        <v>276</v>
      </c>
      <c r="D45" s="212" t="s">
        <v>277</v>
      </c>
      <c r="E45" s="211"/>
      <c r="F45" s="484"/>
      <c r="G45" s="465"/>
      <c r="H45" s="460"/>
      <c r="I45" s="416"/>
      <c r="J45" s="414"/>
      <c r="K45" s="485">
        <v>595.30950133833142</v>
      </c>
      <c r="L45" s="416"/>
      <c r="M45" s="381"/>
    </row>
    <row r="46" spans="1:13" ht="6" customHeight="1" thickBot="1">
      <c r="A46" s="392"/>
      <c r="B46" s="420"/>
      <c r="C46" s="470"/>
      <c r="D46" s="470"/>
      <c r="E46" s="470"/>
      <c r="F46" s="486"/>
      <c r="G46" s="487"/>
      <c r="H46" s="488"/>
      <c r="I46" s="430"/>
      <c r="J46" s="428"/>
      <c r="K46" s="429"/>
      <c r="L46" s="430"/>
      <c r="M46" s="381"/>
    </row>
    <row r="47" spans="1:13" ht="6" customHeight="1">
      <c r="A47" s="392"/>
      <c r="B47" s="431"/>
      <c r="C47" s="476"/>
      <c r="D47" s="476"/>
      <c r="E47" s="476"/>
      <c r="F47" s="476"/>
      <c r="G47" s="434"/>
      <c r="H47" s="434"/>
      <c r="I47" s="440"/>
      <c r="J47" s="440"/>
      <c r="K47" s="440"/>
      <c r="L47" s="441"/>
      <c r="M47" s="381"/>
    </row>
    <row r="48" spans="1:13" ht="17.100000000000001" customHeight="1">
      <c r="A48" s="392"/>
      <c r="B48" s="410"/>
      <c r="C48" s="442" t="s">
        <v>222</v>
      </c>
      <c r="D48" s="489"/>
      <c r="E48" s="444"/>
      <c r="F48" s="211"/>
      <c r="G48" s="490"/>
      <c r="H48" s="211"/>
      <c r="I48" s="490"/>
      <c r="J48" s="211"/>
      <c r="K48" s="211"/>
      <c r="L48" s="416"/>
      <c r="M48" s="381"/>
    </row>
    <row r="49" spans="1:13">
      <c r="A49" s="392"/>
      <c r="B49" s="410"/>
      <c r="C49" s="212"/>
      <c r="D49" s="392"/>
      <c r="E49" s="211"/>
      <c r="F49" s="211"/>
      <c r="G49" s="490" t="s">
        <v>223</v>
      </c>
      <c r="H49" s="211"/>
      <c r="I49" s="490" t="s">
        <v>224</v>
      </c>
      <c r="J49" s="381"/>
      <c r="K49" s="211"/>
      <c r="L49" s="416"/>
      <c r="M49" s="381"/>
    </row>
    <row r="50" spans="1:13">
      <c r="A50" s="392"/>
      <c r="B50" s="410"/>
      <c r="C50" s="392" t="s">
        <v>278</v>
      </c>
      <c r="D50" s="392" t="s">
        <v>279</v>
      </c>
      <c r="E50" s="211"/>
      <c r="F50" s="211"/>
      <c r="G50" s="491">
        <v>509.22574102122633</v>
      </c>
      <c r="H50" s="211" t="s">
        <v>225</v>
      </c>
      <c r="I50" s="492">
        <v>0.57999999999999996</v>
      </c>
      <c r="J50" s="381"/>
      <c r="K50" s="451">
        <v>295.35092979231126</v>
      </c>
      <c r="L50" s="416"/>
      <c r="M50" s="381"/>
    </row>
    <row r="51" spans="1:13">
      <c r="A51" s="392"/>
      <c r="B51" s="410"/>
      <c r="C51" s="392" t="s">
        <v>280</v>
      </c>
      <c r="D51" s="392" t="s">
        <v>281</v>
      </c>
      <c r="E51" s="211"/>
      <c r="F51" s="211"/>
      <c r="G51" s="491">
        <v>595.30950133833142</v>
      </c>
      <c r="H51" s="211" t="s">
        <v>225</v>
      </c>
      <c r="I51" s="492">
        <v>0.42000000000000004</v>
      </c>
      <c r="J51" s="211"/>
      <c r="K51" s="451">
        <v>250.02999056209921</v>
      </c>
      <c r="L51" s="416"/>
      <c r="M51" s="381"/>
    </row>
    <row r="52" spans="1:13">
      <c r="A52" s="392"/>
      <c r="B52" s="410"/>
      <c r="C52" s="392" t="s">
        <v>282</v>
      </c>
      <c r="D52" s="392" t="s">
        <v>283</v>
      </c>
      <c r="E52" s="211"/>
      <c r="F52" s="211"/>
      <c r="G52" s="211"/>
      <c r="H52" s="211"/>
      <c r="I52" s="211"/>
      <c r="J52" s="211"/>
      <c r="K52" s="451">
        <v>545.38092035441048</v>
      </c>
      <c r="L52" s="416"/>
      <c r="M52" s="381"/>
    </row>
    <row r="53" spans="1:13">
      <c r="A53" s="392"/>
      <c r="B53" s="410"/>
      <c r="C53" s="392" t="s">
        <v>284</v>
      </c>
      <c r="D53" s="392" t="s">
        <v>275</v>
      </c>
      <c r="E53" s="211"/>
      <c r="F53" s="211"/>
      <c r="G53" s="211"/>
      <c r="H53" s="211"/>
      <c r="I53" s="211"/>
      <c r="J53" s="211"/>
      <c r="K53" s="464">
        <v>1</v>
      </c>
      <c r="L53" s="416"/>
      <c r="M53" s="381"/>
    </row>
    <row r="54" spans="1:13">
      <c r="A54" s="392"/>
      <c r="B54" s="410"/>
      <c r="C54" s="212" t="s">
        <v>285</v>
      </c>
      <c r="D54" s="212" t="s">
        <v>286</v>
      </c>
      <c r="E54" s="211"/>
      <c r="F54" s="211"/>
      <c r="G54" s="211"/>
      <c r="H54" s="211"/>
      <c r="I54" s="211"/>
      <c r="J54" s="211"/>
      <c r="K54" s="485">
        <v>545.38092035441048</v>
      </c>
      <c r="L54" s="416"/>
      <c r="M54" s="381"/>
    </row>
    <row r="55" spans="1:13">
      <c r="A55" s="392"/>
      <c r="B55" s="410"/>
      <c r="C55" s="212"/>
      <c r="D55" s="392" t="s">
        <v>287</v>
      </c>
      <c r="E55" s="211"/>
      <c r="F55" s="211"/>
      <c r="G55" s="211"/>
      <c r="H55" s="211"/>
      <c r="I55" s="211"/>
      <c r="J55" s="211"/>
      <c r="K55" s="493">
        <v>3.1878635503250097E-2</v>
      </c>
      <c r="L55" s="416"/>
      <c r="M55" s="381"/>
    </row>
    <row r="56" spans="1:13" ht="17.100000000000001" customHeight="1">
      <c r="A56" s="392"/>
      <c r="B56" s="410"/>
      <c r="C56" s="212" t="s">
        <v>288</v>
      </c>
      <c r="D56" s="212" t="s">
        <v>289</v>
      </c>
      <c r="E56" s="494"/>
      <c r="F56" s="211"/>
      <c r="G56" s="211"/>
      <c r="H56" s="211"/>
      <c r="I56" s="211"/>
      <c r="J56" s="211"/>
      <c r="K56" s="495">
        <v>1</v>
      </c>
      <c r="L56" s="416"/>
      <c r="M56" s="381"/>
    </row>
    <row r="57" spans="1:13">
      <c r="A57" s="392"/>
      <c r="B57" s="410"/>
      <c r="C57" s="212" t="s">
        <v>290</v>
      </c>
      <c r="D57" s="212" t="s">
        <v>291</v>
      </c>
      <c r="E57" s="494"/>
      <c r="F57" s="211"/>
      <c r="G57" s="211"/>
      <c r="H57" s="211"/>
      <c r="I57" s="211"/>
      <c r="J57" s="211"/>
      <c r="K57" s="485">
        <v>0.2</v>
      </c>
      <c r="L57" s="416"/>
      <c r="M57" s="381"/>
    </row>
    <row r="58" spans="1:13">
      <c r="A58" s="392"/>
      <c r="B58" s="410"/>
      <c r="C58" s="212" t="s">
        <v>292</v>
      </c>
      <c r="D58" s="212" t="s">
        <v>293</v>
      </c>
      <c r="E58" s="494"/>
      <c r="F58" s="211"/>
      <c r="G58" s="211"/>
      <c r="H58" s="211"/>
      <c r="I58" s="211"/>
      <c r="J58" s="211"/>
      <c r="K58" s="493">
        <v>3.2500000000000001E-2</v>
      </c>
      <c r="L58" s="416"/>
      <c r="M58" s="381"/>
    </row>
    <row r="59" spans="1:13">
      <c r="A59" s="392"/>
      <c r="B59" s="410"/>
      <c r="C59" s="392" t="s">
        <v>294</v>
      </c>
      <c r="D59" s="392" t="s">
        <v>595</v>
      </c>
      <c r="K59" s="451">
        <v>2.9976008401915446</v>
      </c>
      <c r="L59" s="416"/>
      <c r="M59" s="381"/>
    </row>
    <row r="60" spans="1:13" ht="12.75" customHeight="1">
      <c r="A60" s="392"/>
      <c r="B60" s="410"/>
      <c r="C60" s="392" t="s">
        <v>295</v>
      </c>
      <c r="D60" s="392" t="s">
        <v>296</v>
      </c>
      <c r="E60" s="211"/>
      <c r="F60" s="211"/>
      <c r="G60" s="211"/>
      <c r="H60" s="211"/>
      <c r="I60" s="211"/>
      <c r="J60" s="211"/>
      <c r="K60" s="496">
        <v>5.000000000000001E-2</v>
      </c>
      <c r="L60" s="416"/>
      <c r="M60" s="381"/>
    </row>
    <row r="61" spans="1:13">
      <c r="A61" s="392"/>
      <c r="B61" s="410"/>
      <c r="C61" s="392" t="s">
        <v>297</v>
      </c>
      <c r="D61" s="392" t="s">
        <v>298</v>
      </c>
      <c r="E61" s="211"/>
      <c r="F61" s="211"/>
      <c r="G61" s="211"/>
      <c r="H61" s="211"/>
      <c r="I61" s="211"/>
      <c r="J61" s="211"/>
      <c r="K61" s="497">
        <v>1</v>
      </c>
      <c r="L61" s="416"/>
      <c r="M61" s="381"/>
    </row>
    <row r="62" spans="1:13">
      <c r="A62" s="392"/>
      <c r="B62" s="410"/>
      <c r="C62" s="392" t="s">
        <v>299</v>
      </c>
      <c r="D62" s="392" t="s">
        <v>300</v>
      </c>
      <c r="E62" s="211"/>
      <c r="F62" s="211"/>
      <c r="G62" s="211"/>
      <c r="H62" s="211"/>
      <c r="I62" s="211"/>
      <c r="J62" s="211"/>
      <c r="K62" s="451">
        <v>0</v>
      </c>
      <c r="L62" s="416"/>
      <c r="M62" s="381"/>
    </row>
    <row r="63" spans="1:13">
      <c r="A63" s="392"/>
      <c r="B63" s="498"/>
      <c r="C63" s="212" t="s">
        <v>301</v>
      </c>
      <c r="D63" s="212" t="s">
        <v>302</v>
      </c>
      <c r="E63" s="211"/>
      <c r="F63" s="211"/>
      <c r="G63" s="211"/>
      <c r="H63" s="211"/>
      <c r="I63" s="211"/>
      <c r="J63" s="211"/>
      <c r="K63" s="485">
        <v>596.7426619527223</v>
      </c>
      <c r="L63" s="499"/>
      <c r="M63" s="381"/>
    </row>
    <row r="64" spans="1:13">
      <c r="A64" s="392"/>
      <c r="B64" s="498"/>
      <c r="C64" s="392" t="s">
        <v>303</v>
      </c>
      <c r="D64" s="392" t="s">
        <v>27</v>
      </c>
      <c r="E64" s="211"/>
      <c r="F64" s="211"/>
      <c r="G64" s="211"/>
      <c r="H64" s="494"/>
      <c r="I64" s="500"/>
      <c r="J64" s="227"/>
      <c r="K64" s="451">
        <v>528.53204009638853</v>
      </c>
      <c r="L64" s="499"/>
      <c r="M64" s="381"/>
    </row>
    <row r="65" spans="1:13">
      <c r="A65" s="392"/>
      <c r="B65" s="498"/>
      <c r="C65" s="392" t="s">
        <v>304</v>
      </c>
      <c r="D65" s="392" t="s">
        <v>305</v>
      </c>
      <c r="E65" s="392"/>
      <c r="F65" s="211"/>
      <c r="G65" s="211"/>
      <c r="H65" s="494"/>
      <c r="I65" s="500"/>
      <c r="J65" s="227"/>
      <c r="K65" s="496">
        <v>0.12905673957607977</v>
      </c>
      <c r="L65" s="499"/>
      <c r="M65" s="381"/>
    </row>
    <row r="66" spans="1:13">
      <c r="A66" s="392"/>
      <c r="B66" s="498"/>
      <c r="C66" s="392" t="s">
        <v>306</v>
      </c>
      <c r="D66" s="392" t="s">
        <v>307</v>
      </c>
      <c r="E66" s="392"/>
      <c r="F66" s="211"/>
      <c r="G66" s="211"/>
      <c r="H66" s="494"/>
      <c r="I66" s="500"/>
      <c r="J66" s="227"/>
      <c r="K66" s="496">
        <v>0.1489567395760798</v>
      </c>
      <c r="L66" s="499"/>
      <c r="M66" s="381"/>
    </row>
    <row r="67" spans="1:13">
      <c r="A67" s="392"/>
      <c r="B67" s="498"/>
      <c r="C67" s="392" t="s">
        <v>308</v>
      </c>
      <c r="D67" s="392" t="s">
        <v>309</v>
      </c>
      <c r="E67" s="392"/>
      <c r="F67" s="211"/>
      <c r="G67" s="211"/>
      <c r="H67" s="494"/>
      <c r="I67" s="500"/>
      <c r="J67" s="227"/>
      <c r="K67" s="464">
        <v>0.99721308355594251</v>
      </c>
      <c r="L67" s="499"/>
      <c r="M67" s="381"/>
    </row>
    <row r="68" spans="1:13" ht="12.75" customHeight="1">
      <c r="A68" s="494"/>
      <c r="B68" s="498"/>
      <c r="C68" s="212" t="s">
        <v>310</v>
      </c>
      <c r="D68" s="212" t="s">
        <v>311</v>
      </c>
      <c r="E68" s="392"/>
      <c r="F68" s="211"/>
      <c r="G68" s="211"/>
      <c r="H68" s="494"/>
      <c r="I68" s="500"/>
      <c r="J68" s="227"/>
      <c r="K68" s="493">
        <v>0.14575469314504463</v>
      </c>
      <c r="L68" s="499"/>
      <c r="M68" s="494"/>
    </row>
    <row r="69" spans="1:13" ht="12.75" hidden="1" customHeight="1">
      <c r="A69" s="494"/>
      <c r="B69" s="498"/>
      <c r="C69" s="212" t="s">
        <v>312</v>
      </c>
      <c r="D69" s="212" t="s">
        <v>313</v>
      </c>
      <c r="E69" s="392"/>
      <c r="F69" s="211"/>
      <c r="G69" s="211"/>
      <c r="H69" s="494"/>
      <c r="I69" s="500"/>
      <c r="J69" s="227"/>
      <c r="K69" s="493">
        <v>0</v>
      </c>
      <c r="L69" s="499"/>
      <c r="M69" s="494"/>
    </row>
    <row r="70" spans="1:13" ht="12.75" hidden="1" customHeight="1">
      <c r="A70" s="494"/>
      <c r="B70" s="498"/>
      <c r="C70" s="212" t="s">
        <v>314</v>
      </c>
      <c r="D70" s="212" t="s">
        <v>315</v>
      </c>
      <c r="E70" s="392"/>
      <c r="F70" s="211"/>
      <c r="G70" s="211"/>
      <c r="H70" s="494"/>
      <c r="I70" s="500"/>
      <c r="J70" s="227"/>
      <c r="K70" s="485">
        <v>605.56806541796209</v>
      </c>
      <c r="L70" s="499"/>
      <c r="M70" s="494"/>
    </row>
    <row r="71" spans="1:13" ht="12.75" hidden="1" customHeight="1">
      <c r="A71" s="494"/>
      <c r="B71" s="498"/>
      <c r="C71" s="212" t="s">
        <v>316</v>
      </c>
      <c r="D71" s="212" t="s">
        <v>317</v>
      </c>
      <c r="E71" s="392"/>
      <c r="F71" s="211"/>
      <c r="G71" s="211"/>
      <c r="H71" s="494"/>
      <c r="I71" s="500"/>
      <c r="J71" s="227"/>
      <c r="K71" s="493">
        <v>0.14575469314504463</v>
      </c>
      <c r="L71" s="499"/>
      <c r="M71" s="494"/>
    </row>
    <row r="72" spans="1:13" ht="12.75" customHeight="1">
      <c r="A72" s="494"/>
      <c r="B72" s="498"/>
      <c r="C72" s="212"/>
      <c r="D72" s="212"/>
      <c r="E72" s="392"/>
      <c r="F72" s="211"/>
      <c r="G72" s="211"/>
      <c r="H72" s="494"/>
      <c r="I72" s="500"/>
      <c r="J72" s="227"/>
      <c r="K72" s="493"/>
      <c r="L72" s="499"/>
      <c r="M72" s="494"/>
    </row>
    <row r="73" spans="1:13" ht="6" customHeight="1" thickBot="1">
      <c r="A73" s="494"/>
      <c r="B73" s="501"/>
      <c r="C73" s="392"/>
      <c r="D73" s="392"/>
      <c r="E73" s="470"/>
      <c r="F73" s="423"/>
      <c r="G73" s="423"/>
      <c r="H73" s="502"/>
      <c r="I73" s="503"/>
      <c r="J73" s="504"/>
      <c r="K73" s="505"/>
      <c r="L73" s="506"/>
      <c r="M73" s="494"/>
    </row>
    <row r="74" spans="1:13" ht="6" customHeight="1">
      <c r="A74" s="494"/>
      <c r="B74" s="507"/>
      <c r="C74" s="434"/>
      <c r="D74" s="434"/>
      <c r="E74" s="476"/>
      <c r="F74" s="434"/>
      <c r="G74" s="434"/>
      <c r="H74" s="508"/>
      <c r="I74" s="509"/>
      <c r="J74" s="510"/>
      <c r="K74" s="511"/>
      <c r="L74" s="512"/>
      <c r="M74" s="494"/>
    </row>
    <row r="75" spans="1:13">
      <c r="A75" s="494"/>
      <c r="B75" s="460"/>
      <c r="C75" s="211" t="s">
        <v>226</v>
      </c>
      <c r="D75" s="211"/>
      <c r="E75" s="513">
        <v>120</v>
      </c>
      <c r="F75" s="211"/>
      <c r="G75" s="211"/>
      <c r="H75" s="211"/>
      <c r="I75" s="514" t="s">
        <v>227</v>
      </c>
      <c r="J75" s="211"/>
      <c r="K75" s="485">
        <v>605.56806541796209</v>
      </c>
      <c r="L75" s="499"/>
      <c r="M75" s="494"/>
    </row>
    <row r="76" spans="1:13">
      <c r="A76" s="494"/>
      <c r="B76" s="460"/>
      <c r="C76" s="211" t="s">
        <v>228</v>
      </c>
      <c r="D76" s="211"/>
      <c r="E76" s="513">
        <v>278.00009999999997</v>
      </c>
      <c r="F76" s="211"/>
      <c r="G76" s="211"/>
      <c r="H76" s="211"/>
      <c r="I76" s="500" t="s">
        <v>229</v>
      </c>
      <c r="J76" s="211"/>
      <c r="K76" s="515">
        <v>168347.982743</v>
      </c>
      <c r="L76" s="499"/>
      <c r="M76" s="494"/>
    </row>
    <row r="77" spans="1:13" ht="12.75" customHeight="1">
      <c r="A77" s="211"/>
      <c r="B77" s="460"/>
      <c r="C77" s="211"/>
      <c r="D77" s="211"/>
      <c r="E77" s="392"/>
      <c r="F77" s="211"/>
      <c r="G77" s="211"/>
      <c r="H77" s="211"/>
      <c r="I77" s="500" t="s">
        <v>230</v>
      </c>
      <c r="J77" s="211"/>
      <c r="K77" s="515">
        <v>2020175.7929159999</v>
      </c>
      <c r="L77" s="416"/>
      <c r="M77" s="381"/>
    </row>
    <row r="78" spans="1:13" ht="6" customHeight="1" thickBot="1">
      <c r="A78" s="211"/>
      <c r="B78" s="516"/>
      <c r="C78" s="423"/>
      <c r="D78" s="423"/>
      <c r="E78" s="423"/>
      <c r="F78" s="423"/>
      <c r="G78" s="423"/>
      <c r="H78" s="423"/>
      <c r="I78" s="423"/>
      <c r="J78" s="423"/>
      <c r="K78" s="429"/>
      <c r="L78" s="430"/>
      <c r="M78" s="211"/>
    </row>
    <row r="79" spans="1:13">
      <c r="B79" s="211"/>
      <c r="C79" s="211"/>
      <c r="D79" s="211"/>
      <c r="E79" s="211"/>
      <c r="F79" s="211"/>
      <c r="G79" s="211"/>
      <c r="H79" s="211"/>
      <c r="I79" s="211"/>
      <c r="J79" s="211"/>
      <c r="K79" s="381"/>
      <c r="L79" s="381"/>
    </row>
    <row r="80" spans="1:13">
      <c r="B80" s="517" t="s">
        <v>597</v>
      </c>
      <c r="I80" s="500"/>
      <c r="J80" s="381"/>
      <c r="K80" s="515"/>
    </row>
    <row r="81" spans="2:11">
      <c r="B81" s="517" t="s">
        <v>231</v>
      </c>
      <c r="I81" s="500"/>
      <c r="J81" s="211"/>
      <c r="K81" s="515"/>
    </row>
    <row r="82" spans="2:11">
      <c r="B82" s="518" t="s">
        <v>232</v>
      </c>
    </row>
  </sheetData>
  <sheetProtection password="8AA1" sheet="1" objects="1" scenarios="1"/>
  <printOptions horizontalCentered="1" verticalCentered="1"/>
  <pageMargins left="0.25" right="0.25" top="0.25" bottom="0.25" header="0.5" footer="0"/>
  <pageSetup scale="69" orientation="portrait" horizontalDpi="300" verticalDpi="300" r:id="rId1"/>
  <headerFooter alignWithMargins="0">
    <oddFooter>&amp;R&amp;"Arial,Italic"&amp;8&amp;D &amp;T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 tint="0.59999389629810485"/>
  </sheetPr>
  <dimension ref="A1:AC300"/>
  <sheetViews>
    <sheetView topLeftCell="L148" zoomScale="85" zoomScaleNormal="85" workbookViewId="0"/>
  </sheetViews>
  <sheetFormatPr defaultColWidth="10.33203125" defaultRowHeight="13.2"/>
  <cols>
    <col min="1" max="1" width="1.6640625" style="380" customWidth="1"/>
    <col min="2" max="2" width="6.6640625" style="380" customWidth="1"/>
    <col min="3" max="3" width="15.6640625" style="523" customWidth="1"/>
    <col min="4" max="6" width="9.6640625" style="380" customWidth="1"/>
    <col min="7" max="7" width="14.6640625" style="380" customWidth="1"/>
    <col min="8" max="10" width="9.6640625" style="380" customWidth="1"/>
    <col min="11" max="11" width="20.6640625" style="380" customWidth="1"/>
    <col min="12" max="12" width="12.6640625" style="380" customWidth="1"/>
    <col min="13" max="14" width="13.6640625" style="380" customWidth="1"/>
    <col min="15" max="15" width="5.6640625" style="380" customWidth="1"/>
    <col min="16" max="16" width="13.6640625" style="380" customWidth="1"/>
    <col min="17" max="17" width="0.88671875" style="380" customWidth="1"/>
    <col min="18" max="21" width="10.6640625" style="524" customWidth="1"/>
    <col min="22" max="22" width="0.88671875" style="380" customWidth="1"/>
    <col min="23" max="23" width="8.6640625" style="380" customWidth="1"/>
    <col min="24" max="24" width="21.88671875" style="380" customWidth="1"/>
    <col min="25" max="25" width="3.5546875" style="380" customWidth="1"/>
    <col min="26" max="16384" width="10.33203125" style="380"/>
  </cols>
  <sheetData>
    <row r="1" spans="1:29" ht="26.1" customHeight="1">
      <c r="A1" s="520"/>
      <c r="B1" s="520"/>
      <c r="C1" s="521"/>
      <c r="D1" s="520"/>
      <c r="E1" s="520"/>
      <c r="F1" s="520"/>
      <c r="G1" s="520"/>
      <c r="H1" s="520"/>
      <c r="I1" s="520"/>
      <c r="J1" s="520"/>
      <c r="K1" s="520"/>
      <c r="L1" s="520"/>
      <c r="M1" s="520"/>
      <c r="N1" s="520"/>
      <c r="O1" s="520"/>
      <c r="P1" s="520"/>
      <c r="Q1" s="520"/>
      <c r="R1" s="522"/>
      <c r="S1" s="522"/>
      <c r="T1" s="522"/>
      <c r="U1" s="522"/>
      <c r="V1" s="520"/>
      <c r="W1" s="520"/>
    </row>
    <row r="2" spans="1:29" ht="5.25" customHeight="1"/>
    <row r="3" spans="1:29" ht="24" customHeight="1">
      <c r="P3" s="213" t="s">
        <v>392</v>
      </c>
      <c r="R3" s="372" t="s">
        <v>318</v>
      </c>
      <c r="U3" s="525"/>
      <c r="V3" s="525"/>
      <c r="W3" s="526"/>
    </row>
    <row r="4" spans="1:29" s="374" customFormat="1" ht="24" customHeight="1">
      <c r="B4" s="373" t="s">
        <v>365</v>
      </c>
      <c r="C4" s="527"/>
      <c r="R4" s="382"/>
      <c r="S4" s="382"/>
      <c r="T4" s="382"/>
      <c r="U4" s="528"/>
      <c r="V4" s="529"/>
      <c r="W4" s="526"/>
    </row>
    <row r="5" spans="1:29" ht="18" customHeight="1">
      <c r="B5" s="530" t="s">
        <v>504</v>
      </c>
      <c r="C5" s="531"/>
      <c r="R5" s="380"/>
      <c r="S5" s="380"/>
      <c r="T5" s="380"/>
      <c r="U5" s="380"/>
    </row>
    <row r="6" spans="1:29" ht="15.9" customHeight="1">
      <c r="B6" s="532"/>
      <c r="C6" s="533"/>
      <c r="R6" s="380"/>
      <c r="S6" s="380"/>
      <c r="T6" s="380"/>
      <c r="U6" s="380"/>
    </row>
    <row r="7" spans="1:29" ht="15.75" customHeight="1">
      <c r="B7" s="534"/>
      <c r="C7" s="535" t="s">
        <v>159</v>
      </c>
      <c r="D7" s="536" t="s">
        <v>392</v>
      </c>
      <c r="E7" s="536"/>
      <c r="F7" s="536"/>
      <c r="G7" s="537"/>
      <c r="H7" s="538"/>
      <c r="I7" s="539"/>
      <c r="J7" s="394"/>
      <c r="R7" s="380"/>
      <c r="S7" s="380"/>
      <c r="T7" s="380"/>
      <c r="U7" s="380"/>
    </row>
    <row r="8" spans="1:29" ht="12.75" customHeight="1">
      <c r="B8" s="540"/>
      <c r="C8" s="227" t="s">
        <v>160</v>
      </c>
      <c r="D8" s="392" t="s">
        <v>395</v>
      </c>
      <c r="E8" s="392"/>
      <c r="F8" s="392"/>
      <c r="G8" s="394"/>
      <c r="H8" s="382"/>
      <c r="I8" s="541"/>
      <c r="J8" s="394"/>
      <c r="N8" s="211"/>
      <c r="O8" s="542"/>
      <c r="P8" s="393"/>
      <c r="Q8" s="394"/>
      <c r="R8" s="394"/>
      <c r="S8" s="394"/>
      <c r="T8" s="394"/>
      <c r="U8" s="382"/>
    </row>
    <row r="9" spans="1:29" ht="18" customHeight="1">
      <c r="B9" s="543"/>
      <c r="C9" s="544" t="s">
        <v>161</v>
      </c>
      <c r="D9" s="545" t="s">
        <v>464</v>
      </c>
      <c r="E9" s="545"/>
      <c r="F9" s="545"/>
      <c r="G9" s="546"/>
      <c r="H9" s="547"/>
      <c r="I9" s="548"/>
      <c r="J9" s="394"/>
    </row>
    <row r="10" spans="1:29" ht="12.75" customHeight="1">
      <c r="A10" s="211"/>
      <c r="B10" s="542"/>
      <c r="C10" s="393"/>
      <c r="D10" s="394"/>
      <c r="E10" s="394"/>
      <c r="F10" s="394"/>
      <c r="G10" s="394"/>
      <c r="H10" s="394"/>
      <c r="I10" s="394"/>
      <c r="J10" s="394"/>
      <c r="K10" s="382"/>
    </row>
    <row r="11" spans="1:29">
      <c r="B11" s="549"/>
      <c r="C11" s="550"/>
      <c r="D11" s="551" t="s">
        <v>319</v>
      </c>
      <c r="E11" s="551"/>
      <c r="F11" s="551"/>
      <c r="G11" s="551"/>
      <c r="H11" s="551"/>
      <c r="I11" s="551"/>
      <c r="J11" s="551"/>
      <c r="K11" s="551"/>
      <c r="L11" s="551"/>
      <c r="M11" s="551"/>
      <c r="N11" s="551" t="s">
        <v>320</v>
      </c>
      <c r="O11" s="551"/>
      <c r="P11" s="551"/>
      <c r="Q11" s="551"/>
      <c r="R11" s="552"/>
      <c r="S11" s="553" t="s">
        <v>182</v>
      </c>
      <c r="T11" s="553" t="s">
        <v>182</v>
      </c>
      <c r="U11" s="553" t="s">
        <v>182</v>
      </c>
      <c r="V11" s="554"/>
      <c r="W11" s="555" t="s">
        <v>321</v>
      </c>
      <c r="Z11" s="523"/>
      <c r="AA11" s="523"/>
      <c r="AB11" s="523"/>
      <c r="AC11" s="523"/>
    </row>
    <row r="12" spans="1:29" ht="15" customHeight="1">
      <c r="B12" s="374"/>
      <c r="C12" s="527"/>
      <c r="D12" s="556" t="s">
        <v>322</v>
      </c>
      <c r="E12" s="556" t="s">
        <v>323</v>
      </c>
      <c r="F12" s="556" t="s">
        <v>324</v>
      </c>
      <c r="G12" s="556" t="s">
        <v>325</v>
      </c>
      <c r="H12" s="556" t="s">
        <v>326</v>
      </c>
      <c r="I12" s="556" t="s">
        <v>327</v>
      </c>
      <c r="J12" s="556" t="s">
        <v>328</v>
      </c>
      <c r="K12" s="519" t="s">
        <v>329</v>
      </c>
      <c r="L12" s="557" t="s">
        <v>330</v>
      </c>
      <c r="M12" s="519" t="s">
        <v>331</v>
      </c>
      <c r="N12" s="519" t="s">
        <v>329</v>
      </c>
      <c r="O12" s="557" t="s">
        <v>330</v>
      </c>
      <c r="P12" s="519" t="s">
        <v>331</v>
      </c>
      <c r="Q12" s="558"/>
      <c r="R12" s="553" t="s">
        <v>182</v>
      </c>
      <c r="S12" s="559" t="s">
        <v>466</v>
      </c>
      <c r="T12" s="559" t="s">
        <v>467</v>
      </c>
      <c r="U12" s="560" t="s">
        <v>332</v>
      </c>
      <c r="V12" s="561"/>
      <c r="W12" s="555" t="s">
        <v>333</v>
      </c>
      <c r="Z12" s="562"/>
      <c r="AA12" s="562"/>
      <c r="AB12" s="562"/>
      <c r="AC12" s="562"/>
    </row>
    <row r="13" spans="1:29">
      <c r="B13" s="563" t="s">
        <v>400</v>
      </c>
      <c r="C13" s="564" t="s">
        <v>505</v>
      </c>
      <c r="D13" s="565">
        <v>15</v>
      </c>
      <c r="E13" s="566">
        <v>15</v>
      </c>
      <c r="F13" s="566" t="s">
        <v>80</v>
      </c>
      <c r="G13" s="566" t="s">
        <v>80</v>
      </c>
      <c r="H13" s="566">
        <v>35</v>
      </c>
      <c r="I13" s="566">
        <v>100</v>
      </c>
      <c r="J13" s="566" t="s">
        <v>80</v>
      </c>
      <c r="K13" s="566" t="s">
        <v>453</v>
      </c>
      <c r="L13" s="567">
        <v>1</v>
      </c>
      <c r="M13" s="568" t="s">
        <v>456</v>
      </c>
      <c r="N13" s="565" t="s">
        <v>458</v>
      </c>
      <c r="O13" s="567">
        <v>0.8</v>
      </c>
      <c r="P13" s="566" t="s">
        <v>460</v>
      </c>
      <c r="Q13" s="569"/>
      <c r="R13" s="570">
        <v>837.75</v>
      </c>
      <c r="S13" s="571">
        <v>1759.28</v>
      </c>
      <c r="T13" s="571">
        <v>1591.73</v>
      </c>
      <c r="U13" s="571">
        <v>2513.25</v>
      </c>
      <c r="V13" s="572"/>
      <c r="W13" s="573">
        <v>0</v>
      </c>
      <c r="Z13" s="574"/>
      <c r="AA13" s="575"/>
      <c r="AB13" s="574"/>
      <c r="AC13" s="574"/>
    </row>
    <row r="14" spans="1:29">
      <c r="B14" s="576" t="s">
        <v>506</v>
      </c>
      <c r="C14" s="577" t="s">
        <v>505</v>
      </c>
      <c r="D14" s="578">
        <v>10</v>
      </c>
      <c r="E14" s="579">
        <v>10</v>
      </c>
      <c r="F14" s="579" t="s">
        <v>80</v>
      </c>
      <c r="G14" s="579">
        <v>100</v>
      </c>
      <c r="H14" s="579">
        <v>10</v>
      </c>
      <c r="I14" s="579">
        <v>100</v>
      </c>
      <c r="J14" s="579" t="s">
        <v>80</v>
      </c>
      <c r="K14" s="579" t="s">
        <v>507</v>
      </c>
      <c r="L14" s="580">
        <v>1</v>
      </c>
      <c r="M14" s="581" t="s">
        <v>458</v>
      </c>
      <c r="N14" s="578" t="s">
        <v>458</v>
      </c>
      <c r="O14" s="580">
        <v>0.5</v>
      </c>
      <c r="P14" s="579" t="s">
        <v>508</v>
      </c>
      <c r="Q14" s="582"/>
      <c r="R14" s="583">
        <v>832.94</v>
      </c>
      <c r="S14" s="382">
        <v>1749.18</v>
      </c>
      <c r="T14" s="382">
        <v>1582.59</v>
      </c>
      <c r="U14" s="382">
        <v>2498.8200000000002</v>
      </c>
      <c r="V14" s="584"/>
      <c r="W14" s="585">
        <v>-5.7415696806922822E-3</v>
      </c>
      <c r="Z14" s="574"/>
      <c r="AA14" s="575"/>
      <c r="AB14" s="574"/>
      <c r="AC14" s="574"/>
    </row>
    <row r="15" spans="1:29">
      <c r="B15" s="576" t="s">
        <v>509</v>
      </c>
      <c r="C15" s="577" t="s">
        <v>505</v>
      </c>
      <c r="D15" s="578">
        <v>10</v>
      </c>
      <c r="E15" s="579">
        <v>10</v>
      </c>
      <c r="F15" s="579">
        <v>0</v>
      </c>
      <c r="G15" s="579">
        <v>0</v>
      </c>
      <c r="H15" s="579">
        <v>35</v>
      </c>
      <c r="I15" s="579">
        <v>75</v>
      </c>
      <c r="J15" s="579">
        <v>0</v>
      </c>
      <c r="K15" s="579" t="s">
        <v>510</v>
      </c>
      <c r="L15" s="580">
        <v>1</v>
      </c>
      <c r="M15" s="581" t="s">
        <v>508</v>
      </c>
      <c r="N15" s="578" t="s">
        <v>511</v>
      </c>
      <c r="O15" s="580">
        <v>0.8</v>
      </c>
      <c r="P15" s="579" t="s">
        <v>508</v>
      </c>
      <c r="Q15" s="582"/>
      <c r="R15" s="583">
        <v>805.46</v>
      </c>
      <c r="S15" s="382">
        <v>1691.47</v>
      </c>
      <c r="T15" s="382">
        <v>1530.38</v>
      </c>
      <c r="U15" s="382">
        <v>2416.38</v>
      </c>
      <c r="V15" s="584"/>
      <c r="W15" s="585">
        <v>-3.8543718293046814E-2</v>
      </c>
      <c r="Z15" s="574"/>
      <c r="AA15" s="575"/>
      <c r="AB15" s="574"/>
      <c r="AC15" s="574"/>
    </row>
    <row r="16" spans="1:29">
      <c r="B16" s="576" t="s">
        <v>512</v>
      </c>
      <c r="C16" s="577" t="s">
        <v>505</v>
      </c>
      <c r="D16" s="578">
        <v>15</v>
      </c>
      <c r="E16" s="579">
        <v>15</v>
      </c>
      <c r="F16" s="579">
        <v>0</v>
      </c>
      <c r="G16" s="579">
        <v>250</v>
      </c>
      <c r="H16" s="579">
        <v>35</v>
      </c>
      <c r="I16" s="579">
        <v>75</v>
      </c>
      <c r="J16" s="579">
        <v>0</v>
      </c>
      <c r="K16" s="579" t="s">
        <v>510</v>
      </c>
      <c r="L16" s="580">
        <v>1</v>
      </c>
      <c r="M16" s="581" t="s">
        <v>513</v>
      </c>
      <c r="N16" s="578" t="s">
        <v>508</v>
      </c>
      <c r="O16" s="580">
        <v>0.7</v>
      </c>
      <c r="P16" s="579" t="s">
        <v>476</v>
      </c>
      <c r="Q16" s="582"/>
      <c r="R16" s="583">
        <v>791.03</v>
      </c>
      <c r="S16" s="382">
        <v>1661.17</v>
      </c>
      <c r="T16" s="382">
        <v>1502.96</v>
      </c>
      <c r="U16" s="382">
        <v>2373.09</v>
      </c>
      <c r="V16" s="584"/>
      <c r="W16" s="585">
        <v>-5.5768427335123882E-2</v>
      </c>
      <c r="Z16" s="574"/>
      <c r="AA16" s="575"/>
      <c r="AB16" s="574"/>
      <c r="AC16" s="574"/>
    </row>
    <row r="17" spans="2:29">
      <c r="B17" s="586" t="s">
        <v>514</v>
      </c>
      <c r="C17" s="587" t="s">
        <v>505</v>
      </c>
      <c r="D17" s="588">
        <v>15</v>
      </c>
      <c r="E17" s="589">
        <v>25</v>
      </c>
      <c r="F17" s="589">
        <v>0</v>
      </c>
      <c r="G17" s="589">
        <v>0</v>
      </c>
      <c r="H17" s="589">
        <v>50</v>
      </c>
      <c r="I17" s="589">
        <v>150</v>
      </c>
      <c r="J17" s="589">
        <v>0</v>
      </c>
      <c r="K17" s="589" t="s">
        <v>510</v>
      </c>
      <c r="L17" s="590">
        <v>1</v>
      </c>
      <c r="M17" s="591" t="s">
        <v>513</v>
      </c>
      <c r="N17" s="588" t="s">
        <v>515</v>
      </c>
      <c r="O17" s="590">
        <v>0.8</v>
      </c>
      <c r="P17" s="589" t="s">
        <v>495</v>
      </c>
      <c r="Q17" s="592"/>
      <c r="R17" s="593">
        <v>785.93</v>
      </c>
      <c r="S17" s="594">
        <v>1650.46</v>
      </c>
      <c r="T17" s="594">
        <v>1493.27</v>
      </c>
      <c r="U17" s="594">
        <v>2357.79</v>
      </c>
      <c r="V17" s="595"/>
      <c r="W17" s="596">
        <v>-6.1856162339600229E-2</v>
      </c>
      <c r="Z17" s="574"/>
      <c r="AA17" s="575"/>
      <c r="AB17" s="574"/>
      <c r="AC17" s="574"/>
    </row>
    <row r="18" spans="2:29">
      <c r="B18" s="563" t="s">
        <v>516</v>
      </c>
      <c r="C18" s="564" t="s">
        <v>505</v>
      </c>
      <c r="D18" s="565">
        <v>20</v>
      </c>
      <c r="E18" s="566">
        <v>20</v>
      </c>
      <c r="F18" s="566">
        <v>0</v>
      </c>
      <c r="G18" s="566">
        <v>250</v>
      </c>
      <c r="H18" s="566">
        <v>50</v>
      </c>
      <c r="I18" s="566">
        <v>100</v>
      </c>
      <c r="J18" s="566">
        <v>0</v>
      </c>
      <c r="K18" s="566" t="s">
        <v>510</v>
      </c>
      <c r="L18" s="567">
        <v>1</v>
      </c>
      <c r="M18" s="568" t="s">
        <v>513</v>
      </c>
      <c r="N18" s="565" t="s">
        <v>513</v>
      </c>
      <c r="O18" s="567">
        <v>0.8</v>
      </c>
      <c r="P18" s="566" t="s">
        <v>517</v>
      </c>
      <c r="Q18" s="569"/>
      <c r="R18" s="570">
        <v>782.72</v>
      </c>
      <c r="S18" s="571">
        <v>1643.72</v>
      </c>
      <c r="T18" s="571">
        <v>1487.17</v>
      </c>
      <c r="U18" s="571">
        <v>2348.16</v>
      </c>
      <c r="V18" s="572"/>
      <c r="W18" s="573">
        <v>-6.5687854371829224E-2</v>
      </c>
      <c r="Z18" s="574"/>
      <c r="AA18" s="575"/>
      <c r="AB18" s="574"/>
      <c r="AC18" s="574"/>
    </row>
    <row r="19" spans="2:29">
      <c r="B19" s="576" t="s">
        <v>518</v>
      </c>
      <c r="C19" s="577" t="s">
        <v>505</v>
      </c>
      <c r="D19" s="578">
        <v>20</v>
      </c>
      <c r="E19" s="579">
        <v>30</v>
      </c>
      <c r="F19" s="579">
        <v>0</v>
      </c>
      <c r="G19" s="579">
        <v>0</v>
      </c>
      <c r="H19" s="579">
        <v>50</v>
      </c>
      <c r="I19" s="579">
        <v>150</v>
      </c>
      <c r="J19" s="579">
        <v>0</v>
      </c>
      <c r="K19" s="579" t="s">
        <v>510</v>
      </c>
      <c r="L19" s="580">
        <v>1</v>
      </c>
      <c r="M19" s="581" t="s">
        <v>513</v>
      </c>
      <c r="N19" s="578" t="s">
        <v>519</v>
      </c>
      <c r="O19" s="580">
        <v>0.8</v>
      </c>
      <c r="P19" s="579" t="s">
        <v>495</v>
      </c>
      <c r="Q19" s="582"/>
      <c r="R19" s="583">
        <v>778.93</v>
      </c>
      <c r="S19" s="382">
        <v>1635.76</v>
      </c>
      <c r="T19" s="382">
        <v>1479.97</v>
      </c>
      <c r="U19" s="382">
        <v>2336.79</v>
      </c>
      <c r="V19" s="584"/>
      <c r="W19" s="585">
        <v>-7.0211877051626459E-2</v>
      </c>
      <c r="Z19" s="574"/>
      <c r="AA19" s="575"/>
      <c r="AB19" s="574"/>
      <c r="AC19" s="574"/>
    </row>
    <row r="20" spans="2:29">
      <c r="B20" s="576" t="s">
        <v>520</v>
      </c>
      <c r="C20" s="577" t="s">
        <v>505</v>
      </c>
      <c r="D20" s="578">
        <v>10</v>
      </c>
      <c r="E20" s="579">
        <v>10</v>
      </c>
      <c r="F20" s="579" t="s">
        <v>80</v>
      </c>
      <c r="G20" s="579" t="s">
        <v>80</v>
      </c>
      <c r="H20" s="579">
        <v>50</v>
      </c>
      <c r="I20" s="579">
        <v>100</v>
      </c>
      <c r="J20" s="579" t="s">
        <v>80</v>
      </c>
      <c r="K20" s="579" t="s">
        <v>453</v>
      </c>
      <c r="L20" s="580">
        <v>0.9</v>
      </c>
      <c r="M20" s="581" t="s">
        <v>521</v>
      </c>
      <c r="N20" s="578" t="s">
        <v>458</v>
      </c>
      <c r="O20" s="580">
        <v>0.7</v>
      </c>
      <c r="P20" s="579" t="s">
        <v>513</v>
      </c>
      <c r="Q20" s="582"/>
      <c r="R20" s="583">
        <v>767.05</v>
      </c>
      <c r="S20" s="382">
        <v>1610.81</v>
      </c>
      <c r="T20" s="382">
        <v>1457.4</v>
      </c>
      <c r="U20" s="382">
        <v>2301.15</v>
      </c>
      <c r="V20" s="584"/>
      <c r="W20" s="585">
        <v>-8.4392718591465243E-2</v>
      </c>
      <c r="Z20" s="574"/>
      <c r="AA20" s="575"/>
      <c r="AB20" s="574"/>
      <c r="AC20" s="574"/>
    </row>
    <row r="21" spans="2:29">
      <c r="B21" s="576" t="s">
        <v>522</v>
      </c>
      <c r="C21" s="577" t="s">
        <v>505</v>
      </c>
      <c r="D21" s="578">
        <v>15</v>
      </c>
      <c r="E21" s="579">
        <v>15</v>
      </c>
      <c r="F21" s="579" t="s">
        <v>80</v>
      </c>
      <c r="G21" s="579" t="s">
        <v>80</v>
      </c>
      <c r="H21" s="579">
        <v>15</v>
      </c>
      <c r="I21" s="579" t="s">
        <v>523</v>
      </c>
      <c r="J21" s="579" t="s">
        <v>80</v>
      </c>
      <c r="K21" s="579" t="s">
        <v>524</v>
      </c>
      <c r="L21" s="580">
        <v>0.9</v>
      </c>
      <c r="M21" s="581" t="s">
        <v>525</v>
      </c>
      <c r="N21" s="578" t="s">
        <v>526</v>
      </c>
      <c r="O21" s="580">
        <v>0.7</v>
      </c>
      <c r="P21" s="579" t="s">
        <v>527</v>
      </c>
      <c r="Q21" s="582"/>
      <c r="R21" s="583">
        <v>764.72</v>
      </c>
      <c r="S21" s="382">
        <v>1605.92</v>
      </c>
      <c r="T21" s="382">
        <v>1452.97</v>
      </c>
      <c r="U21" s="382">
        <v>2294.16</v>
      </c>
      <c r="V21" s="584"/>
      <c r="W21" s="585">
        <v>-8.7173977917039625E-2</v>
      </c>
      <c r="Z21" s="574"/>
      <c r="AA21" s="575"/>
      <c r="AB21" s="574"/>
      <c r="AC21" s="574"/>
    </row>
    <row r="22" spans="2:29">
      <c r="B22" s="586" t="s">
        <v>528</v>
      </c>
      <c r="C22" s="587" t="s">
        <v>505</v>
      </c>
      <c r="D22" s="588">
        <v>15</v>
      </c>
      <c r="E22" s="589">
        <v>15</v>
      </c>
      <c r="F22" s="589" t="s">
        <v>80</v>
      </c>
      <c r="G22" s="589" t="s">
        <v>80</v>
      </c>
      <c r="H22" s="589">
        <v>50</v>
      </c>
      <c r="I22" s="589">
        <v>100</v>
      </c>
      <c r="J22" s="589" t="s">
        <v>80</v>
      </c>
      <c r="K22" s="589" t="s">
        <v>453</v>
      </c>
      <c r="L22" s="590">
        <v>0.9</v>
      </c>
      <c r="M22" s="591" t="s">
        <v>521</v>
      </c>
      <c r="N22" s="588" t="s">
        <v>458</v>
      </c>
      <c r="O22" s="590">
        <v>0.7</v>
      </c>
      <c r="P22" s="589" t="s">
        <v>513</v>
      </c>
      <c r="Q22" s="592"/>
      <c r="R22" s="593">
        <v>762.53</v>
      </c>
      <c r="S22" s="594">
        <v>1601.32</v>
      </c>
      <c r="T22" s="594">
        <v>1448.81</v>
      </c>
      <c r="U22" s="594">
        <v>2287.59</v>
      </c>
      <c r="V22" s="595"/>
      <c r="W22" s="596">
        <v>-8.9788122948373683E-2</v>
      </c>
      <c r="Z22" s="574"/>
      <c r="AA22" s="575"/>
      <c r="AB22" s="574"/>
      <c r="AC22" s="574"/>
    </row>
    <row r="23" spans="2:29">
      <c r="B23" s="563" t="s">
        <v>529</v>
      </c>
      <c r="C23" s="564" t="s">
        <v>505</v>
      </c>
      <c r="D23" s="565">
        <v>15</v>
      </c>
      <c r="E23" s="566">
        <v>15</v>
      </c>
      <c r="F23" s="566" t="s">
        <v>80</v>
      </c>
      <c r="G23" s="566" t="s">
        <v>80</v>
      </c>
      <c r="H23" s="566">
        <v>50</v>
      </c>
      <c r="I23" s="566">
        <v>100</v>
      </c>
      <c r="J23" s="566">
        <v>0</v>
      </c>
      <c r="K23" s="566" t="s">
        <v>510</v>
      </c>
      <c r="L23" s="567">
        <v>0.9</v>
      </c>
      <c r="M23" s="568" t="s">
        <v>508</v>
      </c>
      <c r="N23" s="565" t="s">
        <v>519</v>
      </c>
      <c r="O23" s="567">
        <v>0.5</v>
      </c>
      <c r="P23" s="566" t="s">
        <v>530</v>
      </c>
      <c r="Q23" s="569"/>
      <c r="R23" s="570">
        <v>757.28</v>
      </c>
      <c r="S23" s="571">
        <v>1590.29</v>
      </c>
      <c r="T23" s="571">
        <v>1438.84</v>
      </c>
      <c r="U23" s="571">
        <v>2271.84</v>
      </c>
      <c r="V23" s="572"/>
      <c r="W23" s="573">
        <v>-9.6054908982393328E-2</v>
      </c>
      <c r="Z23" s="574"/>
      <c r="AA23" s="575"/>
      <c r="AB23" s="574"/>
      <c r="AC23" s="574"/>
    </row>
    <row r="24" spans="2:29">
      <c r="B24" s="576" t="s">
        <v>531</v>
      </c>
      <c r="C24" s="577" t="s">
        <v>505</v>
      </c>
      <c r="D24" s="578">
        <v>10</v>
      </c>
      <c r="E24" s="579">
        <v>10</v>
      </c>
      <c r="F24" s="579" t="s">
        <v>80</v>
      </c>
      <c r="G24" s="579" t="s">
        <v>80</v>
      </c>
      <c r="H24" s="579">
        <v>50</v>
      </c>
      <c r="I24" s="579">
        <v>100</v>
      </c>
      <c r="J24" s="579" t="s">
        <v>80</v>
      </c>
      <c r="K24" s="579" t="s">
        <v>532</v>
      </c>
      <c r="L24" s="580">
        <v>0.9</v>
      </c>
      <c r="M24" s="581" t="s">
        <v>519</v>
      </c>
      <c r="N24" s="578" t="s">
        <v>515</v>
      </c>
      <c r="O24" s="580">
        <v>0.7</v>
      </c>
      <c r="P24" s="579" t="s">
        <v>482</v>
      </c>
      <c r="Q24" s="582"/>
      <c r="R24" s="583">
        <v>748.97</v>
      </c>
      <c r="S24" s="382">
        <v>1572.84</v>
      </c>
      <c r="T24" s="382">
        <v>1423.05</v>
      </c>
      <c r="U24" s="382">
        <v>2246.91</v>
      </c>
      <c r="V24" s="584"/>
      <c r="W24" s="585">
        <v>-0.10597433601909878</v>
      </c>
      <c r="Z24" s="574"/>
      <c r="AA24" s="575"/>
      <c r="AB24" s="574"/>
      <c r="AC24" s="574"/>
    </row>
    <row r="25" spans="2:29">
      <c r="B25" s="576" t="s">
        <v>533</v>
      </c>
      <c r="C25" s="577" t="s">
        <v>505</v>
      </c>
      <c r="D25" s="578">
        <v>10</v>
      </c>
      <c r="E25" s="579">
        <v>10</v>
      </c>
      <c r="F25" s="579" t="s">
        <v>80</v>
      </c>
      <c r="G25" s="579" t="s">
        <v>80</v>
      </c>
      <c r="H25" s="579">
        <v>10</v>
      </c>
      <c r="I25" s="579" t="s">
        <v>523</v>
      </c>
      <c r="J25" s="579" t="s">
        <v>80</v>
      </c>
      <c r="K25" s="579" t="s">
        <v>453</v>
      </c>
      <c r="L25" s="580">
        <v>0.9</v>
      </c>
      <c r="M25" s="581" t="s">
        <v>534</v>
      </c>
      <c r="N25" s="578" t="s">
        <v>458</v>
      </c>
      <c r="O25" s="580">
        <v>0.7</v>
      </c>
      <c r="P25" s="579" t="s">
        <v>535</v>
      </c>
      <c r="Q25" s="582"/>
      <c r="R25" s="583">
        <v>743.43</v>
      </c>
      <c r="S25" s="382">
        <v>1561.21</v>
      </c>
      <c r="T25" s="382">
        <v>1412.52</v>
      </c>
      <c r="U25" s="382">
        <v>2230.29</v>
      </c>
      <c r="V25" s="584"/>
      <c r="W25" s="585">
        <v>-0.11258728737690249</v>
      </c>
      <c r="Z25" s="574"/>
      <c r="AA25" s="575"/>
      <c r="AB25" s="574"/>
      <c r="AC25" s="574"/>
    </row>
    <row r="26" spans="2:29">
      <c r="B26" s="576" t="s">
        <v>536</v>
      </c>
      <c r="C26" s="577" t="s">
        <v>505</v>
      </c>
      <c r="D26" s="578">
        <v>10</v>
      </c>
      <c r="E26" s="579">
        <v>10</v>
      </c>
      <c r="F26" s="579" t="s">
        <v>80</v>
      </c>
      <c r="G26" s="579" t="s">
        <v>80</v>
      </c>
      <c r="H26" s="579">
        <v>50</v>
      </c>
      <c r="I26" s="579">
        <v>100</v>
      </c>
      <c r="J26" s="579" t="s">
        <v>80</v>
      </c>
      <c r="K26" s="579" t="s">
        <v>453</v>
      </c>
      <c r="L26" s="580">
        <v>0.9</v>
      </c>
      <c r="M26" s="581" t="s">
        <v>537</v>
      </c>
      <c r="N26" s="578" t="s">
        <v>458</v>
      </c>
      <c r="O26" s="580">
        <v>0.7</v>
      </c>
      <c r="P26" s="579" t="s">
        <v>538</v>
      </c>
      <c r="Q26" s="582"/>
      <c r="R26" s="583">
        <v>742.92</v>
      </c>
      <c r="S26" s="382">
        <v>1560.14</v>
      </c>
      <c r="T26" s="382">
        <v>1411.55</v>
      </c>
      <c r="U26" s="382">
        <v>2228.7600000000002</v>
      </c>
      <c r="V26" s="584"/>
      <c r="W26" s="585">
        <v>-0.11319606087735012</v>
      </c>
      <c r="Z26" s="574"/>
      <c r="AA26" s="575"/>
      <c r="AB26" s="574"/>
      <c r="AC26" s="574"/>
    </row>
    <row r="27" spans="2:29">
      <c r="B27" s="586" t="s">
        <v>539</v>
      </c>
      <c r="C27" s="587" t="s">
        <v>505</v>
      </c>
      <c r="D27" s="588">
        <v>15</v>
      </c>
      <c r="E27" s="589">
        <v>15</v>
      </c>
      <c r="F27" s="589" t="s">
        <v>80</v>
      </c>
      <c r="G27" s="589" t="s">
        <v>80</v>
      </c>
      <c r="H27" s="589">
        <v>50</v>
      </c>
      <c r="I27" s="589">
        <v>100</v>
      </c>
      <c r="J27" s="589" t="s">
        <v>80</v>
      </c>
      <c r="K27" s="589" t="s">
        <v>532</v>
      </c>
      <c r="L27" s="590">
        <v>0.8</v>
      </c>
      <c r="M27" s="591" t="s">
        <v>519</v>
      </c>
      <c r="N27" s="588" t="s">
        <v>515</v>
      </c>
      <c r="O27" s="590">
        <v>0.6</v>
      </c>
      <c r="P27" s="589" t="s">
        <v>495</v>
      </c>
      <c r="Q27" s="592"/>
      <c r="R27" s="593">
        <v>740.23</v>
      </c>
      <c r="S27" s="594">
        <v>1554.49</v>
      </c>
      <c r="T27" s="594">
        <v>1406.44</v>
      </c>
      <c r="U27" s="594">
        <v>2220.69</v>
      </c>
      <c r="V27" s="595"/>
      <c r="W27" s="596">
        <v>-0.11640704267382873</v>
      </c>
      <c r="Z27" s="574"/>
      <c r="AA27" s="575"/>
      <c r="AB27" s="574"/>
      <c r="AC27" s="574"/>
    </row>
    <row r="28" spans="2:29">
      <c r="B28" s="563" t="s">
        <v>540</v>
      </c>
      <c r="C28" s="564" t="s">
        <v>505</v>
      </c>
      <c r="D28" s="565">
        <v>15</v>
      </c>
      <c r="E28" s="566">
        <v>15</v>
      </c>
      <c r="F28" s="566" t="s">
        <v>80</v>
      </c>
      <c r="G28" s="566" t="s">
        <v>80</v>
      </c>
      <c r="H28" s="566">
        <v>50</v>
      </c>
      <c r="I28" s="566">
        <v>100</v>
      </c>
      <c r="J28" s="566" t="s">
        <v>80</v>
      </c>
      <c r="K28" s="566" t="s">
        <v>453</v>
      </c>
      <c r="L28" s="567">
        <v>0.9</v>
      </c>
      <c r="M28" s="568" t="s">
        <v>537</v>
      </c>
      <c r="N28" s="565" t="s">
        <v>458</v>
      </c>
      <c r="O28" s="567">
        <v>0.7</v>
      </c>
      <c r="P28" s="566" t="s">
        <v>538</v>
      </c>
      <c r="Q28" s="569"/>
      <c r="R28" s="570">
        <v>737.6</v>
      </c>
      <c r="S28" s="571">
        <v>1548.97</v>
      </c>
      <c r="T28" s="571">
        <v>1401.44</v>
      </c>
      <c r="U28" s="571">
        <v>2212.8000000000002</v>
      </c>
      <c r="V28" s="572"/>
      <c r="W28" s="573">
        <v>-0.11954640405848993</v>
      </c>
      <c r="Z28" s="574"/>
      <c r="AA28" s="575"/>
      <c r="AB28" s="574"/>
      <c r="AC28" s="574"/>
    </row>
    <row r="29" spans="2:29">
      <c r="B29" s="576" t="s">
        <v>541</v>
      </c>
      <c r="C29" s="577" t="s">
        <v>505</v>
      </c>
      <c r="D29" s="578">
        <v>20</v>
      </c>
      <c r="E29" s="579">
        <v>20</v>
      </c>
      <c r="F29" s="579" t="s">
        <v>80</v>
      </c>
      <c r="G29" s="579" t="s">
        <v>80</v>
      </c>
      <c r="H29" s="579">
        <v>50</v>
      </c>
      <c r="I29" s="579">
        <v>75</v>
      </c>
      <c r="J29" s="579" t="s">
        <v>80</v>
      </c>
      <c r="K29" s="579" t="s">
        <v>453</v>
      </c>
      <c r="L29" s="580">
        <v>0.9</v>
      </c>
      <c r="M29" s="581" t="s">
        <v>508</v>
      </c>
      <c r="N29" s="578" t="s">
        <v>515</v>
      </c>
      <c r="O29" s="580">
        <v>0.6</v>
      </c>
      <c r="P29" s="579" t="s">
        <v>482</v>
      </c>
      <c r="Q29" s="582"/>
      <c r="R29" s="583">
        <v>737.02</v>
      </c>
      <c r="S29" s="382">
        <v>1547.75</v>
      </c>
      <c r="T29" s="382">
        <v>1400.34</v>
      </c>
      <c r="U29" s="382">
        <v>2211.06</v>
      </c>
      <c r="V29" s="584"/>
      <c r="W29" s="585">
        <v>-0.12023873470605795</v>
      </c>
      <c r="Z29" s="574"/>
      <c r="AA29" s="575"/>
      <c r="AB29" s="574"/>
      <c r="AC29" s="574"/>
    </row>
    <row r="30" spans="2:29">
      <c r="B30" s="576" t="s">
        <v>542</v>
      </c>
      <c r="C30" s="577" t="s">
        <v>505</v>
      </c>
      <c r="D30" s="578">
        <v>20</v>
      </c>
      <c r="E30" s="579">
        <v>20</v>
      </c>
      <c r="F30" s="579" t="s">
        <v>80</v>
      </c>
      <c r="G30" s="579" t="s">
        <v>80</v>
      </c>
      <c r="H30" s="579">
        <v>20</v>
      </c>
      <c r="I30" s="579" t="s">
        <v>523</v>
      </c>
      <c r="J30" s="579" t="s">
        <v>80</v>
      </c>
      <c r="K30" s="579" t="s">
        <v>543</v>
      </c>
      <c r="L30" s="580">
        <v>0.9</v>
      </c>
      <c r="M30" s="581" t="s">
        <v>544</v>
      </c>
      <c r="N30" s="578" t="s">
        <v>545</v>
      </c>
      <c r="O30" s="580">
        <v>0.7</v>
      </c>
      <c r="P30" s="579" t="s">
        <v>546</v>
      </c>
      <c r="Q30" s="582"/>
      <c r="R30" s="583">
        <v>727.54</v>
      </c>
      <c r="S30" s="382">
        <v>1527.84</v>
      </c>
      <c r="T30" s="382">
        <v>1382.33</v>
      </c>
      <c r="U30" s="382">
        <v>2182.62</v>
      </c>
      <c r="V30" s="584"/>
      <c r="W30" s="585">
        <v>-0.13155475977320208</v>
      </c>
      <c r="Z30" s="574"/>
      <c r="AA30" s="575"/>
      <c r="AB30" s="574"/>
      <c r="AC30" s="574"/>
    </row>
    <row r="31" spans="2:29">
      <c r="B31" s="576" t="s">
        <v>547</v>
      </c>
      <c r="C31" s="577" t="s">
        <v>505</v>
      </c>
      <c r="D31" s="578">
        <v>20</v>
      </c>
      <c r="E31" s="579">
        <v>20</v>
      </c>
      <c r="F31" s="579" t="s">
        <v>80</v>
      </c>
      <c r="G31" s="579" t="s">
        <v>80</v>
      </c>
      <c r="H31" s="579">
        <v>50</v>
      </c>
      <c r="I31" s="579">
        <v>100</v>
      </c>
      <c r="J31" s="579" t="s">
        <v>80</v>
      </c>
      <c r="K31" s="579" t="s">
        <v>532</v>
      </c>
      <c r="L31" s="580">
        <v>0.9</v>
      </c>
      <c r="M31" s="581" t="s">
        <v>508</v>
      </c>
      <c r="N31" s="578" t="s">
        <v>515</v>
      </c>
      <c r="O31" s="580">
        <v>0.6</v>
      </c>
      <c r="P31" s="579" t="s">
        <v>482</v>
      </c>
      <c r="Q31" s="582"/>
      <c r="R31" s="583">
        <v>724.26</v>
      </c>
      <c r="S31" s="382">
        <v>1520.95</v>
      </c>
      <c r="T31" s="382">
        <v>1376.1</v>
      </c>
      <c r="U31" s="382">
        <v>2172.7800000000002</v>
      </c>
      <c r="V31" s="584"/>
      <c r="W31" s="585">
        <v>-0.13547000895255146</v>
      </c>
      <c r="Z31" s="574"/>
      <c r="AA31" s="575"/>
      <c r="AB31" s="574"/>
      <c r="AC31" s="574"/>
    </row>
    <row r="32" spans="2:29">
      <c r="B32" s="586" t="s">
        <v>548</v>
      </c>
      <c r="C32" s="587" t="s">
        <v>505</v>
      </c>
      <c r="D32" s="588">
        <v>15</v>
      </c>
      <c r="E32" s="589">
        <v>15</v>
      </c>
      <c r="F32" s="589" t="s">
        <v>80</v>
      </c>
      <c r="G32" s="589" t="s">
        <v>80</v>
      </c>
      <c r="H32" s="589">
        <v>50</v>
      </c>
      <c r="I32" s="589">
        <v>100</v>
      </c>
      <c r="J32" s="589" t="s">
        <v>80</v>
      </c>
      <c r="K32" s="589" t="s">
        <v>453</v>
      </c>
      <c r="L32" s="590">
        <v>0.8</v>
      </c>
      <c r="M32" s="591" t="s">
        <v>537</v>
      </c>
      <c r="N32" s="588" t="s">
        <v>458</v>
      </c>
      <c r="O32" s="590">
        <v>0.6</v>
      </c>
      <c r="P32" s="589" t="s">
        <v>538</v>
      </c>
      <c r="Q32" s="592"/>
      <c r="R32" s="593">
        <v>720.62</v>
      </c>
      <c r="S32" s="594">
        <v>1513.31</v>
      </c>
      <c r="T32" s="594">
        <v>1369.18</v>
      </c>
      <c r="U32" s="594">
        <v>2161.86</v>
      </c>
      <c r="V32" s="595"/>
      <c r="W32" s="596">
        <v>-0.13981498060280517</v>
      </c>
      <c r="Z32" s="574"/>
      <c r="AA32" s="575"/>
      <c r="AB32" s="574"/>
      <c r="AC32" s="574"/>
    </row>
    <row r="33" spans="1:29">
      <c r="A33" s="374"/>
      <c r="B33" s="563" t="s">
        <v>549</v>
      </c>
      <c r="C33" s="564" t="s">
        <v>505</v>
      </c>
      <c r="D33" s="565">
        <v>15</v>
      </c>
      <c r="E33" s="566">
        <v>15</v>
      </c>
      <c r="F33" s="566" t="s">
        <v>80</v>
      </c>
      <c r="G33" s="566" t="s">
        <v>80</v>
      </c>
      <c r="H33" s="566">
        <v>50</v>
      </c>
      <c r="I33" s="566">
        <v>100</v>
      </c>
      <c r="J33" s="566" t="s">
        <v>80</v>
      </c>
      <c r="K33" s="566" t="s">
        <v>532</v>
      </c>
      <c r="L33" s="567">
        <v>0.9</v>
      </c>
      <c r="M33" s="568" t="s">
        <v>513</v>
      </c>
      <c r="N33" s="565" t="s">
        <v>515</v>
      </c>
      <c r="O33" s="567">
        <v>0.7</v>
      </c>
      <c r="P33" s="566" t="s">
        <v>495</v>
      </c>
      <c r="Q33" s="569"/>
      <c r="R33" s="570">
        <v>720.26</v>
      </c>
      <c r="S33" s="571">
        <v>1512.55</v>
      </c>
      <c r="T33" s="571">
        <v>1368.5</v>
      </c>
      <c r="U33" s="571">
        <v>2160.7800000000002</v>
      </c>
      <c r="V33" s="572"/>
      <c r="W33" s="573">
        <v>-0.1402447030737094</v>
      </c>
      <c r="X33" s="374"/>
      <c r="Z33" s="574"/>
      <c r="AA33" s="575"/>
      <c r="AB33" s="574"/>
      <c r="AC33" s="574"/>
    </row>
    <row r="34" spans="1:29">
      <c r="A34" s="374"/>
      <c r="B34" s="576" t="s">
        <v>550</v>
      </c>
      <c r="C34" s="577" t="s">
        <v>505</v>
      </c>
      <c r="D34" s="578">
        <v>20</v>
      </c>
      <c r="E34" s="579">
        <v>20</v>
      </c>
      <c r="F34" s="579" t="s">
        <v>80</v>
      </c>
      <c r="G34" s="579" t="s">
        <v>551</v>
      </c>
      <c r="H34" s="579">
        <v>125</v>
      </c>
      <c r="I34" s="579">
        <v>250</v>
      </c>
      <c r="J34" s="579" t="s">
        <v>80</v>
      </c>
      <c r="K34" s="579" t="s">
        <v>453</v>
      </c>
      <c r="L34" s="580">
        <v>0.9</v>
      </c>
      <c r="M34" s="581" t="s">
        <v>513</v>
      </c>
      <c r="N34" s="578" t="s">
        <v>456</v>
      </c>
      <c r="O34" s="580">
        <v>0.7</v>
      </c>
      <c r="P34" s="579" t="s">
        <v>496</v>
      </c>
      <c r="Q34" s="582"/>
      <c r="R34" s="583">
        <v>719.53</v>
      </c>
      <c r="S34" s="382">
        <v>1511.02</v>
      </c>
      <c r="T34" s="382">
        <v>1367.11</v>
      </c>
      <c r="U34" s="382">
        <v>2158.59</v>
      </c>
      <c r="V34" s="584"/>
      <c r="W34" s="585">
        <v>-0.14111608475082071</v>
      </c>
      <c r="X34" s="374"/>
      <c r="Z34" s="574"/>
      <c r="AA34" s="575"/>
      <c r="AB34" s="574"/>
      <c r="AC34" s="574"/>
    </row>
    <row r="35" spans="1:29">
      <c r="A35" s="374"/>
      <c r="B35" s="576" t="s">
        <v>552</v>
      </c>
      <c r="C35" s="577" t="s">
        <v>505</v>
      </c>
      <c r="D35" s="578">
        <v>15</v>
      </c>
      <c r="E35" s="579">
        <v>30</v>
      </c>
      <c r="F35" s="579" t="s">
        <v>80</v>
      </c>
      <c r="G35" s="579" t="s">
        <v>80</v>
      </c>
      <c r="H35" s="579">
        <v>30</v>
      </c>
      <c r="I35" s="579" t="s">
        <v>523</v>
      </c>
      <c r="J35" s="579" t="s">
        <v>80</v>
      </c>
      <c r="K35" s="579" t="s">
        <v>524</v>
      </c>
      <c r="L35" s="580">
        <v>0.9</v>
      </c>
      <c r="M35" s="581" t="s">
        <v>460</v>
      </c>
      <c r="N35" s="578" t="s">
        <v>511</v>
      </c>
      <c r="O35" s="580">
        <v>0.6</v>
      </c>
      <c r="P35" s="579" t="s">
        <v>484</v>
      </c>
      <c r="Q35" s="582"/>
      <c r="R35" s="583">
        <v>718.72</v>
      </c>
      <c r="S35" s="382">
        <v>1509.32</v>
      </c>
      <c r="T35" s="382">
        <v>1365.57</v>
      </c>
      <c r="U35" s="382">
        <v>2156.16</v>
      </c>
      <c r="V35" s="584"/>
      <c r="W35" s="585">
        <v>-0.14208296031035506</v>
      </c>
      <c r="X35" s="374"/>
      <c r="Z35" s="574"/>
      <c r="AA35" s="575"/>
      <c r="AB35" s="574"/>
      <c r="AC35" s="574"/>
    </row>
    <row r="36" spans="1:29">
      <c r="A36" s="374"/>
      <c r="B36" s="576" t="s">
        <v>553</v>
      </c>
      <c r="C36" s="577" t="s">
        <v>505</v>
      </c>
      <c r="D36" s="578">
        <v>20</v>
      </c>
      <c r="E36" s="579">
        <v>20</v>
      </c>
      <c r="F36" s="579" t="s">
        <v>80</v>
      </c>
      <c r="G36" s="579" t="s">
        <v>80</v>
      </c>
      <c r="H36" s="579">
        <v>50</v>
      </c>
      <c r="I36" s="579">
        <v>100</v>
      </c>
      <c r="J36" s="579" t="s">
        <v>80</v>
      </c>
      <c r="K36" s="579" t="s">
        <v>453</v>
      </c>
      <c r="L36" s="580">
        <v>0.8</v>
      </c>
      <c r="M36" s="581" t="s">
        <v>537</v>
      </c>
      <c r="N36" s="578" t="s">
        <v>458</v>
      </c>
      <c r="O36" s="580">
        <v>0.6</v>
      </c>
      <c r="P36" s="579" t="s">
        <v>538</v>
      </c>
      <c r="Q36" s="582"/>
      <c r="R36" s="583">
        <v>715.59</v>
      </c>
      <c r="S36" s="382">
        <v>1502.74</v>
      </c>
      <c r="T36" s="382">
        <v>1359.62</v>
      </c>
      <c r="U36" s="382">
        <v>2146.77</v>
      </c>
      <c r="V36" s="584"/>
      <c r="W36" s="585">
        <v>-0.14581915846016114</v>
      </c>
      <c r="X36" s="374"/>
      <c r="Z36" s="597"/>
      <c r="AA36" s="575"/>
      <c r="AB36" s="574"/>
      <c r="AC36" s="574"/>
    </row>
    <row r="37" spans="1:29">
      <c r="A37" s="374"/>
      <c r="B37" s="586" t="s">
        <v>554</v>
      </c>
      <c r="C37" s="587" t="s">
        <v>505</v>
      </c>
      <c r="D37" s="588">
        <v>25</v>
      </c>
      <c r="E37" s="589">
        <v>25</v>
      </c>
      <c r="F37" s="589" t="s">
        <v>80</v>
      </c>
      <c r="G37" s="589" t="s">
        <v>80</v>
      </c>
      <c r="H37" s="589">
        <v>50</v>
      </c>
      <c r="I37" s="589">
        <v>100</v>
      </c>
      <c r="J37" s="589" t="s">
        <v>80</v>
      </c>
      <c r="K37" s="589" t="s">
        <v>453</v>
      </c>
      <c r="L37" s="590">
        <v>0.8</v>
      </c>
      <c r="M37" s="591" t="s">
        <v>537</v>
      </c>
      <c r="N37" s="588" t="s">
        <v>458</v>
      </c>
      <c r="O37" s="590">
        <v>0.6</v>
      </c>
      <c r="P37" s="589" t="s">
        <v>538</v>
      </c>
      <c r="Q37" s="592"/>
      <c r="R37" s="593">
        <v>711</v>
      </c>
      <c r="S37" s="594">
        <v>1493.11</v>
      </c>
      <c r="T37" s="594">
        <v>1350.9</v>
      </c>
      <c r="U37" s="594">
        <v>2133</v>
      </c>
      <c r="V37" s="595"/>
      <c r="W37" s="596">
        <v>-0.15129811996418985</v>
      </c>
      <c r="X37" s="374"/>
      <c r="Z37" s="597"/>
      <c r="AA37" s="575"/>
      <c r="AB37" s="574"/>
      <c r="AC37" s="574"/>
    </row>
    <row r="38" spans="1:29">
      <c r="B38" s="563" t="s">
        <v>555</v>
      </c>
      <c r="C38" s="564" t="s">
        <v>505</v>
      </c>
      <c r="D38" s="565">
        <v>20</v>
      </c>
      <c r="E38" s="566">
        <v>20</v>
      </c>
      <c r="F38" s="566" t="s">
        <v>80</v>
      </c>
      <c r="G38" s="566" t="s">
        <v>80</v>
      </c>
      <c r="H38" s="566">
        <v>50</v>
      </c>
      <c r="I38" s="566">
        <v>100</v>
      </c>
      <c r="J38" s="566" t="s">
        <v>80</v>
      </c>
      <c r="K38" s="566" t="s">
        <v>532</v>
      </c>
      <c r="L38" s="567">
        <v>0.9</v>
      </c>
      <c r="M38" s="568" t="s">
        <v>460</v>
      </c>
      <c r="N38" s="565" t="s">
        <v>515</v>
      </c>
      <c r="O38" s="567">
        <v>0.7</v>
      </c>
      <c r="P38" s="566" t="s">
        <v>476</v>
      </c>
      <c r="Q38" s="569"/>
      <c r="R38" s="570">
        <v>708.08</v>
      </c>
      <c r="S38" s="571">
        <v>1486.97</v>
      </c>
      <c r="T38" s="571">
        <v>1345.36</v>
      </c>
      <c r="U38" s="571">
        <v>2124.2399999999998</v>
      </c>
      <c r="V38" s="572"/>
      <c r="W38" s="573">
        <v>-0.154783646672635</v>
      </c>
      <c r="Z38" s="579"/>
      <c r="AA38" s="575"/>
      <c r="AB38" s="574"/>
      <c r="AC38" s="574"/>
    </row>
    <row r="39" spans="1:29">
      <c r="B39" s="576" t="s">
        <v>556</v>
      </c>
      <c r="C39" s="577" t="s">
        <v>505</v>
      </c>
      <c r="D39" s="578">
        <v>15</v>
      </c>
      <c r="E39" s="579">
        <v>15</v>
      </c>
      <c r="F39" s="579" t="s">
        <v>80</v>
      </c>
      <c r="G39" s="579" t="s">
        <v>523</v>
      </c>
      <c r="H39" s="579">
        <v>15</v>
      </c>
      <c r="I39" s="579" t="s">
        <v>523</v>
      </c>
      <c r="J39" s="579" t="s">
        <v>80</v>
      </c>
      <c r="K39" s="579" t="s">
        <v>532</v>
      </c>
      <c r="L39" s="580">
        <v>0.9</v>
      </c>
      <c r="M39" s="581" t="s">
        <v>513</v>
      </c>
      <c r="N39" s="578" t="s">
        <v>515</v>
      </c>
      <c r="O39" s="580">
        <v>0.6</v>
      </c>
      <c r="P39" s="579" t="s">
        <v>495</v>
      </c>
      <c r="Q39" s="582"/>
      <c r="R39" s="583">
        <v>706.41</v>
      </c>
      <c r="S39" s="382">
        <v>1483.47</v>
      </c>
      <c r="T39" s="382">
        <v>1342.18</v>
      </c>
      <c r="U39" s="382">
        <v>2119.23</v>
      </c>
      <c r="V39" s="584"/>
      <c r="W39" s="585">
        <v>-0.15677708146821845</v>
      </c>
      <c r="Z39" s="579"/>
      <c r="AA39" s="575"/>
      <c r="AB39" s="574"/>
      <c r="AC39" s="574"/>
    </row>
    <row r="40" spans="1:29">
      <c r="B40" s="576" t="s">
        <v>557</v>
      </c>
      <c r="C40" s="577" t="s">
        <v>505</v>
      </c>
      <c r="D40" s="578">
        <v>25</v>
      </c>
      <c r="E40" s="579">
        <v>25</v>
      </c>
      <c r="F40" s="579" t="s">
        <v>80</v>
      </c>
      <c r="G40" s="579" t="s">
        <v>80</v>
      </c>
      <c r="H40" s="579">
        <v>25</v>
      </c>
      <c r="I40" s="579" t="s">
        <v>523</v>
      </c>
      <c r="J40" s="579" t="s">
        <v>80</v>
      </c>
      <c r="K40" s="579" t="s">
        <v>453</v>
      </c>
      <c r="L40" s="580">
        <v>0.9</v>
      </c>
      <c r="M40" s="581" t="s">
        <v>558</v>
      </c>
      <c r="N40" s="578" t="s">
        <v>456</v>
      </c>
      <c r="O40" s="580">
        <v>0.6</v>
      </c>
      <c r="P40" s="579" t="s">
        <v>559</v>
      </c>
      <c r="Q40" s="582"/>
      <c r="R40" s="583">
        <v>703.71</v>
      </c>
      <c r="S40" s="382">
        <v>1477.8</v>
      </c>
      <c r="T40" s="382">
        <v>1337.05</v>
      </c>
      <c r="U40" s="382">
        <v>2111.13</v>
      </c>
      <c r="V40" s="584"/>
      <c r="W40" s="585">
        <v>-0.15999999999999992</v>
      </c>
      <c r="Z40" s="574"/>
      <c r="AA40" s="575"/>
      <c r="AB40" s="574"/>
      <c r="AC40" s="574"/>
    </row>
    <row r="41" spans="1:29">
      <c r="B41" s="576" t="s">
        <v>560</v>
      </c>
      <c r="C41" s="577" t="s">
        <v>505</v>
      </c>
      <c r="D41" s="578">
        <v>20</v>
      </c>
      <c r="E41" s="579">
        <v>20</v>
      </c>
      <c r="F41" s="579" t="s">
        <v>80</v>
      </c>
      <c r="G41" s="579" t="s">
        <v>80</v>
      </c>
      <c r="H41" s="579">
        <v>50</v>
      </c>
      <c r="I41" s="579">
        <v>100</v>
      </c>
      <c r="J41" s="579" t="s">
        <v>80</v>
      </c>
      <c r="K41" s="579" t="s">
        <v>532</v>
      </c>
      <c r="L41" s="580">
        <v>0.8</v>
      </c>
      <c r="M41" s="581" t="s">
        <v>513</v>
      </c>
      <c r="N41" s="578" t="s">
        <v>515</v>
      </c>
      <c r="O41" s="580">
        <v>0.6</v>
      </c>
      <c r="P41" s="579" t="s">
        <v>495</v>
      </c>
      <c r="Q41" s="582"/>
      <c r="R41" s="583">
        <v>699.85</v>
      </c>
      <c r="S41" s="382">
        <v>1469.69</v>
      </c>
      <c r="T41" s="382">
        <v>1329.72</v>
      </c>
      <c r="U41" s="382">
        <v>2099.5500000000002</v>
      </c>
      <c r="V41" s="584"/>
      <c r="W41" s="585">
        <v>-0.16460757982691732</v>
      </c>
      <c r="Z41" s="574"/>
      <c r="AA41" s="575"/>
      <c r="AB41" s="574"/>
      <c r="AC41" s="574"/>
    </row>
    <row r="42" spans="1:29">
      <c r="B42" s="586" t="s">
        <v>561</v>
      </c>
      <c r="C42" s="587" t="s">
        <v>505</v>
      </c>
      <c r="D42" s="588">
        <v>25</v>
      </c>
      <c r="E42" s="589">
        <v>25</v>
      </c>
      <c r="F42" s="589" t="s">
        <v>80</v>
      </c>
      <c r="G42" s="589" t="s">
        <v>80</v>
      </c>
      <c r="H42" s="589">
        <v>125</v>
      </c>
      <c r="I42" s="589">
        <v>250</v>
      </c>
      <c r="J42" s="589" t="s">
        <v>80</v>
      </c>
      <c r="K42" s="589" t="s">
        <v>562</v>
      </c>
      <c r="L42" s="590">
        <v>0.9</v>
      </c>
      <c r="M42" s="591" t="s">
        <v>508</v>
      </c>
      <c r="N42" s="588" t="s">
        <v>508</v>
      </c>
      <c r="O42" s="590">
        <v>0.6</v>
      </c>
      <c r="P42" s="589" t="s">
        <v>482</v>
      </c>
      <c r="Q42" s="592"/>
      <c r="R42" s="593">
        <v>698.83</v>
      </c>
      <c r="S42" s="594">
        <v>1467.55</v>
      </c>
      <c r="T42" s="594">
        <v>1327.78</v>
      </c>
      <c r="U42" s="594">
        <v>2096.4899999999998</v>
      </c>
      <c r="V42" s="595"/>
      <c r="W42" s="596">
        <v>-0.16582512682781259</v>
      </c>
      <c r="Z42" s="574"/>
      <c r="AA42" s="575"/>
      <c r="AB42" s="574"/>
      <c r="AC42" s="574"/>
    </row>
    <row r="43" spans="1:29">
      <c r="B43" s="563" t="s">
        <v>563</v>
      </c>
      <c r="C43" s="564" t="s">
        <v>505</v>
      </c>
      <c r="D43" s="565">
        <v>30</v>
      </c>
      <c r="E43" s="566">
        <v>30</v>
      </c>
      <c r="F43" s="566" t="s">
        <v>80</v>
      </c>
      <c r="G43" s="566" t="s">
        <v>564</v>
      </c>
      <c r="H43" s="566">
        <v>125</v>
      </c>
      <c r="I43" s="566">
        <v>250</v>
      </c>
      <c r="J43" s="566" t="s">
        <v>80</v>
      </c>
      <c r="K43" s="566" t="s">
        <v>453</v>
      </c>
      <c r="L43" s="567">
        <v>0.9</v>
      </c>
      <c r="M43" s="568" t="s">
        <v>535</v>
      </c>
      <c r="N43" s="565" t="s">
        <v>458</v>
      </c>
      <c r="O43" s="567">
        <v>0.7</v>
      </c>
      <c r="P43" s="566" t="s">
        <v>565</v>
      </c>
      <c r="Q43" s="569"/>
      <c r="R43" s="570">
        <v>696.86</v>
      </c>
      <c r="S43" s="571">
        <v>1463.41</v>
      </c>
      <c r="T43" s="571">
        <v>1324.04</v>
      </c>
      <c r="U43" s="571">
        <v>2090.58</v>
      </c>
      <c r="V43" s="572"/>
      <c r="W43" s="573">
        <v>-0.16817666368248285</v>
      </c>
      <c r="Z43" s="574"/>
      <c r="AA43" s="575"/>
      <c r="AB43" s="574"/>
      <c r="AC43" s="574"/>
    </row>
    <row r="44" spans="1:29">
      <c r="B44" s="576" t="s">
        <v>566</v>
      </c>
      <c r="C44" s="577" t="s">
        <v>505</v>
      </c>
      <c r="D44" s="578">
        <v>15</v>
      </c>
      <c r="E44" s="579">
        <v>15</v>
      </c>
      <c r="F44" s="579" t="s">
        <v>80</v>
      </c>
      <c r="G44" s="579" t="s">
        <v>80</v>
      </c>
      <c r="H44" s="579">
        <v>50</v>
      </c>
      <c r="I44" s="579">
        <v>100</v>
      </c>
      <c r="J44" s="579" t="s">
        <v>80</v>
      </c>
      <c r="K44" s="579" t="s">
        <v>562</v>
      </c>
      <c r="L44" s="580">
        <v>0.9</v>
      </c>
      <c r="M44" s="581" t="s">
        <v>460</v>
      </c>
      <c r="N44" s="578" t="s">
        <v>508</v>
      </c>
      <c r="O44" s="580">
        <v>0.7</v>
      </c>
      <c r="P44" s="579" t="s">
        <v>476</v>
      </c>
      <c r="Q44" s="582"/>
      <c r="R44" s="583">
        <v>691.17</v>
      </c>
      <c r="S44" s="382">
        <v>1451.46</v>
      </c>
      <c r="T44" s="382">
        <v>1313.23</v>
      </c>
      <c r="U44" s="382">
        <v>2073.5100000000002</v>
      </c>
      <c r="V44" s="584"/>
      <c r="W44" s="585">
        <v>-0.17496866606982997</v>
      </c>
      <c r="Z44" s="574"/>
      <c r="AA44" s="575"/>
      <c r="AB44" s="574"/>
      <c r="AC44" s="574"/>
    </row>
    <row r="45" spans="1:29">
      <c r="B45" s="576" t="s">
        <v>567</v>
      </c>
      <c r="C45" s="577" t="s">
        <v>505</v>
      </c>
      <c r="D45" s="578">
        <v>20</v>
      </c>
      <c r="E45" s="579">
        <v>20</v>
      </c>
      <c r="F45" s="579" t="s">
        <v>80</v>
      </c>
      <c r="G45" s="579" t="s">
        <v>523</v>
      </c>
      <c r="H45" s="579">
        <v>20</v>
      </c>
      <c r="I45" s="579" t="s">
        <v>523</v>
      </c>
      <c r="J45" s="579" t="s">
        <v>80</v>
      </c>
      <c r="K45" s="579" t="s">
        <v>532</v>
      </c>
      <c r="L45" s="580">
        <v>0.8</v>
      </c>
      <c r="M45" s="581" t="s">
        <v>513</v>
      </c>
      <c r="N45" s="578" t="s">
        <v>515</v>
      </c>
      <c r="O45" s="580">
        <v>0.6</v>
      </c>
      <c r="P45" s="579" t="s">
        <v>495</v>
      </c>
      <c r="Q45" s="582"/>
      <c r="R45" s="583">
        <v>682.86</v>
      </c>
      <c r="S45" s="382">
        <v>1434.01</v>
      </c>
      <c r="T45" s="382">
        <v>1297.44</v>
      </c>
      <c r="U45" s="382">
        <v>2048.58</v>
      </c>
      <c r="V45" s="584"/>
      <c r="W45" s="585">
        <v>-0.18488809310653531</v>
      </c>
      <c r="Z45" s="574"/>
      <c r="AA45" s="575"/>
      <c r="AB45" s="574"/>
      <c r="AC45" s="574"/>
    </row>
    <row r="46" spans="1:29">
      <c r="B46" s="576" t="s">
        <v>568</v>
      </c>
      <c r="C46" s="577" t="s">
        <v>505</v>
      </c>
      <c r="D46" s="578">
        <v>20</v>
      </c>
      <c r="E46" s="579">
        <v>20</v>
      </c>
      <c r="F46" s="579" t="s">
        <v>80</v>
      </c>
      <c r="G46" s="579" t="s">
        <v>80</v>
      </c>
      <c r="H46" s="579">
        <v>50</v>
      </c>
      <c r="I46" s="579">
        <v>100</v>
      </c>
      <c r="J46" s="579" t="s">
        <v>80</v>
      </c>
      <c r="K46" s="579" t="s">
        <v>532</v>
      </c>
      <c r="L46" s="580">
        <v>0.8</v>
      </c>
      <c r="M46" s="581" t="s">
        <v>535</v>
      </c>
      <c r="N46" s="578" t="s">
        <v>515</v>
      </c>
      <c r="O46" s="580">
        <v>0.6</v>
      </c>
      <c r="P46" s="579" t="s">
        <v>565</v>
      </c>
      <c r="Q46" s="582"/>
      <c r="R46" s="583">
        <v>679.95</v>
      </c>
      <c r="S46" s="382">
        <v>1427.9</v>
      </c>
      <c r="T46" s="382">
        <v>1291.9100000000001</v>
      </c>
      <c r="U46" s="382">
        <v>2039.85</v>
      </c>
      <c r="V46" s="584"/>
      <c r="W46" s="585">
        <v>-0.1883616830796776</v>
      </c>
      <c r="Z46" s="574"/>
      <c r="AA46" s="575"/>
      <c r="AB46" s="574"/>
      <c r="AC46" s="574"/>
    </row>
    <row r="47" spans="1:29">
      <c r="B47" s="586" t="s">
        <v>569</v>
      </c>
      <c r="C47" s="587" t="s">
        <v>505</v>
      </c>
      <c r="D47" s="588">
        <v>30</v>
      </c>
      <c r="E47" s="589">
        <v>30</v>
      </c>
      <c r="F47" s="589" t="s">
        <v>80</v>
      </c>
      <c r="G47" s="589" t="s">
        <v>80</v>
      </c>
      <c r="H47" s="589">
        <v>30</v>
      </c>
      <c r="I47" s="589" t="s">
        <v>523</v>
      </c>
      <c r="J47" s="589" t="s">
        <v>80</v>
      </c>
      <c r="K47" s="589" t="s">
        <v>532</v>
      </c>
      <c r="L47" s="590">
        <v>0.9</v>
      </c>
      <c r="M47" s="591" t="s">
        <v>535</v>
      </c>
      <c r="N47" s="588" t="s">
        <v>458</v>
      </c>
      <c r="O47" s="590">
        <v>0.6</v>
      </c>
      <c r="P47" s="589" t="s">
        <v>484</v>
      </c>
      <c r="Q47" s="592"/>
      <c r="R47" s="593">
        <v>676.96</v>
      </c>
      <c r="S47" s="594">
        <v>1421.62</v>
      </c>
      <c r="T47" s="594">
        <v>1286.23</v>
      </c>
      <c r="U47" s="594">
        <v>2030.88</v>
      </c>
      <c r="V47" s="595"/>
      <c r="W47" s="596">
        <v>-0.19193076693524314</v>
      </c>
      <c r="Z47" s="574"/>
      <c r="AA47" s="575"/>
      <c r="AB47" s="574"/>
      <c r="AC47" s="574"/>
    </row>
    <row r="48" spans="1:29">
      <c r="B48" s="598"/>
      <c r="C48" s="599"/>
      <c r="D48" s="566"/>
      <c r="E48" s="566"/>
      <c r="F48" s="566"/>
      <c r="G48" s="566"/>
      <c r="H48" s="566"/>
      <c r="I48" s="566"/>
      <c r="J48" s="566"/>
      <c r="K48" s="566"/>
      <c r="L48" s="567"/>
      <c r="M48" s="566"/>
      <c r="N48" s="566"/>
      <c r="O48" s="567"/>
      <c r="P48" s="566"/>
      <c r="Q48" s="598"/>
      <c r="R48" s="571"/>
      <c r="S48" s="571"/>
      <c r="T48" s="571"/>
      <c r="U48" s="571"/>
      <c r="V48" s="600"/>
      <c r="W48" s="601"/>
    </row>
    <row r="49" spans="2:24">
      <c r="B49" s="602" t="s">
        <v>334</v>
      </c>
      <c r="C49" s="603"/>
      <c r="D49" s="579"/>
      <c r="E49" s="579"/>
      <c r="F49" s="579"/>
      <c r="G49" s="579"/>
      <c r="H49" s="579"/>
      <c r="I49" s="579"/>
      <c r="J49" s="579"/>
      <c r="K49" s="579"/>
      <c r="L49" s="580"/>
      <c r="M49" s="579"/>
      <c r="N49" s="579"/>
      <c r="O49" s="580"/>
      <c r="P49" s="579"/>
      <c r="Q49" s="374"/>
      <c r="R49" s="382"/>
      <c r="S49" s="382"/>
      <c r="T49" s="382"/>
      <c r="U49" s="382"/>
      <c r="V49" s="604"/>
      <c r="W49" s="605"/>
    </row>
    <row r="50" spans="2:24">
      <c r="B50" s="606" t="s">
        <v>570</v>
      </c>
      <c r="G50" s="579"/>
      <c r="H50" s="579"/>
      <c r="I50" s="579"/>
      <c r="J50" s="579"/>
      <c r="K50" s="579"/>
      <c r="M50" s="607"/>
      <c r="N50" s="579"/>
      <c r="O50" s="580"/>
      <c r="P50" s="579"/>
      <c r="Q50" s="374"/>
      <c r="R50" s="382"/>
      <c r="S50" s="382"/>
      <c r="T50" s="382"/>
      <c r="U50" s="382"/>
      <c r="V50" s="604"/>
      <c r="W50" s="605"/>
    </row>
    <row r="51" spans="2:24">
      <c r="B51" s="608" t="s">
        <v>335</v>
      </c>
      <c r="G51" s="579"/>
      <c r="H51" s="579"/>
      <c r="I51" s="579"/>
      <c r="J51" s="579"/>
      <c r="K51" s="579"/>
      <c r="L51" s="580"/>
      <c r="M51" s="579"/>
      <c r="N51" s="579"/>
      <c r="O51" s="580"/>
      <c r="P51" s="579"/>
      <c r="Q51" s="374"/>
      <c r="R51" s="382"/>
      <c r="S51" s="382"/>
      <c r="T51" s="382"/>
      <c r="U51" s="382"/>
      <c r="V51" s="604"/>
      <c r="W51" s="605"/>
    </row>
    <row r="52" spans="2:24">
      <c r="B52" s="608" t="s">
        <v>571</v>
      </c>
      <c r="G52" s="579"/>
      <c r="H52" s="579"/>
      <c r="I52" s="579"/>
      <c r="J52" s="579"/>
      <c r="K52" s="579"/>
      <c r="L52" s="580"/>
      <c r="M52" s="579"/>
      <c r="N52" s="579"/>
      <c r="O52" s="580"/>
      <c r="P52" s="579"/>
      <c r="Q52" s="374"/>
      <c r="R52" s="382"/>
      <c r="S52" s="382"/>
      <c r="T52" s="382"/>
      <c r="U52" s="382"/>
      <c r="V52" s="604"/>
      <c r="W52" s="605"/>
    </row>
    <row r="53" spans="2:24" ht="12.75" customHeight="1"/>
    <row r="54" spans="2:24">
      <c r="B54" s="606" t="s">
        <v>336</v>
      </c>
      <c r="C54" s="609"/>
      <c r="G54" s="371" t="s">
        <v>572</v>
      </c>
    </row>
    <row r="55" spans="2:24">
      <c r="B55" s="610" t="s">
        <v>432</v>
      </c>
      <c r="C55" s="611"/>
    </row>
    <row r="56" spans="2:24">
      <c r="B56" s="610" t="s">
        <v>125</v>
      </c>
      <c r="C56" s="612"/>
    </row>
    <row r="57" spans="2:24" ht="12.75" customHeight="1">
      <c r="B57" s="610" t="s">
        <v>126</v>
      </c>
      <c r="C57" s="612"/>
    </row>
    <row r="58" spans="2:24">
      <c r="B58" s="610" t="s">
        <v>127</v>
      </c>
      <c r="C58" s="612"/>
    </row>
    <row r="59" spans="2:24">
      <c r="B59" s="610" t="s">
        <v>128</v>
      </c>
      <c r="C59" s="612"/>
      <c r="N59" s="613"/>
      <c r="O59" s="613"/>
      <c r="P59" s="613"/>
      <c r="Q59" s="614"/>
      <c r="R59" s="615"/>
      <c r="X59" s="616"/>
    </row>
    <row r="60" spans="2:24">
      <c r="B60" s="610" t="s">
        <v>433</v>
      </c>
      <c r="C60" s="617"/>
    </row>
    <row r="61" spans="2:24">
      <c r="B61" s="610" t="s">
        <v>434</v>
      </c>
      <c r="C61" s="618"/>
    </row>
    <row r="62" spans="2:24">
      <c r="B62" s="610" t="s">
        <v>435</v>
      </c>
    </row>
    <row r="63" spans="2:24">
      <c r="B63" s="610" t="s">
        <v>436</v>
      </c>
      <c r="C63" s="618"/>
    </row>
    <row r="64" spans="2:24">
      <c r="B64" s="610" t="s">
        <v>437</v>
      </c>
      <c r="C64" s="618"/>
    </row>
    <row r="65" spans="1:24">
      <c r="B65" s="610" t="s">
        <v>438</v>
      </c>
      <c r="N65" s="619"/>
      <c r="O65" s="619"/>
      <c r="P65" s="619"/>
    </row>
    <row r="66" spans="1:24">
      <c r="B66" s="610" t="s">
        <v>439</v>
      </c>
    </row>
    <row r="67" spans="1:24">
      <c r="B67" s="610" t="s">
        <v>440</v>
      </c>
    </row>
    <row r="68" spans="1:24" ht="12.75" customHeight="1">
      <c r="B68" s="610" t="s">
        <v>441</v>
      </c>
      <c r="C68" s="618"/>
    </row>
    <row r="69" spans="1:24" ht="12.75" customHeight="1">
      <c r="B69" s="610" t="s">
        <v>388</v>
      </c>
      <c r="C69" s="620"/>
      <c r="V69" s="621"/>
      <c r="W69" s="621"/>
    </row>
    <row r="70" spans="1:24" ht="12.75" customHeight="1">
      <c r="B70" s="610" t="s">
        <v>388</v>
      </c>
      <c r="C70" s="620"/>
      <c r="V70" s="621"/>
      <c r="W70" s="621"/>
    </row>
    <row r="71" spans="1:24" ht="12.75" customHeight="1">
      <c r="B71" s="610" t="s">
        <v>388</v>
      </c>
      <c r="C71" s="620"/>
      <c r="V71" s="621"/>
      <c r="W71" s="621"/>
    </row>
    <row r="72" spans="1:24" ht="12.75" customHeight="1">
      <c r="B72" s="610" t="s">
        <v>442</v>
      </c>
      <c r="C72" s="620"/>
      <c r="V72" s="621"/>
      <c r="W72" s="621"/>
    </row>
    <row r="73" spans="1:24" ht="12.75" customHeight="1">
      <c r="B73" s="610" t="s">
        <v>443</v>
      </c>
      <c r="C73" s="620"/>
      <c r="V73" s="621"/>
      <c r="W73" s="621"/>
    </row>
    <row r="74" spans="1:24" ht="20.100000000000001" customHeight="1">
      <c r="B74" s="622" t="s">
        <v>198</v>
      </c>
      <c r="C74" s="620"/>
      <c r="V74" s="621"/>
      <c r="W74" s="621"/>
    </row>
    <row r="75" spans="1:24">
      <c r="B75" s="371" t="s">
        <v>192</v>
      </c>
      <c r="W75" s="621"/>
    </row>
    <row r="76" spans="1:24" ht="26.1" customHeight="1">
      <c r="A76" s="520"/>
      <c r="B76" s="520"/>
      <c r="C76" s="521"/>
      <c r="D76" s="520"/>
      <c r="E76" s="520"/>
      <c r="F76" s="520"/>
      <c r="G76" s="520"/>
      <c r="H76" s="520"/>
      <c r="I76" s="520"/>
      <c r="J76" s="520"/>
      <c r="K76" s="520"/>
      <c r="L76" s="520"/>
      <c r="M76" s="520"/>
      <c r="N76" s="520"/>
      <c r="O76" s="520"/>
      <c r="P76" s="520"/>
      <c r="Q76" s="520"/>
      <c r="R76" s="522"/>
      <c r="S76" s="522"/>
      <c r="T76" s="522"/>
      <c r="U76" s="522"/>
      <c r="V76" s="520"/>
      <c r="W76" s="520"/>
    </row>
    <row r="77" spans="1:24" ht="5.25" customHeight="1"/>
    <row r="78" spans="1:24" ht="24" customHeight="1">
      <c r="P78" s="213" t="s">
        <v>392</v>
      </c>
      <c r="R78" s="372" t="s">
        <v>318</v>
      </c>
      <c r="U78" s="525"/>
      <c r="V78" s="525"/>
      <c r="W78" s="526"/>
    </row>
    <row r="79" spans="1:24" ht="24" customHeight="1">
      <c r="B79" s="373" t="s">
        <v>365</v>
      </c>
      <c r="W79" s="621"/>
    </row>
    <row r="80" spans="1:24" ht="18" customHeight="1">
      <c r="A80" s="374"/>
      <c r="B80" s="530" t="s">
        <v>573</v>
      </c>
      <c r="C80" s="527"/>
      <c r="D80" s="374"/>
      <c r="E80" s="374"/>
      <c r="F80" s="374"/>
      <c r="G80" s="374"/>
      <c r="H80" s="374"/>
      <c r="I80" s="374"/>
      <c r="J80" s="374"/>
      <c r="K80" s="374"/>
      <c r="L80" s="374"/>
      <c r="M80" s="374"/>
      <c r="N80" s="374"/>
      <c r="O80" s="374"/>
      <c r="P80" s="374"/>
      <c r="Q80" s="374"/>
      <c r="R80" s="382"/>
      <c r="S80" s="382"/>
      <c r="T80" s="382"/>
      <c r="U80" s="528"/>
      <c r="V80" s="529"/>
      <c r="W80" s="526"/>
      <c r="X80" s="374"/>
    </row>
    <row r="81" spans="1:24" ht="15.9" customHeight="1">
      <c r="A81" s="374"/>
      <c r="B81" s="530"/>
      <c r="C81" s="527"/>
      <c r="D81" s="374"/>
      <c r="E81" s="374"/>
      <c r="F81" s="374"/>
      <c r="G81" s="374"/>
      <c r="H81" s="374"/>
      <c r="I81" s="374"/>
      <c r="J81" s="374"/>
      <c r="K81" s="374"/>
      <c r="L81" s="374"/>
      <c r="M81" s="374"/>
      <c r="N81" s="374"/>
      <c r="O81" s="374"/>
      <c r="P81" s="374"/>
      <c r="Q81" s="374"/>
      <c r="R81" s="382"/>
      <c r="S81" s="382"/>
      <c r="T81" s="382"/>
      <c r="U81" s="528"/>
      <c r="V81" s="529"/>
      <c r="W81" s="526"/>
      <c r="X81" s="374"/>
    </row>
    <row r="82" spans="1:24" ht="15.75" customHeight="1">
      <c r="B82" s="221"/>
      <c r="C82" s="222" t="s">
        <v>159</v>
      </c>
      <c r="D82" s="223" t="s">
        <v>392</v>
      </c>
      <c r="E82" s="223"/>
      <c r="F82" s="223"/>
      <c r="G82" s="387"/>
      <c r="H82" s="623"/>
      <c r="I82" s="388"/>
      <c r="J82" s="394"/>
      <c r="R82" s="380"/>
      <c r="S82" s="380"/>
      <c r="T82" s="380"/>
      <c r="U82" s="380"/>
    </row>
    <row r="83" spans="1:24" ht="14.1" customHeight="1">
      <c r="B83" s="226"/>
      <c r="C83" s="227" t="s">
        <v>160</v>
      </c>
      <c r="D83" s="392" t="s">
        <v>395</v>
      </c>
      <c r="E83" s="392"/>
      <c r="F83" s="392"/>
      <c r="G83" s="394"/>
      <c r="H83" s="382"/>
      <c r="I83" s="624"/>
      <c r="J83" s="394"/>
      <c r="R83" s="380"/>
      <c r="S83" s="380"/>
      <c r="T83" s="380"/>
      <c r="U83" s="380"/>
    </row>
    <row r="84" spans="1:24" ht="18" customHeight="1">
      <c r="B84" s="230"/>
      <c r="C84" s="231" t="s">
        <v>161</v>
      </c>
      <c r="D84" s="232" t="s">
        <v>464</v>
      </c>
      <c r="E84" s="232"/>
      <c r="F84" s="232"/>
      <c r="G84" s="397"/>
      <c r="H84" s="625"/>
      <c r="I84" s="398"/>
      <c r="J84" s="394"/>
      <c r="R84" s="380"/>
      <c r="S84" s="380"/>
      <c r="T84" s="380"/>
      <c r="U84" s="380"/>
    </row>
    <row r="85" spans="1:24">
      <c r="C85" s="550"/>
    </row>
    <row r="86" spans="1:24">
      <c r="B86" s="549"/>
      <c r="C86" s="550"/>
      <c r="D86" s="551" t="s">
        <v>319</v>
      </c>
      <c r="E86" s="551"/>
      <c r="F86" s="551"/>
      <c r="G86" s="551"/>
      <c r="H86" s="551"/>
      <c r="I86" s="551"/>
      <c r="J86" s="551"/>
      <c r="K86" s="551"/>
      <c r="L86" s="551"/>
      <c r="M86" s="551"/>
      <c r="N86" s="551" t="s">
        <v>320</v>
      </c>
      <c r="O86" s="551"/>
      <c r="P86" s="551"/>
      <c r="Q86" s="551"/>
      <c r="R86" s="552"/>
      <c r="S86" s="553" t="s">
        <v>182</v>
      </c>
      <c r="T86" s="553" t="s">
        <v>182</v>
      </c>
      <c r="U86" s="553" t="s">
        <v>182</v>
      </c>
      <c r="V86" s="554"/>
      <c r="W86" s="555" t="s">
        <v>321</v>
      </c>
    </row>
    <row r="87" spans="1:24" ht="15" customHeight="1">
      <c r="B87" s="374"/>
      <c r="C87" s="527"/>
      <c r="D87" s="556" t="s">
        <v>322</v>
      </c>
      <c r="E87" s="556" t="s">
        <v>323</v>
      </c>
      <c r="F87" s="556" t="s">
        <v>324</v>
      </c>
      <c r="G87" s="556" t="s">
        <v>325</v>
      </c>
      <c r="H87" s="556" t="s">
        <v>326</v>
      </c>
      <c r="I87" s="556" t="s">
        <v>327</v>
      </c>
      <c r="J87" s="556" t="s">
        <v>328</v>
      </c>
      <c r="K87" s="556" t="s">
        <v>329</v>
      </c>
      <c r="L87" s="556" t="s">
        <v>330</v>
      </c>
      <c r="M87" s="556" t="s">
        <v>331</v>
      </c>
      <c r="N87" s="556" t="s">
        <v>329</v>
      </c>
      <c r="O87" s="556" t="s">
        <v>330</v>
      </c>
      <c r="P87" s="556" t="s">
        <v>331</v>
      </c>
      <c r="Q87" s="556">
        <v>0</v>
      </c>
      <c r="R87" s="626" t="s">
        <v>182</v>
      </c>
      <c r="S87" s="626" t="s">
        <v>466</v>
      </c>
      <c r="T87" s="626" t="s">
        <v>467</v>
      </c>
      <c r="U87" s="626" t="s">
        <v>332</v>
      </c>
      <c r="V87" s="556">
        <v>0</v>
      </c>
      <c r="W87" s="556" t="s">
        <v>333</v>
      </c>
    </row>
    <row r="88" spans="1:24">
      <c r="B88" s="563">
        <v>479</v>
      </c>
      <c r="C88" s="564" t="s">
        <v>574</v>
      </c>
      <c r="D88" s="565">
        <v>15</v>
      </c>
      <c r="E88" s="566">
        <v>15</v>
      </c>
      <c r="F88" s="566" t="s">
        <v>80</v>
      </c>
      <c r="G88" s="566" t="s">
        <v>80</v>
      </c>
      <c r="H88" s="566">
        <v>35</v>
      </c>
      <c r="I88" s="566">
        <v>100</v>
      </c>
      <c r="J88" s="566" t="s">
        <v>80</v>
      </c>
      <c r="K88" s="566" t="s">
        <v>453</v>
      </c>
      <c r="L88" s="567">
        <v>1</v>
      </c>
      <c r="M88" s="568" t="s">
        <v>456</v>
      </c>
      <c r="N88" s="565" t="s">
        <v>458</v>
      </c>
      <c r="O88" s="567">
        <v>0.8</v>
      </c>
      <c r="P88" s="566" t="s">
        <v>460</v>
      </c>
      <c r="Q88" s="569"/>
      <c r="R88" s="570">
        <v>837.75</v>
      </c>
      <c r="S88" s="571">
        <v>1759.28</v>
      </c>
      <c r="T88" s="571">
        <v>1591.73</v>
      </c>
      <c r="U88" s="571">
        <v>2513.25</v>
      </c>
      <c r="V88" s="572"/>
      <c r="W88" s="573">
        <v>0</v>
      </c>
    </row>
    <row r="89" spans="1:24">
      <c r="B89" s="576">
        <v>473</v>
      </c>
      <c r="C89" s="577" t="s">
        <v>574</v>
      </c>
      <c r="D89" s="578">
        <v>10</v>
      </c>
      <c r="E89" s="579">
        <v>10</v>
      </c>
      <c r="F89" s="579">
        <v>0</v>
      </c>
      <c r="G89" s="579">
        <v>0</v>
      </c>
      <c r="H89" s="579">
        <v>35</v>
      </c>
      <c r="I89" s="579">
        <v>75</v>
      </c>
      <c r="J89" s="579">
        <v>0</v>
      </c>
      <c r="K89" s="579" t="s">
        <v>510</v>
      </c>
      <c r="L89" s="580">
        <v>1</v>
      </c>
      <c r="M89" s="581" t="s">
        <v>508</v>
      </c>
      <c r="N89" s="578" t="s">
        <v>511</v>
      </c>
      <c r="O89" s="580">
        <v>0.8</v>
      </c>
      <c r="P89" s="579" t="s">
        <v>508</v>
      </c>
      <c r="Q89" s="582"/>
      <c r="R89" s="583">
        <v>804.95</v>
      </c>
      <c r="S89" s="382">
        <v>1690.4</v>
      </c>
      <c r="T89" s="382">
        <v>1529.41</v>
      </c>
      <c r="U89" s="382">
        <v>2414.85</v>
      </c>
      <c r="V89" s="584"/>
      <c r="W89" s="585">
        <v>-3.9152491793494448E-2</v>
      </c>
    </row>
    <row r="90" spans="1:24">
      <c r="B90" s="576">
        <v>474</v>
      </c>
      <c r="C90" s="577" t="s">
        <v>574</v>
      </c>
      <c r="D90" s="578">
        <v>15</v>
      </c>
      <c r="E90" s="579">
        <v>15</v>
      </c>
      <c r="F90" s="579">
        <v>0</v>
      </c>
      <c r="G90" s="579">
        <v>250</v>
      </c>
      <c r="H90" s="579">
        <v>35</v>
      </c>
      <c r="I90" s="579">
        <v>75</v>
      </c>
      <c r="J90" s="579">
        <v>0</v>
      </c>
      <c r="K90" s="579" t="s">
        <v>510</v>
      </c>
      <c r="L90" s="580">
        <v>1</v>
      </c>
      <c r="M90" s="581" t="s">
        <v>513</v>
      </c>
      <c r="N90" s="578" t="s">
        <v>508</v>
      </c>
      <c r="O90" s="580">
        <v>0.7</v>
      </c>
      <c r="P90" s="579" t="s">
        <v>476</v>
      </c>
      <c r="Q90" s="582"/>
      <c r="R90" s="583">
        <v>790.35</v>
      </c>
      <c r="S90" s="382">
        <v>1659.74</v>
      </c>
      <c r="T90" s="382">
        <v>1501.67</v>
      </c>
      <c r="U90" s="382">
        <v>2371.0500000000002</v>
      </c>
      <c r="V90" s="584"/>
      <c r="W90" s="585">
        <v>-5.6580125335720655E-2</v>
      </c>
    </row>
    <row r="91" spans="1:24">
      <c r="B91" s="576" t="s">
        <v>575</v>
      </c>
      <c r="C91" s="577" t="s">
        <v>574</v>
      </c>
      <c r="D91" s="578">
        <v>15</v>
      </c>
      <c r="E91" s="579">
        <v>25</v>
      </c>
      <c r="F91" s="579">
        <v>0</v>
      </c>
      <c r="G91" s="579">
        <v>0</v>
      </c>
      <c r="H91" s="579">
        <v>50</v>
      </c>
      <c r="I91" s="579">
        <v>150</v>
      </c>
      <c r="J91" s="579">
        <v>0</v>
      </c>
      <c r="K91" s="579" t="s">
        <v>510</v>
      </c>
      <c r="L91" s="580">
        <v>1</v>
      </c>
      <c r="M91" s="581" t="s">
        <v>513</v>
      </c>
      <c r="N91" s="578" t="s">
        <v>515</v>
      </c>
      <c r="O91" s="580">
        <v>0.8</v>
      </c>
      <c r="P91" s="579" t="s">
        <v>495</v>
      </c>
      <c r="Q91" s="582"/>
      <c r="R91" s="583">
        <v>785.19</v>
      </c>
      <c r="S91" s="382">
        <v>1648.91</v>
      </c>
      <c r="T91" s="382">
        <v>1491.87</v>
      </c>
      <c r="U91" s="382">
        <v>2355.5700000000002</v>
      </c>
      <c r="V91" s="584"/>
      <c r="W91" s="585">
        <v>-6.2739480752014298E-2</v>
      </c>
    </row>
    <row r="92" spans="1:24">
      <c r="B92" s="586">
        <v>476</v>
      </c>
      <c r="C92" s="587" t="s">
        <v>574</v>
      </c>
      <c r="D92" s="588">
        <v>20</v>
      </c>
      <c r="E92" s="589">
        <v>20</v>
      </c>
      <c r="F92" s="589">
        <v>0</v>
      </c>
      <c r="G92" s="589">
        <v>250</v>
      </c>
      <c r="H92" s="589">
        <v>50</v>
      </c>
      <c r="I92" s="589">
        <v>100</v>
      </c>
      <c r="J92" s="589">
        <v>0</v>
      </c>
      <c r="K92" s="589" t="s">
        <v>510</v>
      </c>
      <c r="L92" s="590">
        <v>1</v>
      </c>
      <c r="M92" s="591" t="s">
        <v>513</v>
      </c>
      <c r="N92" s="588" t="s">
        <v>513</v>
      </c>
      <c r="O92" s="590">
        <v>0.8</v>
      </c>
      <c r="P92" s="589" t="s">
        <v>517</v>
      </c>
      <c r="Q92" s="592"/>
      <c r="R92" s="593">
        <v>781.95</v>
      </c>
      <c r="S92" s="594">
        <v>1642.1</v>
      </c>
      <c r="T92" s="594">
        <v>1485.71</v>
      </c>
      <c r="U92" s="594">
        <v>2345.85</v>
      </c>
      <c r="V92" s="595"/>
      <c r="W92" s="596">
        <v>-6.6606982990152108E-2</v>
      </c>
    </row>
    <row r="93" spans="1:24">
      <c r="B93" s="563" t="s">
        <v>576</v>
      </c>
      <c r="C93" s="564" t="s">
        <v>574</v>
      </c>
      <c r="D93" s="565">
        <v>20</v>
      </c>
      <c r="E93" s="566">
        <v>20</v>
      </c>
      <c r="F93" s="566" t="s">
        <v>80</v>
      </c>
      <c r="G93" s="566">
        <v>250</v>
      </c>
      <c r="H93" s="566">
        <v>50</v>
      </c>
      <c r="I93" s="566">
        <v>100</v>
      </c>
      <c r="J93" s="566" t="s">
        <v>80</v>
      </c>
      <c r="K93" s="566" t="s">
        <v>510</v>
      </c>
      <c r="L93" s="567">
        <v>1</v>
      </c>
      <c r="M93" s="568" t="s">
        <v>513</v>
      </c>
      <c r="N93" s="565" t="s">
        <v>495</v>
      </c>
      <c r="O93" s="567">
        <v>0.5</v>
      </c>
      <c r="P93" s="566" t="s">
        <v>496</v>
      </c>
      <c r="Q93" s="569"/>
      <c r="R93" s="570">
        <v>779.88</v>
      </c>
      <c r="S93" s="571">
        <v>1637.75</v>
      </c>
      <c r="T93" s="571">
        <v>1481.78</v>
      </c>
      <c r="U93" s="571">
        <v>2339.64</v>
      </c>
      <c r="V93" s="572"/>
      <c r="W93" s="573">
        <v>-6.9077887197851351E-2</v>
      </c>
    </row>
    <row r="94" spans="1:24">
      <c r="B94" s="576" t="s">
        <v>577</v>
      </c>
      <c r="C94" s="577" t="s">
        <v>574</v>
      </c>
      <c r="D94" s="578">
        <v>20</v>
      </c>
      <c r="E94" s="579">
        <v>30</v>
      </c>
      <c r="F94" s="579">
        <v>0</v>
      </c>
      <c r="G94" s="579">
        <v>0</v>
      </c>
      <c r="H94" s="579">
        <v>50</v>
      </c>
      <c r="I94" s="579">
        <v>150</v>
      </c>
      <c r="J94" s="579">
        <v>0</v>
      </c>
      <c r="K94" s="579" t="s">
        <v>510</v>
      </c>
      <c r="L94" s="580">
        <v>1</v>
      </c>
      <c r="M94" s="581" t="s">
        <v>513</v>
      </c>
      <c r="N94" s="578" t="s">
        <v>519</v>
      </c>
      <c r="O94" s="580">
        <v>0.8</v>
      </c>
      <c r="P94" s="579" t="s">
        <v>495</v>
      </c>
      <c r="Q94" s="582"/>
      <c r="R94" s="583">
        <v>778.12</v>
      </c>
      <c r="S94" s="382">
        <v>1634.06</v>
      </c>
      <c r="T94" s="382">
        <v>1478.43</v>
      </c>
      <c r="U94" s="382">
        <v>2334.36</v>
      </c>
      <c r="V94" s="584"/>
      <c r="W94" s="585">
        <v>-7.11787526111608E-2</v>
      </c>
    </row>
    <row r="95" spans="1:24">
      <c r="B95" s="576">
        <v>480</v>
      </c>
      <c r="C95" s="577" t="s">
        <v>574</v>
      </c>
      <c r="D95" s="578">
        <v>10</v>
      </c>
      <c r="E95" s="579">
        <v>10</v>
      </c>
      <c r="F95" s="579" t="s">
        <v>80</v>
      </c>
      <c r="G95" s="579" t="s">
        <v>80</v>
      </c>
      <c r="H95" s="579">
        <v>50</v>
      </c>
      <c r="I95" s="579">
        <v>100</v>
      </c>
      <c r="J95" s="579" t="s">
        <v>80</v>
      </c>
      <c r="K95" s="579" t="s">
        <v>453</v>
      </c>
      <c r="L95" s="580">
        <v>0.9</v>
      </c>
      <c r="M95" s="581" t="s">
        <v>521</v>
      </c>
      <c r="N95" s="578" t="s">
        <v>458</v>
      </c>
      <c r="O95" s="580">
        <v>0.7</v>
      </c>
      <c r="P95" s="579" t="s">
        <v>513</v>
      </c>
      <c r="Q95" s="582"/>
      <c r="R95" s="583">
        <v>766.54</v>
      </c>
      <c r="S95" s="382">
        <v>1609.74</v>
      </c>
      <c r="T95" s="382">
        <v>1456.43</v>
      </c>
      <c r="U95" s="382">
        <v>2299.62</v>
      </c>
      <c r="V95" s="584"/>
      <c r="W95" s="585">
        <v>-8.5001492091912878E-2</v>
      </c>
    </row>
    <row r="96" spans="1:24">
      <c r="B96" s="576">
        <v>481</v>
      </c>
      <c r="C96" s="577" t="s">
        <v>574</v>
      </c>
      <c r="D96" s="578">
        <v>15</v>
      </c>
      <c r="E96" s="579">
        <v>15</v>
      </c>
      <c r="F96" s="579" t="s">
        <v>80</v>
      </c>
      <c r="G96" s="579" t="s">
        <v>80</v>
      </c>
      <c r="H96" s="579">
        <v>50</v>
      </c>
      <c r="I96" s="579">
        <v>100</v>
      </c>
      <c r="J96" s="579" t="s">
        <v>80</v>
      </c>
      <c r="K96" s="579" t="s">
        <v>453</v>
      </c>
      <c r="L96" s="580">
        <v>0.9</v>
      </c>
      <c r="M96" s="581" t="s">
        <v>521</v>
      </c>
      <c r="N96" s="578" t="s">
        <v>458</v>
      </c>
      <c r="O96" s="580">
        <v>0.7</v>
      </c>
      <c r="P96" s="579" t="s">
        <v>513</v>
      </c>
      <c r="Q96" s="582"/>
      <c r="R96" s="583">
        <v>762.12</v>
      </c>
      <c r="S96" s="382">
        <v>1600.46</v>
      </c>
      <c r="T96" s="382">
        <v>1448.03</v>
      </c>
      <c r="U96" s="382">
        <v>2286.36</v>
      </c>
      <c r="V96" s="584"/>
      <c r="W96" s="585">
        <v>-9.0277529095792342E-2</v>
      </c>
    </row>
    <row r="97" spans="1:24">
      <c r="B97" s="586">
        <v>478</v>
      </c>
      <c r="C97" s="587" t="s">
        <v>574</v>
      </c>
      <c r="D97" s="588">
        <v>15</v>
      </c>
      <c r="E97" s="589">
        <v>15</v>
      </c>
      <c r="F97" s="589">
        <v>0</v>
      </c>
      <c r="G97" s="589">
        <v>0</v>
      </c>
      <c r="H97" s="589">
        <v>50</v>
      </c>
      <c r="I97" s="589">
        <v>100</v>
      </c>
      <c r="J97" s="589">
        <v>0</v>
      </c>
      <c r="K97" s="589" t="s">
        <v>510</v>
      </c>
      <c r="L97" s="590">
        <v>0.9</v>
      </c>
      <c r="M97" s="591" t="s">
        <v>508</v>
      </c>
      <c r="N97" s="588" t="s">
        <v>519</v>
      </c>
      <c r="O97" s="590">
        <v>0.5</v>
      </c>
      <c r="P97" s="589" t="s">
        <v>530</v>
      </c>
      <c r="Q97" s="592"/>
      <c r="R97" s="593">
        <v>756.22</v>
      </c>
      <c r="S97" s="594">
        <v>1588.07</v>
      </c>
      <c r="T97" s="594">
        <v>1436.82</v>
      </c>
      <c r="U97" s="594">
        <v>2268.66</v>
      </c>
      <c r="V97" s="595"/>
      <c r="W97" s="596">
        <v>-9.7320202924500165E-2</v>
      </c>
    </row>
    <row r="98" spans="1:24">
      <c r="B98" s="563">
        <v>484</v>
      </c>
      <c r="C98" s="564" t="s">
        <v>574</v>
      </c>
      <c r="D98" s="565">
        <v>10</v>
      </c>
      <c r="E98" s="566">
        <v>10</v>
      </c>
      <c r="F98" s="566" t="s">
        <v>80</v>
      </c>
      <c r="G98" s="566" t="s">
        <v>80</v>
      </c>
      <c r="H98" s="566">
        <v>50</v>
      </c>
      <c r="I98" s="566">
        <v>100</v>
      </c>
      <c r="J98" s="566" t="s">
        <v>80</v>
      </c>
      <c r="K98" s="566" t="s">
        <v>532</v>
      </c>
      <c r="L98" s="567">
        <v>0.9</v>
      </c>
      <c r="M98" s="568" t="s">
        <v>519</v>
      </c>
      <c r="N98" s="565" t="s">
        <v>515</v>
      </c>
      <c r="O98" s="567">
        <v>0.7</v>
      </c>
      <c r="P98" s="566" t="s">
        <v>482</v>
      </c>
      <c r="Q98" s="569"/>
      <c r="R98" s="570">
        <v>748.26</v>
      </c>
      <c r="S98" s="571">
        <v>1571.35</v>
      </c>
      <c r="T98" s="571">
        <v>1421.7</v>
      </c>
      <c r="U98" s="571">
        <v>2244.7800000000002</v>
      </c>
      <c r="V98" s="572"/>
      <c r="W98" s="573">
        <v>-0.10682184422560426</v>
      </c>
    </row>
    <row r="99" spans="1:24">
      <c r="B99" s="576">
        <v>482</v>
      </c>
      <c r="C99" s="577" t="s">
        <v>574</v>
      </c>
      <c r="D99" s="578">
        <v>10</v>
      </c>
      <c r="E99" s="579">
        <v>10</v>
      </c>
      <c r="F99" s="579" t="s">
        <v>80</v>
      </c>
      <c r="G99" s="579" t="s">
        <v>80</v>
      </c>
      <c r="H99" s="579">
        <v>50</v>
      </c>
      <c r="I99" s="579">
        <v>100</v>
      </c>
      <c r="J99" s="579" t="s">
        <v>80</v>
      </c>
      <c r="K99" s="579" t="s">
        <v>453</v>
      </c>
      <c r="L99" s="580">
        <v>0.9</v>
      </c>
      <c r="M99" s="581" t="s">
        <v>537</v>
      </c>
      <c r="N99" s="578" t="s">
        <v>458</v>
      </c>
      <c r="O99" s="580">
        <v>0.7</v>
      </c>
      <c r="P99" s="579" t="s">
        <v>538</v>
      </c>
      <c r="Q99" s="582"/>
      <c r="R99" s="583">
        <v>742.29</v>
      </c>
      <c r="S99" s="382">
        <v>1558.82</v>
      </c>
      <c r="T99" s="382">
        <v>1410.36</v>
      </c>
      <c r="U99" s="382">
        <v>2226.87</v>
      </c>
      <c r="V99" s="584"/>
      <c r="W99" s="585">
        <v>-0.11394807520143246</v>
      </c>
    </row>
    <row r="100" spans="1:24">
      <c r="B100" s="576">
        <v>486</v>
      </c>
      <c r="C100" s="577" t="s">
        <v>574</v>
      </c>
      <c r="D100" s="578">
        <v>15</v>
      </c>
      <c r="E100" s="579">
        <v>15</v>
      </c>
      <c r="F100" s="579" t="s">
        <v>80</v>
      </c>
      <c r="G100" s="579" t="s">
        <v>80</v>
      </c>
      <c r="H100" s="579">
        <v>50</v>
      </c>
      <c r="I100" s="579">
        <v>100</v>
      </c>
      <c r="J100" s="579" t="s">
        <v>80</v>
      </c>
      <c r="K100" s="579" t="s">
        <v>532</v>
      </c>
      <c r="L100" s="580">
        <v>0.8</v>
      </c>
      <c r="M100" s="581" t="s">
        <v>519</v>
      </c>
      <c r="N100" s="578" t="s">
        <v>515</v>
      </c>
      <c r="O100" s="580">
        <v>0.6</v>
      </c>
      <c r="P100" s="579" t="s">
        <v>495</v>
      </c>
      <c r="Q100" s="582"/>
      <c r="R100" s="583">
        <v>739.56</v>
      </c>
      <c r="S100" s="382">
        <v>1553.08</v>
      </c>
      <c r="T100" s="382">
        <v>1405.17</v>
      </c>
      <c r="U100" s="382">
        <v>2218.6799999999998</v>
      </c>
      <c r="V100" s="584"/>
      <c r="W100" s="585">
        <v>-0.11720680393912275</v>
      </c>
    </row>
    <row r="101" spans="1:24">
      <c r="B101" s="576">
        <v>483</v>
      </c>
      <c r="C101" s="577" t="s">
        <v>574</v>
      </c>
      <c r="D101" s="578">
        <v>15</v>
      </c>
      <c r="E101" s="579">
        <v>15</v>
      </c>
      <c r="F101" s="579" t="s">
        <v>80</v>
      </c>
      <c r="G101" s="579" t="s">
        <v>80</v>
      </c>
      <c r="H101" s="579">
        <v>50</v>
      </c>
      <c r="I101" s="579">
        <v>100</v>
      </c>
      <c r="J101" s="579" t="s">
        <v>80</v>
      </c>
      <c r="K101" s="579" t="s">
        <v>453</v>
      </c>
      <c r="L101" s="580">
        <v>0.9</v>
      </c>
      <c r="M101" s="581" t="s">
        <v>537</v>
      </c>
      <c r="N101" s="578" t="s">
        <v>458</v>
      </c>
      <c r="O101" s="580">
        <v>0.7</v>
      </c>
      <c r="P101" s="579" t="s">
        <v>538</v>
      </c>
      <c r="Q101" s="582"/>
      <c r="R101" s="583">
        <v>737.13</v>
      </c>
      <c r="S101" s="382">
        <v>1547.98</v>
      </c>
      <c r="T101" s="382">
        <v>1400.55</v>
      </c>
      <c r="U101" s="382">
        <v>2211.39</v>
      </c>
      <c r="V101" s="584"/>
      <c r="W101" s="585">
        <v>-0.12010743061772611</v>
      </c>
    </row>
    <row r="102" spans="1:24">
      <c r="B102" s="586">
        <v>485</v>
      </c>
      <c r="C102" s="587" t="s">
        <v>574</v>
      </c>
      <c r="D102" s="588">
        <v>20</v>
      </c>
      <c r="E102" s="589">
        <v>20</v>
      </c>
      <c r="F102" s="589" t="s">
        <v>80</v>
      </c>
      <c r="G102" s="589" t="s">
        <v>80</v>
      </c>
      <c r="H102" s="589">
        <v>50</v>
      </c>
      <c r="I102" s="589">
        <v>75</v>
      </c>
      <c r="J102" s="589" t="s">
        <v>80</v>
      </c>
      <c r="K102" s="589" t="s">
        <v>453</v>
      </c>
      <c r="L102" s="590">
        <v>0.9</v>
      </c>
      <c r="M102" s="591" t="s">
        <v>508</v>
      </c>
      <c r="N102" s="588" t="s">
        <v>515</v>
      </c>
      <c r="O102" s="590">
        <v>0.6</v>
      </c>
      <c r="P102" s="589" t="s">
        <v>482</v>
      </c>
      <c r="Q102" s="592"/>
      <c r="R102" s="593">
        <v>736.76</v>
      </c>
      <c r="S102" s="594">
        <v>1547.2</v>
      </c>
      <c r="T102" s="594">
        <v>1399.85</v>
      </c>
      <c r="U102" s="594">
        <v>2210.2800000000002</v>
      </c>
      <c r="V102" s="595"/>
      <c r="W102" s="596">
        <v>-0.1205490898239332</v>
      </c>
    </row>
    <row r="103" spans="1:24">
      <c r="B103" s="563">
        <v>489</v>
      </c>
      <c r="C103" s="564" t="s">
        <v>574</v>
      </c>
      <c r="D103" s="565">
        <v>20</v>
      </c>
      <c r="E103" s="566">
        <v>20</v>
      </c>
      <c r="F103" s="566" t="s">
        <v>80</v>
      </c>
      <c r="G103" s="566" t="s">
        <v>80</v>
      </c>
      <c r="H103" s="566">
        <v>50</v>
      </c>
      <c r="I103" s="566">
        <v>100</v>
      </c>
      <c r="J103" s="566" t="s">
        <v>80</v>
      </c>
      <c r="K103" s="566" t="s">
        <v>532</v>
      </c>
      <c r="L103" s="567">
        <v>0.9</v>
      </c>
      <c r="M103" s="568" t="s">
        <v>508</v>
      </c>
      <c r="N103" s="565" t="s">
        <v>515</v>
      </c>
      <c r="O103" s="567">
        <v>0.6</v>
      </c>
      <c r="P103" s="566" t="s">
        <v>482</v>
      </c>
      <c r="Q103" s="569"/>
      <c r="R103" s="570">
        <v>723.79</v>
      </c>
      <c r="S103" s="571">
        <v>1519.96</v>
      </c>
      <c r="T103" s="571">
        <v>1375.2</v>
      </c>
      <c r="U103" s="571">
        <v>2171.37</v>
      </c>
      <c r="V103" s="572"/>
      <c r="W103" s="573">
        <v>-0.13603103551178752</v>
      </c>
    </row>
    <row r="104" spans="1:24">
      <c r="B104" s="576">
        <v>488</v>
      </c>
      <c r="C104" s="577" t="s">
        <v>574</v>
      </c>
      <c r="D104" s="578">
        <v>15</v>
      </c>
      <c r="E104" s="579">
        <v>15</v>
      </c>
      <c r="F104" s="579" t="s">
        <v>80</v>
      </c>
      <c r="G104" s="579" t="s">
        <v>80</v>
      </c>
      <c r="H104" s="579">
        <v>50</v>
      </c>
      <c r="I104" s="579">
        <v>100</v>
      </c>
      <c r="J104" s="579" t="s">
        <v>80</v>
      </c>
      <c r="K104" s="579" t="s">
        <v>453</v>
      </c>
      <c r="L104" s="580">
        <v>0.8</v>
      </c>
      <c r="M104" s="581" t="s">
        <v>537</v>
      </c>
      <c r="N104" s="578" t="s">
        <v>458</v>
      </c>
      <c r="O104" s="580">
        <v>0.6</v>
      </c>
      <c r="P104" s="579" t="s">
        <v>538</v>
      </c>
      <c r="Q104" s="582"/>
      <c r="R104" s="583">
        <v>719.88</v>
      </c>
      <c r="S104" s="382">
        <v>1511.75</v>
      </c>
      <c r="T104" s="382">
        <v>1367.78</v>
      </c>
      <c r="U104" s="382">
        <v>2159.64</v>
      </c>
      <c r="V104" s="584"/>
      <c r="W104" s="585">
        <v>-0.14069829901521935</v>
      </c>
    </row>
    <row r="105" spans="1:24">
      <c r="B105" s="576">
        <v>487</v>
      </c>
      <c r="C105" s="577" t="s">
        <v>574</v>
      </c>
      <c r="D105" s="578">
        <v>15</v>
      </c>
      <c r="E105" s="579">
        <v>15</v>
      </c>
      <c r="F105" s="579" t="s">
        <v>80</v>
      </c>
      <c r="G105" s="579" t="s">
        <v>80</v>
      </c>
      <c r="H105" s="579">
        <v>50</v>
      </c>
      <c r="I105" s="579">
        <v>100</v>
      </c>
      <c r="J105" s="579" t="s">
        <v>80</v>
      </c>
      <c r="K105" s="579" t="s">
        <v>532</v>
      </c>
      <c r="L105" s="580">
        <v>0.9</v>
      </c>
      <c r="M105" s="581" t="s">
        <v>513</v>
      </c>
      <c r="N105" s="578" t="s">
        <v>515</v>
      </c>
      <c r="O105" s="580">
        <v>0.7</v>
      </c>
      <c r="P105" s="579" t="s">
        <v>495</v>
      </c>
      <c r="Q105" s="582"/>
      <c r="R105" s="583">
        <v>719.59</v>
      </c>
      <c r="S105" s="382">
        <v>1511.14</v>
      </c>
      <c r="T105" s="382">
        <v>1367.22</v>
      </c>
      <c r="U105" s="382">
        <v>2158.77</v>
      </c>
      <c r="V105" s="584"/>
      <c r="W105" s="585">
        <v>-0.14104446433900319</v>
      </c>
    </row>
    <row r="106" spans="1:24">
      <c r="B106" s="576">
        <v>490</v>
      </c>
      <c r="C106" s="577" t="s">
        <v>574</v>
      </c>
      <c r="D106" s="578">
        <v>20</v>
      </c>
      <c r="E106" s="579">
        <v>20</v>
      </c>
      <c r="F106" s="579" t="s">
        <v>80</v>
      </c>
      <c r="G106" s="579" t="s">
        <v>551</v>
      </c>
      <c r="H106" s="579">
        <v>125</v>
      </c>
      <c r="I106" s="579">
        <v>250</v>
      </c>
      <c r="J106" s="579" t="s">
        <v>80</v>
      </c>
      <c r="K106" s="579" t="s">
        <v>453</v>
      </c>
      <c r="L106" s="580">
        <v>0.9</v>
      </c>
      <c r="M106" s="581" t="s">
        <v>513</v>
      </c>
      <c r="N106" s="578" t="s">
        <v>456</v>
      </c>
      <c r="O106" s="580">
        <v>0.7</v>
      </c>
      <c r="P106" s="579" t="s">
        <v>496</v>
      </c>
      <c r="Q106" s="582"/>
      <c r="R106" s="583">
        <v>719.14</v>
      </c>
      <c r="S106" s="382">
        <v>1510.2</v>
      </c>
      <c r="T106" s="382">
        <v>1366.37</v>
      </c>
      <c r="U106" s="382">
        <v>2157.42</v>
      </c>
      <c r="V106" s="584"/>
      <c r="W106" s="585">
        <v>-0.14158161742763353</v>
      </c>
    </row>
    <row r="107" spans="1:24">
      <c r="B107" s="586">
        <v>491</v>
      </c>
      <c r="C107" s="587" t="s">
        <v>574</v>
      </c>
      <c r="D107" s="588">
        <v>20</v>
      </c>
      <c r="E107" s="589">
        <v>20</v>
      </c>
      <c r="F107" s="589" t="s">
        <v>80</v>
      </c>
      <c r="G107" s="589" t="s">
        <v>80</v>
      </c>
      <c r="H107" s="589">
        <v>50</v>
      </c>
      <c r="I107" s="589">
        <v>100</v>
      </c>
      <c r="J107" s="589" t="s">
        <v>80</v>
      </c>
      <c r="K107" s="589" t="s">
        <v>453</v>
      </c>
      <c r="L107" s="590">
        <v>0.8</v>
      </c>
      <c r="M107" s="591" t="s">
        <v>537</v>
      </c>
      <c r="N107" s="588" t="s">
        <v>458</v>
      </c>
      <c r="O107" s="590">
        <v>0.6</v>
      </c>
      <c r="P107" s="589" t="s">
        <v>538</v>
      </c>
      <c r="Q107" s="592"/>
      <c r="R107" s="593">
        <v>715.02</v>
      </c>
      <c r="S107" s="594">
        <v>1501.55</v>
      </c>
      <c r="T107" s="594">
        <v>1358.54</v>
      </c>
      <c r="U107" s="594">
        <v>2145.06</v>
      </c>
      <c r="V107" s="595"/>
      <c r="W107" s="596">
        <v>-0.14649955237242618</v>
      </c>
    </row>
    <row r="108" spans="1:24">
      <c r="A108" s="374"/>
      <c r="B108" s="563">
        <v>493</v>
      </c>
      <c r="C108" s="564" t="s">
        <v>574</v>
      </c>
      <c r="D108" s="565">
        <v>25</v>
      </c>
      <c r="E108" s="566">
        <v>25</v>
      </c>
      <c r="F108" s="566" t="s">
        <v>80</v>
      </c>
      <c r="G108" s="566" t="s">
        <v>80</v>
      </c>
      <c r="H108" s="566">
        <v>50</v>
      </c>
      <c r="I108" s="566">
        <v>100</v>
      </c>
      <c r="J108" s="566" t="s">
        <v>80</v>
      </c>
      <c r="K108" s="566" t="s">
        <v>453</v>
      </c>
      <c r="L108" s="567">
        <v>0.8</v>
      </c>
      <c r="M108" s="568" t="s">
        <v>537</v>
      </c>
      <c r="N108" s="565" t="s">
        <v>458</v>
      </c>
      <c r="O108" s="567">
        <v>0.6</v>
      </c>
      <c r="P108" s="566" t="s">
        <v>538</v>
      </c>
      <c r="Q108" s="569"/>
      <c r="R108" s="570">
        <v>710.45</v>
      </c>
      <c r="S108" s="571">
        <v>1491.95</v>
      </c>
      <c r="T108" s="571">
        <v>1349.86</v>
      </c>
      <c r="U108" s="571">
        <v>2131.35</v>
      </c>
      <c r="V108" s="572"/>
      <c r="W108" s="573">
        <v>-0.15195464040584894</v>
      </c>
      <c r="X108" s="374"/>
    </row>
    <row r="109" spans="1:24">
      <c r="A109" s="374"/>
      <c r="B109" s="576">
        <v>492</v>
      </c>
      <c r="C109" s="577" t="s">
        <v>574</v>
      </c>
      <c r="D109" s="578">
        <v>20</v>
      </c>
      <c r="E109" s="579">
        <v>20</v>
      </c>
      <c r="F109" s="579" t="s">
        <v>80</v>
      </c>
      <c r="G109" s="579" t="s">
        <v>80</v>
      </c>
      <c r="H109" s="579">
        <v>50</v>
      </c>
      <c r="I109" s="579">
        <v>100</v>
      </c>
      <c r="J109" s="579" t="s">
        <v>80</v>
      </c>
      <c r="K109" s="579" t="s">
        <v>532</v>
      </c>
      <c r="L109" s="580">
        <v>0.9</v>
      </c>
      <c r="M109" s="581" t="s">
        <v>460</v>
      </c>
      <c r="N109" s="578" t="s">
        <v>515</v>
      </c>
      <c r="O109" s="580">
        <v>0.7</v>
      </c>
      <c r="P109" s="579" t="s">
        <v>476</v>
      </c>
      <c r="Q109" s="582"/>
      <c r="R109" s="583">
        <v>707.64</v>
      </c>
      <c r="S109" s="382">
        <v>1486.05</v>
      </c>
      <c r="T109" s="382">
        <v>1344.52</v>
      </c>
      <c r="U109" s="382">
        <v>2122.92</v>
      </c>
      <c r="V109" s="584"/>
      <c r="W109" s="585">
        <v>-0.15530886302596236</v>
      </c>
      <c r="X109" s="374"/>
    </row>
    <row r="110" spans="1:24">
      <c r="A110" s="374"/>
      <c r="B110" s="576">
        <v>494</v>
      </c>
      <c r="C110" s="577" t="s">
        <v>574</v>
      </c>
      <c r="D110" s="578">
        <v>20</v>
      </c>
      <c r="E110" s="579">
        <v>20</v>
      </c>
      <c r="F110" s="579" t="s">
        <v>80</v>
      </c>
      <c r="G110" s="579" t="s">
        <v>80</v>
      </c>
      <c r="H110" s="579">
        <v>50</v>
      </c>
      <c r="I110" s="579">
        <v>100</v>
      </c>
      <c r="J110" s="579" t="s">
        <v>80</v>
      </c>
      <c r="K110" s="579" t="s">
        <v>532</v>
      </c>
      <c r="L110" s="580">
        <v>0.8</v>
      </c>
      <c r="M110" s="581" t="s">
        <v>513</v>
      </c>
      <c r="N110" s="578" t="s">
        <v>515</v>
      </c>
      <c r="O110" s="580">
        <v>0.6</v>
      </c>
      <c r="P110" s="579" t="s">
        <v>495</v>
      </c>
      <c r="Q110" s="582"/>
      <c r="R110" s="583">
        <v>699.09</v>
      </c>
      <c r="S110" s="382">
        <v>1468.09</v>
      </c>
      <c r="T110" s="382">
        <v>1328.27</v>
      </c>
      <c r="U110" s="382">
        <v>2097.27</v>
      </c>
      <c r="V110" s="584"/>
      <c r="W110" s="585">
        <v>-0.16551477170993734</v>
      </c>
      <c r="X110" s="374"/>
    </row>
    <row r="111" spans="1:24">
      <c r="A111" s="374"/>
      <c r="B111" s="576">
        <v>522</v>
      </c>
      <c r="C111" s="577" t="s">
        <v>574</v>
      </c>
      <c r="D111" s="578">
        <v>25</v>
      </c>
      <c r="E111" s="579">
        <v>25</v>
      </c>
      <c r="F111" s="579" t="s">
        <v>80</v>
      </c>
      <c r="G111" s="579" t="s">
        <v>80</v>
      </c>
      <c r="H111" s="579">
        <v>125</v>
      </c>
      <c r="I111" s="579">
        <v>250</v>
      </c>
      <c r="J111" s="579" t="s">
        <v>80</v>
      </c>
      <c r="K111" s="579" t="s">
        <v>562</v>
      </c>
      <c r="L111" s="580">
        <v>0.9</v>
      </c>
      <c r="M111" s="581" t="s">
        <v>508</v>
      </c>
      <c r="N111" s="578" t="s">
        <v>508</v>
      </c>
      <c r="O111" s="580">
        <v>0.6</v>
      </c>
      <c r="P111" s="579" t="s">
        <v>482</v>
      </c>
      <c r="Q111" s="582"/>
      <c r="R111" s="583">
        <v>698.21</v>
      </c>
      <c r="S111" s="382">
        <v>1466.25</v>
      </c>
      <c r="T111" s="382">
        <v>1326.6</v>
      </c>
      <c r="U111" s="382">
        <v>2094.63</v>
      </c>
      <c r="V111" s="584"/>
      <c r="W111" s="585">
        <v>-0.16656520441659206</v>
      </c>
      <c r="X111" s="374"/>
    </row>
    <row r="112" spans="1:24">
      <c r="A112" s="374"/>
      <c r="B112" s="586">
        <v>495</v>
      </c>
      <c r="C112" s="587" t="s">
        <v>574</v>
      </c>
      <c r="D112" s="588">
        <v>30</v>
      </c>
      <c r="E112" s="589">
        <v>30</v>
      </c>
      <c r="F112" s="589" t="s">
        <v>80</v>
      </c>
      <c r="G112" s="589" t="s">
        <v>564</v>
      </c>
      <c r="H112" s="589">
        <v>125</v>
      </c>
      <c r="I112" s="589">
        <v>250</v>
      </c>
      <c r="J112" s="589" t="s">
        <v>80</v>
      </c>
      <c r="K112" s="589" t="s">
        <v>453</v>
      </c>
      <c r="L112" s="590">
        <v>0.9</v>
      </c>
      <c r="M112" s="591" t="s">
        <v>535</v>
      </c>
      <c r="N112" s="588" t="s">
        <v>458</v>
      </c>
      <c r="O112" s="590">
        <v>0.7</v>
      </c>
      <c r="P112" s="589" t="s">
        <v>565</v>
      </c>
      <c r="Q112" s="592"/>
      <c r="R112" s="593">
        <v>696.88</v>
      </c>
      <c r="S112" s="594">
        <v>1463.45</v>
      </c>
      <c r="T112" s="594">
        <v>1324.08</v>
      </c>
      <c r="U112" s="594">
        <v>2090.64</v>
      </c>
      <c r="V112" s="595"/>
      <c r="W112" s="596">
        <v>-0.16815279021187701</v>
      </c>
      <c r="X112" s="374"/>
    </row>
    <row r="113" spans="2:23">
      <c r="B113" s="563">
        <v>521</v>
      </c>
      <c r="C113" s="564" t="s">
        <v>574</v>
      </c>
      <c r="D113" s="565">
        <v>15</v>
      </c>
      <c r="E113" s="566">
        <v>15</v>
      </c>
      <c r="F113" s="566" t="s">
        <v>80</v>
      </c>
      <c r="G113" s="566" t="s">
        <v>80</v>
      </c>
      <c r="H113" s="566">
        <v>50</v>
      </c>
      <c r="I113" s="566">
        <v>100</v>
      </c>
      <c r="J113" s="566" t="s">
        <v>80</v>
      </c>
      <c r="K113" s="566" t="s">
        <v>562</v>
      </c>
      <c r="L113" s="567">
        <v>0.9</v>
      </c>
      <c r="M113" s="568" t="s">
        <v>460</v>
      </c>
      <c r="N113" s="565" t="s">
        <v>508</v>
      </c>
      <c r="O113" s="567">
        <v>0.7</v>
      </c>
      <c r="P113" s="566" t="s">
        <v>476</v>
      </c>
      <c r="Q113" s="569"/>
      <c r="R113" s="570">
        <v>690.25</v>
      </c>
      <c r="S113" s="571">
        <v>1449.53</v>
      </c>
      <c r="T113" s="571">
        <v>1311.48</v>
      </c>
      <c r="U113" s="571">
        <v>2070.75</v>
      </c>
      <c r="V113" s="572"/>
      <c r="W113" s="573">
        <v>-0.17606684571769626</v>
      </c>
    </row>
    <row r="114" spans="2:23">
      <c r="B114" s="576">
        <v>496</v>
      </c>
      <c r="C114" s="577" t="s">
        <v>574</v>
      </c>
      <c r="D114" s="578">
        <v>20</v>
      </c>
      <c r="E114" s="579">
        <v>20</v>
      </c>
      <c r="F114" s="579" t="s">
        <v>80</v>
      </c>
      <c r="G114" s="579" t="s">
        <v>80</v>
      </c>
      <c r="H114" s="579">
        <v>50</v>
      </c>
      <c r="I114" s="579">
        <v>100</v>
      </c>
      <c r="J114" s="579" t="s">
        <v>80</v>
      </c>
      <c r="K114" s="579" t="s">
        <v>532</v>
      </c>
      <c r="L114" s="580">
        <v>0.8</v>
      </c>
      <c r="M114" s="581" t="s">
        <v>535</v>
      </c>
      <c r="N114" s="578" t="s">
        <v>515</v>
      </c>
      <c r="O114" s="580">
        <v>0.6</v>
      </c>
      <c r="P114" s="579" t="s">
        <v>565</v>
      </c>
      <c r="Q114" s="582"/>
      <c r="R114" s="583">
        <v>679.04</v>
      </c>
      <c r="S114" s="382">
        <v>1425.99</v>
      </c>
      <c r="T114" s="382">
        <v>1290.18</v>
      </c>
      <c r="U114" s="382">
        <v>2037.12</v>
      </c>
      <c r="V114" s="584"/>
      <c r="W114" s="585">
        <v>-0.18944792599224114</v>
      </c>
    </row>
    <row r="115" spans="2:23">
      <c r="B115" s="576">
        <v>526</v>
      </c>
      <c r="C115" s="577" t="s">
        <v>574</v>
      </c>
      <c r="D115" s="578">
        <v>35</v>
      </c>
      <c r="E115" s="579">
        <v>35</v>
      </c>
      <c r="F115" s="579" t="s">
        <v>80</v>
      </c>
      <c r="G115" s="579" t="s">
        <v>80</v>
      </c>
      <c r="H115" s="579">
        <v>125</v>
      </c>
      <c r="I115" s="579">
        <v>250</v>
      </c>
      <c r="J115" s="579" t="s">
        <v>80</v>
      </c>
      <c r="K115" s="579" t="s">
        <v>578</v>
      </c>
      <c r="L115" s="580">
        <v>0.8</v>
      </c>
      <c r="M115" s="581" t="s">
        <v>513</v>
      </c>
      <c r="N115" s="578" t="s">
        <v>519</v>
      </c>
      <c r="O115" s="580">
        <v>0.6</v>
      </c>
      <c r="P115" s="579" t="s">
        <v>495</v>
      </c>
      <c r="Q115" s="582"/>
      <c r="R115" s="583">
        <v>672.11</v>
      </c>
      <c r="S115" s="382">
        <v>1411.44</v>
      </c>
      <c r="T115" s="382">
        <v>1277.01</v>
      </c>
      <c r="U115" s="382">
        <v>2016.33</v>
      </c>
      <c r="V115" s="584"/>
      <c r="W115" s="585">
        <v>-0.1977200835571471</v>
      </c>
    </row>
    <row r="116" spans="2:23">
      <c r="B116" s="576" t="s">
        <v>579</v>
      </c>
      <c r="C116" s="577" t="s">
        <v>574</v>
      </c>
      <c r="D116" s="578">
        <v>20</v>
      </c>
      <c r="E116" s="579">
        <v>40</v>
      </c>
      <c r="F116" s="579" t="s">
        <v>80</v>
      </c>
      <c r="G116" s="579" t="s">
        <v>80</v>
      </c>
      <c r="H116" s="579">
        <v>125</v>
      </c>
      <c r="I116" s="579">
        <v>250</v>
      </c>
      <c r="J116" s="579" t="s">
        <v>80</v>
      </c>
      <c r="K116" s="579" t="s">
        <v>562</v>
      </c>
      <c r="L116" s="580">
        <v>0.9</v>
      </c>
      <c r="M116" s="581" t="s">
        <v>460</v>
      </c>
      <c r="N116" s="578" t="s">
        <v>508</v>
      </c>
      <c r="O116" s="580">
        <v>0.7</v>
      </c>
      <c r="P116" s="579" t="s">
        <v>476</v>
      </c>
      <c r="Q116" s="582"/>
      <c r="R116" s="583">
        <v>669.46</v>
      </c>
      <c r="S116" s="382">
        <v>1405.87</v>
      </c>
      <c r="T116" s="382">
        <v>1271.98</v>
      </c>
      <c r="U116" s="382">
        <v>2008.38</v>
      </c>
      <c r="V116" s="584"/>
      <c r="W116" s="585">
        <v>-0.20088331841241414</v>
      </c>
    </row>
    <row r="117" spans="2:23">
      <c r="B117" s="586">
        <v>525</v>
      </c>
      <c r="C117" s="587" t="s">
        <v>574</v>
      </c>
      <c r="D117" s="588">
        <v>25</v>
      </c>
      <c r="E117" s="589">
        <v>25</v>
      </c>
      <c r="F117" s="589" t="s">
        <v>80</v>
      </c>
      <c r="G117" s="589" t="s">
        <v>80</v>
      </c>
      <c r="H117" s="589">
        <v>50</v>
      </c>
      <c r="I117" s="589">
        <v>100</v>
      </c>
      <c r="J117" s="589" t="s">
        <v>80</v>
      </c>
      <c r="K117" s="589" t="s">
        <v>562</v>
      </c>
      <c r="L117" s="590">
        <v>0.8</v>
      </c>
      <c r="M117" s="591" t="s">
        <v>460</v>
      </c>
      <c r="N117" s="588" t="s">
        <v>508</v>
      </c>
      <c r="O117" s="590">
        <v>0.6</v>
      </c>
      <c r="P117" s="589" t="s">
        <v>496</v>
      </c>
      <c r="Q117" s="592"/>
      <c r="R117" s="593">
        <v>666.14</v>
      </c>
      <c r="S117" s="594">
        <v>1398.9</v>
      </c>
      <c r="T117" s="594">
        <v>1265.67</v>
      </c>
      <c r="U117" s="594">
        <v>1998.42</v>
      </c>
      <c r="V117" s="595"/>
      <c r="W117" s="596">
        <v>-0.20484631453297519</v>
      </c>
    </row>
    <row r="118" spans="2:23">
      <c r="B118" s="563">
        <v>523</v>
      </c>
      <c r="C118" s="564" t="s">
        <v>574</v>
      </c>
      <c r="D118" s="565">
        <v>15</v>
      </c>
      <c r="E118" s="566">
        <v>15</v>
      </c>
      <c r="F118" s="566" t="s">
        <v>80</v>
      </c>
      <c r="G118" s="566" t="s">
        <v>80</v>
      </c>
      <c r="H118" s="566">
        <v>50</v>
      </c>
      <c r="I118" s="566">
        <v>100</v>
      </c>
      <c r="J118" s="566" t="s">
        <v>80</v>
      </c>
      <c r="K118" s="566" t="s">
        <v>580</v>
      </c>
      <c r="L118" s="567">
        <v>0.9</v>
      </c>
      <c r="M118" s="568" t="s">
        <v>535</v>
      </c>
      <c r="N118" s="565" t="s">
        <v>460</v>
      </c>
      <c r="O118" s="567">
        <v>0.7</v>
      </c>
      <c r="P118" s="566" t="s">
        <v>565</v>
      </c>
      <c r="Q118" s="569"/>
      <c r="R118" s="570">
        <v>665.18</v>
      </c>
      <c r="S118" s="571">
        <v>1396.88</v>
      </c>
      <c r="T118" s="571">
        <v>1263.8499999999999</v>
      </c>
      <c r="U118" s="571">
        <v>1995.54</v>
      </c>
      <c r="V118" s="572"/>
      <c r="W118" s="573">
        <v>-0.20599224112205317</v>
      </c>
    </row>
    <row r="119" spans="2:23">
      <c r="B119" s="576" t="s">
        <v>581</v>
      </c>
      <c r="C119" s="577" t="s">
        <v>574</v>
      </c>
      <c r="D119" s="578">
        <v>20</v>
      </c>
      <c r="E119" s="579">
        <v>30</v>
      </c>
      <c r="F119" s="579" t="s">
        <v>80</v>
      </c>
      <c r="G119" s="579" t="s">
        <v>564</v>
      </c>
      <c r="H119" s="579">
        <v>125</v>
      </c>
      <c r="I119" s="579">
        <v>250</v>
      </c>
      <c r="J119" s="579" t="s">
        <v>80</v>
      </c>
      <c r="K119" s="579" t="s">
        <v>453</v>
      </c>
      <c r="L119" s="580">
        <v>0.7</v>
      </c>
      <c r="M119" s="581" t="s">
        <v>535</v>
      </c>
      <c r="N119" s="578" t="s">
        <v>458</v>
      </c>
      <c r="O119" s="580">
        <v>0.5</v>
      </c>
      <c r="P119" s="579" t="s">
        <v>565</v>
      </c>
      <c r="Q119" s="582"/>
      <c r="R119" s="583">
        <v>662.02</v>
      </c>
      <c r="S119" s="382">
        <v>1390.25</v>
      </c>
      <c r="T119" s="382">
        <v>1257.8399999999999</v>
      </c>
      <c r="U119" s="382">
        <v>1986.06</v>
      </c>
      <c r="V119" s="584"/>
      <c r="W119" s="585">
        <v>-0.20976424947776784</v>
      </c>
    </row>
    <row r="120" spans="2:23">
      <c r="B120" s="576" t="s">
        <v>582</v>
      </c>
      <c r="C120" s="577" t="s">
        <v>574</v>
      </c>
      <c r="D120" s="578">
        <v>25</v>
      </c>
      <c r="E120" s="579">
        <v>35</v>
      </c>
      <c r="F120" s="579" t="s">
        <v>80</v>
      </c>
      <c r="G120" s="579" t="s">
        <v>80</v>
      </c>
      <c r="H120" s="579">
        <v>125</v>
      </c>
      <c r="I120" s="579">
        <v>250</v>
      </c>
      <c r="J120" s="579" t="s">
        <v>80</v>
      </c>
      <c r="K120" s="579" t="s">
        <v>562</v>
      </c>
      <c r="L120" s="580">
        <v>0.8</v>
      </c>
      <c r="M120" s="581" t="s">
        <v>460</v>
      </c>
      <c r="N120" s="578" t="s">
        <v>508</v>
      </c>
      <c r="O120" s="580">
        <v>0.6</v>
      </c>
      <c r="P120" s="579" t="s">
        <v>460</v>
      </c>
      <c r="Q120" s="582"/>
      <c r="R120" s="583">
        <v>657.74</v>
      </c>
      <c r="S120" s="382">
        <v>1381.26</v>
      </c>
      <c r="T120" s="382">
        <v>1249.71</v>
      </c>
      <c r="U120" s="382">
        <v>1973.22</v>
      </c>
      <c r="V120" s="584"/>
      <c r="W120" s="585">
        <v>-0.21487317218740676</v>
      </c>
    </row>
    <row r="121" spans="2:23">
      <c r="B121" s="576" t="s">
        <v>583</v>
      </c>
      <c r="C121" s="577" t="s">
        <v>574</v>
      </c>
      <c r="D121" s="578">
        <v>20</v>
      </c>
      <c r="E121" s="579">
        <v>40</v>
      </c>
      <c r="F121" s="579" t="s">
        <v>80</v>
      </c>
      <c r="G121" s="579" t="s">
        <v>80</v>
      </c>
      <c r="H121" s="579">
        <v>50</v>
      </c>
      <c r="I121" s="579">
        <v>100</v>
      </c>
      <c r="J121" s="579" t="s">
        <v>80</v>
      </c>
      <c r="K121" s="579" t="s">
        <v>532</v>
      </c>
      <c r="L121" s="580">
        <v>0.8</v>
      </c>
      <c r="M121" s="581" t="s">
        <v>538</v>
      </c>
      <c r="N121" s="578" t="s">
        <v>515</v>
      </c>
      <c r="O121" s="580">
        <v>0.6</v>
      </c>
      <c r="P121" s="579" t="s">
        <v>584</v>
      </c>
      <c r="Q121" s="582"/>
      <c r="R121" s="583">
        <v>657.3</v>
      </c>
      <c r="S121" s="382">
        <v>1380.34</v>
      </c>
      <c r="T121" s="382">
        <v>1248.8699999999999</v>
      </c>
      <c r="U121" s="382">
        <v>1971.9</v>
      </c>
      <c r="V121" s="584"/>
      <c r="W121" s="585">
        <v>-0.21539838854073412</v>
      </c>
    </row>
    <row r="122" spans="2:23">
      <c r="B122" s="586">
        <v>498</v>
      </c>
      <c r="C122" s="587" t="s">
        <v>574</v>
      </c>
      <c r="D122" s="588">
        <v>20</v>
      </c>
      <c r="E122" s="589">
        <v>20</v>
      </c>
      <c r="F122" s="589" t="s">
        <v>80</v>
      </c>
      <c r="G122" s="589" t="s">
        <v>564</v>
      </c>
      <c r="H122" s="589">
        <v>125</v>
      </c>
      <c r="I122" s="589">
        <v>250</v>
      </c>
      <c r="J122" s="589" t="s">
        <v>80</v>
      </c>
      <c r="K122" s="589" t="s">
        <v>532</v>
      </c>
      <c r="L122" s="590">
        <v>0.8</v>
      </c>
      <c r="M122" s="591" t="s">
        <v>538</v>
      </c>
      <c r="N122" s="588" t="s">
        <v>515</v>
      </c>
      <c r="O122" s="590">
        <v>0.6</v>
      </c>
      <c r="P122" s="589" t="s">
        <v>584</v>
      </c>
      <c r="Q122" s="592"/>
      <c r="R122" s="593">
        <v>655.82</v>
      </c>
      <c r="S122" s="594">
        <v>1377.23</v>
      </c>
      <c r="T122" s="594">
        <v>1246.06</v>
      </c>
      <c r="U122" s="594">
        <v>1967.46</v>
      </c>
      <c r="V122" s="595"/>
      <c r="W122" s="596">
        <v>-0.21716502536556248</v>
      </c>
    </row>
    <row r="123" spans="2:23">
      <c r="B123" s="598"/>
      <c r="C123" s="599"/>
      <c r="D123" s="566"/>
      <c r="E123" s="566"/>
      <c r="F123" s="566"/>
      <c r="G123" s="566"/>
      <c r="H123" s="566"/>
      <c r="I123" s="566"/>
      <c r="J123" s="566"/>
      <c r="K123" s="566"/>
      <c r="L123" s="567"/>
      <c r="M123" s="566"/>
      <c r="N123" s="566"/>
      <c r="O123" s="567"/>
      <c r="P123" s="566"/>
      <c r="Q123" s="598"/>
      <c r="R123" s="571"/>
      <c r="S123" s="571"/>
      <c r="T123" s="571"/>
      <c r="U123" s="571"/>
      <c r="V123" s="600"/>
      <c r="W123" s="601"/>
    </row>
    <row r="124" spans="2:23">
      <c r="B124" s="602" t="s">
        <v>334</v>
      </c>
      <c r="C124" s="603"/>
      <c r="D124" s="579"/>
      <c r="E124" s="579"/>
      <c r="F124" s="579"/>
      <c r="G124" s="579"/>
      <c r="H124" s="579"/>
      <c r="I124" s="579"/>
      <c r="J124" s="579"/>
      <c r="K124" s="579"/>
      <c r="L124" s="580"/>
      <c r="M124" s="579"/>
      <c r="N124" s="579"/>
      <c r="O124" s="580"/>
      <c r="P124" s="579"/>
      <c r="Q124" s="374"/>
      <c r="R124" s="382"/>
      <c r="S124" s="382"/>
      <c r="T124" s="382"/>
      <c r="U124" s="382"/>
      <c r="V124" s="604"/>
      <c r="W124" s="605"/>
    </row>
    <row r="125" spans="2:23">
      <c r="B125" s="606" t="s">
        <v>570</v>
      </c>
      <c r="G125" s="579"/>
      <c r="H125" s="579"/>
      <c r="I125" s="579"/>
      <c r="J125" s="579"/>
      <c r="K125" s="579"/>
      <c r="M125" s="607"/>
      <c r="N125" s="579"/>
      <c r="O125" s="580"/>
      <c r="P125" s="579"/>
      <c r="Q125" s="374"/>
      <c r="R125" s="382"/>
      <c r="S125" s="382"/>
      <c r="T125" s="382"/>
      <c r="U125" s="382"/>
      <c r="V125" s="604"/>
      <c r="W125" s="605"/>
    </row>
    <row r="126" spans="2:23">
      <c r="B126" s="606" t="s">
        <v>335</v>
      </c>
      <c r="G126" s="579"/>
      <c r="H126" s="579"/>
      <c r="I126" s="579"/>
      <c r="J126" s="579"/>
      <c r="K126" s="579"/>
      <c r="L126" s="580"/>
      <c r="M126" s="579"/>
      <c r="N126" s="579"/>
      <c r="O126" s="580"/>
      <c r="P126" s="579"/>
      <c r="Q126" s="374"/>
      <c r="R126" s="382"/>
      <c r="S126" s="382"/>
      <c r="T126" s="382"/>
      <c r="U126" s="382"/>
      <c r="V126" s="604"/>
      <c r="W126" s="605"/>
    </row>
    <row r="127" spans="2:23">
      <c r="B127" s="606" t="s">
        <v>571</v>
      </c>
      <c r="G127" s="579"/>
      <c r="H127" s="579"/>
      <c r="I127" s="579"/>
      <c r="J127" s="579"/>
      <c r="K127" s="579"/>
      <c r="L127" s="580"/>
      <c r="M127" s="579"/>
      <c r="N127" s="579"/>
      <c r="O127" s="580"/>
      <c r="P127" s="579"/>
      <c r="Q127" s="374"/>
      <c r="R127" s="382"/>
      <c r="S127" s="382"/>
      <c r="T127" s="382"/>
      <c r="U127" s="382"/>
      <c r="V127" s="604"/>
      <c r="W127" s="605"/>
    </row>
    <row r="129" spans="2:24">
      <c r="B129" s="606" t="s">
        <v>336</v>
      </c>
      <c r="C129" s="609"/>
      <c r="G129" s="371" t="s">
        <v>572</v>
      </c>
    </row>
    <row r="130" spans="2:24">
      <c r="B130" s="610" t="s">
        <v>432</v>
      </c>
      <c r="C130" s="611"/>
    </row>
    <row r="131" spans="2:24">
      <c r="B131" s="610" t="s">
        <v>125</v>
      </c>
      <c r="C131" s="612"/>
    </row>
    <row r="132" spans="2:24">
      <c r="B132" s="610" t="s">
        <v>126</v>
      </c>
      <c r="C132" s="612"/>
    </row>
    <row r="133" spans="2:24">
      <c r="B133" s="610" t="s">
        <v>127</v>
      </c>
      <c r="C133" s="612"/>
    </row>
    <row r="134" spans="2:24">
      <c r="B134" s="610" t="s">
        <v>128</v>
      </c>
      <c r="C134" s="612"/>
      <c r="N134" s="613"/>
      <c r="O134" s="613"/>
      <c r="P134" s="613"/>
      <c r="Q134" s="614"/>
      <c r="R134" s="615"/>
      <c r="X134" s="616"/>
    </row>
    <row r="135" spans="2:24">
      <c r="B135" s="610" t="s">
        <v>433</v>
      </c>
      <c r="C135" s="617"/>
    </row>
    <row r="136" spans="2:24">
      <c r="B136" s="610" t="s">
        <v>434</v>
      </c>
      <c r="C136" s="618"/>
    </row>
    <row r="137" spans="2:24">
      <c r="B137" s="610" t="s">
        <v>435</v>
      </c>
    </row>
    <row r="138" spans="2:24">
      <c r="B138" s="610" t="s">
        <v>436</v>
      </c>
      <c r="C138" s="618"/>
    </row>
    <row r="139" spans="2:24">
      <c r="B139" s="610" t="s">
        <v>437</v>
      </c>
      <c r="C139" s="618"/>
    </row>
    <row r="140" spans="2:24">
      <c r="B140" s="610" t="s">
        <v>438</v>
      </c>
      <c r="N140" s="619"/>
      <c r="O140" s="619"/>
      <c r="P140" s="619"/>
    </row>
    <row r="141" spans="2:24">
      <c r="B141" s="610" t="s">
        <v>439</v>
      </c>
    </row>
    <row r="142" spans="2:24">
      <c r="B142" s="610" t="s">
        <v>440</v>
      </c>
    </row>
    <row r="143" spans="2:24">
      <c r="B143" s="610" t="s">
        <v>441</v>
      </c>
    </row>
    <row r="144" spans="2:24">
      <c r="B144" s="610" t="s">
        <v>388</v>
      </c>
    </row>
    <row r="145" spans="1:24">
      <c r="B145" s="610" t="s">
        <v>388</v>
      </c>
    </row>
    <row r="146" spans="1:24">
      <c r="B146" s="610" t="s">
        <v>388</v>
      </c>
    </row>
    <row r="147" spans="1:24">
      <c r="B147" s="610" t="s">
        <v>442</v>
      </c>
    </row>
    <row r="148" spans="1:24">
      <c r="B148" s="610" t="s">
        <v>443</v>
      </c>
    </row>
    <row r="149" spans="1:24" ht="20.100000000000001" customHeight="1">
      <c r="B149" s="627" t="s">
        <v>198</v>
      </c>
      <c r="C149" s="620"/>
      <c r="V149" s="621"/>
      <c r="W149" s="621"/>
    </row>
    <row r="150" spans="1:24">
      <c r="B150" s="628" t="s">
        <v>192</v>
      </c>
      <c r="W150" s="621"/>
    </row>
    <row r="151" spans="1:24" ht="26.1" hidden="1" customHeight="1">
      <c r="A151" s="520"/>
      <c r="B151" s="520"/>
      <c r="C151" s="521"/>
      <c r="D151" s="520"/>
      <c r="E151" s="520"/>
      <c r="F151" s="520"/>
      <c r="G151" s="520"/>
      <c r="H151" s="520"/>
      <c r="I151" s="520"/>
      <c r="J151" s="520"/>
      <c r="K151" s="520"/>
      <c r="L151" s="520"/>
      <c r="M151" s="520"/>
      <c r="N151" s="520"/>
      <c r="O151" s="520"/>
      <c r="P151" s="520"/>
      <c r="Q151" s="520"/>
      <c r="R151" s="522"/>
      <c r="S151" s="522"/>
      <c r="T151" s="522"/>
      <c r="U151" s="522"/>
      <c r="V151" s="520"/>
      <c r="W151" s="520"/>
    </row>
    <row r="152" spans="1:24" ht="5.25" hidden="1" customHeight="1"/>
    <row r="153" spans="1:24" ht="24" hidden="1" customHeight="1">
      <c r="P153" s="213" t="s">
        <v>392</v>
      </c>
      <c r="R153" s="372" t="s">
        <v>318</v>
      </c>
      <c r="U153" s="525"/>
      <c r="V153" s="525"/>
      <c r="W153" s="526"/>
    </row>
    <row r="154" spans="1:24" ht="24" hidden="1" customHeight="1">
      <c r="A154" s="374"/>
      <c r="B154" s="373" t="s">
        <v>365</v>
      </c>
      <c r="C154" s="527"/>
      <c r="D154" s="374"/>
      <c r="E154" s="374"/>
      <c r="F154" s="374"/>
      <c r="G154" s="374"/>
      <c r="H154" s="374"/>
      <c r="I154" s="374"/>
      <c r="J154" s="374"/>
      <c r="K154" s="374"/>
      <c r="L154" s="374"/>
      <c r="M154" s="374"/>
      <c r="N154" s="374"/>
      <c r="O154" s="374"/>
      <c r="P154" s="374"/>
      <c r="Q154" s="374"/>
      <c r="R154" s="382"/>
      <c r="S154" s="382"/>
      <c r="T154" s="382"/>
      <c r="U154" s="528"/>
      <c r="V154" s="529"/>
      <c r="W154" s="526"/>
      <c r="X154" s="374"/>
    </row>
    <row r="155" spans="1:24" ht="18" hidden="1" customHeight="1">
      <c r="B155" s="530" t="s">
        <v>503</v>
      </c>
      <c r="C155" s="531"/>
      <c r="R155" s="380"/>
      <c r="S155" s="380"/>
      <c r="T155" s="380"/>
      <c r="U155" s="380"/>
    </row>
    <row r="156" spans="1:24" ht="15.9" hidden="1" customHeight="1">
      <c r="B156" s="530"/>
      <c r="C156" s="531"/>
      <c r="R156" s="380"/>
      <c r="S156" s="380"/>
      <c r="T156" s="380"/>
      <c r="U156" s="380"/>
    </row>
    <row r="157" spans="1:24" ht="15.75" hidden="1" customHeight="1">
      <c r="B157" s="221"/>
      <c r="C157" s="222" t="s">
        <v>159</v>
      </c>
      <c r="D157" s="223" t="s">
        <v>392</v>
      </c>
      <c r="E157" s="223"/>
      <c r="F157" s="223"/>
      <c r="G157" s="387"/>
      <c r="H157" s="623"/>
      <c r="I157" s="388"/>
      <c r="J157" s="394"/>
      <c r="R157" s="380"/>
      <c r="S157" s="380"/>
      <c r="T157" s="380"/>
      <c r="U157" s="380"/>
    </row>
    <row r="158" spans="1:24" ht="14.1" hidden="1" customHeight="1">
      <c r="B158" s="226"/>
      <c r="C158" s="227" t="s">
        <v>160</v>
      </c>
      <c r="D158" s="392" t="s">
        <v>395</v>
      </c>
      <c r="E158" s="392"/>
      <c r="F158" s="392"/>
      <c r="G158" s="394"/>
      <c r="H158" s="382"/>
      <c r="I158" s="624"/>
      <c r="J158" s="394"/>
      <c r="R158" s="380"/>
      <c r="S158" s="380"/>
      <c r="T158" s="380"/>
      <c r="U158" s="380"/>
    </row>
    <row r="159" spans="1:24" ht="18" hidden="1" customHeight="1">
      <c r="B159" s="230"/>
      <c r="C159" s="231" t="s">
        <v>161</v>
      </c>
      <c r="D159" s="232" t="s">
        <v>464</v>
      </c>
      <c r="E159" s="232"/>
      <c r="F159" s="232"/>
      <c r="G159" s="397"/>
      <c r="H159" s="625"/>
      <c r="I159" s="398"/>
      <c r="J159" s="394"/>
      <c r="R159" s="380"/>
      <c r="S159" s="380"/>
      <c r="T159" s="380"/>
      <c r="U159" s="380"/>
    </row>
    <row r="160" spans="1:24" hidden="1">
      <c r="C160" s="550"/>
    </row>
    <row r="161" spans="2:23" hidden="1">
      <c r="B161" s="549"/>
      <c r="C161" s="550"/>
      <c r="D161" s="551" t="s">
        <v>319</v>
      </c>
      <c r="E161" s="551"/>
      <c r="F161" s="551"/>
      <c r="G161" s="551"/>
      <c r="H161" s="551"/>
      <c r="I161" s="551"/>
      <c r="J161" s="551"/>
      <c r="K161" s="551"/>
      <c r="L161" s="551"/>
      <c r="M161" s="551"/>
      <c r="N161" s="551" t="s">
        <v>320</v>
      </c>
      <c r="O161" s="551"/>
      <c r="P161" s="551"/>
      <c r="Q161" s="551"/>
      <c r="R161" s="552"/>
      <c r="S161" s="553" t="s">
        <v>182</v>
      </c>
      <c r="T161" s="553" t="s">
        <v>182</v>
      </c>
      <c r="U161" s="553" t="s">
        <v>182</v>
      </c>
      <c r="V161" s="554"/>
      <c r="W161" s="555" t="s">
        <v>321</v>
      </c>
    </row>
    <row r="162" spans="2:23" ht="15" hidden="1" customHeight="1">
      <c r="B162" s="374"/>
      <c r="C162" s="527"/>
      <c r="D162" s="556" t="s">
        <v>322</v>
      </c>
      <c r="E162" s="556" t="s">
        <v>323</v>
      </c>
      <c r="F162" s="556" t="s">
        <v>324</v>
      </c>
      <c r="G162" s="556" t="s">
        <v>325</v>
      </c>
      <c r="H162" s="556" t="s">
        <v>326</v>
      </c>
      <c r="I162" s="556" t="s">
        <v>327</v>
      </c>
      <c r="J162" s="556" t="s">
        <v>328</v>
      </c>
      <c r="K162" s="556" t="s">
        <v>329</v>
      </c>
      <c r="L162" s="556" t="s">
        <v>330</v>
      </c>
      <c r="M162" s="556" t="s">
        <v>331</v>
      </c>
      <c r="N162" s="556" t="s">
        <v>329</v>
      </c>
      <c r="O162" s="556" t="s">
        <v>330</v>
      </c>
      <c r="P162" s="556" t="s">
        <v>331</v>
      </c>
      <c r="Q162" s="556">
        <v>0</v>
      </c>
      <c r="R162" s="626" t="s">
        <v>182</v>
      </c>
      <c r="S162" s="626" t="s">
        <v>466</v>
      </c>
      <c r="T162" s="626" t="s">
        <v>467</v>
      </c>
      <c r="U162" s="626" t="s">
        <v>332</v>
      </c>
      <c r="V162" s="556">
        <v>0</v>
      </c>
      <c r="W162" s="556" t="s">
        <v>333</v>
      </c>
    </row>
    <row r="163" spans="2:23" hidden="1">
      <c r="B163" s="563">
        <v>0</v>
      </c>
      <c r="C163" s="564" t="s">
        <v>388</v>
      </c>
      <c r="D163" s="565" t="s">
        <v>388</v>
      </c>
      <c r="E163" s="566" t="s">
        <v>388</v>
      </c>
      <c r="F163" s="566" t="s">
        <v>388</v>
      </c>
      <c r="G163" s="566" t="s">
        <v>388</v>
      </c>
      <c r="H163" s="566" t="s">
        <v>388</v>
      </c>
      <c r="I163" s="566" t="s">
        <v>388</v>
      </c>
      <c r="J163" s="566" t="s">
        <v>388</v>
      </c>
      <c r="K163" s="566" t="s">
        <v>388</v>
      </c>
      <c r="L163" s="567" t="s">
        <v>388</v>
      </c>
      <c r="M163" s="568" t="s">
        <v>388</v>
      </c>
      <c r="N163" s="565" t="s">
        <v>388</v>
      </c>
      <c r="O163" s="567" t="s">
        <v>388</v>
      </c>
      <c r="P163" s="566" t="s">
        <v>388</v>
      </c>
      <c r="Q163" s="569"/>
      <c r="R163" s="570" t="e">
        <v>#VALUE!</v>
      </c>
      <c r="S163" s="571" t="e">
        <v>#VALUE!</v>
      </c>
      <c r="T163" s="571" t="e">
        <v>#VALUE!</v>
      </c>
      <c r="U163" s="571" t="e">
        <v>#VALUE!</v>
      </c>
      <c r="V163" s="572"/>
      <c r="W163" s="573" t="s">
        <v>388</v>
      </c>
    </row>
    <row r="164" spans="2:23" hidden="1">
      <c r="B164" s="576">
        <v>0</v>
      </c>
      <c r="C164" s="577" t="s">
        <v>388</v>
      </c>
      <c r="D164" s="578" t="s">
        <v>388</v>
      </c>
      <c r="E164" s="579" t="s">
        <v>388</v>
      </c>
      <c r="F164" s="579" t="s">
        <v>388</v>
      </c>
      <c r="G164" s="579" t="s">
        <v>388</v>
      </c>
      <c r="H164" s="579" t="s">
        <v>388</v>
      </c>
      <c r="I164" s="579" t="s">
        <v>388</v>
      </c>
      <c r="J164" s="579" t="s">
        <v>388</v>
      </c>
      <c r="K164" s="579" t="s">
        <v>388</v>
      </c>
      <c r="L164" s="580" t="s">
        <v>388</v>
      </c>
      <c r="M164" s="581" t="s">
        <v>388</v>
      </c>
      <c r="N164" s="578" t="s">
        <v>388</v>
      </c>
      <c r="O164" s="580" t="s">
        <v>388</v>
      </c>
      <c r="P164" s="579" t="s">
        <v>388</v>
      </c>
      <c r="Q164" s="582"/>
      <c r="R164" s="583" t="e">
        <v>#VALUE!</v>
      </c>
      <c r="S164" s="382" t="e">
        <v>#VALUE!</v>
      </c>
      <c r="T164" s="382" t="e">
        <v>#VALUE!</v>
      </c>
      <c r="U164" s="382" t="e">
        <v>#VALUE!</v>
      </c>
      <c r="V164" s="584"/>
      <c r="W164" s="585" t="s">
        <v>388</v>
      </c>
    </row>
    <row r="165" spans="2:23" hidden="1">
      <c r="B165" s="576">
        <v>0</v>
      </c>
      <c r="C165" s="577" t="s">
        <v>388</v>
      </c>
      <c r="D165" s="578" t="s">
        <v>388</v>
      </c>
      <c r="E165" s="579" t="s">
        <v>388</v>
      </c>
      <c r="F165" s="579" t="s">
        <v>388</v>
      </c>
      <c r="G165" s="579" t="s">
        <v>388</v>
      </c>
      <c r="H165" s="579" t="s">
        <v>388</v>
      </c>
      <c r="I165" s="579" t="s">
        <v>388</v>
      </c>
      <c r="J165" s="579" t="s">
        <v>388</v>
      </c>
      <c r="K165" s="579" t="s">
        <v>388</v>
      </c>
      <c r="L165" s="580" t="s">
        <v>388</v>
      </c>
      <c r="M165" s="581" t="s">
        <v>388</v>
      </c>
      <c r="N165" s="578" t="s">
        <v>388</v>
      </c>
      <c r="O165" s="580" t="s">
        <v>388</v>
      </c>
      <c r="P165" s="579" t="s">
        <v>388</v>
      </c>
      <c r="Q165" s="582"/>
      <c r="R165" s="583" t="e">
        <v>#VALUE!</v>
      </c>
      <c r="S165" s="382" t="e">
        <v>#VALUE!</v>
      </c>
      <c r="T165" s="382" t="e">
        <v>#VALUE!</v>
      </c>
      <c r="U165" s="382" t="e">
        <v>#VALUE!</v>
      </c>
      <c r="V165" s="584"/>
      <c r="W165" s="585" t="s">
        <v>388</v>
      </c>
    </row>
    <row r="166" spans="2:23" hidden="1">
      <c r="B166" s="576">
        <v>0</v>
      </c>
      <c r="C166" s="577" t="s">
        <v>388</v>
      </c>
      <c r="D166" s="578" t="s">
        <v>388</v>
      </c>
      <c r="E166" s="579" t="s">
        <v>388</v>
      </c>
      <c r="F166" s="579" t="s">
        <v>388</v>
      </c>
      <c r="G166" s="579" t="s">
        <v>388</v>
      </c>
      <c r="H166" s="579" t="s">
        <v>388</v>
      </c>
      <c r="I166" s="579" t="s">
        <v>388</v>
      </c>
      <c r="J166" s="579" t="s">
        <v>388</v>
      </c>
      <c r="K166" s="579" t="s">
        <v>388</v>
      </c>
      <c r="L166" s="580" t="s">
        <v>388</v>
      </c>
      <c r="M166" s="581" t="s">
        <v>388</v>
      </c>
      <c r="N166" s="578" t="s">
        <v>388</v>
      </c>
      <c r="O166" s="580" t="s">
        <v>388</v>
      </c>
      <c r="P166" s="579" t="s">
        <v>388</v>
      </c>
      <c r="Q166" s="582"/>
      <c r="R166" s="583" t="e">
        <v>#VALUE!</v>
      </c>
      <c r="S166" s="382" t="e">
        <v>#VALUE!</v>
      </c>
      <c r="T166" s="382" t="e">
        <v>#VALUE!</v>
      </c>
      <c r="U166" s="382" t="e">
        <v>#VALUE!</v>
      </c>
      <c r="V166" s="584"/>
      <c r="W166" s="585" t="s">
        <v>388</v>
      </c>
    </row>
    <row r="167" spans="2:23" hidden="1">
      <c r="B167" s="586">
        <v>0</v>
      </c>
      <c r="C167" s="587" t="s">
        <v>388</v>
      </c>
      <c r="D167" s="588" t="s">
        <v>388</v>
      </c>
      <c r="E167" s="589" t="s">
        <v>388</v>
      </c>
      <c r="F167" s="589" t="s">
        <v>388</v>
      </c>
      <c r="G167" s="589" t="s">
        <v>388</v>
      </c>
      <c r="H167" s="589" t="s">
        <v>388</v>
      </c>
      <c r="I167" s="589" t="s">
        <v>388</v>
      </c>
      <c r="J167" s="589" t="s">
        <v>388</v>
      </c>
      <c r="K167" s="589" t="s">
        <v>388</v>
      </c>
      <c r="L167" s="590" t="s">
        <v>388</v>
      </c>
      <c r="M167" s="591" t="s">
        <v>388</v>
      </c>
      <c r="N167" s="588" t="s">
        <v>388</v>
      </c>
      <c r="O167" s="590" t="s">
        <v>388</v>
      </c>
      <c r="P167" s="589" t="s">
        <v>388</v>
      </c>
      <c r="Q167" s="592"/>
      <c r="R167" s="593" t="e">
        <v>#VALUE!</v>
      </c>
      <c r="S167" s="594" t="e">
        <v>#VALUE!</v>
      </c>
      <c r="T167" s="594" t="e">
        <v>#VALUE!</v>
      </c>
      <c r="U167" s="594" t="e">
        <v>#VALUE!</v>
      </c>
      <c r="V167" s="595"/>
      <c r="W167" s="596" t="s">
        <v>388</v>
      </c>
    </row>
    <row r="168" spans="2:23" hidden="1">
      <c r="B168" s="563">
        <v>0</v>
      </c>
      <c r="C168" s="564" t="s">
        <v>388</v>
      </c>
      <c r="D168" s="565" t="s">
        <v>388</v>
      </c>
      <c r="E168" s="566" t="s">
        <v>388</v>
      </c>
      <c r="F168" s="566" t="s">
        <v>388</v>
      </c>
      <c r="G168" s="566" t="s">
        <v>388</v>
      </c>
      <c r="H168" s="566" t="s">
        <v>388</v>
      </c>
      <c r="I168" s="566" t="s">
        <v>388</v>
      </c>
      <c r="J168" s="566" t="s">
        <v>388</v>
      </c>
      <c r="K168" s="566" t="s">
        <v>388</v>
      </c>
      <c r="L168" s="567" t="s">
        <v>388</v>
      </c>
      <c r="M168" s="568" t="s">
        <v>388</v>
      </c>
      <c r="N168" s="565" t="s">
        <v>388</v>
      </c>
      <c r="O168" s="567" t="s">
        <v>388</v>
      </c>
      <c r="P168" s="566" t="s">
        <v>388</v>
      </c>
      <c r="Q168" s="569"/>
      <c r="R168" s="570" t="e">
        <v>#VALUE!</v>
      </c>
      <c r="S168" s="571" t="e">
        <v>#VALUE!</v>
      </c>
      <c r="T168" s="571" t="e">
        <v>#VALUE!</v>
      </c>
      <c r="U168" s="571" t="e">
        <v>#VALUE!</v>
      </c>
      <c r="V168" s="572"/>
      <c r="W168" s="573" t="s">
        <v>388</v>
      </c>
    </row>
    <row r="169" spans="2:23" hidden="1">
      <c r="B169" s="576">
        <v>0</v>
      </c>
      <c r="C169" s="577" t="s">
        <v>388</v>
      </c>
      <c r="D169" s="578" t="s">
        <v>388</v>
      </c>
      <c r="E169" s="579" t="s">
        <v>388</v>
      </c>
      <c r="F169" s="579" t="s">
        <v>388</v>
      </c>
      <c r="G169" s="579" t="s">
        <v>388</v>
      </c>
      <c r="H169" s="579" t="s">
        <v>388</v>
      </c>
      <c r="I169" s="579" t="s">
        <v>388</v>
      </c>
      <c r="J169" s="579" t="s">
        <v>388</v>
      </c>
      <c r="K169" s="579" t="s">
        <v>388</v>
      </c>
      <c r="L169" s="580" t="s">
        <v>388</v>
      </c>
      <c r="M169" s="581" t="s">
        <v>388</v>
      </c>
      <c r="N169" s="578" t="s">
        <v>388</v>
      </c>
      <c r="O169" s="580" t="s">
        <v>388</v>
      </c>
      <c r="P169" s="579" t="s">
        <v>388</v>
      </c>
      <c r="Q169" s="582"/>
      <c r="R169" s="583" t="e">
        <v>#VALUE!</v>
      </c>
      <c r="S169" s="382" t="e">
        <v>#VALUE!</v>
      </c>
      <c r="T169" s="382" t="e">
        <v>#VALUE!</v>
      </c>
      <c r="U169" s="382" t="e">
        <v>#VALUE!</v>
      </c>
      <c r="V169" s="584"/>
      <c r="W169" s="585" t="s">
        <v>388</v>
      </c>
    </row>
    <row r="170" spans="2:23" hidden="1">
      <c r="B170" s="576">
        <v>0</v>
      </c>
      <c r="C170" s="577" t="s">
        <v>388</v>
      </c>
      <c r="D170" s="578" t="s">
        <v>388</v>
      </c>
      <c r="E170" s="579" t="s">
        <v>388</v>
      </c>
      <c r="F170" s="579" t="s">
        <v>388</v>
      </c>
      <c r="G170" s="579" t="s">
        <v>388</v>
      </c>
      <c r="H170" s="579" t="s">
        <v>388</v>
      </c>
      <c r="I170" s="579" t="s">
        <v>388</v>
      </c>
      <c r="J170" s="579" t="s">
        <v>388</v>
      </c>
      <c r="K170" s="579" t="s">
        <v>388</v>
      </c>
      <c r="L170" s="580" t="s">
        <v>388</v>
      </c>
      <c r="M170" s="581" t="s">
        <v>388</v>
      </c>
      <c r="N170" s="578" t="s">
        <v>388</v>
      </c>
      <c r="O170" s="580" t="s">
        <v>388</v>
      </c>
      <c r="P170" s="579" t="s">
        <v>388</v>
      </c>
      <c r="Q170" s="582"/>
      <c r="R170" s="583" t="e">
        <v>#VALUE!</v>
      </c>
      <c r="S170" s="382" t="e">
        <v>#VALUE!</v>
      </c>
      <c r="T170" s="382" t="e">
        <v>#VALUE!</v>
      </c>
      <c r="U170" s="382" t="e">
        <v>#VALUE!</v>
      </c>
      <c r="V170" s="584"/>
      <c r="W170" s="585" t="s">
        <v>388</v>
      </c>
    </row>
    <row r="171" spans="2:23" hidden="1">
      <c r="B171" s="576">
        <v>0</v>
      </c>
      <c r="C171" s="577" t="s">
        <v>388</v>
      </c>
      <c r="D171" s="578" t="s">
        <v>388</v>
      </c>
      <c r="E171" s="579" t="s">
        <v>388</v>
      </c>
      <c r="F171" s="579" t="s">
        <v>388</v>
      </c>
      <c r="G171" s="579" t="s">
        <v>388</v>
      </c>
      <c r="H171" s="579" t="s">
        <v>388</v>
      </c>
      <c r="I171" s="579" t="s">
        <v>388</v>
      </c>
      <c r="J171" s="579" t="s">
        <v>388</v>
      </c>
      <c r="K171" s="579" t="s">
        <v>388</v>
      </c>
      <c r="L171" s="580" t="s">
        <v>388</v>
      </c>
      <c r="M171" s="581" t="s">
        <v>388</v>
      </c>
      <c r="N171" s="578" t="s">
        <v>388</v>
      </c>
      <c r="O171" s="580" t="s">
        <v>388</v>
      </c>
      <c r="P171" s="579" t="s">
        <v>388</v>
      </c>
      <c r="Q171" s="582"/>
      <c r="R171" s="583" t="e">
        <v>#VALUE!</v>
      </c>
      <c r="S171" s="382" t="e">
        <v>#VALUE!</v>
      </c>
      <c r="T171" s="382" t="e">
        <v>#VALUE!</v>
      </c>
      <c r="U171" s="382" t="e">
        <v>#VALUE!</v>
      </c>
      <c r="V171" s="584"/>
      <c r="W171" s="585" t="s">
        <v>388</v>
      </c>
    </row>
    <row r="172" spans="2:23" hidden="1">
      <c r="B172" s="586">
        <v>0</v>
      </c>
      <c r="C172" s="587" t="s">
        <v>388</v>
      </c>
      <c r="D172" s="588" t="s">
        <v>388</v>
      </c>
      <c r="E172" s="589" t="s">
        <v>388</v>
      </c>
      <c r="F172" s="589" t="s">
        <v>388</v>
      </c>
      <c r="G172" s="589" t="s">
        <v>388</v>
      </c>
      <c r="H172" s="589" t="s">
        <v>388</v>
      </c>
      <c r="I172" s="589" t="s">
        <v>388</v>
      </c>
      <c r="J172" s="589" t="s">
        <v>388</v>
      </c>
      <c r="K172" s="589" t="s">
        <v>388</v>
      </c>
      <c r="L172" s="590" t="s">
        <v>388</v>
      </c>
      <c r="M172" s="591" t="s">
        <v>388</v>
      </c>
      <c r="N172" s="588" t="s">
        <v>388</v>
      </c>
      <c r="O172" s="590" t="s">
        <v>388</v>
      </c>
      <c r="P172" s="589" t="s">
        <v>388</v>
      </c>
      <c r="Q172" s="592"/>
      <c r="R172" s="593" t="e">
        <v>#VALUE!</v>
      </c>
      <c r="S172" s="594" t="e">
        <v>#VALUE!</v>
      </c>
      <c r="T172" s="594" t="e">
        <v>#VALUE!</v>
      </c>
      <c r="U172" s="594" t="e">
        <v>#VALUE!</v>
      </c>
      <c r="V172" s="595"/>
      <c r="W172" s="596" t="s">
        <v>388</v>
      </c>
    </row>
    <row r="173" spans="2:23" hidden="1">
      <c r="B173" s="563">
        <v>0</v>
      </c>
      <c r="C173" s="564" t="s">
        <v>388</v>
      </c>
      <c r="D173" s="565" t="s">
        <v>388</v>
      </c>
      <c r="E173" s="566" t="s">
        <v>388</v>
      </c>
      <c r="F173" s="566" t="s">
        <v>388</v>
      </c>
      <c r="G173" s="566" t="s">
        <v>388</v>
      </c>
      <c r="H173" s="566" t="s">
        <v>388</v>
      </c>
      <c r="I173" s="566" t="s">
        <v>388</v>
      </c>
      <c r="J173" s="566" t="s">
        <v>388</v>
      </c>
      <c r="K173" s="566" t="s">
        <v>388</v>
      </c>
      <c r="L173" s="567" t="s">
        <v>388</v>
      </c>
      <c r="M173" s="568" t="s">
        <v>388</v>
      </c>
      <c r="N173" s="565" t="s">
        <v>388</v>
      </c>
      <c r="O173" s="567" t="s">
        <v>388</v>
      </c>
      <c r="P173" s="566" t="s">
        <v>388</v>
      </c>
      <c r="Q173" s="569"/>
      <c r="R173" s="570" t="e">
        <v>#VALUE!</v>
      </c>
      <c r="S173" s="571" t="e">
        <v>#VALUE!</v>
      </c>
      <c r="T173" s="571" t="e">
        <v>#VALUE!</v>
      </c>
      <c r="U173" s="571" t="e">
        <v>#VALUE!</v>
      </c>
      <c r="V173" s="572"/>
      <c r="W173" s="573" t="s">
        <v>388</v>
      </c>
    </row>
    <row r="174" spans="2:23" hidden="1">
      <c r="B174" s="576">
        <v>0</v>
      </c>
      <c r="C174" s="577" t="s">
        <v>388</v>
      </c>
      <c r="D174" s="578" t="s">
        <v>388</v>
      </c>
      <c r="E174" s="579" t="s">
        <v>388</v>
      </c>
      <c r="F174" s="579" t="s">
        <v>388</v>
      </c>
      <c r="G174" s="579" t="s">
        <v>388</v>
      </c>
      <c r="H174" s="579" t="s">
        <v>388</v>
      </c>
      <c r="I174" s="579" t="s">
        <v>388</v>
      </c>
      <c r="J174" s="579" t="s">
        <v>388</v>
      </c>
      <c r="K174" s="579" t="s">
        <v>388</v>
      </c>
      <c r="L174" s="580" t="s">
        <v>388</v>
      </c>
      <c r="M174" s="581" t="s">
        <v>388</v>
      </c>
      <c r="N174" s="578" t="s">
        <v>388</v>
      </c>
      <c r="O174" s="580" t="s">
        <v>388</v>
      </c>
      <c r="P174" s="579" t="s">
        <v>388</v>
      </c>
      <c r="Q174" s="582"/>
      <c r="R174" s="583" t="e">
        <v>#VALUE!</v>
      </c>
      <c r="S174" s="382" t="e">
        <v>#VALUE!</v>
      </c>
      <c r="T174" s="382" t="e">
        <v>#VALUE!</v>
      </c>
      <c r="U174" s="382" t="e">
        <v>#VALUE!</v>
      </c>
      <c r="V174" s="584"/>
      <c r="W174" s="585" t="s">
        <v>388</v>
      </c>
    </row>
    <row r="175" spans="2:23" hidden="1">
      <c r="B175" s="576">
        <v>0</v>
      </c>
      <c r="C175" s="577" t="s">
        <v>388</v>
      </c>
      <c r="D175" s="578" t="s">
        <v>388</v>
      </c>
      <c r="E175" s="579" t="s">
        <v>388</v>
      </c>
      <c r="F175" s="579" t="s">
        <v>388</v>
      </c>
      <c r="G175" s="579" t="s">
        <v>388</v>
      </c>
      <c r="H175" s="579" t="s">
        <v>388</v>
      </c>
      <c r="I175" s="579" t="s">
        <v>388</v>
      </c>
      <c r="J175" s="579" t="s">
        <v>388</v>
      </c>
      <c r="K175" s="579" t="s">
        <v>388</v>
      </c>
      <c r="L175" s="580" t="s">
        <v>388</v>
      </c>
      <c r="M175" s="581" t="s">
        <v>388</v>
      </c>
      <c r="N175" s="578" t="s">
        <v>388</v>
      </c>
      <c r="O175" s="580" t="s">
        <v>388</v>
      </c>
      <c r="P175" s="579" t="s">
        <v>388</v>
      </c>
      <c r="Q175" s="582"/>
      <c r="R175" s="583" t="e">
        <v>#VALUE!</v>
      </c>
      <c r="S175" s="382" t="e">
        <v>#VALUE!</v>
      </c>
      <c r="T175" s="382" t="e">
        <v>#VALUE!</v>
      </c>
      <c r="U175" s="382" t="e">
        <v>#VALUE!</v>
      </c>
      <c r="V175" s="584"/>
      <c r="W175" s="585" t="s">
        <v>388</v>
      </c>
    </row>
    <row r="176" spans="2:23" hidden="1">
      <c r="B176" s="576">
        <v>0</v>
      </c>
      <c r="C176" s="577" t="s">
        <v>388</v>
      </c>
      <c r="D176" s="578" t="s">
        <v>388</v>
      </c>
      <c r="E176" s="579" t="s">
        <v>388</v>
      </c>
      <c r="F176" s="579" t="s">
        <v>388</v>
      </c>
      <c r="G176" s="579" t="s">
        <v>388</v>
      </c>
      <c r="H176" s="579" t="s">
        <v>388</v>
      </c>
      <c r="I176" s="579" t="s">
        <v>388</v>
      </c>
      <c r="J176" s="579" t="s">
        <v>388</v>
      </c>
      <c r="K176" s="579" t="s">
        <v>388</v>
      </c>
      <c r="L176" s="580" t="s">
        <v>388</v>
      </c>
      <c r="M176" s="581" t="s">
        <v>388</v>
      </c>
      <c r="N176" s="578" t="s">
        <v>388</v>
      </c>
      <c r="O176" s="580" t="s">
        <v>388</v>
      </c>
      <c r="P176" s="579" t="s">
        <v>388</v>
      </c>
      <c r="Q176" s="582"/>
      <c r="R176" s="583" t="e">
        <v>#VALUE!</v>
      </c>
      <c r="S176" s="382" t="e">
        <v>#VALUE!</v>
      </c>
      <c r="T176" s="382" t="e">
        <v>#VALUE!</v>
      </c>
      <c r="U176" s="382" t="e">
        <v>#VALUE!</v>
      </c>
      <c r="V176" s="584"/>
      <c r="W176" s="585" t="s">
        <v>388</v>
      </c>
    </row>
    <row r="177" spans="1:24" hidden="1">
      <c r="B177" s="586">
        <v>0</v>
      </c>
      <c r="C177" s="587" t="s">
        <v>388</v>
      </c>
      <c r="D177" s="588" t="s">
        <v>388</v>
      </c>
      <c r="E177" s="589" t="s">
        <v>388</v>
      </c>
      <c r="F177" s="589" t="s">
        <v>388</v>
      </c>
      <c r="G177" s="589" t="s">
        <v>388</v>
      </c>
      <c r="H177" s="589" t="s">
        <v>388</v>
      </c>
      <c r="I177" s="589" t="s">
        <v>388</v>
      </c>
      <c r="J177" s="589" t="s">
        <v>388</v>
      </c>
      <c r="K177" s="589" t="s">
        <v>388</v>
      </c>
      <c r="L177" s="590" t="s">
        <v>388</v>
      </c>
      <c r="M177" s="591" t="s">
        <v>388</v>
      </c>
      <c r="N177" s="588" t="s">
        <v>388</v>
      </c>
      <c r="O177" s="590" t="s">
        <v>388</v>
      </c>
      <c r="P177" s="589" t="s">
        <v>388</v>
      </c>
      <c r="Q177" s="592"/>
      <c r="R177" s="593" t="e">
        <v>#VALUE!</v>
      </c>
      <c r="S177" s="594" t="e">
        <v>#VALUE!</v>
      </c>
      <c r="T177" s="594" t="e">
        <v>#VALUE!</v>
      </c>
      <c r="U177" s="594" t="e">
        <v>#VALUE!</v>
      </c>
      <c r="V177" s="595"/>
      <c r="W177" s="596" t="s">
        <v>388</v>
      </c>
    </row>
    <row r="178" spans="1:24" hidden="1">
      <c r="B178" s="563">
        <v>0</v>
      </c>
      <c r="C178" s="564" t="s">
        <v>388</v>
      </c>
      <c r="D178" s="565" t="s">
        <v>388</v>
      </c>
      <c r="E178" s="566" t="s">
        <v>388</v>
      </c>
      <c r="F178" s="566" t="s">
        <v>388</v>
      </c>
      <c r="G178" s="566" t="s">
        <v>388</v>
      </c>
      <c r="H178" s="566" t="s">
        <v>388</v>
      </c>
      <c r="I178" s="566" t="s">
        <v>388</v>
      </c>
      <c r="J178" s="566" t="s">
        <v>388</v>
      </c>
      <c r="K178" s="566" t="s">
        <v>388</v>
      </c>
      <c r="L178" s="567" t="s">
        <v>388</v>
      </c>
      <c r="M178" s="568" t="s">
        <v>388</v>
      </c>
      <c r="N178" s="565" t="s">
        <v>388</v>
      </c>
      <c r="O178" s="567" t="s">
        <v>388</v>
      </c>
      <c r="P178" s="566" t="s">
        <v>388</v>
      </c>
      <c r="Q178" s="569"/>
      <c r="R178" s="570" t="e">
        <v>#VALUE!</v>
      </c>
      <c r="S178" s="571" t="e">
        <v>#VALUE!</v>
      </c>
      <c r="T178" s="571" t="e">
        <v>#VALUE!</v>
      </c>
      <c r="U178" s="571" t="e">
        <v>#VALUE!</v>
      </c>
      <c r="V178" s="572"/>
      <c r="W178" s="573" t="s">
        <v>388</v>
      </c>
    </row>
    <row r="179" spans="1:24" hidden="1">
      <c r="B179" s="576">
        <v>0</v>
      </c>
      <c r="C179" s="577" t="s">
        <v>388</v>
      </c>
      <c r="D179" s="578" t="s">
        <v>388</v>
      </c>
      <c r="E179" s="579" t="s">
        <v>388</v>
      </c>
      <c r="F179" s="579" t="s">
        <v>388</v>
      </c>
      <c r="G179" s="579" t="s">
        <v>388</v>
      </c>
      <c r="H179" s="579" t="s">
        <v>388</v>
      </c>
      <c r="I179" s="579" t="s">
        <v>388</v>
      </c>
      <c r="J179" s="579" t="s">
        <v>388</v>
      </c>
      <c r="K179" s="579" t="s">
        <v>388</v>
      </c>
      <c r="L179" s="580" t="s">
        <v>388</v>
      </c>
      <c r="M179" s="581" t="s">
        <v>388</v>
      </c>
      <c r="N179" s="578" t="s">
        <v>388</v>
      </c>
      <c r="O179" s="580" t="s">
        <v>388</v>
      </c>
      <c r="P179" s="579" t="s">
        <v>388</v>
      </c>
      <c r="Q179" s="582"/>
      <c r="R179" s="583" t="e">
        <v>#VALUE!</v>
      </c>
      <c r="S179" s="382" t="e">
        <v>#VALUE!</v>
      </c>
      <c r="T179" s="382" t="e">
        <v>#VALUE!</v>
      </c>
      <c r="U179" s="382" t="e">
        <v>#VALUE!</v>
      </c>
      <c r="V179" s="584"/>
      <c r="W179" s="585" t="s">
        <v>388</v>
      </c>
    </row>
    <row r="180" spans="1:24" hidden="1">
      <c r="B180" s="576">
        <v>0</v>
      </c>
      <c r="C180" s="577" t="s">
        <v>388</v>
      </c>
      <c r="D180" s="578" t="s">
        <v>388</v>
      </c>
      <c r="E180" s="579" t="s">
        <v>388</v>
      </c>
      <c r="F180" s="579" t="s">
        <v>388</v>
      </c>
      <c r="G180" s="579" t="s">
        <v>388</v>
      </c>
      <c r="H180" s="579" t="s">
        <v>388</v>
      </c>
      <c r="I180" s="579" t="s">
        <v>388</v>
      </c>
      <c r="J180" s="579" t="s">
        <v>388</v>
      </c>
      <c r="K180" s="579" t="s">
        <v>388</v>
      </c>
      <c r="L180" s="580" t="s">
        <v>388</v>
      </c>
      <c r="M180" s="581" t="s">
        <v>388</v>
      </c>
      <c r="N180" s="578" t="s">
        <v>388</v>
      </c>
      <c r="O180" s="580" t="s">
        <v>388</v>
      </c>
      <c r="P180" s="579" t="s">
        <v>388</v>
      </c>
      <c r="Q180" s="582"/>
      <c r="R180" s="583" t="e">
        <v>#VALUE!</v>
      </c>
      <c r="S180" s="382" t="e">
        <v>#VALUE!</v>
      </c>
      <c r="T180" s="382" t="e">
        <v>#VALUE!</v>
      </c>
      <c r="U180" s="382" t="e">
        <v>#VALUE!</v>
      </c>
      <c r="V180" s="584"/>
      <c r="W180" s="585" t="s">
        <v>388</v>
      </c>
    </row>
    <row r="181" spans="1:24" hidden="1">
      <c r="B181" s="576">
        <v>0</v>
      </c>
      <c r="C181" s="577" t="s">
        <v>388</v>
      </c>
      <c r="D181" s="578" t="s">
        <v>388</v>
      </c>
      <c r="E181" s="579" t="s">
        <v>388</v>
      </c>
      <c r="F181" s="579" t="s">
        <v>388</v>
      </c>
      <c r="G181" s="579" t="s">
        <v>388</v>
      </c>
      <c r="H181" s="579" t="s">
        <v>388</v>
      </c>
      <c r="I181" s="579" t="s">
        <v>388</v>
      </c>
      <c r="J181" s="579" t="s">
        <v>388</v>
      </c>
      <c r="K181" s="579" t="s">
        <v>388</v>
      </c>
      <c r="L181" s="580" t="s">
        <v>388</v>
      </c>
      <c r="M181" s="581" t="s">
        <v>388</v>
      </c>
      <c r="N181" s="578" t="s">
        <v>388</v>
      </c>
      <c r="O181" s="580" t="s">
        <v>388</v>
      </c>
      <c r="P181" s="579" t="s">
        <v>388</v>
      </c>
      <c r="Q181" s="582"/>
      <c r="R181" s="583" t="e">
        <v>#VALUE!</v>
      </c>
      <c r="S181" s="382" t="e">
        <v>#VALUE!</v>
      </c>
      <c r="T181" s="382" t="e">
        <v>#VALUE!</v>
      </c>
      <c r="U181" s="382" t="e">
        <v>#VALUE!</v>
      </c>
      <c r="V181" s="584"/>
      <c r="W181" s="585" t="s">
        <v>388</v>
      </c>
    </row>
    <row r="182" spans="1:24" hidden="1">
      <c r="B182" s="586">
        <v>0</v>
      </c>
      <c r="C182" s="587" t="s">
        <v>388</v>
      </c>
      <c r="D182" s="588" t="s">
        <v>388</v>
      </c>
      <c r="E182" s="589" t="s">
        <v>388</v>
      </c>
      <c r="F182" s="589" t="s">
        <v>388</v>
      </c>
      <c r="G182" s="589" t="s">
        <v>388</v>
      </c>
      <c r="H182" s="589" t="s">
        <v>388</v>
      </c>
      <c r="I182" s="589" t="s">
        <v>388</v>
      </c>
      <c r="J182" s="589" t="s">
        <v>388</v>
      </c>
      <c r="K182" s="589" t="s">
        <v>388</v>
      </c>
      <c r="L182" s="590" t="s">
        <v>388</v>
      </c>
      <c r="M182" s="591" t="s">
        <v>388</v>
      </c>
      <c r="N182" s="588" t="s">
        <v>388</v>
      </c>
      <c r="O182" s="590" t="s">
        <v>388</v>
      </c>
      <c r="P182" s="589" t="s">
        <v>388</v>
      </c>
      <c r="Q182" s="592"/>
      <c r="R182" s="593" t="e">
        <v>#VALUE!</v>
      </c>
      <c r="S182" s="594" t="e">
        <v>#VALUE!</v>
      </c>
      <c r="T182" s="594" t="e">
        <v>#VALUE!</v>
      </c>
      <c r="U182" s="594" t="e">
        <v>#VALUE!</v>
      </c>
      <c r="V182" s="595"/>
      <c r="W182" s="596" t="s">
        <v>388</v>
      </c>
    </row>
    <row r="183" spans="1:24" hidden="1">
      <c r="A183" s="374"/>
      <c r="B183" s="563">
        <v>0</v>
      </c>
      <c r="C183" s="564" t="s">
        <v>388</v>
      </c>
      <c r="D183" s="565" t="s">
        <v>388</v>
      </c>
      <c r="E183" s="566" t="s">
        <v>388</v>
      </c>
      <c r="F183" s="566" t="s">
        <v>388</v>
      </c>
      <c r="G183" s="566" t="s">
        <v>388</v>
      </c>
      <c r="H183" s="566" t="s">
        <v>388</v>
      </c>
      <c r="I183" s="566" t="s">
        <v>388</v>
      </c>
      <c r="J183" s="566" t="s">
        <v>388</v>
      </c>
      <c r="K183" s="566" t="s">
        <v>388</v>
      </c>
      <c r="L183" s="567" t="s">
        <v>388</v>
      </c>
      <c r="M183" s="568" t="s">
        <v>388</v>
      </c>
      <c r="N183" s="565" t="s">
        <v>388</v>
      </c>
      <c r="O183" s="567" t="s">
        <v>388</v>
      </c>
      <c r="P183" s="566" t="s">
        <v>388</v>
      </c>
      <c r="Q183" s="569"/>
      <c r="R183" s="570" t="e">
        <v>#VALUE!</v>
      </c>
      <c r="S183" s="571" t="e">
        <v>#VALUE!</v>
      </c>
      <c r="T183" s="571" t="e">
        <v>#VALUE!</v>
      </c>
      <c r="U183" s="571" t="e">
        <v>#VALUE!</v>
      </c>
      <c r="V183" s="572"/>
      <c r="W183" s="573" t="s">
        <v>388</v>
      </c>
      <c r="X183" s="374"/>
    </row>
    <row r="184" spans="1:24" hidden="1">
      <c r="A184" s="374"/>
      <c r="B184" s="576">
        <v>0</v>
      </c>
      <c r="C184" s="577" t="s">
        <v>388</v>
      </c>
      <c r="D184" s="578" t="s">
        <v>388</v>
      </c>
      <c r="E184" s="579" t="s">
        <v>388</v>
      </c>
      <c r="F184" s="579" t="s">
        <v>388</v>
      </c>
      <c r="G184" s="579" t="s">
        <v>388</v>
      </c>
      <c r="H184" s="579" t="s">
        <v>388</v>
      </c>
      <c r="I184" s="579" t="s">
        <v>388</v>
      </c>
      <c r="J184" s="579" t="s">
        <v>388</v>
      </c>
      <c r="K184" s="579" t="s">
        <v>388</v>
      </c>
      <c r="L184" s="580" t="s">
        <v>388</v>
      </c>
      <c r="M184" s="581" t="s">
        <v>388</v>
      </c>
      <c r="N184" s="578" t="s">
        <v>388</v>
      </c>
      <c r="O184" s="580" t="s">
        <v>388</v>
      </c>
      <c r="P184" s="579" t="s">
        <v>388</v>
      </c>
      <c r="Q184" s="582"/>
      <c r="R184" s="583" t="e">
        <v>#VALUE!</v>
      </c>
      <c r="S184" s="382" t="e">
        <v>#VALUE!</v>
      </c>
      <c r="T184" s="382" t="e">
        <v>#VALUE!</v>
      </c>
      <c r="U184" s="382" t="e">
        <v>#VALUE!</v>
      </c>
      <c r="V184" s="584"/>
      <c r="W184" s="585" t="s">
        <v>388</v>
      </c>
      <c r="X184" s="374"/>
    </row>
    <row r="185" spans="1:24" hidden="1">
      <c r="A185" s="374"/>
      <c r="B185" s="576">
        <v>0</v>
      </c>
      <c r="C185" s="577" t="s">
        <v>388</v>
      </c>
      <c r="D185" s="578" t="s">
        <v>388</v>
      </c>
      <c r="E185" s="579" t="s">
        <v>388</v>
      </c>
      <c r="F185" s="579" t="s">
        <v>388</v>
      </c>
      <c r="G185" s="579" t="s">
        <v>388</v>
      </c>
      <c r="H185" s="579" t="s">
        <v>388</v>
      </c>
      <c r="I185" s="579" t="s">
        <v>388</v>
      </c>
      <c r="J185" s="579" t="s">
        <v>388</v>
      </c>
      <c r="K185" s="579" t="s">
        <v>388</v>
      </c>
      <c r="L185" s="580" t="s">
        <v>388</v>
      </c>
      <c r="M185" s="581" t="s">
        <v>388</v>
      </c>
      <c r="N185" s="578" t="s">
        <v>388</v>
      </c>
      <c r="O185" s="580" t="s">
        <v>388</v>
      </c>
      <c r="P185" s="579" t="s">
        <v>388</v>
      </c>
      <c r="Q185" s="582"/>
      <c r="R185" s="583" t="e">
        <v>#VALUE!</v>
      </c>
      <c r="S185" s="382" t="e">
        <v>#VALUE!</v>
      </c>
      <c r="T185" s="382" t="e">
        <v>#VALUE!</v>
      </c>
      <c r="U185" s="382" t="e">
        <v>#VALUE!</v>
      </c>
      <c r="V185" s="584"/>
      <c r="W185" s="585" t="s">
        <v>388</v>
      </c>
      <c r="X185" s="374"/>
    </row>
    <row r="186" spans="1:24" hidden="1">
      <c r="A186" s="374"/>
      <c r="B186" s="576">
        <v>0</v>
      </c>
      <c r="C186" s="577" t="s">
        <v>388</v>
      </c>
      <c r="D186" s="578" t="s">
        <v>388</v>
      </c>
      <c r="E186" s="579" t="s">
        <v>388</v>
      </c>
      <c r="F186" s="579" t="s">
        <v>388</v>
      </c>
      <c r="G186" s="579" t="s">
        <v>388</v>
      </c>
      <c r="H186" s="579" t="s">
        <v>388</v>
      </c>
      <c r="I186" s="579" t="s">
        <v>388</v>
      </c>
      <c r="J186" s="579" t="s">
        <v>388</v>
      </c>
      <c r="K186" s="579" t="s">
        <v>388</v>
      </c>
      <c r="L186" s="580" t="s">
        <v>388</v>
      </c>
      <c r="M186" s="581" t="s">
        <v>388</v>
      </c>
      <c r="N186" s="578" t="s">
        <v>388</v>
      </c>
      <c r="O186" s="580" t="s">
        <v>388</v>
      </c>
      <c r="P186" s="579" t="s">
        <v>388</v>
      </c>
      <c r="Q186" s="582"/>
      <c r="R186" s="583" t="e">
        <v>#VALUE!</v>
      </c>
      <c r="S186" s="382" t="e">
        <v>#VALUE!</v>
      </c>
      <c r="T186" s="382" t="e">
        <v>#VALUE!</v>
      </c>
      <c r="U186" s="382" t="e">
        <v>#VALUE!</v>
      </c>
      <c r="V186" s="584"/>
      <c r="W186" s="585" t="s">
        <v>388</v>
      </c>
      <c r="X186" s="374"/>
    </row>
    <row r="187" spans="1:24" hidden="1">
      <c r="A187" s="374"/>
      <c r="B187" s="586">
        <v>0</v>
      </c>
      <c r="C187" s="587" t="s">
        <v>388</v>
      </c>
      <c r="D187" s="588" t="s">
        <v>388</v>
      </c>
      <c r="E187" s="589" t="s">
        <v>388</v>
      </c>
      <c r="F187" s="589" t="s">
        <v>388</v>
      </c>
      <c r="G187" s="589" t="s">
        <v>388</v>
      </c>
      <c r="H187" s="589" t="s">
        <v>388</v>
      </c>
      <c r="I187" s="589" t="s">
        <v>388</v>
      </c>
      <c r="J187" s="589" t="s">
        <v>388</v>
      </c>
      <c r="K187" s="589" t="s">
        <v>388</v>
      </c>
      <c r="L187" s="590" t="s">
        <v>388</v>
      </c>
      <c r="M187" s="591" t="s">
        <v>388</v>
      </c>
      <c r="N187" s="588" t="s">
        <v>388</v>
      </c>
      <c r="O187" s="590" t="s">
        <v>388</v>
      </c>
      <c r="P187" s="589" t="s">
        <v>388</v>
      </c>
      <c r="Q187" s="592"/>
      <c r="R187" s="593" t="e">
        <v>#VALUE!</v>
      </c>
      <c r="S187" s="594" t="e">
        <v>#VALUE!</v>
      </c>
      <c r="T187" s="594" t="e">
        <v>#VALUE!</v>
      </c>
      <c r="U187" s="594" t="e">
        <v>#VALUE!</v>
      </c>
      <c r="V187" s="595"/>
      <c r="W187" s="596" t="s">
        <v>388</v>
      </c>
      <c r="X187" s="374"/>
    </row>
    <row r="188" spans="1:24" hidden="1">
      <c r="B188" s="563">
        <v>0</v>
      </c>
      <c r="C188" s="564" t="s">
        <v>388</v>
      </c>
      <c r="D188" s="565" t="s">
        <v>388</v>
      </c>
      <c r="E188" s="566" t="s">
        <v>388</v>
      </c>
      <c r="F188" s="566" t="s">
        <v>388</v>
      </c>
      <c r="G188" s="566" t="s">
        <v>388</v>
      </c>
      <c r="H188" s="566" t="s">
        <v>388</v>
      </c>
      <c r="I188" s="566" t="s">
        <v>388</v>
      </c>
      <c r="J188" s="566" t="s">
        <v>388</v>
      </c>
      <c r="K188" s="566" t="s">
        <v>388</v>
      </c>
      <c r="L188" s="567" t="s">
        <v>388</v>
      </c>
      <c r="M188" s="568" t="s">
        <v>388</v>
      </c>
      <c r="N188" s="565" t="s">
        <v>388</v>
      </c>
      <c r="O188" s="567" t="s">
        <v>388</v>
      </c>
      <c r="P188" s="566" t="s">
        <v>388</v>
      </c>
      <c r="Q188" s="569"/>
      <c r="R188" s="570" t="e">
        <v>#VALUE!</v>
      </c>
      <c r="S188" s="571" t="e">
        <v>#VALUE!</v>
      </c>
      <c r="T188" s="571" t="e">
        <v>#VALUE!</v>
      </c>
      <c r="U188" s="571" t="e">
        <v>#VALUE!</v>
      </c>
      <c r="V188" s="572"/>
      <c r="W188" s="573" t="s">
        <v>388</v>
      </c>
    </row>
    <row r="189" spans="1:24" hidden="1">
      <c r="B189" s="576">
        <v>0</v>
      </c>
      <c r="C189" s="577" t="s">
        <v>388</v>
      </c>
      <c r="D189" s="578" t="s">
        <v>388</v>
      </c>
      <c r="E189" s="579" t="s">
        <v>388</v>
      </c>
      <c r="F189" s="579" t="s">
        <v>388</v>
      </c>
      <c r="G189" s="579" t="s">
        <v>388</v>
      </c>
      <c r="H189" s="579" t="s">
        <v>388</v>
      </c>
      <c r="I189" s="579" t="s">
        <v>388</v>
      </c>
      <c r="J189" s="579" t="s">
        <v>388</v>
      </c>
      <c r="K189" s="579" t="s">
        <v>388</v>
      </c>
      <c r="L189" s="580" t="s">
        <v>388</v>
      </c>
      <c r="M189" s="581" t="s">
        <v>388</v>
      </c>
      <c r="N189" s="578" t="s">
        <v>388</v>
      </c>
      <c r="O189" s="580" t="s">
        <v>388</v>
      </c>
      <c r="P189" s="579" t="s">
        <v>388</v>
      </c>
      <c r="Q189" s="582"/>
      <c r="R189" s="583" t="e">
        <v>#VALUE!</v>
      </c>
      <c r="S189" s="382" t="e">
        <v>#VALUE!</v>
      </c>
      <c r="T189" s="382" t="e">
        <v>#VALUE!</v>
      </c>
      <c r="U189" s="382" t="e">
        <v>#VALUE!</v>
      </c>
      <c r="V189" s="584"/>
      <c r="W189" s="585" t="s">
        <v>388</v>
      </c>
    </row>
    <row r="190" spans="1:24" hidden="1">
      <c r="B190" s="576">
        <v>0</v>
      </c>
      <c r="C190" s="577" t="s">
        <v>388</v>
      </c>
      <c r="D190" s="578" t="s">
        <v>388</v>
      </c>
      <c r="E190" s="579" t="s">
        <v>388</v>
      </c>
      <c r="F190" s="579" t="s">
        <v>388</v>
      </c>
      <c r="G190" s="579" t="s">
        <v>388</v>
      </c>
      <c r="H190" s="579" t="s">
        <v>388</v>
      </c>
      <c r="I190" s="579" t="s">
        <v>388</v>
      </c>
      <c r="J190" s="579" t="s">
        <v>388</v>
      </c>
      <c r="K190" s="579" t="s">
        <v>388</v>
      </c>
      <c r="L190" s="580" t="s">
        <v>388</v>
      </c>
      <c r="M190" s="581" t="s">
        <v>388</v>
      </c>
      <c r="N190" s="578" t="s">
        <v>388</v>
      </c>
      <c r="O190" s="580" t="s">
        <v>388</v>
      </c>
      <c r="P190" s="579" t="s">
        <v>388</v>
      </c>
      <c r="Q190" s="582"/>
      <c r="R190" s="583" t="e">
        <v>#VALUE!</v>
      </c>
      <c r="S190" s="382" t="e">
        <v>#VALUE!</v>
      </c>
      <c r="T190" s="382" t="e">
        <v>#VALUE!</v>
      </c>
      <c r="U190" s="382" t="e">
        <v>#VALUE!</v>
      </c>
      <c r="V190" s="584"/>
      <c r="W190" s="585" t="s">
        <v>388</v>
      </c>
    </row>
    <row r="191" spans="1:24" hidden="1">
      <c r="B191" s="576">
        <v>0</v>
      </c>
      <c r="C191" s="577" t="s">
        <v>388</v>
      </c>
      <c r="D191" s="578" t="s">
        <v>388</v>
      </c>
      <c r="E191" s="579" t="s">
        <v>388</v>
      </c>
      <c r="F191" s="579" t="s">
        <v>388</v>
      </c>
      <c r="G191" s="579" t="s">
        <v>388</v>
      </c>
      <c r="H191" s="579" t="s">
        <v>388</v>
      </c>
      <c r="I191" s="579" t="s">
        <v>388</v>
      </c>
      <c r="J191" s="579" t="s">
        <v>388</v>
      </c>
      <c r="K191" s="579" t="s">
        <v>388</v>
      </c>
      <c r="L191" s="580" t="s">
        <v>388</v>
      </c>
      <c r="M191" s="581" t="s">
        <v>388</v>
      </c>
      <c r="N191" s="578" t="s">
        <v>388</v>
      </c>
      <c r="O191" s="580" t="s">
        <v>388</v>
      </c>
      <c r="P191" s="579" t="s">
        <v>388</v>
      </c>
      <c r="Q191" s="582"/>
      <c r="R191" s="583" t="e">
        <v>#VALUE!</v>
      </c>
      <c r="S191" s="382" t="e">
        <v>#VALUE!</v>
      </c>
      <c r="T191" s="382" t="e">
        <v>#VALUE!</v>
      </c>
      <c r="U191" s="382" t="e">
        <v>#VALUE!</v>
      </c>
      <c r="V191" s="584"/>
      <c r="W191" s="585" t="s">
        <v>388</v>
      </c>
    </row>
    <row r="192" spans="1:24" hidden="1">
      <c r="B192" s="586">
        <v>0</v>
      </c>
      <c r="C192" s="587" t="s">
        <v>388</v>
      </c>
      <c r="D192" s="588" t="s">
        <v>388</v>
      </c>
      <c r="E192" s="589" t="s">
        <v>388</v>
      </c>
      <c r="F192" s="589" t="s">
        <v>388</v>
      </c>
      <c r="G192" s="589" t="s">
        <v>388</v>
      </c>
      <c r="H192" s="589" t="s">
        <v>388</v>
      </c>
      <c r="I192" s="589" t="s">
        <v>388</v>
      </c>
      <c r="J192" s="589" t="s">
        <v>388</v>
      </c>
      <c r="K192" s="589" t="s">
        <v>388</v>
      </c>
      <c r="L192" s="590" t="s">
        <v>388</v>
      </c>
      <c r="M192" s="591" t="s">
        <v>388</v>
      </c>
      <c r="N192" s="588" t="s">
        <v>388</v>
      </c>
      <c r="O192" s="590" t="s">
        <v>388</v>
      </c>
      <c r="P192" s="589" t="s">
        <v>388</v>
      </c>
      <c r="Q192" s="592"/>
      <c r="R192" s="593" t="e">
        <v>#VALUE!</v>
      </c>
      <c r="S192" s="594" t="e">
        <v>#VALUE!</v>
      </c>
      <c r="T192" s="594" t="e">
        <v>#VALUE!</v>
      </c>
      <c r="U192" s="594" t="e">
        <v>#VALUE!</v>
      </c>
      <c r="V192" s="595"/>
      <c r="W192" s="596" t="s">
        <v>388</v>
      </c>
    </row>
    <row r="193" spans="2:23" hidden="1">
      <c r="B193" s="563">
        <v>0</v>
      </c>
      <c r="C193" s="564" t="s">
        <v>388</v>
      </c>
      <c r="D193" s="565" t="s">
        <v>388</v>
      </c>
      <c r="E193" s="566" t="s">
        <v>388</v>
      </c>
      <c r="F193" s="566" t="s">
        <v>388</v>
      </c>
      <c r="G193" s="566" t="s">
        <v>388</v>
      </c>
      <c r="H193" s="566" t="s">
        <v>388</v>
      </c>
      <c r="I193" s="566" t="s">
        <v>388</v>
      </c>
      <c r="J193" s="566" t="s">
        <v>388</v>
      </c>
      <c r="K193" s="566" t="s">
        <v>388</v>
      </c>
      <c r="L193" s="567" t="s">
        <v>388</v>
      </c>
      <c r="M193" s="568" t="s">
        <v>388</v>
      </c>
      <c r="N193" s="565" t="s">
        <v>388</v>
      </c>
      <c r="O193" s="567" t="s">
        <v>388</v>
      </c>
      <c r="P193" s="566" t="s">
        <v>388</v>
      </c>
      <c r="Q193" s="569"/>
      <c r="R193" s="570" t="e">
        <v>#VALUE!</v>
      </c>
      <c r="S193" s="571" t="e">
        <v>#VALUE!</v>
      </c>
      <c r="T193" s="571" t="e">
        <v>#VALUE!</v>
      </c>
      <c r="U193" s="571" t="e">
        <v>#VALUE!</v>
      </c>
      <c r="V193" s="572"/>
      <c r="W193" s="573" t="s">
        <v>388</v>
      </c>
    </row>
    <row r="194" spans="2:23" hidden="1">
      <c r="B194" s="576">
        <v>0</v>
      </c>
      <c r="C194" s="577" t="s">
        <v>388</v>
      </c>
      <c r="D194" s="578" t="s">
        <v>388</v>
      </c>
      <c r="E194" s="579" t="s">
        <v>388</v>
      </c>
      <c r="F194" s="579" t="s">
        <v>388</v>
      </c>
      <c r="G194" s="579" t="s">
        <v>388</v>
      </c>
      <c r="H194" s="579" t="s">
        <v>388</v>
      </c>
      <c r="I194" s="579" t="s">
        <v>388</v>
      </c>
      <c r="J194" s="579" t="s">
        <v>388</v>
      </c>
      <c r="K194" s="579" t="s">
        <v>388</v>
      </c>
      <c r="L194" s="580" t="s">
        <v>388</v>
      </c>
      <c r="M194" s="581" t="s">
        <v>388</v>
      </c>
      <c r="N194" s="578" t="s">
        <v>388</v>
      </c>
      <c r="O194" s="580" t="s">
        <v>388</v>
      </c>
      <c r="P194" s="579" t="s">
        <v>388</v>
      </c>
      <c r="Q194" s="582"/>
      <c r="R194" s="583" t="e">
        <v>#VALUE!</v>
      </c>
      <c r="S194" s="382" t="e">
        <v>#VALUE!</v>
      </c>
      <c r="T194" s="382" t="e">
        <v>#VALUE!</v>
      </c>
      <c r="U194" s="382" t="e">
        <v>#VALUE!</v>
      </c>
      <c r="V194" s="584"/>
      <c r="W194" s="585" t="s">
        <v>388</v>
      </c>
    </row>
    <row r="195" spans="2:23" hidden="1">
      <c r="B195" s="576">
        <v>0</v>
      </c>
      <c r="C195" s="577" t="s">
        <v>388</v>
      </c>
      <c r="D195" s="578" t="s">
        <v>388</v>
      </c>
      <c r="E195" s="579" t="s">
        <v>388</v>
      </c>
      <c r="F195" s="579" t="s">
        <v>388</v>
      </c>
      <c r="G195" s="579" t="s">
        <v>388</v>
      </c>
      <c r="H195" s="579" t="s">
        <v>388</v>
      </c>
      <c r="I195" s="579" t="s">
        <v>388</v>
      </c>
      <c r="J195" s="579" t="s">
        <v>388</v>
      </c>
      <c r="K195" s="579" t="s">
        <v>388</v>
      </c>
      <c r="L195" s="580" t="s">
        <v>388</v>
      </c>
      <c r="M195" s="581" t="s">
        <v>388</v>
      </c>
      <c r="N195" s="578" t="s">
        <v>388</v>
      </c>
      <c r="O195" s="580" t="s">
        <v>388</v>
      </c>
      <c r="P195" s="579" t="s">
        <v>388</v>
      </c>
      <c r="Q195" s="582"/>
      <c r="R195" s="583" t="e">
        <v>#VALUE!</v>
      </c>
      <c r="S195" s="382" t="e">
        <v>#VALUE!</v>
      </c>
      <c r="T195" s="382" t="e">
        <v>#VALUE!</v>
      </c>
      <c r="U195" s="382" t="e">
        <v>#VALUE!</v>
      </c>
      <c r="V195" s="584"/>
      <c r="W195" s="585" t="s">
        <v>388</v>
      </c>
    </row>
    <row r="196" spans="2:23" hidden="1">
      <c r="B196" s="576">
        <v>0</v>
      </c>
      <c r="C196" s="577" t="s">
        <v>388</v>
      </c>
      <c r="D196" s="578" t="s">
        <v>388</v>
      </c>
      <c r="E196" s="579" t="s">
        <v>388</v>
      </c>
      <c r="F196" s="579" t="s">
        <v>388</v>
      </c>
      <c r="G196" s="579" t="s">
        <v>388</v>
      </c>
      <c r="H196" s="579" t="s">
        <v>388</v>
      </c>
      <c r="I196" s="579" t="s">
        <v>388</v>
      </c>
      <c r="J196" s="579" t="s">
        <v>388</v>
      </c>
      <c r="K196" s="579" t="s">
        <v>388</v>
      </c>
      <c r="L196" s="580" t="s">
        <v>388</v>
      </c>
      <c r="M196" s="581" t="s">
        <v>388</v>
      </c>
      <c r="N196" s="578" t="s">
        <v>388</v>
      </c>
      <c r="O196" s="580" t="s">
        <v>388</v>
      </c>
      <c r="P196" s="579" t="s">
        <v>388</v>
      </c>
      <c r="Q196" s="582"/>
      <c r="R196" s="583" t="e">
        <v>#VALUE!</v>
      </c>
      <c r="S196" s="382" t="e">
        <v>#VALUE!</v>
      </c>
      <c r="T196" s="382" t="e">
        <v>#VALUE!</v>
      </c>
      <c r="U196" s="382" t="e">
        <v>#VALUE!</v>
      </c>
      <c r="V196" s="584"/>
      <c r="W196" s="585" t="s">
        <v>388</v>
      </c>
    </row>
    <row r="197" spans="2:23" hidden="1">
      <c r="B197" s="586">
        <v>0</v>
      </c>
      <c r="C197" s="587" t="s">
        <v>388</v>
      </c>
      <c r="D197" s="588" t="s">
        <v>388</v>
      </c>
      <c r="E197" s="589" t="s">
        <v>388</v>
      </c>
      <c r="F197" s="589" t="s">
        <v>388</v>
      </c>
      <c r="G197" s="589" t="s">
        <v>388</v>
      </c>
      <c r="H197" s="589" t="s">
        <v>388</v>
      </c>
      <c r="I197" s="589" t="s">
        <v>388</v>
      </c>
      <c r="J197" s="589" t="s">
        <v>388</v>
      </c>
      <c r="K197" s="589" t="s">
        <v>388</v>
      </c>
      <c r="L197" s="590" t="s">
        <v>388</v>
      </c>
      <c r="M197" s="591" t="s">
        <v>388</v>
      </c>
      <c r="N197" s="588" t="s">
        <v>388</v>
      </c>
      <c r="O197" s="590" t="s">
        <v>388</v>
      </c>
      <c r="P197" s="589" t="s">
        <v>388</v>
      </c>
      <c r="Q197" s="592"/>
      <c r="R197" s="593" t="e">
        <v>#VALUE!</v>
      </c>
      <c r="S197" s="594" t="e">
        <v>#VALUE!</v>
      </c>
      <c r="T197" s="594" t="e">
        <v>#VALUE!</v>
      </c>
      <c r="U197" s="594" t="e">
        <v>#VALUE!</v>
      </c>
      <c r="V197" s="595"/>
      <c r="W197" s="596" t="s">
        <v>388</v>
      </c>
    </row>
    <row r="198" spans="2:23" hidden="1">
      <c r="B198" s="598"/>
      <c r="C198" s="599"/>
      <c r="D198" s="566"/>
      <c r="E198" s="566"/>
      <c r="F198" s="566"/>
      <c r="G198" s="566"/>
      <c r="H198" s="566"/>
      <c r="I198" s="566"/>
      <c r="J198" s="566"/>
      <c r="K198" s="566"/>
      <c r="L198" s="567"/>
      <c r="M198" s="566"/>
      <c r="N198" s="566"/>
      <c r="O198" s="567"/>
      <c r="P198" s="566"/>
      <c r="Q198" s="598"/>
      <c r="R198" s="571"/>
      <c r="S198" s="571"/>
      <c r="T198" s="571"/>
      <c r="U198" s="571"/>
      <c r="V198" s="600"/>
      <c r="W198" s="601"/>
    </row>
    <row r="199" spans="2:23" hidden="1">
      <c r="B199" s="602" t="s">
        <v>334</v>
      </c>
      <c r="C199" s="603"/>
      <c r="D199" s="579"/>
      <c r="E199" s="579"/>
      <c r="F199" s="579"/>
      <c r="G199" s="579"/>
      <c r="H199" s="579"/>
      <c r="I199" s="579"/>
      <c r="J199" s="579"/>
      <c r="K199" s="579"/>
      <c r="L199" s="580"/>
      <c r="M199" s="579"/>
      <c r="N199" s="579"/>
      <c r="O199" s="580"/>
      <c r="P199" s="579"/>
      <c r="Q199" s="374"/>
      <c r="R199" s="382"/>
      <c r="S199" s="382"/>
      <c r="T199" s="382"/>
      <c r="U199" s="382"/>
      <c r="V199" s="604"/>
      <c r="W199" s="605"/>
    </row>
    <row r="200" spans="2:23" hidden="1">
      <c r="B200" s="606" t="e">
        <v>#N/A</v>
      </c>
      <c r="G200" s="579"/>
      <c r="H200" s="579"/>
      <c r="I200" s="579"/>
      <c r="J200" s="579"/>
      <c r="K200" s="579"/>
      <c r="M200" s="607"/>
      <c r="N200" s="579"/>
      <c r="O200" s="580"/>
      <c r="P200" s="579"/>
      <c r="Q200" s="374"/>
      <c r="R200" s="382"/>
      <c r="S200" s="382"/>
      <c r="T200" s="382"/>
      <c r="U200" s="382"/>
      <c r="V200" s="604"/>
      <c r="W200" s="605"/>
    </row>
    <row r="201" spans="2:23" hidden="1">
      <c r="B201" s="606" t="s">
        <v>335</v>
      </c>
      <c r="G201" s="579"/>
      <c r="H201" s="579"/>
      <c r="I201" s="579"/>
      <c r="J201" s="579"/>
      <c r="K201" s="579"/>
      <c r="L201" s="580"/>
      <c r="M201" s="579"/>
      <c r="N201" s="579"/>
      <c r="O201" s="580"/>
      <c r="P201" s="579"/>
      <c r="Q201" s="374"/>
      <c r="R201" s="382"/>
      <c r="S201" s="382"/>
      <c r="T201" s="382"/>
      <c r="U201" s="382"/>
      <c r="V201" s="604"/>
      <c r="W201" s="605"/>
    </row>
    <row r="202" spans="2:23" hidden="1">
      <c r="B202" s="606" t="s">
        <v>571</v>
      </c>
      <c r="G202" s="579"/>
      <c r="H202" s="579"/>
      <c r="I202" s="579"/>
      <c r="J202" s="579"/>
      <c r="K202" s="579"/>
      <c r="L202" s="580"/>
      <c r="M202" s="579"/>
      <c r="N202" s="579"/>
      <c r="O202" s="580"/>
      <c r="P202" s="579"/>
      <c r="Q202" s="374"/>
      <c r="R202" s="382"/>
      <c r="S202" s="382"/>
      <c r="T202" s="382"/>
      <c r="U202" s="382"/>
      <c r="V202" s="604"/>
      <c r="W202" s="605"/>
    </row>
    <row r="203" spans="2:23" hidden="1"/>
    <row r="204" spans="2:23" hidden="1">
      <c r="B204" s="606" t="s">
        <v>336</v>
      </c>
      <c r="C204" s="609"/>
      <c r="G204" s="371" t="s">
        <v>572</v>
      </c>
    </row>
    <row r="205" spans="2:23" hidden="1">
      <c r="B205" s="610" t="s">
        <v>432</v>
      </c>
      <c r="C205" s="611"/>
    </row>
    <row r="206" spans="2:23" hidden="1">
      <c r="B206" s="610" t="s">
        <v>125</v>
      </c>
      <c r="C206" s="612"/>
    </row>
    <row r="207" spans="2:23" hidden="1">
      <c r="B207" s="610" t="s">
        <v>126</v>
      </c>
      <c r="C207" s="612"/>
    </row>
    <row r="208" spans="2:23" hidden="1">
      <c r="B208" s="610" t="s">
        <v>127</v>
      </c>
      <c r="C208" s="612"/>
    </row>
    <row r="209" spans="2:24" hidden="1">
      <c r="B209" s="610" t="s">
        <v>128</v>
      </c>
      <c r="C209" s="612"/>
      <c r="N209" s="613"/>
      <c r="O209" s="613"/>
      <c r="P209" s="613"/>
      <c r="Q209" s="614"/>
      <c r="R209" s="615"/>
      <c r="X209" s="616"/>
    </row>
    <row r="210" spans="2:24" hidden="1">
      <c r="B210" s="610" t="s">
        <v>433</v>
      </c>
      <c r="C210" s="617"/>
    </row>
    <row r="211" spans="2:24" hidden="1">
      <c r="B211" s="610" t="s">
        <v>434</v>
      </c>
      <c r="C211" s="618"/>
    </row>
    <row r="212" spans="2:24" hidden="1">
      <c r="B212" s="610" t="s">
        <v>435</v>
      </c>
    </row>
    <row r="213" spans="2:24" hidden="1">
      <c r="B213" s="610" t="s">
        <v>436</v>
      </c>
      <c r="C213" s="618"/>
    </row>
    <row r="214" spans="2:24" hidden="1">
      <c r="B214" s="610" t="s">
        <v>437</v>
      </c>
      <c r="C214" s="618"/>
    </row>
    <row r="215" spans="2:24" hidden="1">
      <c r="B215" s="610" t="s">
        <v>438</v>
      </c>
      <c r="N215" s="619"/>
      <c r="O215" s="619"/>
      <c r="P215" s="619"/>
    </row>
    <row r="216" spans="2:24" hidden="1">
      <c r="B216" s="610" t="s">
        <v>439</v>
      </c>
    </row>
    <row r="217" spans="2:24" hidden="1">
      <c r="B217" s="610" t="s">
        <v>440</v>
      </c>
    </row>
    <row r="218" spans="2:24" hidden="1">
      <c r="B218" s="610" t="s">
        <v>441</v>
      </c>
    </row>
    <row r="219" spans="2:24" hidden="1">
      <c r="B219" s="610" t="s">
        <v>388</v>
      </c>
    </row>
    <row r="220" spans="2:24" hidden="1">
      <c r="B220" s="610" t="s">
        <v>388</v>
      </c>
    </row>
    <row r="221" spans="2:24" hidden="1">
      <c r="B221" s="610" t="s">
        <v>388</v>
      </c>
    </row>
    <row r="222" spans="2:24" hidden="1">
      <c r="B222" s="610" t="s">
        <v>442</v>
      </c>
    </row>
    <row r="223" spans="2:24" hidden="1">
      <c r="B223" s="610" t="s">
        <v>443</v>
      </c>
      <c r="C223" s="618"/>
    </row>
    <row r="224" spans="2:24" ht="20.100000000000001" hidden="1" customHeight="1">
      <c r="B224" s="610" t="s">
        <v>198</v>
      </c>
      <c r="C224" s="620"/>
      <c r="V224" s="621"/>
      <c r="W224" s="621"/>
    </row>
    <row r="225" spans="1:24" hidden="1">
      <c r="B225" s="371" t="s">
        <v>192</v>
      </c>
      <c r="W225" s="621"/>
    </row>
    <row r="226" spans="1:24" ht="26.1" hidden="1" customHeight="1">
      <c r="A226" s="520"/>
      <c r="B226" s="520"/>
      <c r="C226" s="521"/>
      <c r="D226" s="520"/>
      <c r="E226" s="520"/>
      <c r="F226" s="520"/>
      <c r="G226" s="520"/>
      <c r="H226" s="520"/>
      <c r="I226" s="520"/>
      <c r="J226" s="520"/>
      <c r="K226" s="520"/>
      <c r="L226" s="520"/>
      <c r="M226" s="520"/>
      <c r="N226" s="520"/>
      <c r="O226" s="520"/>
      <c r="P226" s="520"/>
      <c r="Q226" s="520"/>
      <c r="R226" s="522"/>
      <c r="S226" s="522"/>
      <c r="T226" s="522"/>
      <c r="U226" s="522"/>
      <c r="V226" s="520"/>
      <c r="W226" s="520"/>
    </row>
    <row r="227" spans="1:24" ht="5.25" hidden="1" customHeight="1"/>
    <row r="228" spans="1:24" ht="24" hidden="1" customHeight="1">
      <c r="P228" s="213" t="s">
        <v>392</v>
      </c>
      <c r="R228" s="372" t="s">
        <v>318</v>
      </c>
      <c r="U228" s="525"/>
      <c r="V228" s="525"/>
      <c r="W228" s="526"/>
    </row>
    <row r="229" spans="1:24" ht="24" hidden="1" customHeight="1">
      <c r="A229" s="374"/>
      <c r="B229" s="373" t="s">
        <v>365</v>
      </c>
      <c r="C229" s="527"/>
      <c r="D229" s="374"/>
      <c r="E229" s="374"/>
      <c r="F229" s="374"/>
      <c r="G229" s="374"/>
      <c r="H229" s="374"/>
      <c r="I229" s="374"/>
      <c r="J229" s="374"/>
      <c r="K229" s="374"/>
      <c r="L229" s="374"/>
      <c r="M229" s="374"/>
      <c r="N229" s="374"/>
      <c r="O229" s="374"/>
      <c r="P229" s="374"/>
      <c r="Q229" s="374"/>
      <c r="R229" s="382"/>
      <c r="S229" s="382"/>
      <c r="T229" s="382"/>
      <c r="U229" s="528"/>
      <c r="V229" s="529"/>
      <c r="W229" s="526"/>
      <c r="X229" s="374"/>
    </row>
    <row r="230" spans="1:24" ht="18" hidden="1" customHeight="1">
      <c r="B230" s="530" t="s">
        <v>503</v>
      </c>
      <c r="C230" s="531"/>
      <c r="R230" s="380"/>
      <c r="S230" s="380"/>
      <c r="T230" s="380"/>
      <c r="U230" s="380"/>
    </row>
    <row r="231" spans="1:24" ht="15.9" hidden="1" customHeight="1">
      <c r="B231" s="530"/>
      <c r="C231" s="531"/>
      <c r="R231" s="380"/>
      <c r="S231" s="380"/>
      <c r="T231" s="380"/>
      <c r="U231" s="380"/>
    </row>
    <row r="232" spans="1:24" ht="15.75" hidden="1" customHeight="1">
      <c r="B232" s="221"/>
      <c r="C232" s="222" t="s">
        <v>159</v>
      </c>
      <c r="D232" s="223" t="s">
        <v>392</v>
      </c>
      <c r="E232" s="223"/>
      <c r="F232" s="223"/>
      <c r="G232" s="387"/>
      <c r="H232" s="623"/>
      <c r="I232" s="388"/>
      <c r="J232" s="394"/>
      <c r="R232" s="380"/>
      <c r="S232" s="380"/>
      <c r="T232" s="380"/>
      <c r="U232" s="380"/>
    </row>
    <row r="233" spans="1:24" ht="14.1" hidden="1" customHeight="1">
      <c r="B233" s="226"/>
      <c r="C233" s="227" t="s">
        <v>160</v>
      </c>
      <c r="D233" s="392" t="s">
        <v>395</v>
      </c>
      <c r="E233" s="392"/>
      <c r="F233" s="392"/>
      <c r="G233" s="394"/>
      <c r="H233" s="382"/>
      <c r="I233" s="624"/>
      <c r="J233" s="394"/>
      <c r="R233" s="380"/>
      <c r="S233" s="380"/>
      <c r="T233" s="380"/>
      <c r="U233" s="380"/>
    </row>
    <row r="234" spans="1:24" ht="18" hidden="1" customHeight="1">
      <c r="B234" s="230"/>
      <c r="C234" s="231" t="s">
        <v>161</v>
      </c>
      <c r="D234" s="232" t="s">
        <v>464</v>
      </c>
      <c r="E234" s="232"/>
      <c r="F234" s="232"/>
      <c r="G234" s="397"/>
      <c r="H234" s="625"/>
      <c r="I234" s="398"/>
      <c r="J234" s="394"/>
    </row>
    <row r="235" spans="1:24" ht="12.75" hidden="1" customHeight="1">
      <c r="B235" s="211"/>
      <c r="C235" s="542"/>
      <c r="D235" s="393"/>
      <c r="E235" s="393"/>
      <c r="F235" s="393"/>
      <c r="G235" s="394"/>
      <c r="H235" s="394"/>
      <c r="I235" s="394"/>
      <c r="J235" s="394"/>
      <c r="K235" s="382"/>
    </row>
    <row r="236" spans="1:24" hidden="1">
      <c r="B236" s="549"/>
      <c r="C236" s="550"/>
      <c r="D236" s="551" t="s">
        <v>319</v>
      </c>
      <c r="E236" s="551"/>
      <c r="F236" s="551"/>
      <c r="G236" s="551"/>
      <c r="H236" s="551"/>
      <c r="I236" s="551"/>
      <c r="J236" s="551"/>
      <c r="K236" s="551"/>
      <c r="L236" s="551"/>
      <c r="M236" s="551"/>
      <c r="N236" s="551" t="s">
        <v>320</v>
      </c>
      <c r="O236" s="551"/>
      <c r="P236" s="551"/>
      <c r="Q236" s="551"/>
      <c r="R236" s="552"/>
      <c r="S236" s="553" t="s">
        <v>182</v>
      </c>
      <c r="T236" s="553" t="s">
        <v>182</v>
      </c>
      <c r="U236" s="553" t="s">
        <v>182</v>
      </c>
      <c r="V236" s="554"/>
      <c r="W236" s="555" t="s">
        <v>321</v>
      </c>
    </row>
    <row r="237" spans="1:24" ht="15" hidden="1" customHeight="1">
      <c r="B237" s="374"/>
      <c r="C237" s="527"/>
      <c r="D237" s="556" t="s">
        <v>322</v>
      </c>
      <c r="E237" s="556" t="s">
        <v>323</v>
      </c>
      <c r="F237" s="556" t="s">
        <v>324</v>
      </c>
      <c r="G237" s="556" t="s">
        <v>325</v>
      </c>
      <c r="H237" s="556" t="s">
        <v>326</v>
      </c>
      <c r="I237" s="556" t="s">
        <v>327</v>
      </c>
      <c r="J237" s="556" t="s">
        <v>328</v>
      </c>
      <c r="K237" s="556" t="s">
        <v>329</v>
      </c>
      <c r="L237" s="556" t="s">
        <v>330</v>
      </c>
      <c r="M237" s="556" t="s">
        <v>331</v>
      </c>
      <c r="N237" s="556" t="s">
        <v>329</v>
      </c>
      <c r="O237" s="556" t="s">
        <v>330</v>
      </c>
      <c r="P237" s="556" t="s">
        <v>331</v>
      </c>
      <c r="Q237" s="556">
        <v>0</v>
      </c>
      <c r="R237" s="626" t="s">
        <v>182</v>
      </c>
      <c r="S237" s="626" t="s">
        <v>466</v>
      </c>
      <c r="T237" s="626" t="s">
        <v>467</v>
      </c>
      <c r="U237" s="626" t="s">
        <v>332</v>
      </c>
      <c r="V237" s="556">
        <v>0</v>
      </c>
      <c r="W237" s="556" t="s">
        <v>333</v>
      </c>
    </row>
    <row r="238" spans="1:24" hidden="1">
      <c r="B238" s="563">
        <v>0</v>
      </c>
      <c r="C238" s="564" t="s">
        <v>388</v>
      </c>
      <c r="D238" s="565" t="s">
        <v>388</v>
      </c>
      <c r="E238" s="566" t="s">
        <v>388</v>
      </c>
      <c r="F238" s="566" t="s">
        <v>388</v>
      </c>
      <c r="G238" s="566" t="s">
        <v>388</v>
      </c>
      <c r="H238" s="566" t="s">
        <v>388</v>
      </c>
      <c r="I238" s="566" t="s">
        <v>388</v>
      </c>
      <c r="J238" s="566" t="s">
        <v>388</v>
      </c>
      <c r="K238" s="566" t="s">
        <v>388</v>
      </c>
      <c r="L238" s="567" t="s">
        <v>388</v>
      </c>
      <c r="M238" s="568" t="s">
        <v>388</v>
      </c>
      <c r="N238" s="565" t="s">
        <v>388</v>
      </c>
      <c r="O238" s="567" t="s">
        <v>388</v>
      </c>
      <c r="P238" s="566" t="s">
        <v>388</v>
      </c>
      <c r="Q238" s="569"/>
      <c r="R238" s="570" t="e">
        <v>#VALUE!</v>
      </c>
      <c r="S238" s="571" t="e">
        <v>#VALUE!</v>
      </c>
      <c r="T238" s="571" t="e">
        <v>#VALUE!</v>
      </c>
      <c r="U238" s="571" t="e">
        <v>#VALUE!</v>
      </c>
      <c r="V238" s="572"/>
      <c r="W238" s="573" t="s">
        <v>388</v>
      </c>
    </row>
    <row r="239" spans="1:24" hidden="1">
      <c r="B239" s="576">
        <v>0</v>
      </c>
      <c r="C239" s="577" t="s">
        <v>388</v>
      </c>
      <c r="D239" s="578" t="s">
        <v>388</v>
      </c>
      <c r="E239" s="579" t="s">
        <v>388</v>
      </c>
      <c r="F239" s="579" t="s">
        <v>388</v>
      </c>
      <c r="G239" s="579" t="s">
        <v>388</v>
      </c>
      <c r="H239" s="579" t="s">
        <v>388</v>
      </c>
      <c r="I239" s="579" t="s">
        <v>388</v>
      </c>
      <c r="J239" s="579" t="s">
        <v>388</v>
      </c>
      <c r="K239" s="579" t="s">
        <v>388</v>
      </c>
      <c r="L239" s="580" t="s">
        <v>388</v>
      </c>
      <c r="M239" s="581" t="s">
        <v>388</v>
      </c>
      <c r="N239" s="578" t="s">
        <v>388</v>
      </c>
      <c r="O239" s="580" t="s">
        <v>388</v>
      </c>
      <c r="P239" s="579" t="s">
        <v>388</v>
      </c>
      <c r="Q239" s="582"/>
      <c r="R239" s="583" t="e">
        <v>#VALUE!</v>
      </c>
      <c r="S239" s="382" t="e">
        <v>#VALUE!</v>
      </c>
      <c r="T239" s="382" t="e">
        <v>#VALUE!</v>
      </c>
      <c r="U239" s="382" t="e">
        <v>#VALUE!</v>
      </c>
      <c r="V239" s="584"/>
      <c r="W239" s="585" t="s">
        <v>388</v>
      </c>
    </row>
    <row r="240" spans="1:24" hidden="1">
      <c r="B240" s="576">
        <v>0</v>
      </c>
      <c r="C240" s="577" t="s">
        <v>388</v>
      </c>
      <c r="D240" s="578" t="s">
        <v>388</v>
      </c>
      <c r="E240" s="579" t="s">
        <v>388</v>
      </c>
      <c r="F240" s="579" t="s">
        <v>388</v>
      </c>
      <c r="G240" s="579" t="s">
        <v>388</v>
      </c>
      <c r="H240" s="579" t="s">
        <v>388</v>
      </c>
      <c r="I240" s="579" t="s">
        <v>388</v>
      </c>
      <c r="J240" s="579" t="s">
        <v>388</v>
      </c>
      <c r="K240" s="579" t="s">
        <v>388</v>
      </c>
      <c r="L240" s="580" t="s">
        <v>388</v>
      </c>
      <c r="M240" s="581" t="s">
        <v>388</v>
      </c>
      <c r="N240" s="578" t="s">
        <v>388</v>
      </c>
      <c r="O240" s="580" t="s">
        <v>388</v>
      </c>
      <c r="P240" s="579" t="s">
        <v>388</v>
      </c>
      <c r="Q240" s="582"/>
      <c r="R240" s="583" t="e">
        <v>#VALUE!</v>
      </c>
      <c r="S240" s="382" t="e">
        <v>#VALUE!</v>
      </c>
      <c r="T240" s="382" t="e">
        <v>#VALUE!</v>
      </c>
      <c r="U240" s="382" t="e">
        <v>#VALUE!</v>
      </c>
      <c r="V240" s="584"/>
      <c r="W240" s="585" t="s">
        <v>388</v>
      </c>
    </row>
    <row r="241" spans="2:23" hidden="1">
      <c r="B241" s="576">
        <v>0</v>
      </c>
      <c r="C241" s="577" t="s">
        <v>388</v>
      </c>
      <c r="D241" s="578" t="s">
        <v>388</v>
      </c>
      <c r="E241" s="579" t="s">
        <v>388</v>
      </c>
      <c r="F241" s="579" t="s">
        <v>388</v>
      </c>
      <c r="G241" s="579" t="s">
        <v>388</v>
      </c>
      <c r="H241" s="579" t="s">
        <v>388</v>
      </c>
      <c r="I241" s="579" t="s">
        <v>388</v>
      </c>
      <c r="J241" s="579" t="s">
        <v>388</v>
      </c>
      <c r="K241" s="579" t="s">
        <v>388</v>
      </c>
      <c r="L241" s="580" t="s">
        <v>388</v>
      </c>
      <c r="M241" s="581" t="s">
        <v>388</v>
      </c>
      <c r="N241" s="578" t="s">
        <v>388</v>
      </c>
      <c r="O241" s="580" t="s">
        <v>388</v>
      </c>
      <c r="P241" s="579" t="s">
        <v>388</v>
      </c>
      <c r="Q241" s="582"/>
      <c r="R241" s="583" t="e">
        <v>#VALUE!</v>
      </c>
      <c r="S241" s="382" t="e">
        <v>#VALUE!</v>
      </c>
      <c r="T241" s="382" t="e">
        <v>#VALUE!</v>
      </c>
      <c r="U241" s="382" t="e">
        <v>#VALUE!</v>
      </c>
      <c r="V241" s="584"/>
      <c r="W241" s="585" t="s">
        <v>388</v>
      </c>
    </row>
    <row r="242" spans="2:23" hidden="1">
      <c r="B242" s="586">
        <v>0</v>
      </c>
      <c r="C242" s="587" t="s">
        <v>388</v>
      </c>
      <c r="D242" s="588" t="s">
        <v>388</v>
      </c>
      <c r="E242" s="589" t="s">
        <v>388</v>
      </c>
      <c r="F242" s="589" t="s">
        <v>388</v>
      </c>
      <c r="G242" s="589" t="s">
        <v>388</v>
      </c>
      <c r="H242" s="589" t="s">
        <v>388</v>
      </c>
      <c r="I242" s="589" t="s">
        <v>388</v>
      </c>
      <c r="J242" s="589" t="s">
        <v>388</v>
      </c>
      <c r="K242" s="589" t="s">
        <v>388</v>
      </c>
      <c r="L242" s="590" t="s">
        <v>388</v>
      </c>
      <c r="M242" s="591" t="s">
        <v>388</v>
      </c>
      <c r="N242" s="588" t="s">
        <v>388</v>
      </c>
      <c r="O242" s="590" t="s">
        <v>388</v>
      </c>
      <c r="P242" s="589" t="s">
        <v>388</v>
      </c>
      <c r="Q242" s="592"/>
      <c r="R242" s="593" t="e">
        <v>#VALUE!</v>
      </c>
      <c r="S242" s="594" t="e">
        <v>#VALUE!</v>
      </c>
      <c r="T242" s="594" t="e">
        <v>#VALUE!</v>
      </c>
      <c r="U242" s="594" t="e">
        <v>#VALUE!</v>
      </c>
      <c r="V242" s="595"/>
      <c r="W242" s="596" t="s">
        <v>388</v>
      </c>
    </row>
    <row r="243" spans="2:23" hidden="1">
      <c r="B243" s="563">
        <v>0</v>
      </c>
      <c r="C243" s="564" t="s">
        <v>388</v>
      </c>
      <c r="D243" s="565" t="s">
        <v>388</v>
      </c>
      <c r="E243" s="566" t="s">
        <v>388</v>
      </c>
      <c r="F243" s="566" t="s">
        <v>388</v>
      </c>
      <c r="G243" s="566" t="s">
        <v>388</v>
      </c>
      <c r="H243" s="566" t="s">
        <v>388</v>
      </c>
      <c r="I243" s="566" t="s">
        <v>388</v>
      </c>
      <c r="J243" s="566" t="s">
        <v>388</v>
      </c>
      <c r="K243" s="566" t="s">
        <v>388</v>
      </c>
      <c r="L243" s="567" t="s">
        <v>388</v>
      </c>
      <c r="M243" s="568" t="s">
        <v>388</v>
      </c>
      <c r="N243" s="565" t="s">
        <v>388</v>
      </c>
      <c r="O243" s="567" t="s">
        <v>388</v>
      </c>
      <c r="P243" s="566" t="s">
        <v>388</v>
      </c>
      <c r="Q243" s="569"/>
      <c r="R243" s="570" t="e">
        <v>#VALUE!</v>
      </c>
      <c r="S243" s="571" t="e">
        <v>#VALUE!</v>
      </c>
      <c r="T243" s="571" t="e">
        <v>#VALUE!</v>
      </c>
      <c r="U243" s="571" t="e">
        <v>#VALUE!</v>
      </c>
      <c r="V243" s="572"/>
      <c r="W243" s="573" t="s">
        <v>388</v>
      </c>
    </row>
    <row r="244" spans="2:23" hidden="1">
      <c r="B244" s="576">
        <v>0</v>
      </c>
      <c r="C244" s="577" t="s">
        <v>388</v>
      </c>
      <c r="D244" s="578" t="s">
        <v>388</v>
      </c>
      <c r="E244" s="579" t="s">
        <v>388</v>
      </c>
      <c r="F244" s="579" t="s">
        <v>388</v>
      </c>
      <c r="G244" s="579" t="s">
        <v>388</v>
      </c>
      <c r="H244" s="579" t="s">
        <v>388</v>
      </c>
      <c r="I244" s="579" t="s">
        <v>388</v>
      </c>
      <c r="J244" s="579" t="s">
        <v>388</v>
      </c>
      <c r="K244" s="579" t="s">
        <v>388</v>
      </c>
      <c r="L244" s="580" t="s">
        <v>388</v>
      </c>
      <c r="M244" s="581" t="s">
        <v>388</v>
      </c>
      <c r="N244" s="578" t="s">
        <v>388</v>
      </c>
      <c r="O244" s="580" t="s">
        <v>388</v>
      </c>
      <c r="P244" s="579" t="s">
        <v>388</v>
      </c>
      <c r="Q244" s="582"/>
      <c r="R244" s="583" t="e">
        <v>#VALUE!</v>
      </c>
      <c r="S244" s="382" t="e">
        <v>#VALUE!</v>
      </c>
      <c r="T244" s="382" t="e">
        <v>#VALUE!</v>
      </c>
      <c r="U244" s="382" t="e">
        <v>#VALUE!</v>
      </c>
      <c r="V244" s="584"/>
      <c r="W244" s="585" t="s">
        <v>388</v>
      </c>
    </row>
    <row r="245" spans="2:23" hidden="1">
      <c r="B245" s="576">
        <v>0</v>
      </c>
      <c r="C245" s="577" t="s">
        <v>388</v>
      </c>
      <c r="D245" s="578" t="s">
        <v>388</v>
      </c>
      <c r="E245" s="579" t="s">
        <v>388</v>
      </c>
      <c r="F245" s="579" t="s">
        <v>388</v>
      </c>
      <c r="G245" s="579" t="s">
        <v>388</v>
      </c>
      <c r="H245" s="579" t="s">
        <v>388</v>
      </c>
      <c r="I245" s="579" t="s">
        <v>388</v>
      </c>
      <c r="J245" s="579" t="s">
        <v>388</v>
      </c>
      <c r="K245" s="579" t="s">
        <v>388</v>
      </c>
      <c r="L245" s="580" t="s">
        <v>388</v>
      </c>
      <c r="M245" s="581" t="s">
        <v>388</v>
      </c>
      <c r="N245" s="578" t="s">
        <v>388</v>
      </c>
      <c r="O245" s="580" t="s">
        <v>388</v>
      </c>
      <c r="P245" s="579" t="s">
        <v>388</v>
      </c>
      <c r="Q245" s="582"/>
      <c r="R245" s="583" t="e">
        <v>#VALUE!</v>
      </c>
      <c r="S245" s="382" t="e">
        <v>#VALUE!</v>
      </c>
      <c r="T245" s="382" t="e">
        <v>#VALUE!</v>
      </c>
      <c r="U245" s="382" t="e">
        <v>#VALUE!</v>
      </c>
      <c r="V245" s="584"/>
      <c r="W245" s="585" t="s">
        <v>388</v>
      </c>
    </row>
    <row r="246" spans="2:23" hidden="1">
      <c r="B246" s="576">
        <v>0</v>
      </c>
      <c r="C246" s="577" t="s">
        <v>388</v>
      </c>
      <c r="D246" s="578" t="s">
        <v>388</v>
      </c>
      <c r="E246" s="579" t="s">
        <v>388</v>
      </c>
      <c r="F246" s="579" t="s">
        <v>388</v>
      </c>
      <c r="G246" s="579" t="s">
        <v>388</v>
      </c>
      <c r="H246" s="579" t="s">
        <v>388</v>
      </c>
      <c r="I246" s="579" t="s">
        <v>388</v>
      </c>
      <c r="J246" s="579" t="s">
        <v>388</v>
      </c>
      <c r="K246" s="579" t="s">
        <v>388</v>
      </c>
      <c r="L246" s="580" t="s">
        <v>388</v>
      </c>
      <c r="M246" s="581" t="s">
        <v>388</v>
      </c>
      <c r="N246" s="578" t="s">
        <v>388</v>
      </c>
      <c r="O246" s="580" t="s">
        <v>388</v>
      </c>
      <c r="P246" s="579" t="s">
        <v>388</v>
      </c>
      <c r="Q246" s="582"/>
      <c r="R246" s="583" t="e">
        <v>#VALUE!</v>
      </c>
      <c r="S246" s="382" t="e">
        <v>#VALUE!</v>
      </c>
      <c r="T246" s="382" t="e">
        <v>#VALUE!</v>
      </c>
      <c r="U246" s="382" t="e">
        <v>#VALUE!</v>
      </c>
      <c r="V246" s="584"/>
      <c r="W246" s="585" t="s">
        <v>388</v>
      </c>
    </row>
    <row r="247" spans="2:23" hidden="1">
      <c r="B247" s="586">
        <v>0</v>
      </c>
      <c r="C247" s="587" t="s">
        <v>388</v>
      </c>
      <c r="D247" s="588" t="s">
        <v>388</v>
      </c>
      <c r="E247" s="589" t="s">
        <v>388</v>
      </c>
      <c r="F247" s="589" t="s">
        <v>388</v>
      </c>
      <c r="G247" s="589" t="s">
        <v>388</v>
      </c>
      <c r="H247" s="589" t="s">
        <v>388</v>
      </c>
      <c r="I247" s="589" t="s">
        <v>388</v>
      </c>
      <c r="J247" s="589" t="s">
        <v>388</v>
      </c>
      <c r="K247" s="589" t="s">
        <v>388</v>
      </c>
      <c r="L247" s="590" t="s">
        <v>388</v>
      </c>
      <c r="M247" s="591" t="s">
        <v>388</v>
      </c>
      <c r="N247" s="588" t="s">
        <v>388</v>
      </c>
      <c r="O247" s="590" t="s">
        <v>388</v>
      </c>
      <c r="P247" s="589" t="s">
        <v>388</v>
      </c>
      <c r="Q247" s="592"/>
      <c r="R247" s="593" t="e">
        <v>#VALUE!</v>
      </c>
      <c r="S247" s="594" t="e">
        <v>#VALUE!</v>
      </c>
      <c r="T247" s="594" t="e">
        <v>#VALUE!</v>
      </c>
      <c r="U247" s="594" t="e">
        <v>#VALUE!</v>
      </c>
      <c r="V247" s="595"/>
      <c r="W247" s="596" t="s">
        <v>388</v>
      </c>
    </row>
    <row r="248" spans="2:23" hidden="1">
      <c r="B248" s="563">
        <v>0</v>
      </c>
      <c r="C248" s="564" t="s">
        <v>388</v>
      </c>
      <c r="D248" s="565" t="s">
        <v>388</v>
      </c>
      <c r="E248" s="566" t="s">
        <v>388</v>
      </c>
      <c r="F248" s="566" t="s">
        <v>388</v>
      </c>
      <c r="G248" s="566" t="s">
        <v>388</v>
      </c>
      <c r="H248" s="566" t="s">
        <v>388</v>
      </c>
      <c r="I248" s="566" t="s">
        <v>388</v>
      </c>
      <c r="J248" s="566" t="s">
        <v>388</v>
      </c>
      <c r="K248" s="566" t="s">
        <v>388</v>
      </c>
      <c r="L248" s="567" t="s">
        <v>388</v>
      </c>
      <c r="M248" s="568" t="s">
        <v>388</v>
      </c>
      <c r="N248" s="565" t="s">
        <v>388</v>
      </c>
      <c r="O248" s="567" t="s">
        <v>388</v>
      </c>
      <c r="P248" s="566" t="s">
        <v>388</v>
      </c>
      <c r="Q248" s="569"/>
      <c r="R248" s="570" t="e">
        <v>#VALUE!</v>
      </c>
      <c r="S248" s="571" t="e">
        <v>#VALUE!</v>
      </c>
      <c r="T248" s="571" t="e">
        <v>#VALUE!</v>
      </c>
      <c r="U248" s="571" t="e">
        <v>#VALUE!</v>
      </c>
      <c r="V248" s="572"/>
      <c r="W248" s="573" t="s">
        <v>388</v>
      </c>
    </row>
    <row r="249" spans="2:23" hidden="1">
      <c r="B249" s="576">
        <v>0</v>
      </c>
      <c r="C249" s="577" t="s">
        <v>388</v>
      </c>
      <c r="D249" s="578" t="s">
        <v>388</v>
      </c>
      <c r="E249" s="579" t="s">
        <v>388</v>
      </c>
      <c r="F249" s="579" t="s">
        <v>388</v>
      </c>
      <c r="G249" s="579" t="s">
        <v>388</v>
      </c>
      <c r="H249" s="579" t="s">
        <v>388</v>
      </c>
      <c r="I249" s="579" t="s">
        <v>388</v>
      </c>
      <c r="J249" s="579" t="s">
        <v>388</v>
      </c>
      <c r="K249" s="579" t="s">
        <v>388</v>
      </c>
      <c r="L249" s="580" t="s">
        <v>388</v>
      </c>
      <c r="M249" s="581" t="s">
        <v>388</v>
      </c>
      <c r="N249" s="578" t="s">
        <v>388</v>
      </c>
      <c r="O249" s="580" t="s">
        <v>388</v>
      </c>
      <c r="P249" s="579" t="s">
        <v>388</v>
      </c>
      <c r="Q249" s="582"/>
      <c r="R249" s="583" t="e">
        <v>#VALUE!</v>
      </c>
      <c r="S249" s="382" t="e">
        <v>#VALUE!</v>
      </c>
      <c r="T249" s="382" t="e">
        <v>#VALUE!</v>
      </c>
      <c r="U249" s="382" t="e">
        <v>#VALUE!</v>
      </c>
      <c r="V249" s="584"/>
      <c r="W249" s="585" t="s">
        <v>388</v>
      </c>
    </row>
    <row r="250" spans="2:23" hidden="1">
      <c r="B250" s="576">
        <v>0</v>
      </c>
      <c r="C250" s="577" t="s">
        <v>388</v>
      </c>
      <c r="D250" s="578" t="s">
        <v>388</v>
      </c>
      <c r="E250" s="579" t="s">
        <v>388</v>
      </c>
      <c r="F250" s="579" t="s">
        <v>388</v>
      </c>
      <c r="G250" s="579" t="s">
        <v>388</v>
      </c>
      <c r="H250" s="579" t="s">
        <v>388</v>
      </c>
      <c r="I250" s="579" t="s">
        <v>388</v>
      </c>
      <c r="J250" s="579" t="s">
        <v>388</v>
      </c>
      <c r="K250" s="579" t="s">
        <v>388</v>
      </c>
      <c r="L250" s="580" t="s">
        <v>388</v>
      </c>
      <c r="M250" s="581" t="s">
        <v>388</v>
      </c>
      <c r="N250" s="578" t="s">
        <v>388</v>
      </c>
      <c r="O250" s="580" t="s">
        <v>388</v>
      </c>
      <c r="P250" s="579" t="s">
        <v>388</v>
      </c>
      <c r="Q250" s="582"/>
      <c r="R250" s="583" t="e">
        <v>#VALUE!</v>
      </c>
      <c r="S250" s="382" t="e">
        <v>#VALUE!</v>
      </c>
      <c r="T250" s="382" t="e">
        <v>#VALUE!</v>
      </c>
      <c r="U250" s="382" t="e">
        <v>#VALUE!</v>
      </c>
      <c r="V250" s="584"/>
      <c r="W250" s="585" t="s">
        <v>388</v>
      </c>
    </row>
    <row r="251" spans="2:23" hidden="1">
      <c r="B251" s="576">
        <v>0</v>
      </c>
      <c r="C251" s="577" t="s">
        <v>388</v>
      </c>
      <c r="D251" s="578" t="s">
        <v>388</v>
      </c>
      <c r="E251" s="579" t="s">
        <v>388</v>
      </c>
      <c r="F251" s="579" t="s">
        <v>388</v>
      </c>
      <c r="G251" s="579" t="s">
        <v>388</v>
      </c>
      <c r="H251" s="579" t="s">
        <v>388</v>
      </c>
      <c r="I251" s="579" t="s">
        <v>388</v>
      </c>
      <c r="J251" s="579" t="s">
        <v>388</v>
      </c>
      <c r="K251" s="579" t="s">
        <v>388</v>
      </c>
      <c r="L251" s="580" t="s">
        <v>388</v>
      </c>
      <c r="M251" s="581" t="s">
        <v>388</v>
      </c>
      <c r="N251" s="578" t="s">
        <v>388</v>
      </c>
      <c r="O251" s="580" t="s">
        <v>388</v>
      </c>
      <c r="P251" s="579" t="s">
        <v>388</v>
      </c>
      <c r="Q251" s="582"/>
      <c r="R251" s="583" t="e">
        <v>#VALUE!</v>
      </c>
      <c r="S251" s="382" t="e">
        <v>#VALUE!</v>
      </c>
      <c r="T251" s="382" t="e">
        <v>#VALUE!</v>
      </c>
      <c r="U251" s="382" t="e">
        <v>#VALUE!</v>
      </c>
      <c r="V251" s="584"/>
      <c r="W251" s="585" t="s">
        <v>388</v>
      </c>
    </row>
    <row r="252" spans="2:23" hidden="1">
      <c r="B252" s="586">
        <v>0</v>
      </c>
      <c r="C252" s="587" t="s">
        <v>388</v>
      </c>
      <c r="D252" s="588" t="s">
        <v>388</v>
      </c>
      <c r="E252" s="589" t="s">
        <v>388</v>
      </c>
      <c r="F252" s="589" t="s">
        <v>388</v>
      </c>
      <c r="G252" s="589" t="s">
        <v>388</v>
      </c>
      <c r="H252" s="589" t="s">
        <v>388</v>
      </c>
      <c r="I252" s="589" t="s">
        <v>388</v>
      </c>
      <c r="J252" s="589" t="s">
        <v>388</v>
      </c>
      <c r="K252" s="589" t="s">
        <v>388</v>
      </c>
      <c r="L252" s="590" t="s">
        <v>388</v>
      </c>
      <c r="M252" s="591" t="s">
        <v>388</v>
      </c>
      <c r="N252" s="588" t="s">
        <v>388</v>
      </c>
      <c r="O252" s="590" t="s">
        <v>388</v>
      </c>
      <c r="P252" s="589" t="s">
        <v>388</v>
      </c>
      <c r="Q252" s="592"/>
      <c r="R252" s="593" t="e">
        <v>#VALUE!</v>
      </c>
      <c r="S252" s="594" t="e">
        <v>#VALUE!</v>
      </c>
      <c r="T252" s="594" t="e">
        <v>#VALUE!</v>
      </c>
      <c r="U252" s="594" t="e">
        <v>#VALUE!</v>
      </c>
      <c r="V252" s="595"/>
      <c r="W252" s="596" t="s">
        <v>388</v>
      </c>
    </row>
    <row r="253" spans="2:23" hidden="1">
      <c r="B253" s="563">
        <v>0</v>
      </c>
      <c r="C253" s="564" t="s">
        <v>388</v>
      </c>
      <c r="D253" s="565" t="s">
        <v>388</v>
      </c>
      <c r="E253" s="566" t="s">
        <v>388</v>
      </c>
      <c r="F253" s="566" t="s">
        <v>388</v>
      </c>
      <c r="G253" s="566" t="s">
        <v>388</v>
      </c>
      <c r="H253" s="566" t="s">
        <v>388</v>
      </c>
      <c r="I253" s="566" t="s">
        <v>388</v>
      </c>
      <c r="J253" s="566" t="s">
        <v>388</v>
      </c>
      <c r="K253" s="566" t="s">
        <v>388</v>
      </c>
      <c r="L253" s="567" t="s">
        <v>388</v>
      </c>
      <c r="M253" s="568" t="s">
        <v>388</v>
      </c>
      <c r="N253" s="565" t="s">
        <v>388</v>
      </c>
      <c r="O253" s="567" t="s">
        <v>388</v>
      </c>
      <c r="P253" s="566" t="s">
        <v>388</v>
      </c>
      <c r="Q253" s="569"/>
      <c r="R253" s="570" t="e">
        <v>#VALUE!</v>
      </c>
      <c r="S253" s="571" t="e">
        <v>#VALUE!</v>
      </c>
      <c r="T253" s="571" t="e">
        <v>#VALUE!</v>
      </c>
      <c r="U253" s="571" t="e">
        <v>#VALUE!</v>
      </c>
      <c r="V253" s="572"/>
      <c r="W253" s="573" t="s">
        <v>388</v>
      </c>
    </row>
    <row r="254" spans="2:23" hidden="1">
      <c r="B254" s="576">
        <v>0</v>
      </c>
      <c r="C254" s="577" t="s">
        <v>388</v>
      </c>
      <c r="D254" s="578" t="s">
        <v>388</v>
      </c>
      <c r="E254" s="579" t="s">
        <v>388</v>
      </c>
      <c r="F254" s="579" t="s">
        <v>388</v>
      </c>
      <c r="G254" s="579" t="s">
        <v>388</v>
      </c>
      <c r="H254" s="579" t="s">
        <v>388</v>
      </c>
      <c r="I254" s="579" t="s">
        <v>388</v>
      </c>
      <c r="J254" s="579" t="s">
        <v>388</v>
      </c>
      <c r="K254" s="579" t="s">
        <v>388</v>
      </c>
      <c r="L254" s="580" t="s">
        <v>388</v>
      </c>
      <c r="M254" s="581" t="s">
        <v>388</v>
      </c>
      <c r="N254" s="578" t="s">
        <v>388</v>
      </c>
      <c r="O254" s="580" t="s">
        <v>388</v>
      </c>
      <c r="P254" s="579" t="s">
        <v>388</v>
      </c>
      <c r="Q254" s="582"/>
      <c r="R254" s="583" t="e">
        <v>#VALUE!</v>
      </c>
      <c r="S254" s="382" t="e">
        <v>#VALUE!</v>
      </c>
      <c r="T254" s="382" t="e">
        <v>#VALUE!</v>
      </c>
      <c r="U254" s="382" t="e">
        <v>#VALUE!</v>
      </c>
      <c r="V254" s="584"/>
      <c r="W254" s="585" t="s">
        <v>388</v>
      </c>
    </row>
    <row r="255" spans="2:23" hidden="1">
      <c r="B255" s="576">
        <v>0</v>
      </c>
      <c r="C255" s="577" t="s">
        <v>388</v>
      </c>
      <c r="D255" s="578" t="s">
        <v>388</v>
      </c>
      <c r="E255" s="579" t="s">
        <v>388</v>
      </c>
      <c r="F255" s="579" t="s">
        <v>388</v>
      </c>
      <c r="G255" s="579" t="s">
        <v>388</v>
      </c>
      <c r="H255" s="579" t="s">
        <v>388</v>
      </c>
      <c r="I255" s="579" t="s">
        <v>388</v>
      </c>
      <c r="J255" s="579" t="s">
        <v>388</v>
      </c>
      <c r="K255" s="579" t="s">
        <v>388</v>
      </c>
      <c r="L255" s="580" t="s">
        <v>388</v>
      </c>
      <c r="M255" s="581" t="s">
        <v>388</v>
      </c>
      <c r="N255" s="578" t="s">
        <v>388</v>
      </c>
      <c r="O255" s="580" t="s">
        <v>388</v>
      </c>
      <c r="P255" s="579" t="s">
        <v>388</v>
      </c>
      <c r="Q255" s="582"/>
      <c r="R255" s="583" t="e">
        <v>#VALUE!</v>
      </c>
      <c r="S255" s="382" t="e">
        <v>#VALUE!</v>
      </c>
      <c r="T255" s="382" t="e">
        <v>#VALUE!</v>
      </c>
      <c r="U255" s="382" t="e">
        <v>#VALUE!</v>
      </c>
      <c r="V255" s="584"/>
      <c r="W255" s="585" t="s">
        <v>388</v>
      </c>
    </row>
    <row r="256" spans="2:23" hidden="1">
      <c r="B256" s="576">
        <v>0</v>
      </c>
      <c r="C256" s="577" t="s">
        <v>388</v>
      </c>
      <c r="D256" s="578" t="s">
        <v>388</v>
      </c>
      <c r="E256" s="579" t="s">
        <v>388</v>
      </c>
      <c r="F256" s="579" t="s">
        <v>388</v>
      </c>
      <c r="G256" s="579" t="s">
        <v>388</v>
      </c>
      <c r="H256" s="579" t="s">
        <v>388</v>
      </c>
      <c r="I256" s="579" t="s">
        <v>388</v>
      </c>
      <c r="J256" s="579" t="s">
        <v>388</v>
      </c>
      <c r="K256" s="579" t="s">
        <v>388</v>
      </c>
      <c r="L256" s="580" t="s">
        <v>388</v>
      </c>
      <c r="M256" s="581" t="s">
        <v>388</v>
      </c>
      <c r="N256" s="578" t="s">
        <v>388</v>
      </c>
      <c r="O256" s="580" t="s">
        <v>388</v>
      </c>
      <c r="P256" s="579" t="s">
        <v>388</v>
      </c>
      <c r="Q256" s="582"/>
      <c r="R256" s="583" t="e">
        <v>#VALUE!</v>
      </c>
      <c r="S256" s="382" t="e">
        <v>#VALUE!</v>
      </c>
      <c r="T256" s="382" t="e">
        <v>#VALUE!</v>
      </c>
      <c r="U256" s="382" t="e">
        <v>#VALUE!</v>
      </c>
      <c r="V256" s="584"/>
      <c r="W256" s="585" t="s">
        <v>388</v>
      </c>
    </row>
    <row r="257" spans="1:24" hidden="1">
      <c r="B257" s="586">
        <v>0</v>
      </c>
      <c r="C257" s="587" t="s">
        <v>388</v>
      </c>
      <c r="D257" s="588" t="s">
        <v>388</v>
      </c>
      <c r="E257" s="589" t="s">
        <v>388</v>
      </c>
      <c r="F257" s="589" t="s">
        <v>388</v>
      </c>
      <c r="G257" s="589" t="s">
        <v>388</v>
      </c>
      <c r="H257" s="589" t="s">
        <v>388</v>
      </c>
      <c r="I257" s="589" t="s">
        <v>388</v>
      </c>
      <c r="J257" s="589" t="s">
        <v>388</v>
      </c>
      <c r="K257" s="589" t="s">
        <v>388</v>
      </c>
      <c r="L257" s="590" t="s">
        <v>388</v>
      </c>
      <c r="M257" s="591" t="s">
        <v>388</v>
      </c>
      <c r="N257" s="588" t="s">
        <v>388</v>
      </c>
      <c r="O257" s="590" t="s">
        <v>388</v>
      </c>
      <c r="P257" s="589" t="s">
        <v>388</v>
      </c>
      <c r="Q257" s="592"/>
      <c r="R257" s="593" t="e">
        <v>#VALUE!</v>
      </c>
      <c r="S257" s="594" t="e">
        <v>#VALUE!</v>
      </c>
      <c r="T257" s="594" t="e">
        <v>#VALUE!</v>
      </c>
      <c r="U257" s="594" t="e">
        <v>#VALUE!</v>
      </c>
      <c r="V257" s="595"/>
      <c r="W257" s="596" t="s">
        <v>388</v>
      </c>
    </row>
    <row r="258" spans="1:24" hidden="1">
      <c r="A258" s="374"/>
      <c r="B258" s="563">
        <v>0</v>
      </c>
      <c r="C258" s="564" t="s">
        <v>388</v>
      </c>
      <c r="D258" s="565" t="s">
        <v>388</v>
      </c>
      <c r="E258" s="566" t="s">
        <v>388</v>
      </c>
      <c r="F258" s="566" t="s">
        <v>388</v>
      </c>
      <c r="G258" s="566" t="s">
        <v>388</v>
      </c>
      <c r="H258" s="566" t="s">
        <v>388</v>
      </c>
      <c r="I258" s="566" t="s">
        <v>388</v>
      </c>
      <c r="J258" s="566" t="s">
        <v>388</v>
      </c>
      <c r="K258" s="566" t="s">
        <v>388</v>
      </c>
      <c r="L258" s="567" t="s">
        <v>388</v>
      </c>
      <c r="M258" s="568" t="s">
        <v>388</v>
      </c>
      <c r="N258" s="565" t="s">
        <v>388</v>
      </c>
      <c r="O258" s="567" t="s">
        <v>388</v>
      </c>
      <c r="P258" s="566" t="s">
        <v>388</v>
      </c>
      <c r="Q258" s="569"/>
      <c r="R258" s="570" t="e">
        <v>#VALUE!</v>
      </c>
      <c r="S258" s="571" t="e">
        <v>#VALUE!</v>
      </c>
      <c r="T258" s="571" t="e">
        <v>#VALUE!</v>
      </c>
      <c r="U258" s="571" t="e">
        <v>#VALUE!</v>
      </c>
      <c r="V258" s="572"/>
      <c r="W258" s="573" t="s">
        <v>388</v>
      </c>
      <c r="X258" s="374"/>
    </row>
    <row r="259" spans="1:24" hidden="1">
      <c r="A259" s="374"/>
      <c r="B259" s="576">
        <v>0</v>
      </c>
      <c r="C259" s="577" t="s">
        <v>388</v>
      </c>
      <c r="D259" s="578" t="s">
        <v>388</v>
      </c>
      <c r="E259" s="579" t="s">
        <v>388</v>
      </c>
      <c r="F259" s="579" t="s">
        <v>388</v>
      </c>
      <c r="G259" s="579" t="s">
        <v>388</v>
      </c>
      <c r="H259" s="579" t="s">
        <v>388</v>
      </c>
      <c r="I259" s="579" t="s">
        <v>388</v>
      </c>
      <c r="J259" s="579" t="s">
        <v>388</v>
      </c>
      <c r="K259" s="579" t="s">
        <v>388</v>
      </c>
      <c r="L259" s="580" t="s">
        <v>388</v>
      </c>
      <c r="M259" s="581" t="s">
        <v>388</v>
      </c>
      <c r="N259" s="578" t="s">
        <v>388</v>
      </c>
      <c r="O259" s="580" t="s">
        <v>388</v>
      </c>
      <c r="P259" s="579" t="s">
        <v>388</v>
      </c>
      <c r="Q259" s="582"/>
      <c r="R259" s="583" t="e">
        <v>#VALUE!</v>
      </c>
      <c r="S259" s="382" t="e">
        <v>#VALUE!</v>
      </c>
      <c r="T259" s="382" t="e">
        <v>#VALUE!</v>
      </c>
      <c r="U259" s="382" t="e">
        <v>#VALUE!</v>
      </c>
      <c r="V259" s="584"/>
      <c r="W259" s="585" t="s">
        <v>388</v>
      </c>
      <c r="X259" s="374"/>
    </row>
    <row r="260" spans="1:24" hidden="1">
      <c r="A260" s="374"/>
      <c r="B260" s="576">
        <v>0</v>
      </c>
      <c r="C260" s="577" t="s">
        <v>388</v>
      </c>
      <c r="D260" s="578" t="s">
        <v>388</v>
      </c>
      <c r="E260" s="579" t="s">
        <v>388</v>
      </c>
      <c r="F260" s="579" t="s">
        <v>388</v>
      </c>
      <c r="G260" s="579" t="s">
        <v>388</v>
      </c>
      <c r="H260" s="579" t="s">
        <v>388</v>
      </c>
      <c r="I260" s="579" t="s">
        <v>388</v>
      </c>
      <c r="J260" s="579" t="s">
        <v>388</v>
      </c>
      <c r="K260" s="579" t="s">
        <v>388</v>
      </c>
      <c r="L260" s="580" t="s">
        <v>388</v>
      </c>
      <c r="M260" s="581" t="s">
        <v>388</v>
      </c>
      <c r="N260" s="578" t="s">
        <v>388</v>
      </c>
      <c r="O260" s="580" t="s">
        <v>388</v>
      </c>
      <c r="P260" s="579" t="s">
        <v>388</v>
      </c>
      <c r="Q260" s="582"/>
      <c r="R260" s="583" t="e">
        <v>#VALUE!</v>
      </c>
      <c r="S260" s="382" t="e">
        <v>#VALUE!</v>
      </c>
      <c r="T260" s="382" t="e">
        <v>#VALUE!</v>
      </c>
      <c r="U260" s="382" t="e">
        <v>#VALUE!</v>
      </c>
      <c r="V260" s="584"/>
      <c r="W260" s="585" t="s">
        <v>388</v>
      </c>
      <c r="X260" s="374"/>
    </row>
    <row r="261" spans="1:24" hidden="1">
      <c r="A261" s="374"/>
      <c r="B261" s="576">
        <v>0</v>
      </c>
      <c r="C261" s="577" t="s">
        <v>388</v>
      </c>
      <c r="D261" s="578" t="s">
        <v>388</v>
      </c>
      <c r="E261" s="579" t="s">
        <v>388</v>
      </c>
      <c r="F261" s="579" t="s">
        <v>388</v>
      </c>
      <c r="G261" s="579" t="s">
        <v>388</v>
      </c>
      <c r="H261" s="579" t="s">
        <v>388</v>
      </c>
      <c r="I261" s="579" t="s">
        <v>388</v>
      </c>
      <c r="J261" s="579" t="s">
        <v>388</v>
      </c>
      <c r="K261" s="579" t="s">
        <v>388</v>
      </c>
      <c r="L261" s="580" t="s">
        <v>388</v>
      </c>
      <c r="M261" s="581" t="s">
        <v>388</v>
      </c>
      <c r="N261" s="578" t="s">
        <v>388</v>
      </c>
      <c r="O261" s="580" t="s">
        <v>388</v>
      </c>
      <c r="P261" s="579" t="s">
        <v>388</v>
      </c>
      <c r="Q261" s="582"/>
      <c r="R261" s="583" t="e">
        <v>#VALUE!</v>
      </c>
      <c r="S261" s="382" t="e">
        <v>#VALUE!</v>
      </c>
      <c r="T261" s="382" t="e">
        <v>#VALUE!</v>
      </c>
      <c r="U261" s="382" t="e">
        <v>#VALUE!</v>
      </c>
      <c r="V261" s="584"/>
      <c r="W261" s="585" t="s">
        <v>388</v>
      </c>
      <c r="X261" s="374"/>
    </row>
    <row r="262" spans="1:24" hidden="1">
      <c r="A262" s="374"/>
      <c r="B262" s="586">
        <v>0</v>
      </c>
      <c r="C262" s="587" t="s">
        <v>388</v>
      </c>
      <c r="D262" s="588" t="s">
        <v>388</v>
      </c>
      <c r="E262" s="589" t="s">
        <v>388</v>
      </c>
      <c r="F262" s="589" t="s">
        <v>388</v>
      </c>
      <c r="G262" s="589" t="s">
        <v>388</v>
      </c>
      <c r="H262" s="589" t="s">
        <v>388</v>
      </c>
      <c r="I262" s="589" t="s">
        <v>388</v>
      </c>
      <c r="J262" s="589" t="s">
        <v>388</v>
      </c>
      <c r="K262" s="589" t="s">
        <v>388</v>
      </c>
      <c r="L262" s="590" t="s">
        <v>388</v>
      </c>
      <c r="M262" s="591" t="s">
        <v>388</v>
      </c>
      <c r="N262" s="588" t="s">
        <v>388</v>
      </c>
      <c r="O262" s="590" t="s">
        <v>388</v>
      </c>
      <c r="P262" s="589" t="s">
        <v>388</v>
      </c>
      <c r="Q262" s="592"/>
      <c r="R262" s="593" t="e">
        <v>#VALUE!</v>
      </c>
      <c r="S262" s="594" t="e">
        <v>#VALUE!</v>
      </c>
      <c r="T262" s="594" t="e">
        <v>#VALUE!</v>
      </c>
      <c r="U262" s="594" t="e">
        <v>#VALUE!</v>
      </c>
      <c r="V262" s="595"/>
      <c r="W262" s="596" t="s">
        <v>388</v>
      </c>
      <c r="X262" s="374"/>
    </row>
    <row r="263" spans="1:24" hidden="1">
      <c r="B263" s="563">
        <v>0</v>
      </c>
      <c r="C263" s="564" t="s">
        <v>388</v>
      </c>
      <c r="D263" s="565" t="s">
        <v>388</v>
      </c>
      <c r="E263" s="566" t="s">
        <v>388</v>
      </c>
      <c r="F263" s="566" t="s">
        <v>388</v>
      </c>
      <c r="G263" s="566" t="s">
        <v>388</v>
      </c>
      <c r="H263" s="566" t="s">
        <v>388</v>
      </c>
      <c r="I263" s="566" t="s">
        <v>388</v>
      </c>
      <c r="J263" s="566" t="s">
        <v>388</v>
      </c>
      <c r="K263" s="566" t="s">
        <v>388</v>
      </c>
      <c r="L263" s="567" t="s">
        <v>388</v>
      </c>
      <c r="M263" s="568" t="s">
        <v>388</v>
      </c>
      <c r="N263" s="565" t="s">
        <v>388</v>
      </c>
      <c r="O263" s="567" t="s">
        <v>388</v>
      </c>
      <c r="P263" s="566" t="s">
        <v>388</v>
      </c>
      <c r="Q263" s="569"/>
      <c r="R263" s="570" t="e">
        <v>#VALUE!</v>
      </c>
      <c r="S263" s="571" t="e">
        <v>#VALUE!</v>
      </c>
      <c r="T263" s="571" t="e">
        <v>#VALUE!</v>
      </c>
      <c r="U263" s="571" t="e">
        <v>#VALUE!</v>
      </c>
      <c r="V263" s="572"/>
      <c r="W263" s="573" t="s">
        <v>388</v>
      </c>
    </row>
    <row r="264" spans="1:24" hidden="1">
      <c r="B264" s="576">
        <v>0</v>
      </c>
      <c r="C264" s="577" t="s">
        <v>388</v>
      </c>
      <c r="D264" s="578" t="s">
        <v>388</v>
      </c>
      <c r="E264" s="579" t="s">
        <v>388</v>
      </c>
      <c r="F264" s="579" t="s">
        <v>388</v>
      </c>
      <c r="G264" s="579" t="s">
        <v>388</v>
      </c>
      <c r="H264" s="579" t="s">
        <v>388</v>
      </c>
      <c r="I264" s="579" t="s">
        <v>388</v>
      </c>
      <c r="J264" s="579" t="s">
        <v>388</v>
      </c>
      <c r="K264" s="579" t="s">
        <v>388</v>
      </c>
      <c r="L264" s="580" t="s">
        <v>388</v>
      </c>
      <c r="M264" s="581" t="s">
        <v>388</v>
      </c>
      <c r="N264" s="578" t="s">
        <v>388</v>
      </c>
      <c r="O264" s="580" t="s">
        <v>388</v>
      </c>
      <c r="P264" s="579" t="s">
        <v>388</v>
      </c>
      <c r="Q264" s="582"/>
      <c r="R264" s="583" t="e">
        <v>#VALUE!</v>
      </c>
      <c r="S264" s="382" t="e">
        <v>#VALUE!</v>
      </c>
      <c r="T264" s="382" t="e">
        <v>#VALUE!</v>
      </c>
      <c r="U264" s="382" t="e">
        <v>#VALUE!</v>
      </c>
      <c r="V264" s="584"/>
      <c r="W264" s="585" t="s">
        <v>388</v>
      </c>
    </row>
    <row r="265" spans="1:24" hidden="1">
      <c r="B265" s="576">
        <v>0</v>
      </c>
      <c r="C265" s="577" t="s">
        <v>388</v>
      </c>
      <c r="D265" s="578" t="s">
        <v>388</v>
      </c>
      <c r="E265" s="579" t="s">
        <v>388</v>
      </c>
      <c r="F265" s="579" t="s">
        <v>388</v>
      </c>
      <c r="G265" s="579" t="s">
        <v>388</v>
      </c>
      <c r="H265" s="579" t="s">
        <v>388</v>
      </c>
      <c r="I265" s="579" t="s">
        <v>388</v>
      </c>
      <c r="J265" s="579" t="s">
        <v>388</v>
      </c>
      <c r="K265" s="579" t="s">
        <v>388</v>
      </c>
      <c r="L265" s="580" t="s">
        <v>388</v>
      </c>
      <c r="M265" s="581" t="s">
        <v>388</v>
      </c>
      <c r="N265" s="578" t="s">
        <v>388</v>
      </c>
      <c r="O265" s="580" t="s">
        <v>388</v>
      </c>
      <c r="P265" s="579" t="s">
        <v>388</v>
      </c>
      <c r="Q265" s="582"/>
      <c r="R265" s="583" t="e">
        <v>#VALUE!</v>
      </c>
      <c r="S265" s="382" t="e">
        <v>#VALUE!</v>
      </c>
      <c r="T265" s="382" t="e">
        <v>#VALUE!</v>
      </c>
      <c r="U265" s="382" t="e">
        <v>#VALUE!</v>
      </c>
      <c r="V265" s="584"/>
      <c r="W265" s="585" t="s">
        <v>388</v>
      </c>
    </row>
    <row r="266" spans="1:24" hidden="1">
      <c r="B266" s="576">
        <v>0</v>
      </c>
      <c r="C266" s="577" t="s">
        <v>388</v>
      </c>
      <c r="D266" s="578" t="s">
        <v>388</v>
      </c>
      <c r="E266" s="579" t="s">
        <v>388</v>
      </c>
      <c r="F266" s="579" t="s">
        <v>388</v>
      </c>
      <c r="G266" s="579" t="s">
        <v>388</v>
      </c>
      <c r="H266" s="579" t="s">
        <v>388</v>
      </c>
      <c r="I266" s="579" t="s">
        <v>388</v>
      </c>
      <c r="J266" s="579" t="s">
        <v>388</v>
      </c>
      <c r="K266" s="579" t="s">
        <v>388</v>
      </c>
      <c r="L266" s="580" t="s">
        <v>388</v>
      </c>
      <c r="M266" s="581" t="s">
        <v>388</v>
      </c>
      <c r="N266" s="578" t="s">
        <v>388</v>
      </c>
      <c r="O266" s="580" t="s">
        <v>388</v>
      </c>
      <c r="P266" s="579" t="s">
        <v>388</v>
      </c>
      <c r="Q266" s="582"/>
      <c r="R266" s="583" t="e">
        <v>#VALUE!</v>
      </c>
      <c r="S266" s="382" t="e">
        <v>#VALUE!</v>
      </c>
      <c r="T266" s="382" t="e">
        <v>#VALUE!</v>
      </c>
      <c r="U266" s="382" t="e">
        <v>#VALUE!</v>
      </c>
      <c r="V266" s="584"/>
      <c r="W266" s="585" t="s">
        <v>388</v>
      </c>
    </row>
    <row r="267" spans="1:24" hidden="1">
      <c r="B267" s="586">
        <v>0</v>
      </c>
      <c r="C267" s="587" t="s">
        <v>388</v>
      </c>
      <c r="D267" s="588" t="s">
        <v>388</v>
      </c>
      <c r="E267" s="589" t="s">
        <v>388</v>
      </c>
      <c r="F267" s="589" t="s">
        <v>388</v>
      </c>
      <c r="G267" s="589" t="s">
        <v>388</v>
      </c>
      <c r="H267" s="589" t="s">
        <v>388</v>
      </c>
      <c r="I267" s="589" t="s">
        <v>388</v>
      </c>
      <c r="J267" s="589" t="s">
        <v>388</v>
      </c>
      <c r="K267" s="589" t="s">
        <v>388</v>
      </c>
      <c r="L267" s="590" t="s">
        <v>388</v>
      </c>
      <c r="M267" s="591" t="s">
        <v>388</v>
      </c>
      <c r="N267" s="588" t="s">
        <v>388</v>
      </c>
      <c r="O267" s="590" t="s">
        <v>388</v>
      </c>
      <c r="P267" s="589" t="s">
        <v>388</v>
      </c>
      <c r="Q267" s="592"/>
      <c r="R267" s="593" t="e">
        <v>#VALUE!</v>
      </c>
      <c r="S267" s="594" t="e">
        <v>#VALUE!</v>
      </c>
      <c r="T267" s="594" t="e">
        <v>#VALUE!</v>
      </c>
      <c r="U267" s="594" t="e">
        <v>#VALUE!</v>
      </c>
      <c r="V267" s="595"/>
      <c r="W267" s="596" t="s">
        <v>388</v>
      </c>
    </row>
    <row r="268" spans="1:24" hidden="1">
      <c r="B268" s="563">
        <v>0</v>
      </c>
      <c r="C268" s="564" t="s">
        <v>388</v>
      </c>
      <c r="D268" s="565" t="s">
        <v>388</v>
      </c>
      <c r="E268" s="566" t="s">
        <v>388</v>
      </c>
      <c r="F268" s="566" t="s">
        <v>388</v>
      </c>
      <c r="G268" s="566" t="s">
        <v>388</v>
      </c>
      <c r="H268" s="566" t="s">
        <v>388</v>
      </c>
      <c r="I268" s="566" t="s">
        <v>388</v>
      </c>
      <c r="J268" s="566" t="s">
        <v>388</v>
      </c>
      <c r="K268" s="566" t="s">
        <v>388</v>
      </c>
      <c r="L268" s="567" t="s">
        <v>388</v>
      </c>
      <c r="M268" s="568" t="s">
        <v>388</v>
      </c>
      <c r="N268" s="565" t="s">
        <v>388</v>
      </c>
      <c r="O268" s="567" t="s">
        <v>388</v>
      </c>
      <c r="P268" s="566" t="s">
        <v>388</v>
      </c>
      <c r="Q268" s="569"/>
      <c r="R268" s="570" t="e">
        <v>#VALUE!</v>
      </c>
      <c r="S268" s="571" t="e">
        <v>#VALUE!</v>
      </c>
      <c r="T268" s="571" t="e">
        <v>#VALUE!</v>
      </c>
      <c r="U268" s="571" t="e">
        <v>#VALUE!</v>
      </c>
      <c r="V268" s="572"/>
      <c r="W268" s="573" t="s">
        <v>388</v>
      </c>
    </row>
    <row r="269" spans="1:24" hidden="1">
      <c r="B269" s="576">
        <v>0</v>
      </c>
      <c r="C269" s="577" t="s">
        <v>388</v>
      </c>
      <c r="D269" s="578" t="s">
        <v>388</v>
      </c>
      <c r="E269" s="579" t="s">
        <v>388</v>
      </c>
      <c r="F269" s="579" t="s">
        <v>388</v>
      </c>
      <c r="G269" s="579" t="s">
        <v>388</v>
      </c>
      <c r="H269" s="579" t="s">
        <v>388</v>
      </c>
      <c r="I269" s="579" t="s">
        <v>388</v>
      </c>
      <c r="J269" s="579" t="s">
        <v>388</v>
      </c>
      <c r="K269" s="579" t="s">
        <v>388</v>
      </c>
      <c r="L269" s="580" t="s">
        <v>388</v>
      </c>
      <c r="M269" s="581" t="s">
        <v>388</v>
      </c>
      <c r="N269" s="578" t="s">
        <v>388</v>
      </c>
      <c r="O269" s="580" t="s">
        <v>388</v>
      </c>
      <c r="P269" s="579" t="s">
        <v>388</v>
      </c>
      <c r="Q269" s="582"/>
      <c r="R269" s="583" t="e">
        <v>#VALUE!</v>
      </c>
      <c r="S269" s="382" t="e">
        <v>#VALUE!</v>
      </c>
      <c r="T269" s="382" t="e">
        <v>#VALUE!</v>
      </c>
      <c r="U269" s="382" t="e">
        <v>#VALUE!</v>
      </c>
      <c r="V269" s="584"/>
      <c r="W269" s="585" t="s">
        <v>388</v>
      </c>
    </row>
    <row r="270" spans="1:24" hidden="1">
      <c r="B270" s="576">
        <v>0</v>
      </c>
      <c r="C270" s="577" t="s">
        <v>388</v>
      </c>
      <c r="D270" s="578" t="s">
        <v>388</v>
      </c>
      <c r="E270" s="579" t="s">
        <v>388</v>
      </c>
      <c r="F270" s="579" t="s">
        <v>388</v>
      </c>
      <c r="G270" s="579" t="s">
        <v>388</v>
      </c>
      <c r="H270" s="579" t="s">
        <v>388</v>
      </c>
      <c r="I270" s="579" t="s">
        <v>388</v>
      </c>
      <c r="J270" s="579" t="s">
        <v>388</v>
      </c>
      <c r="K270" s="579" t="s">
        <v>388</v>
      </c>
      <c r="L270" s="580" t="s">
        <v>388</v>
      </c>
      <c r="M270" s="581" t="s">
        <v>388</v>
      </c>
      <c r="N270" s="578" t="s">
        <v>388</v>
      </c>
      <c r="O270" s="580" t="s">
        <v>388</v>
      </c>
      <c r="P270" s="579" t="s">
        <v>388</v>
      </c>
      <c r="Q270" s="582"/>
      <c r="R270" s="583" t="e">
        <v>#VALUE!</v>
      </c>
      <c r="S270" s="382" t="e">
        <v>#VALUE!</v>
      </c>
      <c r="T270" s="382" t="e">
        <v>#VALUE!</v>
      </c>
      <c r="U270" s="382" t="e">
        <v>#VALUE!</v>
      </c>
      <c r="V270" s="584"/>
      <c r="W270" s="585" t="s">
        <v>388</v>
      </c>
    </row>
    <row r="271" spans="1:24" hidden="1">
      <c r="B271" s="576">
        <v>0</v>
      </c>
      <c r="C271" s="577" t="s">
        <v>388</v>
      </c>
      <c r="D271" s="578" t="s">
        <v>388</v>
      </c>
      <c r="E271" s="579" t="s">
        <v>388</v>
      </c>
      <c r="F271" s="579" t="s">
        <v>388</v>
      </c>
      <c r="G271" s="579" t="s">
        <v>388</v>
      </c>
      <c r="H271" s="579" t="s">
        <v>388</v>
      </c>
      <c r="I271" s="579" t="s">
        <v>388</v>
      </c>
      <c r="J271" s="579" t="s">
        <v>388</v>
      </c>
      <c r="K271" s="579" t="s">
        <v>388</v>
      </c>
      <c r="L271" s="580" t="s">
        <v>388</v>
      </c>
      <c r="M271" s="581" t="s">
        <v>388</v>
      </c>
      <c r="N271" s="578" t="s">
        <v>388</v>
      </c>
      <c r="O271" s="580" t="s">
        <v>388</v>
      </c>
      <c r="P271" s="579" t="s">
        <v>388</v>
      </c>
      <c r="Q271" s="582"/>
      <c r="R271" s="583" t="e">
        <v>#VALUE!</v>
      </c>
      <c r="S271" s="382" t="e">
        <v>#VALUE!</v>
      </c>
      <c r="T271" s="382" t="e">
        <v>#VALUE!</v>
      </c>
      <c r="U271" s="382" t="e">
        <v>#VALUE!</v>
      </c>
      <c r="V271" s="584"/>
      <c r="W271" s="585" t="s">
        <v>388</v>
      </c>
    </row>
    <row r="272" spans="1:24" hidden="1">
      <c r="B272" s="586">
        <v>0</v>
      </c>
      <c r="C272" s="587" t="s">
        <v>388</v>
      </c>
      <c r="D272" s="588" t="s">
        <v>388</v>
      </c>
      <c r="E272" s="589" t="s">
        <v>388</v>
      </c>
      <c r="F272" s="589" t="s">
        <v>388</v>
      </c>
      <c r="G272" s="589" t="s">
        <v>388</v>
      </c>
      <c r="H272" s="589" t="s">
        <v>388</v>
      </c>
      <c r="I272" s="589" t="s">
        <v>388</v>
      </c>
      <c r="J272" s="589" t="s">
        <v>388</v>
      </c>
      <c r="K272" s="589" t="s">
        <v>388</v>
      </c>
      <c r="L272" s="590" t="s">
        <v>388</v>
      </c>
      <c r="M272" s="591" t="s">
        <v>388</v>
      </c>
      <c r="N272" s="588" t="s">
        <v>388</v>
      </c>
      <c r="O272" s="590" t="s">
        <v>388</v>
      </c>
      <c r="P272" s="589" t="s">
        <v>388</v>
      </c>
      <c r="Q272" s="592"/>
      <c r="R272" s="593" t="e">
        <v>#VALUE!</v>
      </c>
      <c r="S272" s="594" t="e">
        <v>#VALUE!</v>
      </c>
      <c r="T272" s="594" t="e">
        <v>#VALUE!</v>
      </c>
      <c r="U272" s="594" t="e">
        <v>#VALUE!</v>
      </c>
      <c r="V272" s="595"/>
      <c r="W272" s="596" t="s">
        <v>388</v>
      </c>
    </row>
    <row r="273" spans="2:24" hidden="1">
      <c r="B273" s="598"/>
      <c r="C273" s="599"/>
      <c r="D273" s="566"/>
      <c r="E273" s="566"/>
      <c r="F273" s="566"/>
      <c r="G273" s="566"/>
      <c r="H273" s="566"/>
      <c r="I273" s="566"/>
      <c r="J273" s="566"/>
      <c r="K273" s="566"/>
      <c r="L273" s="567"/>
      <c r="M273" s="566"/>
      <c r="N273" s="566"/>
      <c r="O273" s="567"/>
      <c r="P273" s="566"/>
      <c r="Q273" s="598"/>
      <c r="R273" s="571"/>
      <c r="S273" s="571"/>
      <c r="T273" s="571"/>
      <c r="U273" s="571"/>
      <c r="V273" s="600"/>
      <c r="W273" s="601"/>
    </row>
    <row r="274" spans="2:24" hidden="1">
      <c r="B274" s="602" t="s">
        <v>334</v>
      </c>
      <c r="C274" s="603"/>
      <c r="D274" s="579"/>
      <c r="E274" s="579"/>
      <c r="F274" s="579"/>
      <c r="G274" s="579"/>
      <c r="H274" s="579"/>
      <c r="I274" s="579"/>
      <c r="J274" s="579"/>
      <c r="K274" s="579"/>
      <c r="L274" s="580"/>
      <c r="M274" s="579"/>
      <c r="N274" s="579"/>
      <c r="O274" s="580"/>
      <c r="P274" s="579"/>
      <c r="Q274" s="374"/>
      <c r="R274" s="382"/>
      <c r="S274" s="382"/>
      <c r="T274" s="382"/>
      <c r="U274" s="382"/>
      <c r="V274" s="604"/>
      <c r="W274" s="605"/>
    </row>
    <row r="275" spans="2:24" hidden="1">
      <c r="B275" s="606" t="e">
        <v>#N/A</v>
      </c>
      <c r="G275" s="579"/>
      <c r="H275" s="579"/>
      <c r="I275" s="579"/>
      <c r="J275" s="579"/>
      <c r="K275" s="579"/>
      <c r="M275" s="607"/>
      <c r="N275" s="579"/>
      <c r="O275" s="580"/>
      <c r="P275" s="579"/>
      <c r="Q275" s="374"/>
      <c r="R275" s="382"/>
      <c r="S275" s="382"/>
      <c r="T275" s="382"/>
      <c r="U275" s="382"/>
      <c r="V275" s="604"/>
      <c r="W275" s="605"/>
    </row>
    <row r="276" spans="2:24" hidden="1">
      <c r="B276" s="606" t="s">
        <v>335</v>
      </c>
      <c r="G276" s="579"/>
      <c r="H276" s="579"/>
      <c r="I276" s="579"/>
      <c r="J276" s="579"/>
      <c r="K276" s="579"/>
      <c r="L276" s="580"/>
      <c r="M276" s="579"/>
      <c r="N276" s="579"/>
      <c r="O276" s="580"/>
      <c r="P276" s="579"/>
      <c r="Q276" s="374"/>
      <c r="R276" s="382"/>
      <c r="S276" s="382"/>
      <c r="T276" s="382"/>
      <c r="U276" s="382"/>
      <c r="V276" s="604"/>
      <c r="W276" s="605"/>
    </row>
    <row r="277" spans="2:24" hidden="1">
      <c r="B277" s="606" t="s">
        <v>571</v>
      </c>
      <c r="G277" s="579"/>
      <c r="H277" s="579"/>
      <c r="I277" s="579"/>
      <c r="J277" s="579"/>
      <c r="K277" s="579"/>
      <c r="L277" s="580"/>
      <c r="M277" s="579"/>
      <c r="N277" s="579"/>
      <c r="O277" s="580"/>
      <c r="P277" s="579"/>
      <c r="Q277" s="374"/>
      <c r="R277" s="382"/>
      <c r="S277" s="382"/>
      <c r="T277" s="382"/>
      <c r="U277" s="382"/>
      <c r="V277" s="604"/>
      <c r="W277" s="605"/>
    </row>
    <row r="278" spans="2:24" hidden="1"/>
    <row r="279" spans="2:24" hidden="1">
      <c r="B279" s="606" t="s">
        <v>336</v>
      </c>
      <c r="C279" s="609"/>
      <c r="G279" s="371" t="s">
        <v>572</v>
      </c>
    </row>
    <row r="280" spans="2:24" hidden="1">
      <c r="B280" s="610" t="s">
        <v>432</v>
      </c>
      <c r="C280" s="611"/>
    </row>
    <row r="281" spans="2:24" hidden="1">
      <c r="B281" s="610" t="s">
        <v>125</v>
      </c>
      <c r="C281" s="612"/>
    </row>
    <row r="282" spans="2:24" hidden="1">
      <c r="B282" s="610" t="s">
        <v>126</v>
      </c>
      <c r="C282" s="612"/>
    </row>
    <row r="283" spans="2:24" hidden="1">
      <c r="B283" s="610" t="s">
        <v>127</v>
      </c>
      <c r="C283" s="612"/>
    </row>
    <row r="284" spans="2:24" hidden="1">
      <c r="B284" s="610" t="s">
        <v>128</v>
      </c>
      <c r="C284" s="612"/>
      <c r="N284" s="613"/>
      <c r="O284" s="613"/>
      <c r="P284" s="613"/>
      <c r="Q284" s="614"/>
      <c r="R284" s="615"/>
      <c r="X284" s="616"/>
    </row>
    <row r="285" spans="2:24" hidden="1">
      <c r="B285" s="610" t="s">
        <v>433</v>
      </c>
      <c r="C285" s="617"/>
    </row>
    <row r="286" spans="2:24" hidden="1">
      <c r="B286" s="610" t="s">
        <v>434</v>
      </c>
      <c r="C286" s="618"/>
    </row>
    <row r="287" spans="2:24" hidden="1">
      <c r="B287" s="610" t="s">
        <v>435</v>
      </c>
    </row>
    <row r="288" spans="2:24" hidden="1">
      <c r="B288" s="610" t="s">
        <v>436</v>
      </c>
      <c r="C288" s="618"/>
    </row>
    <row r="289" spans="2:23" hidden="1">
      <c r="B289" s="610" t="s">
        <v>437</v>
      </c>
      <c r="C289" s="618"/>
    </row>
    <row r="290" spans="2:23" hidden="1">
      <c r="B290" s="610" t="s">
        <v>438</v>
      </c>
      <c r="N290" s="619"/>
      <c r="O290" s="619"/>
      <c r="P290" s="619"/>
    </row>
    <row r="291" spans="2:23" hidden="1">
      <c r="B291" s="610" t="s">
        <v>439</v>
      </c>
    </row>
    <row r="292" spans="2:23" hidden="1">
      <c r="B292" s="610" t="s">
        <v>440</v>
      </c>
    </row>
    <row r="293" spans="2:23" hidden="1">
      <c r="B293" s="610" t="s">
        <v>441</v>
      </c>
    </row>
    <row r="294" spans="2:23" hidden="1">
      <c r="B294" s="610" t="s">
        <v>388</v>
      </c>
    </row>
    <row r="295" spans="2:23" hidden="1">
      <c r="B295" s="610" t="s">
        <v>388</v>
      </c>
    </row>
    <row r="296" spans="2:23" hidden="1">
      <c r="B296" s="610" t="s">
        <v>388</v>
      </c>
    </row>
    <row r="297" spans="2:23" hidden="1">
      <c r="B297" s="610" t="s">
        <v>442</v>
      </c>
    </row>
    <row r="298" spans="2:23" hidden="1">
      <c r="B298" s="610" t="s">
        <v>443</v>
      </c>
    </row>
    <row r="299" spans="2:23" ht="20.100000000000001" hidden="1" customHeight="1">
      <c r="B299" s="610" t="s">
        <v>198</v>
      </c>
      <c r="C299" s="618"/>
    </row>
    <row r="300" spans="2:23" hidden="1">
      <c r="B300" s="371" t="s">
        <v>192</v>
      </c>
      <c r="C300" s="620"/>
      <c r="V300" s="621"/>
      <c r="W300" s="621"/>
    </row>
  </sheetData>
  <sheetProtection password="8AA1" sheet="1" objects="1" scenarios="1"/>
  <mergeCells count="8">
    <mergeCell ref="D236:M236"/>
    <mergeCell ref="N236:Q236"/>
    <mergeCell ref="D11:M11"/>
    <mergeCell ref="N11:Q11"/>
    <mergeCell ref="D86:M86"/>
    <mergeCell ref="N86:Q86"/>
    <mergeCell ref="D161:M161"/>
    <mergeCell ref="N161:Q161"/>
  </mergeCells>
  <printOptions horizontalCentered="1"/>
  <pageMargins left="0.25" right="0.25" top="0.25" bottom="0" header="0.15" footer="0"/>
  <pageSetup scale="59" fitToHeight="4" orientation="landscape" r:id="rId1"/>
  <headerFooter alignWithMargins="0"/>
  <rowBreaks count="3" manualBreakCount="3">
    <brk id="75" max="22" man="1"/>
    <brk id="150" max="19" man="1"/>
    <brk id="225" max="19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0.59999389629810485"/>
    <pageSetUpPr fitToPage="1"/>
  </sheetPr>
  <dimension ref="A1:X216"/>
  <sheetViews>
    <sheetView zoomScale="85" zoomScaleNormal="85" workbookViewId="0"/>
  </sheetViews>
  <sheetFormatPr defaultColWidth="9.109375" defaultRowHeight="13.2"/>
  <cols>
    <col min="1" max="1" width="1.6640625" style="630" customWidth="1"/>
    <col min="2" max="2" width="6.6640625" style="630" customWidth="1"/>
    <col min="3" max="3" width="15.6640625" style="630" customWidth="1"/>
    <col min="4" max="6" width="9.6640625" style="630" customWidth="1"/>
    <col min="7" max="7" width="14.6640625" style="630" customWidth="1"/>
    <col min="8" max="10" width="9.6640625" style="630" customWidth="1"/>
    <col min="11" max="11" width="20.6640625" style="630" customWidth="1"/>
    <col min="12" max="12" width="12.6640625" style="630" customWidth="1"/>
    <col min="13" max="14" width="13.6640625" style="630" customWidth="1"/>
    <col min="15" max="15" width="5.6640625" style="630" customWidth="1"/>
    <col min="16" max="16" width="13.6640625" style="630" customWidth="1"/>
    <col min="17" max="17" width="0.88671875" style="630" customWidth="1"/>
    <col min="18" max="21" width="10.6640625" style="630" customWidth="1"/>
    <col min="22" max="22" width="0.88671875" style="630" customWidth="1"/>
    <col min="23" max="23" width="8.6640625" style="630" customWidth="1"/>
    <col min="24" max="24" width="21.88671875" style="630" customWidth="1"/>
    <col min="25" max="16384" width="9.109375" style="630"/>
  </cols>
  <sheetData>
    <row r="1" spans="1:24" ht="26.1" customHeight="1">
      <c r="A1" s="629"/>
      <c r="B1" s="629"/>
      <c r="C1" s="629"/>
      <c r="D1" s="629"/>
      <c r="E1" s="629"/>
      <c r="F1" s="629"/>
      <c r="G1" s="629"/>
      <c r="H1" s="629"/>
      <c r="I1" s="629"/>
      <c r="J1" s="629"/>
      <c r="K1" s="629"/>
      <c r="L1" s="629"/>
      <c r="M1" s="629"/>
      <c r="N1" s="629"/>
      <c r="O1" s="629"/>
      <c r="P1" s="629"/>
      <c r="Q1" s="629"/>
      <c r="R1" s="629"/>
      <c r="S1" s="629"/>
      <c r="T1" s="629"/>
      <c r="U1" s="629"/>
      <c r="V1" s="629"/>
      <c r="W1" s="629"/>
    </row>
    <row r="2" spans="1:24" ht="5.25" customHeight="1"/>
    <row r="3" spans="1:24" ht="24" customHeight="1">
      <c r="P3" s="213" t="s">
        <v>392</v>
      </c>
      <c r="R3" s="372" t="s">
        <v>337</v>
      </c>
    </row>
    <row r="4" spans="1:24" ht="24" customHeight="1">
      <c r="A4" s="374"/>
      <c r="B4" s="373" t="s">
        <v>365</v>
      </c>
      <c r="C4" s="527"/>
      <c r="D4" s="374"/>
      <c r="E4" s="374"/>
      <c r="F4" s="374"/>
      <c r="G4" s="374"/>
      <c r="H4" s="374"/>
      <c r="I4" s="374"/>
      <c r="J4" s="374"/>
      <c r="K4" s="374"/>
      <c r="L4" s="374"/>
      <c r="M4" s="374"/>
      <c r="N4" s="374"/>
      <c r="O4" s="374"/>
      <c r="P4" s="374"/>
      <c r="Q4" s="374"/>
      <c r="R4" s="382"/>
      <c r="S4" s="382"/>
      <c r="T4" s="382"/>
      <c r="U4" s="528"/>
      <c r="V4" s="529"/>
      <c r="W4" s="526"/>
      <c r="X4" s="374"/>
    </row>
    <row r="5" spans="1:24" ht="18" customHeight="1">
      <c r="A5" s="380"/>
      <c r="B5" s="530" t="s">
        <v>465</v>
      </c>
      <c r="C5" s="631"/>
      <c r="D5" s="632"/>
      <c r="E5" s="632"/>
      <c r="F5" s="632"/>
      <c r="G5" s="632"/>
      <c r="H5" s="632"/>
      <c r="I5" s="632"/>
      <c r="J5" s="632"/>
      <c r="K5" s="632"/>
      <c r="L5" s="632"/>
      <c r="M5" s="632"/>
      <c r="N5" s="633"/>
      <c r="O5" s="633"/>
      <c r="P5" s="633"/>
      <c r="Q5" s="633"/>
      <c r="R5" s="633"/>
      <c r="S5" s="633"/>
      <c r="T5" s="633"/>
      <c r="U5" s="633"/>
      <c r="V5" s="632"/>
      <c r="W5" s="632"/>
      <c r="X5" s="380"/>
    </row>
    <row r="6" spans="1:24" ht="15.9" customHeight="1">
      <c r="A6" s="380"/>
      <c r="B6" s="532"/>
      <c r="C6" s="533"/>
      <c r="D6" s="380"/>
      <c r="E6" s="380"/>
      <c r="F6" s="380"/>
      <c r="G6" s="380"/>
      <c r="H6" s="380"/>
      <c r="I6" s="380"/>
      <c r="J6" s="380"/>
      <c r="K6" s="380"/>
      <c r="L6" s="380"/>
      <c r="M6" s="380"/>
      <c r="V6" s="380"/>
      <c r="W6" s="380"/>
      <c r="X6" s="380"/>
    </row>
    <row r="7" spans="1:24" ht="15.75" customHeight="1">
      <c r="B7" s="221"/>
      <c r="C7" s="222" t="s">
        <v>159</v>
      </c>
      <c r="D7" s="223" t="s">
        <v>392</v>
      </c>
      <c r="E7" s="223"/>
      <c r="F7" s="223"/>
      <c r="G7" s="387"/>
      <c r="H7" s="623"/>
      <c r="I7" s="388"/>
      <c r="J7" s="394"/>
      <c r="L7" s="380"/>
      <c r="M7" s="380"/>
      <c r="V7" s="380"/>
      <c r="W7" s="380"/>
      <c r="X7" s="380"/>
    </row>
    <row r="8" spans="1:24" ht="12.75" customHeight="1">
      <c r="B8" s="226"/>
      <c r="C8" s="227" t="s">
        <v>160</v>
      </c>
      <c r="D8" s="392" t="s">
        <v>395</v>
      </c>
      <c r="E8" s="392"/>
      <c r="F8" s="392"/>
      <c r="G8" s="394"/>
      <c r="H8" s="382"/>
      <c r="I8" s="624"/>
      <c r="J8" s="394"/>
      <c r="L8" s="380"/>
      <c r="M8" s="380"/>
      <c r="N8" s="211"/>
      <c r="O8" s="542"/>
      <c r="P8" s="393"/>
      <c r="Q8" s="394"/>
      <c r="R8" s="394"/>
      <c r="S8" s="394"/>
      <c r="T8" s="394"/>
      <c r="U8" s="382"/>
      <c r="V8" s="380"/>
      <c r="W8" s="380"/>
      <c r="X8" s="380"/>
    </row>
    <row r="9" spans="1:24" ht="18" customHeight="1">
      <c r="B9" s="230"/>
      <c r="C9" s="231" t="s">
        <v>161</v>
      </c>
      <c r="D9" s="232" t="s">
        <v>464</v>
      </c>
      <c r="E9" s="232"/>
      <c r="F9" s="232"/>
      <c r="G9" s="397"/>
      <c r="H9" s="625"/>
      <c r="I9" s="398"/>
      <c r="J9" s="394"/>
      <c r="L9" s="380"/>
      <c r="M9" s="380"/>
      <c r="N9" s="211"/>
      <c r="O9" s="542"/>
      <c r="P9" s="393"/>
      <c r="Q9" s="394"/>
      <c r="R9" s="394"/>
      <c r="S9" s="394"/>
      <c r="T9" s="394"/>
      <c r="U9" s="382"/>
      <c r="V9" s="380"/>
      <c r="W9" s="380"/>
      <c r="X9" s="380"/>
    </row>
    <row r="10" spans="1:24">
      <c r="A10" s="380"/>
      <c r="B10" s="380"/>
      <c r="C10" s="550"/>
      <c r="D10" s="380"/>
      <c r="E10" s="380"/>
      <c r="F10" s="380"/>
      <c r="G10" s="380"/>
      <c r="H10" s="380"/>
      <c r="I10" s="380"/>
      <c r="J10" s="380"/>
      <c r="K10" s="380"/>
      <c r="L10" s="380"/>
      <c r="M10" s="380"/>
      <c r="N10" s="380"/>
      <c r="O10" s="380"/>
      <c r="P10" s="380"/>
      <c r="Q10" s="380"/>
      <c r="R10" s="524"/>
      <c r="S10" s="524"/>
      <c r="T10" s="524"/>
      <c r="U10" s="524"/>
      <c r="V10" s="380"/>
      <c r="W10" s="380"/>
      <c r="X10" s="380"/>
    </row>
    <row r="11" spans="1:24">
      <c r="A11" s="380"/>
      <c r="B11" s="549"/>
      <c r="C11" s="550"/>
      <c r="D11" s="551" t="s">
        <v>319</v>
      </c>
      <c r="E11" s="551"/>
      <c r="F11" s="551"/>
      <c r="G11" s="551"/>
      <c r="H11" s="551"/>
      <c r="I11" s="551"/>
      <c r="J11" s="551"/>
      <c r="K11" s="551"/>
      <c r="L11" s="551"/>
      <c r="M11" s="551"/>
      <c r="N11" s="551" t="s">
        <v>320</v>
      </c>
      <c r="O11" s="551"/>
      <c r="P11" s="551"/>
      <c r="Q11" s="551"/>
      <c r="R11" s="552"/>
      <c r="S11" s="553" t="s">
        <v>182</v>
      </c>
      <c r="T11" s="553" t="s">
        <v>182</v>
      </c>
      <c r="U11" s="553" t="s">
        <v>182</v>
      </c>
      <c r="V11" s="554"/>
      <c r="W11" s="555" t="s">
        <v>321</v>
      </c>
      <c r="X11" s="380"/>
    </row>
    <row r="12" spans="1:24" ht="15" customHeight="1">
      <c r="A12" s="380"/>
      <c r="B12" s="374"/>
      <c r="C12" s="527"/>
      <c r="D12" s="556" t="s">
        <v>322</v>
      </c>
      <c r="E12" s="556" t="s">
        <v>323</v>
      </c>
      <c r="F12" s="556" t="s">
        <v>324</v>
      </c>
      <c r="G12" s="556" t="s">
        <v>325</v>
      </c>
      <c r="H12" s="556" t="s">
        <v>326</v>
      </c>
      <c r="I12" s="556" t="s">
        <v>327</v>
      </c>
      <c r="J12" s="556" t="s">
        <v>328</v>
      </c>
      <c r="K12" s="519" t="s">
        <v>329</v>
      </c>
      <c r="L12" s="557" t="s">
        <v>330</v>
      </c>
      <c r="M12" s="519" t="s">
        <v>331</v>
      </c>
      <c r="N12" s="519" t="s">
        <v>329</v>
      </c>
      <c r="O12" s="557" t="s">
        <v>330</v>
      </c>
      <c r="P12" s="519" t="s">
        <v>331</v>
      </c>
      <c r="Q12" s="558"/>
      <c r="R12" s="553" t="s">
        <v>182</v>
      </c>
      <c r="S12" s="559" t="s">
        <v>466</v>
      </c>
      <c r="T12" s="559" t="s">
        <v>467</v>
      </c>
      <c r="U12" s="560" t="s">
        <v>332</v>
      </c>
      <c r="V12" s="561"/>
      <c r="W12" s="555" t="s">
        <v>333</v>
      </c>
      <c r="X12" s="380"/>
    </row>
    <row r="13" spans="1:24">
      <c r="A13" s="380"/>
      <c r="B13" s="563" t="s">
        <v>417</v>
      </c>
      <c r="C13" s="564" t="s">
        <v>468</v>
      </c>
      <c r="D13" s="565" t="s">
        <v>80</v>
      </c>
      <c r="E13" s="566" t="s">
        <v>80</v>
      </c>
      <c r="F13" s="566" t="s">
        <v>80</v>
      </c>
      <c r="G13" s="566" t="s">
        <v>80</v>
      </c>
      <c r="H13" s="566" t="s">
        <v>80</v>
      </c>
      <c r="I13" s="566" t="s">
        <v>80</v>
      </c>
      <c r="J13" s="566" t="s">
        <v>80</v>
      </c>
      <c r="K13" s="566" t="s">
        <v>454</v>
      </c>
      <c r="L13" s="567">
        <v>1</v>
      </c>
      <c r="M13" s="568" t="s">
        <v>457</v>
      </c>
      <c r="N13" s="565" t="s">
        <v>457</v>
      </c>
      <c r="O13" s="567">
        <v>0.8</v>
      </c>
      <c r="P13" s="566" t="s">
        <v>461</v>
      </c>
      <c r="Q13" s="569"/>
      <c r="R13" s="570">
        <v>527.42999999999995</v>
      </c>
      <c r="S13" s="571">
        <v>1107.5999999999999</v>
      </c>
      <c r="T13" s="571">
        <v>1002.12</v>
      </c>
      <c r="U13" s="571">
        <v>1582.29</v>
      </c>
      <c r="V13" s="572"/>
      <c r="W13" s="573">
        <v>0</v>
      </c>
      <c r="X13" s="380"/>
    </row>
    <row r="14" spans="1:24">
      <c r="A14" s="380"/>
      <c r="B14" s="576" t="s">
        <v>469</v>
      </c>
      <c r="C14" s="577" t="s">
        <v>468</v>
      </c>
      <c r="D14" s="578" t="s">
        <v>80</v>
      </c>
      <c r="E14" s="579" t="s">
        <v>80</v>
      </c>
      <c r="F14" s="579" t="s">
        <v>80</v>
      </c>
      <c r="G14" s="579" t="s">
        <v>80</v>
      </c>
      <c r="H14" s="579" t="s">
        <v>80</v>
      </c>
      <c r="I14" s="579" t="s">
        <v>80</v>
      </c>
      <c r="J14" s="579" t="s">
        <v>80</v>
      </c>
      <c r="K14" s="579" t="s">
        <v>470</v>
      </c>
      <c r="L14" s="580">
        <v>0.9</v>
      </c>
      <c r="M14" s="581" t="s">
        <v>471</v>
      </c>
      <c r="N14" s="578" t="s">
        <v>472</v>
      </c>
      <c r="O14" s="580">
        <v>0.7</v>
      </c>
      <c r="P14" s="579" t="s">
        <v>473</v>
      </c>
      <c r="Q14" s="582"/>
      <c r="R14" s="583">
        <v>522.36</v>
      </c>
      <c r="S14" s="382">
        <v>1096.95</v>
      </c>
      <c r="T14" s="382">
        <v>992.49</v>
      </c>
      <c r="U14" s="382">
        <v>1567.08</v>
      </c>
      <c r="V14" s="584"/>
      <c r="W14" s="585">
        <v>-9.6126500199077425E-3</v>
      </c>
      <c r="X14" s="380"/>
    </row>
    <row r="15" spans="1:24">
      <c r="A15" s="380"/>
      <c r="B15" s="576" t="s">
        <v>474</v>
      </c>
      <c r="C15" s="577" t="s">
        <v>468</v>
      </c>
      <c r="D15" s="578" t="s">
        <v>80</v>
      </c>
      <c r="E15" s="579" t="s">
        <v>80</v>
      </c>
      <c r="F15" s="579" t="s">
        <v>80</v>
      </c>
      <c r="G15" s="579" t="s">
        <v>80</v>
      </c>
      <c r="H15" s="579" t="s">
        <v>80</v>
      </c>
      <c r="I15" s="579" t="s">
        <v>80</v>
      </c>
      <c r="J15" s="579" t="s">
        <v>80</v>
      </c>
      <c r="K15" s="579" t="s">
        <v>475</v>
      </c>
      <c r="L15" s="580">
        <v>0.9</v>
      </c>
      <c r="M15" s="581" t="s">
        <v>476</v>
      </c>
      <c r="N15" s="578" t="s">
        <v>460</v>
      </c>
      <c r="O15" s="580">
        <v>0.7</v>
      </c>
      <c r="P15" s="579" t="s">
        <v>477</v>
      </c>
      <c r="Q15" s="582"/>
      <c r="R15" s="583">
        <v>521.73</v>
      </c>
      <c r="S15" s="382">
        <v>1095.6300000000001</v>
      </c>
      <c r="T15" s="382">
        <v>991.29</v>
      </c>
      <c r="U15" s="382">
        <v>1565.19</v>
      </c>
      <c r="V15" s="584"/>
      <c r="W15" s="585">
        <v>-1.0807121324156621E-2</v>
      </c>
      <c r="X15" s="380"/>
    </row>
    <row r="16" spans="1:24">
      <c r="A16" s="380"/>
      <c r="B16" s="576" t="s">
        <v>478</v>
      </c>
      <c r="C16" s="577" t="s">
        <v>468</v>
      </c>
      <c r="D16" s="578" t="s">
        <v>80</v>
      </c>
      <c r="E16" s="579" t="s">
        <v>80</v>
      </c>
      <c r="F16" s="579" t="s">
        <v>80</v>
      </c>
      <c r="G16" s="579" t="s">
        <v>80</v>
      </c>
      <c r="H16" s="579" t="s">
        <v>80</v>
      </c>
      <c r="I16" s="579" t="s">
        <v>80</v>
      </c>
      <c r="J16" s="579" t="s">
        <v>80</v>
      </c>
      <c r="K16" s="579" t="s">
        <v>475</v>
      </c>
      <c r="L16" s="580">
        <v>0.8</v>
      </c>
      <c r="M16" s="581" t="s">
        <v>479</v>
      </c>
      <c r="N16" s="578" t="s">
        <v>460</v>
      </c>
      <c r="O16" s="580">
        <v>0.6</v>
      </c>
      <c r="P16" s="579" t="s">
        <v>471</v>
      </c>
      <c r="Q16" s="582"/>
      <c r="R16" s="583">
        <v>505.33</v>
      </c>
      <c r="S16" s="382">
        <v>1061.19</v>
      </c>
      <c r="T16" s="382">
        <v>960.13</v>
      </c>
      <c r="U16" s="382">
        <v>1515.99</v>
      </c>
      <c r="V16" s="584"/>
      <c r="W16" s="585">
        <v>-4.1901294958572644E-2</v>
      </c>
      <c r="X16" s="380"/>
    </row>
    <row r="17" spans="1:24">
      <c r="A17" s="380"/>
      <c r="B17" s="586" t="s">
        <v>480</v>
      </c>
      <c r="C17" s="587" t="s">
        <v>468</v>
      </c>
      <c r="D17" s="588" t="s">
        <v>80</v>
      </c>
      <c r="E17" s="589" t="s">
        <v>80</v>
      </c>
      <c r="F17" s="589" t="s">
        <v>80</v>
      </c>
      <c r="G17" s="589" t="s">
        <v>80</v>
      </c>
      <c r="H17" s="589" t="s">
        <v>80</v>
      </c>
      <c r="I17" s="589" t="s">
        <v>80</v>
      </c>
      <c r="J17" s="589" t="s">
        <v>80</v>
      </c>
      <c r="K17" s="589" t="s">
        <v>481</v>
      </c>
      <c r="L17" s="590">
        <v>0.8</v>
      </c>
      <c r="M17" s="591" t="s">
        <v>482</v>
      </c>
      <c r="N17" s="588" t="s">
        <v>483</v>
      </c>
      <c r="O17" s="590">
        <v>0.6</v>
      </c>
      <c r="P17" s="589" t="s">
        <v>484</v>
      </c>
      <c r="Q17" s="592"/>
      <c r="R17" s="593">
        <v>504.36</v>
      </c>
      <c r="S17" s="594">
        <v>1059.1500000000001</v>
      </c>
      <c r="T17" s="594">
        <v>958.29</v>
      </c>
      <c r="U17" s="594">
        <v>1513.08</v>
      </c>
      <c r="V17" s="595"/>
      <c r="W17" s="596">
        <v>-4.3740401569876464E-2</v>
      </c>
      <c r="X17" s="380"/>
    </row>
    <row r="18" spans="1:24">
      <c r="A18" s="380"/>
      <c r="B18" s="563" t="s">
        <v>485</v>
      </c>
      <c r="C18" s="564" t="s">
        <v>468</v>
      </c>
      <c r="D18" s="565" t="s">
        <v>80</v>
      </c>
      <c r="E18" s="566" t="s">
        <v>80</v>
      </c>
      <c r="F18" s="566" t="s">
        <v>80</v>
      </c>
      <c r="G18" s="566" t="s">
        <v>80</v>
      </c>
      <c r="H18" s="566" t="s">
        <v>80</v>
      </c>
      <c r="I18" s="566" t="s">
        <v>80</v>
      </c>
      <c r="J18" s="566" t="s">
        <v>80</v>
      </c>
      <c r="K18" s="566" t="s">
        <v>470</v>
      </c>
      <c r="L18" s="567">
        <v>0.8</v>
      </c>
      <c r="M18" s="568" t="s">
        <v>486</v>
      </c>
      <c r="N18" s="565" t="s">
        <v>472</v>
      </c>
      <c r="O18" s="567">
        <v>0.6</v>
      </c>
      <c r="P18" s="566" t="s">
        <v>471</v>
      </c>
      <c r="Q18" s="569"/>
      <c r="R18" s="570">
        <v>501.58</v>
      </c>
      <c r="S18" s="571">
        <v>1053.32</v>
      </c>
      <c r="T18" s="571">
        <v>953</v>
      </c>
      <c r="U18" s="571">
        <v>1504.74</v>
      </c>
      <c r="V18" s="572"/>
      <c r="W18" s="573">
        <v>-4.9011243198149423E-2</v>
      </c>
      <c r="X18" s="380"/>
    </row>
    <row r="19" spans="1:24">
      <c r="A19" s="380"/>
      <c r="B19" s="576" t="s">
        <v>487</v>
      </c>
      <c r="C19" s="577" t="s">
        <v>468</v>
      </c>
      <c r="D19" s="578" t="s">
        <v>80</v>
      </c>
      <c r="E19" s="579" t="s">
        <v>80</v>
      </c>
      <c r="F19" s="579" t="s">
        <v>80</v>
      </c>
      <c r="G19" s="579" t="s">
        <v>80</v>
      </c>
      <c r="H19" s="579" t="s">
        <v>80</v>
      </c>
      <c r="I19" s="579" t="s">
        <v>80</v>
      </c>
      <c r="J19" s="579" t="s">
        <v>80</v>
      </c>
      <c r="K19" s="579" t="s">
        <v>475</v>
      </c>
      <c r="L19" s="580">
        <v>0.8</v>
      </c>
      <c r="M19" s="581" t="s">
        <v>476</v>
      </c>
      <c r="N19" s="578" t="s">
        <v>460</v>
      </c>
      <c r="O19" s="580">
        <v>0.6</v>
      </c>
      <c r="P19" s="579" t="s">
        <v>477</v>
      </c>
      <c r="Q19" s="582"/>
      <c r="R19" s="583">
        <v>489.21</v>
      </c>
      <c r="S19" s="382">
        <v>1027.3399999999999</v>
      </c>
      <c r="T19" s="382">
        <v>929.5</v>
      </c>
      <c r="U19" s="382">
        <v>1467.63</v>
      </c>
      <c r="V19" s="584"/>
      <c r="W19" s="585">
        <v>-7.2464592457766819E-2</v>
      </c>
      <c r="X19" s="380"/>
    </row>
    <row r="20" spans="1:24">
      <c r="A20" s="380"/>
      <c r="B20" s="576" t="s">
        <v>488</v>
      </c>
      <c r="C20" s="577" t="s">
        <v>468</v>
      </c>
      <c r="D20" s="578" t="s">
        <v>80</v>
      </c>
      <c r="E20" s="579" t="s">
        <v>80</v>
      </c>
      <c r="F20" s="579" t="s">
        <v>80</v>
      </c>
      <c r="G20" s="579" t="s">
        <v>80</v>
      </c>
      <c r="H20" s="579" t="s">
        <v>80</v>
      </c>
      <c r="I20" s="579" t="s">
        <v>80</v>
      </c>
      <c r="J20" s="579" t="s">
        <v>80</v>
      </c>
      <c r="K20" s="579" t="s">
        <v>470</v>
      </c>
      <c r="L20" s="580">
        <v>0.8</v>
      </c>
      <c r="M20" s="581" t="s">
        <v>471</v>
      </c>
      <c r="N20" s="578" t="s">
        <v>472</v>
      </c>
      <c r="O20" s="580">
        <v>0.6</v>
      </c>
      <c r="P20" s="579" t="s">
        <v>473</v>
      </c>
      <c r="Q20" s="582"/>
      <c r="R20" s="583">
        <v>487.06</v>
      </c>
      <c r="S20" s="382">
        <v>1022.82</v>
      </c>
      <c r="T20" s="382">
        <v>925.42</v>
      </c>
      <c r="U20" s="382">
        <v>1461.18</v>
      </c>
      <c r="V20" s="584"/>
      <c r="W20" s="585">
        <v>-7.65409627817909E-2</v>
      </c>
      <c r="X20" s="380"/>
    </row>
    <row r="21" spans="1:24">
      <c r="A21" s="380"/>
      <c r="B21" s="576" t="s">
        <v>489</v>
      </c>
      <c r="C21" s="577" t="s">
        <v>468</v>
      </c>
      <c r="D21" s="578" t="s">
        <v>80</v>
      </c>
      <c r="E21" s="579" t="s">
        <v>80</v>
      </c>
      <c r="F21" s="579" t="s">
        <v>80</v>
      </c>
      <c r="G21" s="579" t="s">
        <v>80</v>
      </c>
      <c r="H21" s="579" t="s">
        <v>80</v>
      </c>
      <c r="I21" s="579" t="s">
        <v>80</v>
      </c>
      <c r="J21" s="579" t="s">
        <v>80</v>
      </c>
      <c r="K21" s="579" t="s">
        <v>454</v>
      </c>
      <c r="L21" s="580">
        <v>0.9</v>
      </c>
      <c r="M21" s="581" t="s">
        <v>457</v>
      </c>
      <c r="N21" s="578" t="s">
        <v>483</v>
      </c>
      <c r="O21" s="580">
        <v>0.7</v>
      </c>
      <c r="P21" s="579" t="s">
        <v>473</v>
      </c>
      <c r="Q21" s="582"/>
      <c r="R21" s="583">
        <v>476.57</v>
      </c>
      <c r="S21" s="382">
        <v>1000.79</v>
      </c>
      <c r="T21" s="382">
        <v>905.49</v>
      </c>
      <c r="U21" s="382">
        <v>1429.71</v>
      </c>
      <c r="V21" s="584"/>
      <c r="W21" s="585">
        <v>-9.6429857990633749E-2</v>
      </c>
      <c r="X21" s="380"/>
    </row>
    <row r="22" spans="1:24">
      <c r="A22" s="380"/>
      <c r="B22" s="586" t="s">
        <v>490</v>
      </c>
      <c r="C22" s="587" t="s">
        <v>468</v>
      </c>
      <c r="D22" s="588" t="s">
        <v>80</v>
      </c>
      <c r="E22" s="589" t="s">
        <v>80</v>
      </c>
      <c r="F22" s="589" t="s">
        <v>80</v>
      </c>
      <c r="G22" s="589" t="s">
        <v>80</v>
      </c>
      <c r="H22" s="589" t="s">
        <v>80</v>
      </c>
      <c r="I22" s="589" t="s">
        <v>80</v>
      </c>
      <c r="J22" s="589" t="s">
        <v>80</v>
      </c>
      <c r="K22" s="589" t="s">
        <v>454</v>
      </c>
      <c r="L22" s="590">
        <v>0.9</v>
      </c>
      <c r="M22" s="591" t="s">
        <v>471</v>
      </c>
      <c r="N22" s="588" t="s">
        <v>483</v>
      </c>
      <c r="O22" s="590">
        <v>0.7</v>
      </c>
      <c r="P22" s="589" t="s">
        <v>473</v>
      </c>
      <c r="Q22" s="592"/>
      <c r="R22" s="593">
        <v>449.54</v>
      </c>
      <c r="S22" s="594">
        <v>944.03</v>
      </c>
      <c r="T22" s="594">
        <v>854.13</v>
      </c>
      <c r="U22" s="594">
        <v>1348.62</v>
      </c>
      <c r="V22" s="595"/>
      <c r="W22" s="596">
        <v>-0.14767836490150343</v>
      </c>
      <c r="X22" s="380"/>
    </row>
    <row r="23" spans="1:24">
      <c r="A23" s="380"/>
      <c r="B23" s="563" t="s">
        <v>491</v>
      </c>
      <c r="C23" s="564" t="s">
        <v>468</v>
      </c>
      <c r="D23" s="565" t="s">
        <v>80</v>
      </c>
      <c r="E23" s="566" t="s">
        <v>80</v>
      </c>
      <c r="F23" s="566" t="s">
        <v>80</v>
      </c>
      <c r="G23" s="566" t="s">
        <v>80</v>
      </c>
      <c r="H23" s="566" t="s">
        <v>80</v>
      </c>
      <c r="I23" s="566" t="s">
        <v>80</v>
      </c>
      <c r="J23" s="566" t="s">
        <v>80</v>
      </c>
      <c r="K23" s="566" t="s">
        <v>454</v>
      </c>
      <c r="L23" s="567">
        <v>0.8</v>
      </c>
      <c r="M23" s="568" t="s">
        <v>492</v>
      </c>
      <c r="N23" s="565" t="s">
        <v>492</v>
      </c>
      <c r="O23" s="567">
        <v>0.6</v>
      </c>
      <c r="P23" s="566" t="s">
        <v>493</v>
      </c>
      <c r="Q23" s="569"/>
      <c r="R23" s="570">
        <v>448.71</v>
      </c>
      <c r="S23" s="571">
        <v>942.29</v>
      </c>
      <c r="T23" s="571">
        <v>852.55</v>
      </c>
      <c r="U23" s="571">
        <v>1346.13</v>
      </c>
      <c r="V23" s="572"/>
      <c r="W23" s="573">
        <v>-0.14925203344519644</v>
      </c>
      <c r="X23" s="380"/>
    </row>
    <row r="24" spans="1:24">
      <c r="A24" s="380"/>
      <c r="B24" s="576" t="s">
        <v>494</v>
      </c>
      <c r="C24" s="577" t="s">
        <v>468</v>
      </c>
      <c r="D24" s="578" t="s">
        <v>80</v>
      </c>
      <c r="E24" s="579" t="s">
        <v>80</v>
      </c>
      <c r="F24" s="579" t="s">
        <v>80</v>
      </c>
      <c r="G24" s="579" t="s">
        <v>80</v>
      </c>
      <c r="H24" s="579" t="s">
        <v>80</v>
      </c>
      <c r="I24" s="579" t="s">
        <v>80</v>
      </c>
      <c r="J24" s="579" t="s">
        <v>80</v>
      </c>
      <c r="K24" s="579" t="s">
        <v>454</v>
      </c>
      <c r="L24" s="580">
        <v>0.8</v>
      </c>
      <c r="M24" s="581" t="s">
        <v>495</v>
      </c>
      <c r="N24" s="578" t="s">
        <v>476</v>
      </c>
      <c r="O24" s="580">
        <v>0.6</v>
      </c>
      <c r="P24" s="579" t="s">
        <v>496</v>
      </c>
      <c r="Q24" s="582"/>
      <c r="R24" s="583">
        <v>443.56</v>
      </c>
      <c r="S24" s="382">
        <v>931.47</v>
      </c>
      <c r="T24" s="382">
        <v>842.77</v>
      </c>
      <c r="U24" s="382">
        <v>1330.68</v>
      </c>
      <c r="V24" s="584"/>
      <c r="W24" s="585">
        <v>-0.1590163623608819</v>
      </c>
      <c r="X24" s="380"/>
    </row>
    <row r="25" spans="1:24" hidden="1">
      <c r="A25" s="380"/>
      <c r="B25" s="576">
        <v>0</v>
      </c>
      <c r="C25" s="577" t="s">
        <v>388</v>
      </c>
      <c r="D25" s="578" t="s">
        <v>388</v>
      </c>
      <c r="E25" s="579" t="s">
        <v>388</v>
      </c>
      <c r="F25" s="579" t="s">
        <v>388</v>
      </c>
      <c r="G25" s="579" t="s">
        <v>388</v>
      </c>
      <c r="H25" s="579" t="s">
        <v>388</v>
      </c>
      <c r="I25" s="579" t="s">
        <v>388</v>
      </c>
      <c r="J25" s="579" t="s">
        <v>388</v>
      </c>
      <c r="K25" s="579" t="s">
        <v>388</v>
      </c>
      <c r="L25" s="580" t="s">
        <v>388</v>
      </c>
      <c r="M25" s="581" t="s">
        <v>388</v>
      </c>
      <c r="N25" s="578" t="s">
        <v>388</v>
      </c>
      <c r="O25" s="580" t="s">
        <v>388</v>
      </c>
      <c r="P25" s="579" t="s">
        <v>388</v>
      </c>
      <c r="Q25" s="582"/>
      <c r="R25" s="583">
        <v>0</v>
      </c>
      <c r="S25" s="382">
        <v>0</v>
      </c>
      <c r="T25" s="382">
        <v>0</v>
      </c>
      <c r="U25" s="382">
        <v>0</v>
      </c>
      <c r="V25" s="584"/>
      <c r="W25" s="585" t="s">
        <v>388</v>
      </c>
      <c r="X25" s="380"/>
    </row>
    <row r="26" spans="1:24" hidden="1">
      <c r="A26" s="380"/>
      <c r="B26" s="576">
        <v>0</v>
      </c>
      <c r="C26" s="577" t="s">
        <v>388</v>
      </c>
      <c r="D26" s="578" t="s">
        <v>388</v>
      </c>
      <c r="E26" s="579" t="s">
        <v>388</v>
      </c>
      <c r="F26" s="579" t="s">
        <v>388</v>
      </c>
      <c r="G26" s="579" t="s">
        <v>388</v>
      </c>
      <c r="H26" s="579" t="s">
        <v>388</v>
      </c>
      <c r="I26" s="579" t="s">
        <v>388</v>
      </c>
      <c r="J26" s="579" t="s">
        <v>388</v>
      </c>
      <c r="K26" s="579" t="s">
        <v>388</v>
      </c>
      <c r="L26" s="580" t="s">
        <v>388</v>
      </c>
      <c r="M26" s="581" t="s">
        <v>388</v>
      </c>
      <c r="N26" s="578" t="s">
        <v>388</v>
      </c>
      <c r="O26" s="580" t="s">
        <v>388</v>
      </c>
      <c r="P26" s="579" t="s">
        <v>388</v>
      </c>
      <c r="Q26" s="582"/>
      <c r="R26" s="583">
        <v>0</v>
      </c>
      <c r="S26" s="382">
        <v>0</v>
      </c>
      <c r="T26" s="382">
        <v>0</v>
      </c>
      <c r="U26" s="382">
        <v>0</v>
      </c>
      <c r="V26" s="584"/>
      <c r="W26" s="585" t="s">
        <v>388</v>
      </c>
      <c r="X26" s="380"/>
    </row>
    <row r="27" spans="1:24" hidden="1">
      <c r="A27" s="380"/>
      <c r="B27" s="586">
        <v>0</v>
      </c>
      <c r="C27" s="587" t="s">
        <v>388</v>
      </c>
      <c r="D27" s="588" t="s">
        <v>388</v>
      </c>
      <c r="E27" s="589" t="s">
        <v>388</v>
      </c>
      <c r="F27" s="589" t="s">
        <v>388</v>
      </c>
      <c r="G27" s="589" t="s">
        <v>388</v>
      </c>
      <c r="H27" s="589" t="s">
        <v>388</v>
      </c>
      <c r="I27" s="589" t="s">
        <v>388</v>
      </c>
      <c r="J27" s="589" t="s">
        <v>388</v>
      </c>
      <c r="K27" s="589" t="s">
        <v>388</v>
      </c>
      <c r="L27" s="590" t="s">
        <v>388</v>
      </c>
      <c r="M27" s="591" t="s">
        <v>388</v>
      </c>
      <c r="N27" s="588" t="s">
        <v>388</v>
      </c>
      <c r="O27" s="590" t="s">
        <v>388</v>
      </c>
      <c r="P27" s="589" t="s">
        <v>388</v>
      </c>
      <c r="Q27" s="592"/>
      <c r="R27" s="593">
        <v>0</v>
      </c>
      <c r="S27" s="594">
        <v>0</v>
      </c>
      <c r="T27" s="594">
        <v>0</v>
      </c>
      <c r="U27" s="594">
        <v>0</v>
      </c>
      <c r="V27" s="595"/>
      <c r="W27" s="596" t="s">
        <v>388</v>
      </c>
      <c r="X27" s="380"/>
    </row>
    <row r="28" spans="1:24" hidden="1">
      <c r="A28" s="380"/>
      <c r="B28" s="563">
        <v>0</v>
      </c>
      <c r="C28" s="564" t="s">
        <v>388</v>
      </c>
      <c r="D28" s="565" t="s">
        <v>388</v>
      </c>
      <c r="E28" s="566" t="s">
        <v>388</v>
      </c>
      <c r="F28" s="566" t="s">
        <v>388</v>
      </c>
      <c r="G28" s="566" t="s">
        <v>388</v>
      </c>
      <c r="H28" s="566" t="s">
        <v>388</v>
      </c>
      <c r="I28" s="566" t="s">
        <v>388</v>
      </c>
      <c r="J28" s="566" t="s">
        <v>388</v>
      </c>
      <c r="K28" s="566" t="s">
        <v>388</v>
      </c>
      <c r="L28" s="567" t="s">
        <v>388</v>
      </c>
      <c r="M28" s="568" t="s">
        <v>388</v>
      </c>
      <c r="N28" s="565" t="s">
        <v>388</v>
      </c>
      <c r="O28" s="567" t="s">
        <v>388</v>
      </c>
      <c r="P28" s="566" t="s">
        <v>388</v>
      </c>
      <c r="Q28" s="569"/>
      <c r="R28" s="570">
        <v>0</v>
      </c>
      <c r="S28" s="571">
        <v>0</v>
      </c>
      <c r="T28" s="571">
        <v>0</v>
      </c>
      <c r="U28" s="571">
        <v>0</v>
      </c>
      <c r="V28" s="572"/>
      <c r="W28" s="573" t="s">
        <v>388</v>
      </c>
      <c r="X28" s="380"/>
    </row>
    <row r="29" spans="1:24" hidden="1">
      <c r="A29" s="380"/>
      <c r="B29" s="576">
        <v>0</v>
      </c>
      <c r="C29" s="577" t="s">
        <v>388</v>
      </c>
      <c r="D29" s="578" t="s">
        <v>388</v>
      </c>
      <c r="E29" s="579" t="s">
        <v>388</v>
      </c>
      <c r="F29" s="579" t="s">
        <v>388</v>
      </c>
      <c r="G29" s="579" t="s">
        <v>388</v>
      </c>
      <c r="H29" s="579" t="s">
        <v>388</v>
      </c>
      <c r="I29" s="579" t="s">
        <v>388</v>
      </c>
      <c r="J29" s="579" t="s">
        <v>388</v>
      </c>
      <c r="K29" s="579" t="s">
        <v>388</v>
      </c>
      <c r="L29" s="580" t="s">
        <v>388</v>
      </c>
      <c r="M29" s="581" t="s">
        <v>388</v>
      </c>
      <c r="N29" s="578" t="s">
        <v>388</v>
      </c>
      <c r="O29" s="580" t="s">
        <v>388</v>
      </c>
      <c r="P29" s="579" t="s">
        <v>388</v>
      </c>
      <c r="Q29" s="582"/>
      <c r="R29" s="583">
        <v>0</v>
      </c>
      <c r="S29" s="382">
        <v>0</v>
      </c>
      <c r="T29" s="382">
        <v>0</v>
      </c>
      <c r="U29" s="382">
        <v>0</v>
      </c>
      <c r="V29" s="584"/>
      <c r="W29" s="585" t="s">
        <v>388</v>
      </c>
      <c r="X29" s="380"/>
    </row>
    <row r="30" spans="1:24" hidden="1">
      <c r="A30" s="380"/>
      <c r="B30" s="576">
        <v>0</v>
      </c>
      <c r="C30" s="577" t="s">
        <v>388</v>
      </c>
      <c r="D30" s="578" t="s">
        <v>388</v>
      </c>
      <c r="E30" s="579" t="s">
        <v>388</v>
      </c>
      <c r="F30" s="579" t="s">
        <v>388</v>
      </c>
      <c r="G30" s="579" t="s">
        <v>388</v>
      </c>
      <c r="H30" s="579" t="s">
        <v>388</v>
      </c>
      <c r="I30" s="579" t="s">
        <v>388</v>
      </c>
      <c r="J30" s="579" t="s">
        <v>388</v>
      </c>
      <c r="K30" s="579" t="s">
        <v>388</v>
      </c>
      <c r="L30" s="580" t="s">
        <v>388</v>
      </c>
      <c r="M30" s="581" t="s">
        <v>388</v>
      </c>
      <c r="N30" s="578" t="s">
        <v>388</v>
      </c>
      <c r="O30" s="580" t="s">
        <v>388</v>
      </c>
      <c r="P30" s="579" t="s">
        <v>388</v>
      </c>
      <c r="Q30" s="582"/>
      <c r="R30" s="583">
        <v>0</v>
      </c>
      <c r="S30" s="382">
        <v>0</v>
      </c>
      <c r="T30" s="382">
        <v>0</v>
      </c>
      <c r="U30" s="382">
        <v>0</v>
      </c>
      <c r="V30" s="584"/>
      <c r="W30" s="585" t="s">
        <v>388</v>
      </c>
      <c r="X30" s="380"/>
    </row>
    <row r="31" spans="1:24" hidden="1">
      <c r="A31" s="380"/>
      <c r="B31" s="576">
        <v>0</v>
      </c>
      <c r="C31" s="577" t="s">
        <v>388</v>
      </c>
      <c r="D31" s="578" t="s">
        <v>388</v>
      </c>
      <c r="E31" s="579" t="s">
        <v>388</v>
      </c>
      <c r="F31" s="579" t="s">
        <v>388</v>
      </c>
      <c r="G31" s="579" t="s">
        <v>388</v>
      </c>
      <c r="H31" s="579" t="s">
        <v>388</v>
      </c>
      <c r="I31" s="579" t="s">
        <v>388</v>
      </c>
      <c r="J31" s="579" t="s">
        <v>388</v>
      </c>
      <c r="K31" s="579" t="s">
        <v>388</v>
      </c>
      <c r="L31" s="580" t="s">
        <v>388</v>
      </c>
      <c r="M31" s="581" t="s">
        <v>388</v>
      </c>
      <c r="N31" s="578" t="s">
        <v>388</v>
      </c>
      <c r="O31" s="580" t="s">
        <v>388</v>
      </c>
      <c r="P31" s="579" t="s">
        <v>388</v>
      </c>
      <c r="Q31" s="582"/>
      <c r="R31" s="583">
        <v>0</v>
      </c>
      <c r="S31" s="382">
        <v>0</v>
      </c>
      <c r="T31" s="382">
        <v>0</v>
      </c>
      <c r="U31" s="382">
        <v>0</v>
      </c>
      <c r="V31" s="584"/>
      <c r="W31" s="585" t="s">
        <v>388</v>
      </c>
      <c r="X31" s="380"/>
    </row>
    <row r="32" spans="1:24" hidden="1">
      <c r="A32" s="380"/>
      <c r="B32" s="586">
        <v>0</v>
      </c>
      <c r="C32" s="587" t="s">
        <v>388</v>
      </c>
      <c r="D32" s="588" t="s">
        <v>388</v>
      </c>
      <c r="E32" s="589" t="s">
        <v>388</v>
      </c>
      <c r="F32" s="589" t="s">
        <v>388</v>
      </c>
      <c r="G32" s="589" t="s">
        <v>388</v>
      </c>
      <c r="H32" s="589" t="s">
        <v>388</v>
      </c>
      <c r="I32" s="589" t="s">
        <v>388</v>
      </c>
      <c r="J32" s="589" t="s">
        <v>388</v>
      </c>
      <c r="K32" s="589" t="s">
        <v>388</v>
      </c>
      <c r="L32" s="590" t="s">
        <v>388</v>
      </c>
      <c r="M32" s="591" t="s">
        <v>388</v>
      </c>
      <c r="N32" s="588" t="s">
        <v>388</v>
      </c>
      <c r="O32" s="590" t="s">
        <v>388</v>
      </c>
      <c r="P32" s="589" t="s">
        <v>388</v>
      </c>
      <c r="Q32" s="592"/>
      <c r="R32" s="593">
        <v>0</v>
      </c>
      <c r="S32" s="594">
        <v>0</v>
      </c>
      <c r="T32" s="594">
        <v>0</v>
      </c>
      <c r="U32" s="594">
        <v>0</v>
      </c>
      <c r="V32" s="595"/>
      <c r="W32" s="596" t="s">
        <v>388</v>
      </c>
      <c r="X32" s="380"/>
    </row>
    <row r="33" spans="1:24">
      <c r="A33" s="380"/>
      <c r="B33" s="598"/>
      <c r="C33" s="599"/>
      <c r="D33" s="566"/>
      <c r="E33" s="566"/>
      <c r="F33" s="566"/>
      <c r="G33" s="566"/>
      <c r="H33" s="566"/>
      <c r="I33" s="566"/>
      <c r="J33" s="566"/>
      <c r="K33" s="566"/>
      <c r="L33" s="567"/>
      <c r="M33" s="566"/>
      <c r="N33" s="566"/>
      <c r="O33" s="567"/>
      <c r="P33" s="566"/>
      <c r="Q33" s="598"/>
      <c r="R33" s="571"/>
      <c r="S33" s="571"/>
      <c r="T33" s="571"/>
      <c r="U33" s="571"/>
      <c r="V33" s="600"/>
      <c r="W33" s="601"/>
      <c r="X33" s="380"/>
    </row>
    <row r="34" spans="1:24">
      <c r="A34" s="380"/>
      <c r="B34" s="606" t="s">
        <v>338</v>
      </c>
      <c r="C34" s="527"/>
      <c r="D34" s="579"/>
      <c r="E34" s="579"/>
      <c r="F34" s="579"/>
      <c r="G34" s="579"/>
      <c r="H34" s="579"/>
      <c r="I34" s="579"/>
      <c r="J34" s="579"/>
      <c r="K34" s="579"/>
      <c r="L34" s="580"/>
      <c r="M34" s="579"/>
      <c r="N34" s="579"/>
      <c r="O34" s="580"/>
      <c r="P34" s="579"/>
      <c r="Q34" s="374"/>
      <c r="R34" s="382"/>
      <c r="S34" s="382"/>
      <c r="T34" s="382"/>
      <c r="U34" s="382"/>
      <c r="V34" s="604"/>
      <c r="W34" s="605"/>
      <c r="X34" s="380"/>
    </row>
    <row r="35" spans="1:24">
      <c r="A35" s="380"/>
      <c r="B35" s="380"/>
      <c r="C35" s="609"/>
      <c r="D35" s="579"/>
      <c r="E35" s="579"/>
      <c r="F35" s="579"/>
      <c r="G35" s="579"/>
      <c r="H35" s="579"/>
      <c r="I35" s="579"/>
      <c r="J35" s="579"/>
      <c r="K35" s="579"/>
      <c r="L35" s="580"/>
      <c r="M35" s="579"/>
      <c r="N35" s="579"/>
      <c r="O35" s="580"/>
      <c r="P35" s="579"/>
      <c r="Q35" s="374"/>
      <c r="R35" s="382"/>
      <c r="S35" s="382"/>
      <c r="T35" s="382"/>
      <c r="U35" s="382"/>
      <c r="V35" s="604"/>
      <c r="W35" s="605"/>
      <c r="X35" s="380"/>
    </row>
    <row r="36" spans="1:24">
      <c r="A36" s="380"/>
      <c r="B36" s="634" t="s">
        <v>339</v>
      </c>
      <c r="C36" s="523"/>
      <c r="D36" s="579"/>
      <c r="E36" s="579"/>
      <c r="F36" s="579"/>
      <c r="G36" s="579"/>
      <c r="H36" s="579"/>
      <c r="I36" s="579"/>
      <c r="J36" s="579"/>
      <c r="K36" s="579"/>
      <c r="L36" s="580"/>
      <c r="M36" s="579"/>
      <c r="N36" s="579"/>
      <c r="O36" s="580"/>
      <c r="P36" s="579"/>
      <c r="Q36" s="374"/>
      <c r="R36" s="382"/>
      <c r="S36" s="382"/>
      <c r="T36" s="382"/>
      <c r="U36" s="382"/>
      <c r="V36" s="604"/>
      <c r="W36" s="605"/>
      <c r="X36" s="380"/>
    </row>
    <row r="37" spans="1:24">
      <c r="A37" s="380"/>
      <c r="B37" s="370" t="s">
        <v>340</v>
      </c>
      <c r="C37" s="618"/>
      <c r="D37" s="579"/>
      <c r="E37" s="579"/>
      <c r="F37" s="579"/>
      <c r="G37" s="579"/>
      <c r="H37" s="579"/>
      <c r="I37" s="579"/>
      <c r="J37" s="579"/>
      <c r="K37" s="579"/>
      <c r="L37" s="580"/>
      <c r="M37" s="579"/>
      <c r="N37" s="579"/>
      <c r="O37" s="580"/>
      <c r="P37" s="579"/>
      <c r="Q37" s="374"/>
      <c r="R37" s="382"/>
      <c r="S37" s="382"/>
      <c r="T37" s="382"/>
      <c r="U37" s="382"/>
      <c r="V37" s="604"/>
      <c r="W37" s="605"/>
      <c r="X37" s="380"/>
    </row>
    <row r="38" spans="1:24">
      <c r="A38" s="380"/>
      <c r="B38" s="111" t="s">
        <v>497</v>
      </c>
      <c r="C38" s="635"/>
      <c r="D38" s="579"/>
      <c r="E38" s="579"/>
      <c r="F38" s="579"/>
      <c r="G38" s="579"/>
      <c r="H38" s="579"/>
      <c r="I38" s="579"/>
      <c r="J38" s="579"/>
      <c r="K38" s="579"/>
      <c r="L38" s="580"/>
      <c r="M38" s="579"/>
      <c r="N38" s="579"/>
      <c r="O38" s="580"/>
      <c r="P38" s="579"/>
      <c r="Q38" s="374"/>
      <c r="R38" s="382"/>
      <c r="S38" s="382"/>
      <c r="T38" s="382"/>
      <c r="U38" s="382"/>
      <c r="V38" s="604"/>
      <c r="W38" s="605"/>
      <c r="X38" s="380"/>
    </row>
    <row r="39" spans="1:24">
      <c r="A39" s="380"/>
      <c r="B39" s="111" t="s">
        <v>341</v>
      </c>
      <c r="C39" s="635"/>
      <c r="D39" s="579"/>
      <c r="E39" s="579"/>
      <c r="F39" s="579"/>
      <c r="G39" s="579"/>
      <c r="H39" s="579"/>
      <c r="I39" s="579"/>
      <c r="J39" s="579"/>
      <c r="K39" s="579"/>
      <c r="L39" s="580"/>
      <c r="M39" s="579"/>
      <c r="N39" s="579"/>
      <c r="O39" s="580"/>
      <c r="P39" s="579"/>
      <c r="Q39" s="374"/>
      <c r="R39" s="382"/>
      <c r="S39" s="382"/>
      <c r="T39" s="382"/>
      <c r="U39" s="382"/>
      <c r="V39" s="604"/>
      <c r="W39" s="605"/>
      <c r="X39" s="380"/>
    </row>
    <row r="40" spans="1:24">
      <c r="A40" s="380"/>
      <c r="B40" s="111" t="s">
        <v>498</v>
      </c>
      <c r="C40" s="635"/>
      <c r="D40" s="579"/>
      <c r="E40" s="579"/>
      <c r="F40" s="579"/>
      <c r="G40" s="579"/>
      <c r="H40" s="579"/>
      <c r="I40" s="579"/>
      <c r="J40" s="579"/>
      <c r="K40" s="579"/>
      <c r="L40" s="580"/>
      <c r="M40" s="579"/>
      <c r="N40" s="579"/>
      <c r="O40" s="580"/>
      <c r="P40" s="579"/>
      <c r="Q40" s="374"/>
      <c r="R40" s="382"/>
      <c r="S40" s="382"/>
      <c r="T40" s="382"/>
      <c r="U40" s="382"/>
      <c r="V40" s="604"/>
      <c r="W40" s="605"/>
      <c r="X40" s="380"/>
    </row>
    <row r="41" spans="1:24">
      <c r="A41" s="380"/>
      <c r="B41" s="111" t="s">
        <v>499</v>
      </c>
      <c r="C41" s="635"/>
      <c r="D41" s="579"/>
      <c r="E41" s="579"/>
      <c r="F41" s="579"/>
      <c r="G41" s="579"/>
      <c r="H41" s="579"/>
      <c r="I41" s="579"/>
      <c r="J41" s="579"/>
      <c r="K41" s="579"/>
      <c r="L41" s="580"/>
      <c r="M41" s="579"/>
      <c r="N41" s="579"/>
      <c r="O41" s="580"/>
      <c r="P41" s="579"/>
      <c r="Q41" s="374"/>
      <c r="R41" s="382"/>
      <c r="S41" s="382"/>
      <c r="T41" s="382"/>
      <c r="U41" s="382"/>
      <c r="V41" s="604"/>
      <c r="W41" s="605"/>
      <c r="X41" s="380"/>
    </row>
    <row r="42" spans="1:24">
      <c r="A42" s="380"/>
      <c r="B42" s="370" t="s">
        <v>500</v>
      </c>
      <c r="C42" s="635"/>
      <c r="D42" s="579"/>
      <c r="E42" s="579"/>
      <c r="F42" s="579"/>
      <c r="G42" s="579"/>
      <c r="H42" s="579"/>
      <c r="I42" s="579"/>
      <c r="J42" s="579"/>
      <c r="K42" s="579"/>
      <c r="L42" s="580"/>
      <c r="M42" s="579"/>
      <c r="N42" s="579"/>
      <c r="O42" s="580"/>
      <c r="P42" s="579"/>
      <c r="Q42" s="374"/>
      <c r="R42" s="382"/>
      <c r="S42" s="382"/>
      <c r="T42" s="382"/>
      <c r="U42" s="382"/>
      <c r="V42" s="604"/>
      <c r="W42" s="605"/>
      <c r="X42" s="380"/>
    </row>
    <row r="43" spans="1:24">
      <c r="A43" s="380"/>
      <c r="B43" s="370" t="s">
        <v>212</v>
      </c>
      <c r="C43" s="527"/>
      <c r="D43" s="579"/>
      <c r="E43" s="579"/>
      <c r="F43" s="579"/>
      <c r="G43" s="579"/>
      <c r="H43" s="579"/>
      <c r="I43" s="579"/>
      <c r="J43" s="579"/>
      <c r="K43" s="579"/>
      <c r="L43" s="580"/>
      <c r="M43" s="579"/>
      <c r="N43" s="579"/>
      <c r="O43" s="580"/>
      <c r="P43" s="579"/>
      <c r="Q43" s="374"/>
      <c r="R43" s="382"/>
      <c r="S43" s="382"/>
      <c r="T43" s="382"/>
      <c r="U43" s="382"/>
      <c r="V43" s="604"/>
      <c r="W43" s="605"/>
      <c r="X43" s="380"/>
    </row>
    <row r="44" spans="1:24">
      <c r="A44" s="380"/>
      <c r="C44" s="527"/>
      <c r="D44" s="579"/>
      <c r="E44" s="579"/>
      <c r="F44" s="579"/>
      <c r="G44" s="579"/>
      <c r="H44" s="579"/>
      <c r="I44" s="579"/>
      <c r="J44" s="579"/>
      <c r="K44" s="579"/>
      <c r="L44" s="580"/>
      <c r="M44" s="579"/>
      <c r="N44" s="579"/>
      <c r="O44" s="580"/>
      <c r="P44" s="579"/>
      <c r="Q44" s="374"/>
      <c r="R44" s="382"/>
      <c r="S44" s="382"/>
      <c r="T44" s="382"/>
      <c r="U44" s="382"/>
      <c r="V44" s="604"/>
      <c r="W44" s="605"/>
      <c r="X44" s="380"/>
    </row>
    <row r="45" spans="1:24">
      <c r="A45" s="380"/>
      <c r="B45" s="606" t="s">
        <v>334</v>
      </c>
      <c r="C45" s="609"/>
      <c r="D45" s="579"/>
      <c r="E45" s="579"/>
      <c r="F45" s="579"/>
      <c r="G45" s="579"/>
      <c r="H45" s="579"/>
      <c r="I45" s="579"/>
      <c r="J45" s="579"/>
      <c r="K45" s="579"/>
      <c r="L45" s="580"/>
      <c r="M45" s="579"/>
      <c r="N45" s="579"/>
      <c r="O45" s="580"/>
      <c r="P45" s="579"/>
      <c r="Q45" s="374"/>
      <c r="R45" s="382"/>
      <c r="S45" s="382"/>
      <c r="T45" s="382"/>
      <c r="U45" s="382"/>
      <c r="V45" s="604"/>
      <c r="W45" s="605"/>
      <c r="X45" s="380"/>
    </row>
    <row r="46" spans="1:24">
      <c r="A46" s="380"/>
      <c r="B46" s="606" t="s">
        <v>501</v>
      </c>
      <c r="C46" s="523"/>
      <c r="D46" s="579"/>
      <c r="E46" s="579"/>
      <c r="F46" s="579"/>
      <c r="G46" s="579"/>
      <c r="H46" s="579"/>
      <c r="I46" s="579"/>
      <c r="J46" s="579"/>
      <c r="K46" s="579"/>
      <c r="L46" s="580"/>
      <c r="M46" s="579"/>
      <c r="N46" s="579"/>
      <c r="O46" s="580"/>
      <c r="P46" s="579"/>
      <c r="Q46" s="374"/>
      <c r="R46" s="382"/>
      <c r="S46" s="382"/>
      <c r="T46" s="382"/>
      <c r="U46" s="382"/>
      <c r="V46" s="604"/>
      <c r="W46" s="605"/>
      <c r="X46" s="380"/>
    </row>
    <row r="47" spans="1:24">
      <c r="A47" s="380"/>
      <c r="B47" s="608" t="s">
        <v>342</v>
      </c>
      <c r="C47" s="523"/>
      <c r="D47" s="380"/>
      <c r="E47" s="380"/>
      <c r="F47" s="380"/>
      <c r="G47" s="579"/>
      <c r="H47" s="579"/>
      <c r="I47" s="579"/>
      <c r="J47" s="579"/>
      <c r="K47" s="579"/>
      <c r="L47" s="380"/>
      <c r="M47" s="607"/>
      <c r="N47" s="579"/>
      <c r="O47" s="580"/>
      <c r="P47" s="579"/>
      <c r="Q47" s="374"/>
      <c r="R47" s="382"/>
      <c r="S47" s="382"/>
      <c r="T47" s="382"/>
      <c r="U47" s="382"/>
      <c r="V47" s="604"/>
      <c r="W47" s="605"/>
      <c r="X47" s="380"/>
    </row>
    <row r="48" spans="1:24">
      <c r="A48" s="380"/>
      <c r="B48" s="380"/>
      <c r="C48" s="609"/>
      <c r="D48" s="380"/>
      <c r="E48" s="380"/>
      <c r="F48" s="380"/>
      <c r="G48" s="579"/>
      <c r="H48" s="579"/>
      <c r="I48" s="579"/>
      <c r="J48" s="579"/>
      <c r="K48" s="579"/>
      <c r="L48" s="580"/>
      <c r="M48" s="579"/>
      <c r="N48" s="579"/>
      <c r="O48" s="580"/>
      <c r="P48" s="579"/>
      <c r="Q48" s="374"/>
      <c r="R48" s="382"/>
      <c r="S48" s="382"/>
      <c r="T48" s="382"/>
      <c r="U48" s="382"/>
      <c r="V48" s="604"/>
      <c r="W48" s="605"/>
      <c r="X48" s="380"/>
    </row>
    <row r="49" spans="1:24">
      <c r="A49" s="380"/>
      <c r="B49" s="606" t="s">
        <v>336</v>
      </c>
      <c r="C49" s="620"/>
      <c r="D49" s="380"/>
      <c r="E49" s="380"/>
      <c r="F49" s="380"/>
      <c r="G49" s="380"/>
      <c r="H49" s="380"/>
      <c r="I49" s="380"/>
      <c r="J49" s="380"/>
      <c r="K49" s="380"/>
      <c r="L49" s="380"/>
      <c r="M49" s="380"/>
      <c r="N49" s="380"/>
      <c r="O49" s="380"/>
      <c r="P49" s="380"/>
      <c r="Q49" s="380"/>
      <c r="R49" s="524"/>
      <c r="S49" s="524"/>
      <c r="T49" s="524"/>
      <c r="U49" s="524"/>
      <c r="V49" s="380"/>
      <c r="W49" s="380"/>
      <c r="X49" s="380"/>
    </row>
    <row r="50" spans="1:24">
      <c r="A50" s="380"/>
      <c r="B50" s="371" t="s">
        <v>502</v>
      </c>
      <c r="C50" s="523"/>
      <c r="D50" s="380"/>
      <c r="E50" s="380"/>
      <c r="F50" s="380"/>
      <c r="G50" s="380"/>
      <c r="H50" s="380"/>
      <c r="I50" s="380"/>
      <c r="J50" s="380"/>
      <c r="K50" s="380"/>
      <c r="L50" s="380"/>
      <c r="M50" s="380"/>
      <c r="N50" s="380"/>
      <c r="O50" s="380"/>
      <c r="P50" s="380"/>
      <c r="Q50" s="380"/>
      <c r="R50" s="524"/>
      <c r="S50" s="524"/>
      <c r="T50" s="524"/>
      <c r="U50" s="524"/>
      <c r="V50" s="380"/>
      <c r="W50" s="380"/>
      <c r="X50" s="380"/>
    </row>
    <row r="51" spans="1:24">
      <c r="A51" s="380"/>
      <c r="B51" s="380"/>
      <c r="C51" s="611"/>
      <c r="D51" s="380"/>
      <c r="E51" s="380"/>
      <c r="F51" s="380"/>
      <c r="G51" s="380"/>
      <c r="H51" s="380"/>
      <c r="I51" s="380"/>
      <c r="J51" s="380"/>
      <c r="K51" s="380"/>
      <c r="L51" s="380"/>
      <c r="M51" s="380"/>
      <c r="N51" s="380"/>
      <c r="O51" s="380"/>
      <c r="P51" s="380"/>
      <c r="Q51" s="380"/>
      <c r="R51" s="524"/>
      <c r="S51" s="524"/>
      <c r="T51" s="524"/>
      <c r="U51" s="524"/>
      <c r="V51" s="380"/>
      <c r="W51" s="380"/>
      <c r="X51" s="380"/>
    </row>
    <row r="52" spans="1:24">
      <c r="A52" s="380"/>
      <c r="B52" s="610" t="s">
        <v>432</v>
      </c>
      <c r="C52" s="612"/>
      <c r="D52" s="380"/>
      <c r="E52" s="380"/>
      <c r="F52" s="380"/>
      <c r="G52" s="380"/>
      <c r="H52" s="380"/>
      <c r="I52" s="380"/>
      <c r="J52" s="380"/>
      <c r="K52" s="380"/>
      <c r="L52" s="380"/>
      <c r="M52" s="380"/>
      <c r="N52" s="380"/>
      <c r="O52" s="380"/>
      <c r="P52" s="380"/>
      <c r="Q52" s="380"/>
      <c r="R52" s="524"/>
      <c r="S52" s="524"/>
      <c r="T52" s="524"/>
      <c r="U52" s="524"/>
      <c r="V52" s="380"/>
      <c r="W52" s="380"/>
      <c r="X52" s="380"/>
    </row>
    <row r="53" spans="1:24">
      <c r="A53" s="380"/>
      <c r="B53" s="610" t="s">
        <v>125</v>
      </c>
      <c r="C53" s="612"/>
      <c r="D53" s="380"/>
      <c r="E53" s="380"/>
      <c r="F53" s="380"/>
      <c r="G53" s="380"/>
      <c r="H53" s="380"/>
      <c r="I53" s="380"/>
      <c r="J53" s="380"/>
      <c r="K53" s="380"/>
      <c r="L53" s="380"/>
      <c r="M53" s="380"/>
      <c r="N53" s="380"/>
      <c r="O53" s="380"/>
      <c r="P53" s="380"/>
      <c r="Q53" s="380"/>
      <c r="R53" s="524"/>
      <c r="S53" s="524"/>
      <c r="T53" s="524"/>
      <c r="U53" s="524"/>
      <c r="V53" s="380"/>
      <c r="W53" s="380"/>
      <c r="X53" s="380"/>
    </row>
    <row r="54" spans="1:24">
      <c r="A54" s="380"/>
      <c r="B54" s="610" t="s">
        <v>126</v>
      </c>
      <c r="C54" s="612"/>
      <c r="D54" s="380"/>
      <c r="E54" s="380"/>
      <c r="F54" s="380"/>
      <c r="G54" s="380"/>
      <c r="H54" s="380"/>
      <c r="I54" s="380"/>
      <c r="J54" s="380"/>
      <c r="K54" s="380"/>
      <c r="L54" s="380"/>
      <c r="M54" s="380"/>
      <c r="N54" s="380"/>
      <c r="O54" s="380"/>
      <c r="P54" s="380"/>
      <c r="Q54" s="380"/>
      <c r="R54" s="524"/>
      <c r="S54" s="524"/>
      <c r="T54" s="524"/>
      <c r="U54" s="524"/>
      <c r="V54" s="380"/>
      <c r="W54" s="380"/>
      <c r="X54" s="380"/>
    </row>
    <row r="55" spans="1:24">
      <c r="A55" s="380"/>
      <c r="B55" s="610" t="s">
        <v>127</v>
      </c>
      <c r="C55" s="612"/>
      <c r="D55" s="380"/>
      <c r="E55" s="380"/>
      <c r="F55" s="380"/>
      <c r="G55" s="380"/>
      <c r="H55" s="380"/>
      <c r="I55" s="380"/>
      <c r="J55" s="380"/>
      <c r="K55" s="380"/>
      <c r="L55" s="380"/>
      <c r="M55" s="380"/>
      <c r="N55" s="613"/>
      <c r="O55" s="613"/>
      <c r="P55" s="613"/>
      <c r="Q55" s="614"/>
      <c r="R55" s="615"/>
      <c r="S55" s="524"/>
      <c r="T55" s="524"/>
      <c r="U55" s="524"/>
      <c r="V55" s="380"/>
      <c r="W55" s="380"/>
      <c r="X55" s="616"/>
    </row>
    <row r="56" spans="1:24">
      <c r="A56" s="380"/>
      <c r="B56" s="610" t="s">
        <v>128</v>
      </c>
      <c r="C56" s="617"/>
      <c r="D56" s="380"/>
      <c r="E56" s="380"/>
      <c r="F56" s="380"/>
      <c r="G56" s="380"/>
      <c r="H56" s="380"/>
      <c r="I56" s="380"/>
      <c r="J56" s="380"/>
      <c r="K56" s="380"/>
      <c r="L56" s="380"/>
      <c r="M56" s="380"/>
      <c r="N56" s="380"/>
      <c r="O56" s="380"/>
      <c r="P56" s="380"/>
      <c r="Q56" s="380"/>
      <c r="R56" s="524"/>
      <c r="S56" s="524"/>
      <c r="T56" s="524"/>
      <c r="U56" s="524"/>
      <c r="V56" s="380"/>
      <c r="W56" s="380"/>
      <c r="X56" s="380"/>
    </row>
    <row r="57" spans="1:24">
      <c r="A57" s="380"/>
      <c r="B57" s="610" t="s">
        <v>433</v>
      </c>
      <c r="C57" s="618"/>
      <c r="D57" s="380"/>
      <c r="E57" s="380"/>
      <c r="F57" s="380"/>
      <c r="G57" s="380"/>
      <c r="H57" s="380"/>
      <c r="I57" s="380"/>
      <c r="J57" s="380"/>
      <c r="K57" s="380"/>
      <c r="L57" s="380"/>
      <c r="M57" s="380"/>
      <c r="N57" s="380"/>
      <c r="O57" s="380"/>
      <c r="P57" s="380"/>
      <c r="Q57" s="380"/>
      <c r="R57" s="524"/>
      <c r="S57" s="524"/>
      <c r="T57" s="524"/>
      <c r="U57" s="524"/>
      <c r="V57" s="380"/>
      <c r="W57" s="380"/>
      <c r="X57" s="380"/>
    </row>
    <row r="58" spans="1:24">
      <c r="A58" s="380"/>
      <c r="B58" s="610" t="s">
        <v>434</v>
      </c>
      <c r="C58" s="523"/>
      <c r="D58" s="380"/>
      <c r="E58" s="380"/>
      <c r="F58" s="380"/>
      <c r="G58" s="380"/>
      <c r="H58" s="380"/>
      <c r="I58" s="380"/>
      <c r="J58" s="380"/>
      <c r="K58" s="380"/>
      <c r="L58" s="380"/>
      <c r="M58" s="380"/>
      <c r="N58" s="380"/>
      <c r="O58" s="380"/>
      <c r="P58" s="380"/>
      <c r="Q58" s="380"/>
      <c r="R58" s="524"/>
      <c r="S58" s="524"/>
      <c r="T58" s="524"/>
      <c r="U58" s="524"/>
      <c r="V58" s="380"/>
      <c r="W58" s="380"/>
      <c r="X58" s="380"/>
    </row>
    <row r="59" spans="1:24">
      <c r="A59" s="380"/>
      <c r="B59" s="610" t="s">
        <v>435</v>
      </c>
      <c r="C59" s="618"/>
      <c r="D59" s="380"/>
      <c r="E59" s="380"/>
      <c r="F59" s="380"/>
      <c r="G59" s="380"/>
      <c r="H59" s="380"/>
      <c r="I59" s="380"/>
      <c r="J59" s="380"/>
      <c r="K59" s="380"/>
      <c r="L59" s="380"/>
      <c r="M59" s="380"/>
      <c r="N59" s="380"/>
      <c r="O59" s="380"/>
      <c r="P59" s="380"/>
      <c r="Q59" s="380"/>
      <c r="R59" s="524"/>
      <c r="S59" s="524"/>
      <c r="T59" s="524"/>
      <c r="U59" s="524"/>
      <c r="V59" s="380"/>
      <c r="W59" s="380"/>
      <c r="X59" s="380"/>
    </row>
    <row r="60" spans="1:24">
      <c r="A60" s="380"/>
      <c r="B60" s="610" t="s">
        <v>436</v>
      </c>
      <c r="C60" s="618"/>
      <c r="D60" s="380"/>
      <c r="E60" s="380"/>
      <c r="F60" s="380"/>
      <c r="G60" s="380"/>
      <c r="H60" s="380"/>
      <c r="I60" s="380"/>
      <c r="J60" s="380"/>
      <c r="K60" s="380"/>
      <c r="L60" s="380"/>
      <c r="M60" s="380"/>
      <c r="N60" s="380"/>
      <c r="O60" s="380"/>
      <c r="P60" s="380"/>
      <c r="Q60" s="380"/>
      <c r="R60" s="524"/>
      <c r="S60" s="524"/>
      <c r="T60" s="524"/>
      <c r="U60" s="524"/>
      <c r="V60" s="380"/>
      <c r="W60" s="380"/>
      <c r="X60" s="380"/>
    </row>
    <row r="61" spans="1:24">
      <c r="A61" s="380"/>
      <c r="B61" s="610" t="s">
        <v>437</v>
      </c>
      <c r="C61" s="523"/>
      <c r="D61" s="380"/>
      <c r="E61" s="380"/>
      <c r="F61" s="380"/>
      <c r="G61" s="380"/>
      <c r="H61" s="380"/>
      <c r="I61" s="380"/>
      <c r="J61" s="380"/>
      <c r="K61" s="380"/>
      <c r="L61" s="380"/>
      <c r="M61" s="380"/>
      <c r="N61" s="619"/>
      <c r="O61" s="619"/>
      <c r="P61" s="619"/>
      <c r="Q61" s="380"/>
      <c r="R61" s="524"/>
      <c r="S61" s="524"/>
      <c r="T61" s="524"/>
      <c r="U61" s="524"/>
      <c r="V61" s="380"/>
      <c r="W61" s="380"/>
      <c r="X61" s="380"/>
    </row>
    <row r="62" spans="1:24">
      <c r="A62" s="380"/>
      <c r="B62" s="610" t="s">
        <v>438</v>
      </c>
      <c r="C62" s="523"/>
      <c r="D62" s="380"/>
      <c r="E62" s="380"/>
      <c r="F62" s="380"/>
      <c r="G62" s="380"/>
      <c r="H62" s="380"/>
      <c r="I62" s="380"/>
      <c r="J62" s="380"/>
      <c r="K62" s="380"/>
      <c r="L62" s="380"/>
      <c r="M62" s="380"/>
      <c r="N62" s="380"/>
      <c r="O62" s="380"/>
      <c r="P62" s="380"/>
      <c r="Q62" s="380"/>
      <c r="R62" s="524"/>
      <c r="S62" s="524"/>
      <c r="T62" s="524"/>
      <c r="U62" s="524"/>
      <c r="V62" s="380"/>
      <c r="W62" s="380"/>
      <c r="X62" s="380"/>
    </row>
    <row r="63" spans="1:24">
      <c r="A63" s="380"/>
      <c r="B63" s="610" t="s">
        <v>439</v>
      </c>
      <c r="C63" s="523"/>
      <c r="D63" s="380"/>
      <c r="E63" s="380"/>
      <c r="F63" s="380"/>
      <c r="G63" s="380"/>
      <c r="H63" s="380"/>
      <c r="I63" s="380"/>
      <c r="J63" s="380"/>
      <c r="K63" s="380"/>
      <c r="L63" s="380"/>
      <c r="M63" s="380"/>
      <c r="N63" s="380"/>
      <c r="O63" s="380"/>
      <c r="P63" s="380"/>
      <c r="Q63" s="380"/>
      <c r="R63" s="524"/>
      <c r="S63" s="524"/>
      <c r="T63" s="524"/>
      <c r="U63" s="524"/>
      <c r="V63" s="380"/>
      <c r="W63" s="380"/>
      <c r="X63" s="380"/>
    </row>
    <row r="64" spans="1:24">
      <c r="A64" s="380"/>
      <c r="B64" s="610" t="s">
        <v>440</v>
      </c>
      <c r="C64" s="618"/>
      <c r="D64" s="380"/>
      <c r="E64" s="380"/>
      <c r="F64" s="380"/>
      <c r="G64" s="380"/>
      <c r="H64" s="380"/>
      <c r="I64" s="380"/>
      <c r="J64" s="380"/>
      <c r="K64" s="380"/>
      <c r="L64" s="380"/>
      <c r="M64" s="380"/>
      <c r="N64" s="380"/>
      <c r="O64" s="380"/>
      <c r="P64" s="380"/>
      <c r="Q64" s="380"/>
      <c r="R64" s="524"/>
      <c r="S64" s="524"/>
      <c r="T64" s="524"/>
      <c r="U64" s="524"/>
      <c r="V64" s="380"/>
      <c r="W64" s="380"/>
      <c r="X64" s="380"/>
    </row>
    <row r="65" spans="1:24">
      <c r="A65" s="380"/>
      <c r="B65" s="610" t="s">
        <v>441</v>
      </c>
      <c r="C65" s="620"/>
      <c r="D65" s="380"/>
      <c r="E65" s="380"/>
      <c r="F65" s="380"/>
      <c r="G65" s="380"/>
      <c r="H65" s="380"/>
      <c r="I65" s="380"/>
      <c r="J65" s="380"/>
      <c r="K65" s="380"/>
      <c r="L65" s="380"/>
      <c r="M65" s="380"/>
      <c r="N65" s="380"/>
      <c r="O65" s="380"/>
      <c r="P65" s="380"/>
      <c r="Q65" s="380"/>
      <c r="R65" s="524"/>
      <c r="S65" s="524"/>
      <c r="T65" s="524"/>
      <c r="U65" s="524"/>
      <c r="V65" s="621"/>
      <c r="W65" s="621"/>
      <c r="X65" s="380"/>
    </row>
    <row r="66" spans="1:24" ht="12.75" customHeight="1">
      <c r="A66" s="380"/>
      <c r="B66" s="610" t="s">
        <v>388</v>
      </c>
      <c r="C66" s="523"/>
      <c r="D66" s="380"/>
      <c r="E66" s="380"/>
      <c r="F66" s="380"/>
      <c r="G66" s="380"/>
      <c r="H66" s="380"/>
      <c r="I66" s="380"/>
      <c r="J66" s="380"/>
      <c r="K66" s="380"/>
      <c r="L66" s="380"/>
      <c r="M66" s="380"/>
      <c r="N66" s="380"/>
      <c r="O66" s="380"/>
      <c r="P66" s="380"/>
      <c r="Q66" s="380"/>
      <c r="R66" s="524"/>
      <c r="S66" s="524"/>
      <c r="T66" s="524"/>
      <c r="U66" s="524"/>
      <c r="V66" s="380"/>
      <c r="W66" s="621"/>
      <c r="X66" s="380"/>
    </row>
    <row r="67" spans="1:24" ht="12.75" customHeight="1">
      <c r="A67" s="380"/>
      <c r="B67" s="610" t="s">
        <v>388</v>
      </c>
      <c r="C67" s="523"/>
      <c r="D67" s="380"/>
      <c r="E67" s="380"/>
      <c r="F67" s="380"/>
      <c r="G67" s="380"/>
      <c r="H67" s="380"/>
      <c r="I67" s="380"/>
      <c r="J67" s="380"/>
      <c r="K67" s="380"/>
      <c r="L67" s="380"/>
      <c r="M67" s="380"/>
      <c r="N67" s="380"/>
      <c r="O67" s="380"/>
      <c r="P67" s="380"/>
      <c r="Q67" s="380"/>
      <c r="R67" s="524"/>
      <c r="S67" s="524"/>
      <c r="T67" s="524"/>
      <c r="U67" s="524"/>
      <c r="V67" s="380"/>
      <c r="W67" s="621"/>
      <c r="X67" s="380"/>
    </row>
    <row r="68" spans="1:24" ht="12.75" customHeight="1">
      <c r="A68" s="380"/>
      <c r="B68" s="610" t="s">
        <v>388</v>
      </c>
      <c r="C68" s="523"/>
      <c r="D68" s="380"/>
      <c r="E68" s="380"/>
      <c r="F68" s="380"/>
      <c r="G68" s="380"/>
      <c r="H68" s="380"/>
      <c r="I68" s="380"/>
      <c r="J68" s="380"/>
      <c r="K68" s="380"/>
      <c r="L68" s="380"/>
      <c r="M68" s="380"/>
      <c r="N68" s="380"/>
      <c r="O68" s="380"/>
      <c r="P68" s="380"/>
      <c r="Q68" s="380"/>
      <c r="R68" s="524"/>
      <c r="S68" s="524"/>
      <c r="T68" s="524"/>
      <c r="U68" s="524"/>
      <c r="V68" s="380"/>
      <c r="W68" s="621"/>
      <c r="X68" s="380"/>
    </row>
    <row r="69" spans="1:24" ht="12.75" customHeight="1">
      <c r="A69" s="380"/>
      <c r="B69" s="610" t="s">
        <v>442</v>
      </c>
      <c r="C69" s="523"/>
      <c r="D69" s="380"/>
      <c r="E69" s="380"/>
      <c r="F69" s="380"/>
      <c r="G69" s="380"/>
      <c r="H69" s="380"/>
      <c r="I69" s="380"/>
      <c r="J69" s="380"/>
      <c r="K69" s="380"/>
      <c r="L69" s="380"/>
      <c r="M69" s="380"/>
      <c r="N69" s="380"/>
      <c r="O69" s="380"/>
      <c r="P69" s="380"/>
      <c r="Q69" s="380"/>
      <c r="R69" s="524"/>
      <c r="S69" s="524"/>
      <c r="T69" s="524"/>
      <c r="U69" s="524"/>
      <c r="V69" s="380"/>
      <c r="W69" s="621"/>
      <c r="X69" s="380"/>
    </row>
    <row r="70" spans="1:24" ht="12.75" customHeight="1">
      <c r="A70" s="380"/>
      <c r="B70" s="610" t="s">
        <v>443</v>
      </c>
      <c r="C70" s="523"/>
      <c r="D70" s="380"/>
      <c r="E70" s="380"/>
      <c r="F70" s="380"/>
      <c r="G70" s="380"/>
      <c r="H70" s="380"/>
      <c r="I70" s="380"/>
      <c r="J70" s="380"/>
      <c r="K70" s="380"/>
      <c r="L70" s="380"/>
      <c r="M70" s="380"/>
      <c r="N70" s="380"/>
      <c r="O70" s="380"/>
      <c r="P70" s="380"/>
      <c r="Q70" s="380"/>
      <c r="R70" s="524"/>
      <c r="S70" s="524"/>
      <c r="T70" s="524"/>
      <c r="U70" s="524"/>
      <c r="V70" s="380"/>
      <c r="W70" s="621"/>
      <c r="X70" s="380"/>
    </row>
    <row r="71" spans="1:24" ht="20.100000000000001" customHeight="1">
      <c r="A71" s="380"/>
      <c r="B71" s="622" t="s">
        <v>198</v>
      </c>
      <c r="C71" s="523"/>
      <c r="D71" s="380"/>
      <c r="E71" s="380"/>
      <c r="F71" s="380"/>
      <c r="G71" s="380"/>
      <c r="H71" s="380"/>
      <c r="I71" s="380"/>
      <c r="J71" s="380"/>
      <c r="K71" s="380"/>
      <c r="L71" s="380"/>
      <c r="M71" s="380"/>
      <c r="N71" s="380"/>
      <c r="O71" s="380"/>
      <c r="P71" s="380"/>
      <c r="Q71" s="380"/>
      <c r="R71" s="524"/>
      <c r="S71" s="524"/>
      <c r="T71" s="524"/>
      <c r="U71" s="524"/>
      <c r="V71" s="380"/>
      <c r="W71" s="621"/>
      <c r="X71" s="380"/>
    </row>
    <row r="72" spans="1:24">
      <c r="A72" s="380"/>
      <c r="B72" s="371" t="s">
        <v>192</v>
      </c>
      <c r="C72" s="523"/>
      <c r="D72" s="380"/>
      <c r="E72" s="380"/>
      <c r="F72" s="380"/>
      <c r="G72" s="380"/>
      <c r="H72" s="380"/>
      <c r="I72" s="380"/>
      <c r="J72" s="380"/>
      <c r="K72" s="380"/>
      <c r="L72" s="380"/>
      <c r="M72" s="380"/>
      <c r="N72" s="380"/>
      <c r="O72" s="380"/>
      <c r="P72" s="380"/>
      <c r="Q72" s="380"/>
      <c r="R72" s="524"/>
      <c r="S72" s="524"/>
      <c r="T72" s="524"/>
      <c r="U72" s="524"/>
      <c r="V72" s="380"/>
      <c r="W72" s="380"/>
      <c r="X72" s="380"/>
    </row>
    <row r="73" spans="1:24" ht="26.1" hidden="1" customHeight="1">
      <c r="A73" s="629"/>
      <c r="B73" s="629"/>
      <c r="C73" s="629"/>
      <c r="D73" s="629"/>
      <c r="E73" s="629"/>
      <c r="F73" s="629"/>
      <c r="G73" s="629"/>
      <c r="H73" s="629"/>
      <c r="I73" s="629"/>
      <c r="J73" s="629"/>
      <c r="K73" s="629"/>
      <c r="L73" s="629"/>
      <c r="M73" s="629"/>
      <c r="N73" s="629"/>
      <c r="O73" s="629"/>
      <c r="P73" s="629"/>
      <c r="Q73" s="629"/>
      <c r="R73" s="629"/>
      <c r="S73" s="629"/>
      <c r="T73" s="629"/>
      <c r="U73" s="629"/>
      <c r="V73" s="629"/>
      <c r="W73" s="629"/>
    </row>
    <row r="74" spans="1:24" ht="5.25" hidden="1" customHeight="1"/>
    <row r="75" spans="1:24" ht="24" hidden="1" customHeight="1">
      <c r="P75" s="213" t="s">
        <v>392</v>
      </c>
      <c r="R75" s="372" t="s">
        <v>337</v>
      </c>
    </row>
    <row r="76" spans="1:24" ht="24" hidden="1" customHeight="1">
      <c r="A76" s="374"/>
      <c r="B76" s="373" t="s">
        <v>365</v>
      </c>
      <c r="C76" s="527"/>
      <c r="D76" s="374"/>
      <c r="E76" s="374"/>
      <c r="F76" s="374"/>
      <c r="G76" s="374"/>
      <c r="H76" s="374"/>
      <c r="I76" s="374"/>
      <c r="J76" s="374"/>
      <c r="K76" s="374"/>
      <c r="L76" s="374"/>
      <c r="M76" s="374"/>
      <c r="N76" s="374"/>
      <c r="O76" s="374"/>
      <c r="P76" s="374"/>
      <c r="Q76" s="374"/>
      <c r="R76" s="382"/>
      <c r="S76" s="382"/>
      <c r="T76" s="382"/>
      <c r="U76" s="528"/>
      <c r="V76" s="529"/>
      <c r="W76" s="526"/>
      <c r="X76" s="374"/>
    </row>
    <row r="77" spans="1:24" ht="18" hidden="1" customHeight="1">
      <c r="A77" s="380"/>
      <c r="B77" s="530" t="s">
        <v>503</v>
      </c>
      <c r="C77" s="631"/>
      <c r="D77" s="632"/>
      <c r="E77" s="632"/>
      <c r="F77" s="632"/>
      <c r="G77" s="632"/>
      <c r="H77" s="632"/>
      <c r="I77" s="632"/>
      <c r="J77" s="632"/>
      <c r="K77" s="632"/>
      <c r="L77" s="632"/>
      <c r="M77" s="632"/>
      <c r="N77" s="633"/>
      <c r="O77" s="633"/>
      <c r="P77" s="633"/>
      <c r="Q77" s="633"/>
      <c r="R77" s="633"/>
      <c r="S77" s="633"/>
      <c r="T77" s="633"/>
      <c r="U77" s="633"/>
      <c r="V77" s="632"/>
      <c r="W77" s="632"/>
      <c r="X77" s="380"/>
    </row>
    <row r="78" spans="1:24" ht="15.9" hidden="1" customHeight="1">
      <c r="A78" s="380"/>
      <c r="B78" s="532"/>
      <c r="C78" s="533"/>
      <c r="D78" s="380"/>
      <c r="E78" s="380"/>
      <c r="F78" s="380"/>
      <c r="G78" s="380"/>
      <c r="H78" s="380"/>
      <c r="I78" s="380"/>
      <c r="J78" s="380"/>
      <c r="K78" s="380"/>
      <c r="L78" s="380"/>
      <c r="M78" s="380"/>
      <c r="V78" s="380"/>
      <c r="W78" s="380"/>
      <c r="X78" s="380"/>
    </row>
    <row r="79" spans="1:24" ht="15.75" hidden="1" customHeight="1">
      <c r="B79" s="221"/>
      <c r="C79" s="222" t="s">
        <v>159</v>
      </c>
      <c r="D79" s="223" t="s">
        <v>392</v>
      </c>
      <c r="E79" s="223"/>
      <c r="F79" s="223"/>
      <c r="G79" s="387"/>
      <c r="H79" s="623"/>
      <c r="I79" s="388"/>
      <c r="J79" s="394"/>
      <c r="L79" s="380"/>
      <c r="M79" s="380"/>
      <c r="V79" s="380"/>
      <c r="W79" s="380"/>
      <c r="X79" s="380"/>
    </row>
    <row r="80" spans="1:24" ht="12.75" hidden="1" customHeight="1">
      <c r="B80" s="226"/>
      <c r="C80" s="227" t="s">
        <v>160</v>
      </c>
      <c r="D80" s="392" t="s">
        <v>395</v>
      </c>
      <c r="E80" s="392"/>
      <c r="F80" s="392"/>
      <c r="G80" s="394"/>
      <c r="H80" s="382"/>
      <c r="I80" s="624"/>
      <c r="J80" s="394"/>
      <c r="L80" s="380"/>
      <c r="M80" s="380"/>
      <c r="N80" s="211"/>
      <c r="O80" s="542"/>
      <c r="P80" s="393"/>
      <c r="Q80" s="394"/>
      <c r="R80" s="394"/>
      <c r="S80" s="394"/>
      <c r="T80" s="394"/>
      <c r="U80" s="382"/>
      <c r="V80" s="380"/>
      <c r="W80" s="380"/>
      <c r="X80" s="380"/>
    </row>
    <row r="81" spans="1:24" ht="17.399999999999999" hidden="1">
      <c r="B81" s="230"/>
      <c r="C81" s="231" t="s">
        <v>161</v>
      </c>
      <c r="D81" s="232" t="s">
        <v>464</v>
      </c>
      <c r="E81" s="232"/>
      <c r="F81" s="232"/>
      <c r="G81" s="397"/>
      <c r="H81" s="625"/>
      <c r="I81" s="398"/>
      <c r="J81" s="394"/>
      <c r="L81" s="380"/>
      <c r="M81" s="380"/>
      <c r="N81" s="211"/>
      <c r="O81" s="542"/>
      <c r="P81" s="393"/>
      <c r="Q81" s="394"/>
      <c r="R81" s="394"/>
      <c r="S81" s="394"/>
      <c r="T81" s="394"/>
      <c r="U81" s="382"/>
      <c r="V81" s="380"/>
      <c r="W81" s="380"/>
      <c r="X81" s="380"/>
    </row>
    <row r="82" spans="1:24" hidden="1">
      <c r="A82" s="380"/>
      <c r="B82" s="380"/>
      <c r="C82" s="550"/>
      <c r="D82" s="380"/>
      <c r="E82" s="380"/>
      <c r="F82" s="380"/>
      <c r="G82" s="380"/>
      <c r="H82" s="380"/>
      <c r="I82" s="380"/>
      <c r="J82" s="380"/>
      <c r="K82" s="380"/>
      <c r="L82" s="380"/>
      <c r="M82" s="380"/>
      <c r="N82" s="380"/>
      <c r="O82" s="380"/>
      <c r="P82" s="380"/>
      <c r="Q82" s="380"/>
      <c r="R82" s="524"/>
      <c r="S82" s="524"/>
      <c r="T82" s="524"/>
      <c r="U82" s="524"/>
      <c r="V82" s="380"/>
      <c r="W82" s="380"/>
      <c r="X82" s="380"/>
    </row>
    <row r="83" spans="1:24" hidden="1">
      <c r="A83" s="380"/>
      <c r="B83" s="549"/>
      <c r="C83" s="550"/>
      <c r="D83" s="551" t="s">
        <v>319</v>
      </c>
      <c r="E83" s="551"/>
      <c r="F83" s="551"/>
      <c r="G83" s="551"/>
      <c r="H83" s="551"/>
      <c r="I83" s="551"/>
      <c r="J83" s="551"/>
      <c r="K83" s="551"/>
      <c r="L83" s="551"/>
      <c r="M83" s="551"/>
      <c r="N83" s="551" t="s">
        <v>320</v>
      </c>
      <c r="O83" s="551"/>
      <c r="P83" s="551"/>
      <c r="Q83" s="551"/>
      <c r="R83" s="552"/>
      <c r="S83" s="553" t="s">
        <v>182</v>
      </c>
      <c r="T83" s="553" t="s">
        <v>182</v>
      </c>
      <c r="U83" s="553" t="s">
        <v>182</v>
      </c>
      <c r="V83" s="554"/>
      <c r="W83" s="555" t="s">
        <v>321</v>
      </c>
      <c r="X83" s="380"/>
    </row>
    <row r="84" spans="1:24" hidden="1">
      <c r="A84" s="380"/>
      <c r="B84" s="374"/>
      <c r="C84" s="527"/>
      <c r="D84" s="556" t="s">
        <v>322</v>
      </c>
      <c r="E84" s="556" t="s">
        <v>323</v>
      </c>
      <c r="F84" s="556" t="s">
        <v>324</v>
      </c>
      <c r="G84" s="556" t="s">
        <v>325</v>
      </c>
      <c r="H84" s="556" t="s">
        <v>326</v>
      </c>
      <c r="I84" s="556" t="s">
        <v>327</v>
      </c>
      <c r="J84" s="556" t="s">
        <v>328</v>
      </c>
      <c r="K84" s="556" t="s">
        <v>329</v>
      </c>
      <c r="L84" s="556" t="s">
        <v>330</v>
      </c>
      <c r="M84" s="556" t="s">
        <v>331</v>
      </c>
      <c r="N84" s="556" t="s">
        <v>329</v>
      </c>
      <c r="O84" s="556" t="s">
        <v>330</v>
      </c>
      <c r="P84" s="556" t="s">
        <v>331</v>
      </c>
      <c r="Q84" s="556">
        <v>0</v>
      </c>
      <c r="R84" s="626" t="s">
        <v>182</v>
      </c>
      <c r="S84" s="626" t="s">
        <v>466</v>
      </c>
      <c r="T84" s="626" t="s">
        <v>467</v>
      </c>
      <c r="U84" s="626" t="s">
        <v>332</v>
      </c>
      <c r="V84" s="556">
        <v>0</v>
      </c>
      <c r="W84" s="556" t="s">
        <v>333</v>
      </c>
      <c r="X84" s="380"/>
    </row>
    <row r="85" spans="1:24" hidden="1">
      <c r="A85" s="380"/>
      <c r="B85" s="563">
        <v>0</v>
      </c>
      <c r="C85" s="564" t="s">
        <v>388</v>
      </c>
      <c r="D85" s="565" t="s">
        <v>388</v>
      </c>
      <c r="E85" s="566" t="s">
        <v>388</v>
      </c>
      <c r="F85" s="566" t="s">
        <v>388</v>
      </c>
      <c r="G85" s="566" t="s">
        <v>388</v>
      </c>
      <c r="H85" s="566" t="s">
        <v>388</v>
      </c>
      <c r="I85" s="566" t="s">
        <v>388</v>
      </c>
      <c r="J85" s="566" t="s">
        <v>388</v>
      </c>
      <c r="K85" s="566" t="s">
        <v>388</v>
      </c>
      <c r="L85" s="567" t="s">
        <v>388</v>
      </c>
      <c r="M85" s="568" t="s">
        <v>388</v>
      </c>
      <c r="N85" s="565" t="s">
        <v>388</v>
      </c>
      <c r="O85" s="567" t="s">
        <v>388</v>
      </c>
      <c r="P85" s="566" t="s">
        <v>388</v>
      </c>
      <c r="Q85" s="569"/>
      <c r="R85" s="570" t="e">
        <v>#VALUE!</v>
      </c>
      <c r="S85" s="571" t="e">
        <v>#VALUE!</v>
      </c>
      <c r="T85" s="571" t="e">
        <v>#VALUE!</v>
      </c>
      <c r="U85" s="571" t="e">
        <v>#VALUE!</v>
      </c>
      <c r="V85" s="572"/>
      <c r="W85" s="573" t="s">
        <v>388</v>
      </c>
      <c r="X85" s="380"/>
    </row>
    <row r="86" spans="1:24" hidden="1">
      <c r="A86" s="380"/>
      <c r="B86" s="576">
        <v>0</v>
      </c>
      <c r="C86" s="577" t="s">
        <v>388</v>
      </c>
      <c r="D86" s="578" t="s">
        <v>388</v>
      </c>
      <c r="E86" s="579" t="s">
        <v>388</v>
      </c>
      <c r="F86" s="579" t="s">
        <v>388</v>
      </c>
      <c r="G86" s="579" t="s">
        <v>388</v>
      </c>
      <c r="H86" s="579" t="s">
        <v>388</v>
      </c>
      <c r="I86" s="579" t="s">
        <v>388</v>
      </c>
      <c r="J86" s="579" t="s">
        <v>388</v>
      </c>
      <c r="K86" s="579" t="s">
        <v>388</v>
      </c>
      <c r="L86" s="580" t="s">
        <v>388</v>
      </c>
      <c r="M86" s="581" t="s">
        <v>388</v>
      </c>
      <c r="N86" s="578" t="s">
        <v>388</v>
      </c>
      <c r="O86" s="580" t="s">
        <v>388</v>
      </c>
      <c r="P86" s="579" t="s">
        <v>388</v>
      </c>
      <c r="Q86" s="582"/>
      <c r="R86" s="583" t="e">
        <v>#VALUE!</v>
      </c>
      <c r="S86" s="382" t="e">
        <v>#VALUE!</v>
      </c>
      <c r="T86" s="382" t="e">
        <v>#VALUE!</v>
      </c>
      <c r="U86" s="382" t="e">
        <v>#VALUE!</v>
      </c>
      <c r="V86" s="584"/>
      <c r="W86" s="585" t="s">
        <v>388</v>
      </c>
      <c r="X86" s="380"/>
    </row>
    <row r="87" spans="1:24" hidden="1">
      <c r="A87" s="380"/>
      <c r="B87" s="576">
        <v>0</v>
      </c>
      <c r="C87" s="577" t="s">
        <v>388</v>
      </c>
      <c r="D87" s="578" t="s">
        <v>388</v>
      </c>
      <c r="E87" s="579" t="s">
        <v>388</v>
      </c>
      <c r="F87" s="579" t="s">
        <v>388</v>
      </c>
      <c r="G87" s="579" t="s">
        <v>388</v>
      </c>
      <c r="H87" s="579" t="s">
        <v>388</v>
      </c>
      <c r="I87" s="579" t="s">
        <v>388</v>
      </c>
      <c r="J87" s="579" t="s">
        <v>388</v>
      </c>
      <c r="K87" s="579" t="s">
        <v>388</v>
      </c>
      <c r="L87" s="580" t="s">
        <v>388</v>
      </c>
      <c r="M87" s="581" t="s">
        <v>388</v>
      </c>
      <c r="N87" s="578" t="s">
        <v>388</v>
      </c>
      <c r="O87" s="580" t="s">
        <v>388</v>
      </c>
      <c r="P87" s="579" t="s">
        <v>388</v>
      </c>
      <c r="Q87" s="582"/>
      <c r="R87" s="583" t="e">
        <v>#VALUE!</v>
      </c>
      <c r="S87" s="382" t="e">
        <v>#VALUE!</v>
      </c>
      <c r="T87" s="382" t="e">
        <v>#VALUE!</v>
      </c>
      <c r="U87" s="382" t="e">
        <v>#VALUE!</v>
      </c>
      <c r="V87" s="584"/>
      <c r="W87" s="585" t="s">
        <v>388</v>
      </c>
      <c r="X87" s="380"/>
    </row>
    <row r="88" spans="1:24" hidden="1">
      <c r="A88" s="380"/>
      <c r="B88" s="576">
        <v>0</v>
      </c>
      <c r="C88" s="577" t="s">
        <v>388</v>
      </c>
      <c r="D88" s="578" t="s">
        <v>388</v>
      </c>
      <c r="E88" s="579" t="s">
        <v>388</v>
      </c>
      <c r="F88" s="579" t="s">
        <v>388</v>
      </c>
      <c r="G88" s="579" t="s">
        <v>388</v>
      </c>
      <c r="H88" s="579" t="s">
        <v>388</v>
      </c>
      <c r="I88" s="579" t="s">
        <v>388</v>
      </c>
      <c r="J88" s="579" t="s">
        <v>388</v>
      </c>
      <c r="K88" s="579" t="s">
        <v>388</v>
      </c>
      <c r="L88" s="580" t="s">
        <v>388</v>
      </c>
      <c r="M88" s="581" t="s">
        <v>388</v>
      </c>
      <c r="N88" s="578" t="s">
        <v>388</v>
      </c>
      <c r="O88" s="580" t="s">
        <v>388</v>
      </c>
      <c r="P88" s="579" t="s">
        <v>388</v>
      </c>
      <c r="Q88" s="582"/>
      <c r="R88" s="583" t="e">
        <v>#VALUE!</v>
      </c>
      <c r="S88" s="382" t="e">
        <v>#VALUE!</v>
      </c>
      <c r="T88" s="382" t="e">
        <v>#VALUE!</v>
      </c>
      <c r="U88" s="382" t="e">
        <v>#VALUE!</v>
      </c>
      <c r="V88" s="584"/>
      <c r="W88" s="585" t="s">
        <v>388</v>
      </c>
      <c r="X88" s="380"/>
    </row>
    <row r="89" spans="1:24" hidden="1">
      <c r="A89" s="380"/>
      <c r="B89" s="586">
        <v>0</v>
      </c>
      <c r="C89" s="587" t="s">
        <v>388</v>
      </c>
      <c r="D89" s="588" t="s">
        <v>388</v>
      </c>
      <c r="E89" s="589" t="s">
        <v>388</v>
      </c>
      <c r="F89" s="589" t="s">
        <v>388</v>
      </c>
      <c r="G89" s="589" t="s">
        <v>388</v>
      </c>
      <c r="H89" s="589" t="s">
        <v>388</v>
      </c>
      <c r="I89" s="589" t="s">
        <v>388</v>
      </c>
      <c r="J89" s="589" t="s">
        <v>388</v>
      </c>
      <c r="K89" s="589" t="s">
        <v>388</v>
      </c>
      <c r="L89" s="590" t="s">
        <v>388</v>
      </c>
      <c r="M89" s="591" t="s">
        <v>388</v>
      </c>
      <c r="N89" s="588" t="s">
        <v>388</v>
      </c>
      <c r="O89" s="590" t="s">
        <v>388</v>
      </c>
      <c r="P89" s="589" t="s">
        <v>388</v>
      </c>
      <c r="Q89" s="592"/>
      <c r="R89" s="593" t="e">
        <v>#VALUE!</v>
      </c>
      <c r="S89" s="594" t="e">
        <v>#VALUE!</v>
      </c>
      <c r="T89" s="594" t="e">
        <v>#VALUE!</v>
      </c>
      <c r="U89" s="594" t="e">
        <v>#VALUE!</v>
      </c>
      <c r="V89" s="595"/>
      <c r="W89" s="596" t="s">
        <v>388</v>
      </c>
      <c r="X89" s="380"/>
    </row>
    <row r="90" spans="1:24" hidden="1">
      <c r="A90" s="380"/>
      <c r="B90" s="563">
        <v>0</v>
      </c>
      <c r="C90" s="564" t="s">
        <v>388</v>
      </c>
      <c r="D90" s="565" t="s">
        <v>388</v>
      </c>
      <c r="E90" s="566" t="s">
        <v>388</v>
      </c>
      <c r="F90" s="566" t="s">
        <v>388</v>
      </c>
      <c r="G90" s="566" t="s">
        <v>388</v>
      </c>
      <c r="H90" s="566" t="s">
        <v>388</v>
      </c>
      <c r="I90" s="566" t="s">
        <v>388</v>
      </c>
      <c r="J90" s="566" t="s">
        <v>388</v>
      </c>
      <c r="K90" s="566" t="s">
        <v>388</v>
      </c>
      <c r="L90" s="567" t="s">
        <v>388</v>
      </c>
      <c r="M90" s="568" t="s">
        <v>388</v>
      </c>
      <c r="N90" s="565" t="s">
        <v>388</v>
      </c>
      <c r="O90" s="567" t="s">
        <v>388</v>
      </c>
      <c r="P90" s="566" t="s">
        <v>388</v>
      </c>
      <c r="Q90" s="569"/>
      <c r="R90" s="570" t="e">
        <v>#VALUE!</v>
      </c>
      <c r="S90" s="571" t="e">
        <v>#VALUE!</v>
      </c>
      <c r="T90" s="571" t="e">
        <v>#VALUE!</v>
      </c>
      <c r="U90" s="571" t="e">
        <v>#VALUE!</v>
      </c>
      <c r="V90" s="572"/>
      <c r="W90" s="573" t="s">
        <v>388</v>
      </c>
      <c r="X90" s="380"/>
    </row>
    <row r="91" spans="1:24" hidden="1">
      <c r="A91" s="380"/>
      <c r="B91" s="576">
        <v>0</v>
      </c>
      <c r="C91" s="577" t="s">
        <v>388</v>
      </c>
      <c r="D91" s="578" t="s">
        <v>388</v>
      </c>
      <c r="E91" s="579" t="s">
        <v>388</v>
      </c>
      <c r="F91" s="579" t="s">
        <v>388</v>
      </c>
      <c r="G91" s="579" t="s">
        <v>388</v>
      </c>
      <c r="H91" s="579" t="s">
        <v>388</v>
      </c>
      <c r="I91" s="579" t="s">
        <v>388</v>
      </c>
      <c r="J91" s="579" t="s">
        <v>388</v>
      </c>
      <c r="K91" s="579" t="s">
        <v>388</v>
      </c>
      <c r="L91" s="580" t="s">
        <v>388</v>
      </c>
      <c r="M91" s="581" t="s">
        <v>388</v>
      </c>
      <c r="N91" s="578" t="s">
        <v>388</v>
      </c>
      <c r="O91" s="580" t="s">
        <v>388</v>
      </c>
      <c r="P91" s="579" t="s">
        <v>388</v>
      </c>
      <c r="Q91" s="582"/>
      <c r="R91" s="583" t="e">
        <v>#VALUE!</v>
      </c>
      <c r="S91" s="382" t="e">
        <v>#VALUE!</v>
      </c>
      <c r="T91" s="382" t="e">
        <v>#VALUE!</v>
      </c>
      <c r="U91" s="382" t="e">
        <v>#VALUE!</v>
      </c>
      <c r="V91" s="584"/>
      <c r="W91" s="585" t="s">
        <v>388</v>
      </c>
      <c r="X91" s="380"/>
    </row>
    <row r="92" spans="1:24" hidden="1">
      <c r="A92" s="380"/>
      <c r="B92" s="576">
        <v>0</v>
      </c>
      <c r="C92" s="577" t="s">
        <v>388</v>
      </c>
      <c r="D92" s="578" t="s">
        <v>388</v>
      </c>
      <c r="E92" s="579" t="s">
        <v>388</v>
      </c>
      <c r="F92" s="579" t="s">
        <v>388</v>
      </c>
      <c r="G92" s="579" t="s">
        <v>388</v>
      </c>
      <c r="H92" s="579" t="s">
        <v>388</v>
      </c>
      <c r="I92" s="579" t="s">
        <v>388</v>
      </c>
      <c r="J92" s="579" t="s">
        <v>388</v>
      </c>
      <c r="K92" s="579" t="s">
        <v>388</v>
      </c>
      <c r="L92" s="580" t="s">
        <v>388</v>
      </c>
      <c r="M92" s="581" t="s">
        <v>388</v>
      </c>
      <c r="N92" s="578" t="s">
        <v>388</v>
      </c>
      <c r="O92" s="580" t="s">
        <v>388</v>
      </c>
      <c r="P92" s="579" t="s">
        <v>388</v>
      </c>
      <c r="Q92" s="582"/>
      <c r="R92" s="583" t="e">
        <v>#VALUE!</v>
      </c>
      <c r="S92" s="382" t="e">
        <v>#VALUE!</v>
      </c>
      <c r="T92" s="382" t="e">
        <v>#VALUE!</v>
      </c>
      <c r="U92" s="382" t="e">
        <v>#VALUE!</v>
      </c>
      <c r="V92" s="584"/>
      <c r="W92" s="585" t="s">
        <v>388</v>
      </c>
      <c r="X92" s="380"/>
    </row>
    <row r="93" spans="1:24" hidden="1">
      <c r="A93" s="380"/>
      <c r="B93" s="576">
        <v>0</v>
      </c>
      <c r="C93" s="577" t="s">
        <v>388</v>
      </c>
      <c r="D93" s="578" t="s">
        <v>388</v>
      </c>
      <c r="E93" s="579" t="s">
        <v>388</v>
      </c>
      <c r="F93" s="579" t="s">
        <v>388</v>
      </c>
      <c r="G93" s="579" t="s">
        <v>388</v>
      </c>
      <c r="H93" s="579" t="s">
        <v>388</v>
      </c>
      <c r="I93" s="579" t="s">
        <v>388</v>
      </c>
      <c r="J93" s="579" t="s">
        <v>388</v>
      </c>
      <c r="K93" s="579" t="s">
        <v>388</v>
      </c>
      <c r="L93" s="580" t="s">
        <v>388</v>
      </c>
      <c r="M93" s="581" t="s">
        <v>388</v>
      </c>
      <c r="N93" s="578" t="s">
        <v>388</v>
      </c>
      <c r="O93" s="580" t="s">
        <v>388</v>
      </c>
      <c r="P93" s="579" t="s">
        <v>388</v>
      </c>
      <c r="Q93" s="582"/>
      <c r="R93" s="583" t="e">
        <v>#VALUE!</v>
      </c>
      <c r="S93" s="382" t="e">
        <v>#VALUE!</v>
      </c>
      <c r="T93" s="382" t="e">
        <v>#VALUE!</v>
      </c>
      <c r="U93" s="382" t="e">
        <v>#VALUE!</v>
      </c>
      <c r="V93" s="584"/>
      <c r="W93" s="585" t="s">
        <v>388</v>
      </c>
      <c r="X93" s="380"/>
    </row>
    <row r="94" spans="1:24" hidden="1">
      <c r="A94" s="380"/>
      <c r="B94" s="586">
        <v>0</v>
      </c>
      <c r="C94" s="587" t="s">
        <v>388</v>
      </c>
      <c r="D94" s="588" t="s">
        <v>388</v>
      </c>
      <c r="E94" s="589" t="s">
        <v>388</v>
      </c>
      <c r="F94" s="589" t="s">
        <v>388</v>
      </c>
      <c r="G94" s="589" t="s">
        <v>388</v>
      </c>
      <c r="H94" s="589" t="s">
        <v>388</v>
      </c>
      <c r="I94" s="589" t="s">
        <v>388</v>
      </c>
      <c r="J94" s="589" t="s">
        <v>388</v>
      </c>
      <c r="K94" s="589" t="s">
        <v>388</v>
      </c>
      <c r="L94" s="590" t="s">
        <v>388</v>
      </c>
      <c r="M94" s="591" t="s">
        <v>388</v>
      </c>
      <c r="N94" s="588" t="s">
        <v>388</v>
      </c>
      <c r="O94" s="590" t="s">
        <v>388</v>
      </c>
      <c r="P94" s="589" t="s">
        <v>388</v>
      </c>
      <c r="Q94" s="592"/>
      <c r="R94" s="593" t="e">
        <v>#VALUE!</v>
      </c>
      <c r="S94" s="594" t="e">
        <v>#VALUE!</v>
      </c>
      <c r="T94" s="594" t="e">
        <v>#VALUE!</v>
      </c>
      <c r="U94" s="594" t="e">
        <v>#VALUE!</v>
      </c>
      <c r="V94" s="595"/>
      <c r="W94" s="596" t="s">
        <v>388</v>
      </c>
      <c r="X94" s="380"/>
    </row>
    <row r="95" spans="1:24" hidden="1">
      <c r="A95" s="380"/>
      <c r="B95" s="563">
        <v>0</v>
      </c>
      <c r="C95" s="564" t="s">
        <v>388</v>
      </c>
      <c r="D95" s="565" t="s">
        <v>388</v>
      </c>
      <c r="E95" s="566" t="s">
        <v>388</v>
      </c>
      <c r="F95" s="566" t="s">
        <v>388</v>
      </c>
      <c r="G95" s="566" t="s">
        <v>388</v>
      </c>
      <c r="H95" s="566" t="s">
        <v>388</v>
      </c>
      <c r="I95" s="566" t="s">
        <v>388</v>
      </c>
      <c r="J95" s="566" t="s">
        <v>388</v>
      </c>
      <c r="K95" s="566" t="s">
        <v>388</v>
      </c>
      <c r="L95" s="567" t="s">
        <v>388</v>
      </c>
      <c r="M95" s="568" t="s">
        <v>388</v>
      </c>
      <c r="N95" s="565" t="s">
        <v>388</v>
      </c>
      <c r="O95" s="567" t="s">
        <v>388</v>
      </c>
      <c r="P95" s="566" t="s">
        <v>388</v>
      </c>
      <c r="Q95" s="569"/>
      <c r="R95" s="570" t="e">
        <v>#VALUE!</v>
      </c>
      <c r="S95" s="571" t="e">
        <v>#VALUE!</v>
      </c>
      <c r="T95" s="571" t="e">
        <v>#VALUE!</v>
      </c>
      <c r="U95" s="571" t="e">
        <v>#VALUE!</v>
      </c>
      <c r="V95" s="572"/>
      <c r="W95" s="573" t="s">
        <v>388</v>
      </c>
      <c r="X95" s="380"/>
    </row>
    <row r="96" spans="1:24" hidden="1">
      <c r="A96" s="380"/>
      <c r="B96" s="576">
        <v>0</v>
      </c>
      <c r="C96" s="577" t="s">
        <v>388</v>
      </c>
      <c r="D96" s="578" t="s">
        <v>388</v>
      </c>
      <c r="E96" s="579" t="s">
        <v>388</v>
      </c>
      <c r="F96" s="579" t="s">
        <v>388</v>
      </c>
      <c r="G96" s="579" t="s">
        <v>388</v>
      </c>
      <c r="H96" s="579" t="s">
        <v>388</v>
      </c>
      <c r="I96" s="579" t="s">
        <v>388</v>
      </c>
      <c r="J96" s="579" t="s">
        <v>388</v>
      </c>
      <c r="K96" s="579" t="s">
        <v>388</v>
      </c>
      <c r="L96" s="580" t="s">
        <v>388</v>
      </c>
      <c r="M96" s="581" t="s">
        <v>388</v>
      </c>
      <c r="N96" s="578" t="s">
        <v>388</v>
      </c>
      <c r="O96" s="580" t="s">
        <v>388</v>
      </c>
      <c r="P96" s="579" t="s">
        <v>388</v>
      </c>
      <c r="Q96" s="582"/>
      <c r="R96" s="583" t="e">
        <v>#VALUE!</v>
      </c>
      <c r="S96" s="382" t="e">
        <v>#VALUE!</v>
      </c>
      <c r="T96" s="382" t="e">
        <v>#VALUE!</v>
      </c>
      <c r="U96" s="382" t="e">
        <v>#VALUE!</v>
      </c>
      <c r="V96" s="584"/>
      <c r="W96" s="585" t="s">
        <v>388</v>
      </c>
      <c r="X96" s="380"/>
    </row>
    <row r="97" spans="1:24" hidden="1">
      <c r="A97" s="380"/>
      <c r="B97" s="576">
        <v>0</v>
      </c>
      <c r="C97" s="577" t="s">
        <v>388</v>
      </c>
      <c r="D97" s="578" t="s">
        <v>388</v>
      </c>
      <c r="E97" s="579" t="s">
        <v>388</v>
      </c>
      <c r="F97" s="579" t="s">
        <v>388</v>
      </c>
      <c r="G97" s="579" t="s">
        <v>388</v>
      </c>
      <c r="H97" s="579" t="s">
        <v>388</v>
      </c>
      <c r="I97" s="579" t="s">
        <v>388</v>
      </c>
      <c r="J97" s="579" t="s">
        <v>388</v>
      </c>
      <c r="K97" s="579" t="s">
        <v>388</v>
      </c>
      <c r="L97" s="580" t="s">
        <v>388</v>
      </c>
      <c r="M97" s="581" t="s">
        <v>388</v>
      </c>
      <c r="N97" s="578" t="s">
        <v>388</v>
      </c>
      <c r="O97" s="580" t="s">
        <v>388</v>
      </c>
      <c r="P97" s="579" t="s">
        <v>388</v>
      </c>
      <c r="Q97" s="582"/>
      <c r="R97" s="583" t="e">
        <v>#VALUE!</v>
      </c>
      <c r="S97" s="382" t="e">
        <v>#VALUE!</v>
      </c>
      <c r="T97" s="382" t="e">
        <v>#VALUE!</v>
      </c>
      <c r="U97" s="382" t="e">
        <v>#VALUE!</v>
      </c>
      <c r="V97" s="584"/>
      <c r="W97" s="585" t="s">
        <v>388</v>
      </c>
      <c r="X97" s="380"/>
    </row>
    <row r="98" spans="1:24" hidden="1">
      <c r="A98" s="380"/>
      <c r="B98" s="576">
        <v>0</v>
      </c>
      <c r="C98" s="577" t="s">
        <v>388</v>
      </c>
      <c r="D98" s="578" t="s">
        <v>388</v>
      </c>
      <c r="E98" s="579" t="s">
        <v>388</v>
      </c>
      <c r="F98" s="579" t="s">
        <v>388</v>
      </c>
      <c r="G98" s="579" t="s">
        <v>388</v>
      </c>
      <c r="H98" s="579" t="s">
        <v>388</v>
      </c>
      <c r="I98" s="579" t="s">
        <v>388</v>
      </c>
      <c r="J98" s="579" t="s">
        <v>388</v>
      </c>
      <c r="K98" s="579" t="s">
        <v>388</v>
      </c>
      <c r="L98" s="580" t="s">
        <v>388</v>
      </c>
      <c r="M98" s="581" t="s">
        <v>388</v>
      </c>
      <c r="N98" s="578" t="s">
        <v>388</v>
      </c>
      <c r="O98" s="580" t="s">
        <v>388</v>
      </c>
      <c r="P98" s="579" t="s">
        <v>388</v>
      </c>
      <c r="Q98" s="582"/>
      <c r="R98" s="583" t="e">
        <v>#VALUE!</v>
      </c>
      <c r="S98" s="382" t="e">
        <v>#VALUE!</v>
      </c>
      <c r="T98" s="382" t="e">
        <v>#VALUE!</v>
      </c>
      <c r="U98" s="382" t="e">
        <v>#VALUE!</v>
      </c>
      <c r="V98" s="584"/>
      <c r="W98" s="585" t="s">
        <v>388</v>
      </c>
      <c r="X98" s="380"/>
    </row>
    <row r="99" spans="1:24" hidden="1">
      <c r="A99" s="380"/>
      <c r="B99" s="586">
        <v>0</v>
      </c>
      <c r="C99" s="587" t="s">
        <v>388</v>
      </c>
      <c r="D99" s="588" t="s">
        <v>388</v>
      </c>
      <c r="E99" s="589" t="s">
        <v>388</v>
      </c>
      <c r="F99" s="589" t="s">
        <v>388</v>
      </c>
      <c r="G99" s="589" t="s">
        <v>388</v>
      </c>
      <c r="H99" s="589" t="s">
        <v>388</v>
      </c>
      <c r="I99" s="589" t="s">
        <v>388</v>
      </c>
      <c r="J99" s="589" t="s">
        <v>388</v>
      </c>
      <c r="K99" s="589" t="s">
        <v>388</v>
      </c>
      <c r="L99" s="590" t="s">
        <v>388</v>
      </c>
      <c r="M99" s="591" t="s">
        <v>388</v>
      </c>
      <c r="N99" s="588" t="s">
        <v>388</v>
      </c>
      <c r="O99" s="590" t="s">
        <v>388</v>
      </c>
      <c r="P99" s="589" t="s">
        <v>388</v>
      </c>
      <c r="Q99" s="592"/>
      <c r="R99" s="593" t="e">
        <v>#VALUE!</v>
      </c>
      <c r="S99" s="594" t="e">
        <v>#VALUE!</v>
      </c>
      <c r="T99" s="594" t="e">
        <v>#VALUE!</v>
      </c>
      <c r="U99" s="594" t="e">
        <v>#VALUE!</v>
      </c>
      <c r="V99" s="595"/>
      <c r="W99" s="596" t="s">
        <v>388</v>
      </c>
      <c r="X99" s="380"/>
    </row>
    <row r="100" spans="1:24" hidden="1">
      <c r="A100" s="380"/>
      <c r="B100" s="563">
        <v>0</v>
      </c>
      <c r="C100" s="564" t="s">
        <v>388</v>
      </c>
      <c r="D100" s="565" t="s">
        <v>388</v>
      </c>
      <c r="E100" s="566" t="s">
        <v>388</v>
      </c>
      <c r="F100" s="566" t="s">
        <v>388</v>
      </c>
      <c r="G100" s="566" t="s">
        <v>388</v>
      </c>
      <c r="H100" s="566" t="s">
        <v>388</v>
      </c>
      <c r="I100" s="566" t="s">
        <v>388</v>
      </c>
      <c r="J100" s="566" t="s">
        <v>388</v>
      </c>
      <c r="K100" s="566" t="s">
        <v>388</v>
      </c>
      <c r="L100" s="567" t="s">
        <v>388</v>
      </c>
      <c r="M100" s="568" t="s">
        <v>388</v>
      </c>
      <c r="N100" s="565" t="s">
        <v>388</v>
      </c>
      <c r="O100" s="567" t="s">
        <v>388</v>
      </c>
      <c r="P100" s="566" t="s">
        <v>388</v>
      </c>
      <c r="Q100" s="569"/>
      <c r="R100" s="570" t="e">
        <v>#VALUE!</v>
      </c>
      <c r="S100" s="571" t="e">
        <v>#VALUE!</v>
      </c>
      <c r="T100" s="571" t="e">
        <v>#VALUE!</v>
      </c>
      <c r="U100" s="571" t="e">
        <v>#VALUE!</v>
      </c>
      <c r="V100" s="572"/>
      <c r="W100" s="573" t="s">
        <v>388</v>
      </c>
      <c r="X100" s="380"/>
    </row>
    <row r="101" spans="1:24" hidden="1">
      <c r="A101" s="380"/>
      <c r="B101" s="576">
        <v>0</v>
      </c>
      <c r="C101" s="577" t="s">
        <v>388</v>
      </c>
      <c r="D101" s="578" t="s">
        <v>388</v>
      </c>
      <c r="E101" s="579" t="s">
        <v>388</v>
      </c>
      <c r="F101" s="579" t="s">
        <v>388</v>
      </c>
      <c r="G101" s="579" t="s">
        <v>388</v>
      </c>
      <c r="H101" s="579" t="s">
        <v>388</v>
      </c>
      <c r="I101" s="579" t="s">
        <v>388</v>
      </c>
      <c r="J101" s="579" t="s">
        <v>388</v>
      </c>
      <c r="K101" s="579" t="s">
        <v>388</v>
      </c>
      <c r="L101" s="580" t="s">
        <v>388</v>
      </c>
      <c r="M101" s="581" t="s">
        <v>388</v>
      </c>
      <c r="N101" s="578" t="s">
        <v>388</v>
      </c>
      <c r="O101" s="580" t="s">
        <v>388</v>
      </c>
      <c r="P101" s="579" t="s">
        <v>388</v>
      </c>
      <c r="Q101" s="582"/>
      <c r="R101" s="583" t="e">
        <v>#VALUE!</v>
      </c>
      <c r="S101" s="382" t="e">
        <v>#VALUE!</v>
      </c>
      <c r="T101" s="382" t="e">
        <v>#VALUE!</v>
      </c>
      <c r="U101" s="382" t="e">
        <v>#VALUE!</v>
      </c>
      <c r="V101" s="584"/>
      <c r="W101" s="585" t="s">
        <v>388</v>
      </c>
      <c r="X101" s="380"/>
    </row>
    <row r="102" spans="1:24" hidden="1">
      <c r="A102" s="380"/>
      <c r="B102" s="576">
        <v>0</v>
      </c>
      <c r="C102" s="577" t="s">
        <v>388</v>
      </c>
      <c r="D102" s="578" t="s">
        <v>388</v>
      </c>
      <c r="E102" s="579" t="s">
        <v>388</v>
      </c>
      <c r="F102" s="579" t="s">
        <v>388</v>
      </c>
      <c r="G102" s="579" t="s">
        <v>388</v>
      </c>
      <c r="H102" s="579" t="s">
        <v>388</v>
      </c>
      <c r="I102" s="579" t="s">
        <v>388</v>
      </c>
      <c r="J102" s="579" t="s">
        <v>388</v>
      </c>
      <c r="K102" s="579" t="s">
        <v>388</v>
      </c>
      <c r="L102" s="580" t="s">
        <v>388</v>
      </c>
      <c r="M102" s="581" t="s">
        <v>388</v>
      </c>
      <c r="N102" s="578" t="s">
        <v>388</v>
      </c>
      <c r="O102" s="580" t="s">
        <v>388</v>
      </c>
      <c r="P102" s="579" t="s">
        <v>388</v>
      </c>
      <c r="Q102" s="582"/>
      <c r="R102" s="583" t="e">
        <v>#VALUE!</v>
      </c>
      <c r="S102" s="382" t="e">
        <v>#VALUE!</v>
      </c>
      <c r="T102" s="382" t="e">
        <v>#VALUE!</v>
      </c>
      <c r="U102" s="382" t="e">
        <v>#VALUE!</v>
      </c>
      <c r="V102" s="584"/>
      <c r="W102" s="585" t="s">
        <v>388</v>
      </c>
      <c r="X102" s="380"/>
    </row>
    <row r="103" spans="1:24" hidden="1">
      <c r="A103" s="380"/>
      <c r="B103" s="576">
        <v>0</v>
      </c>
      <c r="C103" s="577" t="s">
        <v>388</v>
      </c>
      <c r="D103" s="578" t="s">
        <v>388</v>
      </c>
      <c r="E103" s="579" t="s">
        <v>388</v>
      </c>
      <c r="F103" s="579" t="s">
        <v>388</v>
      </c>
      <c r="G103" s="579" t="s">
        <v>388</v>
      </c>
      <c r="H103" s="579" t="s">
        <v>388</v>
      </c>
      <c r="I103" s="579" t="s">
        <v>388</v>
      </c>
      <c r="J103" s="579" t="s">
        <v>388</v>
      </c>
      <c r="K103" s="579" t="s">
        <v>388</v>
      </c>
      <c r="L103" s="580" t="s">
        <v>388</v>
      </c>
      <c r="M103" s="581" t="s">
        <v>388</v>
      </c>
      <c r="N103" s="578" t="s">
        <v>388</v>
      </c>
      <c r="O103" s="580" t="s">
        <v>388</v>
      </c>
      <c r="P103" s="579" t="s">
        <v>388</v>
      </c>
      <c r="Q103" s="582"/>
      <c r="R103" s="583" t="e">
        <v>#VALUE!</v>
      </c>
      <c r="S103" s="382" t="e">
        <v>#VALUE!</v>
      </c>
      <c r="T103" s="382" t="e">
        <v>#VALUE!</v>
      </c>
      <c r="U103" s="382" t="e">
        <v>#VALUE!</v>
      </c>
      <c r="V103" s="584"/>
      <c r="W103" s="585" t="s">
        <v>388</v>
      </c>
      <c r="X103" s="380"/>
    </row>
    <row r="104" spans="1:24" hidden="1">
      <c r="A104" s="380"/>
      <c r="B104" s="586">
        <v>0</v>
      </c>
      <c r="C104" s="587" t="s">
        <v>388</v>
      </c>
      <c r="D104" s="588" t="s">
        <v>388</v>
      </c>
      <c r="E104" s="589" t="s">
        <v>388</v>
      </c>
      <c r="F104" s="589" t="s">
        <v>388</v>
      </c>
      <c r="G104" s="589" t="s">
        <v>388</v>
      </c>
      <c r="H104" s="589" t="s">
        <v>388</v>
      </c>
      <c r="I104" s="589" t="s">
        <v>388</v>
      </c>
      <c r="J104" s="589" t="s">
        <v>388</v>
      </c>
      <c r="K104" s="589" t="s">
        <v>388</v>
      </c>
      <c r="L104" s="590" t="s">
        <v>388</v>
      </c>
      <c r="M104" s="591" t="s">
        <v>388</v>
      </c>
      <c r="N104" s="588" t="s">
        <v>388</v>
      </c>
      <c r="O104" s="590" t="s">
        <v>388</v>
      </c>
      <c r="P104" s="589" t="s">
        <v>388</v>
      </c>
      <c r="Q104" s="592"/>
      <c r="R104" s="593" t="e">
        <v>#VALUE!</v>
      </c>
      <c r="S104" s="594" t="e">
        <v>#VALUE!</v>
      </c>
      <c r="T104" s="594" t="e">
        <v>#VALUE!</v>
      </c>
      <c r="U104" s="594" t="e">
        <v>#VALUE!</v>
      </c>
      <c r="V104" s="595"/>
      <c r="W104" s="596" t="s">
        <v>388</v>
      </c>
      <c r="X104" s="380"/>
    </row>
    <row r="105" spans="1:24" hidden="1">
      <c r="A105" s="380"/>
      <c r="B105" s="598"/>
      <c r="C105" s="599"/>
      <c r="D105" s="566"/>
      <c r="E105" s="566"/>
      <c r="F105" s="566"/>
      <c r="G105" s="566"/>
      <c r="H105" s="566"/>
      <c r="I105" s="566"/>
      <c r="J105" s="566"/>
      <c r="K105" s="566"/>
      <c r="L105" s="567"/>
      <c r="M105" s="566"/>
      <c r="N105" s="566"/>
      <c r="O105" s="567"/>
      <c r="P105" s="566"/>
      <c r="Q105" s="598"/>
      <c r="R105" s="571"/>
      <c r="S105" s="571"/>
      <c r="T105" s="571"/>
      <c r="U105" s="571"/>
      <c r="V105" s="600"/>
      <c r="W105" s="601"/>
      <c r="X105" s="380"/>
    </row>
    <row r="106" spans="1:24" hidden="1">
      <c r="A106" s="380"/>
      <c r="B106" s="606" t="s">
        <v>338</v>
      </c>
      <c r="C106" s="527"/>
      <c r="D106" s="579"/>
      <c r="E106" s="579"/>
      <c r="F106" s="579"/>
      <c r="G106" s="579"/>
      <c r="H106" s="579"/>
      <c r="I106" s="579"/>
      <c r="J106" s="579"/>
      <c r="K106" s="579"/>
      <c r="L106" s="580"/>
      <c r="M106" s="579"/>
      <c r="N106" s="579"/>
      <c r="O106" s="580"/>
      <c r="P106" s="579"/>
      <c r="Q106" s="374"/>
      <c r="R106" s="382"/>
      <c r="S106" s="382"/>
      <c r="T106" s="382"/>
      <c r="U106" s="382"/>
      <c r="V106" s="604"/>
      <c r="W106" s="605"/>
      <c r="X106" s="380"/>
    </row>
    <row r="107" spans="1:24" hidden="1">
      <c r="A107" s="380"/>
      <c r="B107" s="380"/>
      <c r="C107" s="609"/>
      <c r="D107" s="579"/>
      <c r="E107" s="579"/>
      <c r="F107" s="579"/>
      <c r="G107" s="579"/>
      <c r="H107" s="579"/>
      <c r="I107" s="579"/>
      <c r="J107" s="579"/>
      <c r="K107" s="579"/>
      <c r="L107" s="580"/>
      <c r="M107" s="579"/>
      <c r="N107" s="579"/>
      <c r="O107" s="580"/>
      <c r="P107" s="579"/>
      <c r="Q107" s="374"/>
      <c r="R107" s="382"/>
      <c r="S107" s="382"/>
      <c r="T107" s="382"/>
      <c r="U107" s="382"/>
      <c r="V107" s="604"/>
      <c r="W107" s="605"/>
      <c r="X107" s="380"/>
    </row>
    <row r="108" spans="1:24" hidden="1">
      <c r="A108" s="380"/>
      <c r="B108" s="634" t="s">
        <v>339</v>
      </c>
      <c r="C108" s="523"/>
      <c r="D108" s="579"/>
      <c r="E108" s="579"/>
      <c r="F108" s="579"/>
      <c r="G108" s="579"/>
      <c r="H108" s="579"/>
      <c r="I108" s="579"/>
      <c r="J108" s="579"/>
      <c r="K108" s="579"/>
      <c r="L108" s="580"/>
      <c r="M108" s="579"/>
      <c r="N108" s="579"/>
      <c r="O108" s="580"/>
      <c r="P108" s="579"/>
      <c r="Q108" s="374"/>
      <c r="R108" s="382"/>
      <c r="S108" s="382"/>
      <c r="T108" s="382"/>
      <c r="U108" s="382"/>
      <c r="V108" s="604"/>
      <c r="W108" s="605"/>
      <c r="X108" s="380"/>
    </row>
    <row r="109" spans="1:24" hidden="1">
      <c r="A109" s="380"/>
      <c r="B109" s="634" t="s">
        <v>340</v>
      </c>
      <c r="C109" s="618"/>
      <c r="D109" s="579"/>
      <c r="E109" s="579"/>
      <c r="F109" s="579"/>
      <c r="G109" s="579"/>
      <c r="H109" s="579"/>
      <c r="I109" s="579"/>
      <c r="J109" s="579"/>
      <c r="K109" s="579"/>
      <c r="L109" s="580"/>
      <c r="M109" s="579"/>
      <c r="N109" s="579"/>
      <c r="O109" s="580"/>
      <c r="P109" s="579"/>
      <c r="Q109" s="374"/>
      <c r="R109" s="382"/>
      <c r="S109" s="382"/>
      <c r="T109" s="382"/>
      <c r="U109" s="382"/>
      <c r="V109" s="604"/>
      <c r="W109" s="605"/>
      <c r="X109" s="380"/>
    </row>
    <row r="110" spans="1:24" hidden="1">
      <c r="A110" s="380"/>
      <c r="B110" s="634" t="s">
        <v>497</v>
      </c>
      <c r="C110" s="635"/>
      <c r="D110" s="579"/>
      <c r="E110" s="579"/>
      <c r="F110" s="579"/>
      <c r="G110" s="579"/>
      <c r="H110" s="579"/>
      <c r="I110" s="579"/>
      <c r="J110" s="579"/>
      <c r="K110" s="579"/>
      <c r="L110" s="580"/>
      <c r="M110" s="579"/>
      <c r="N110" s="579"/>
      <c r="O110" s="580"/>
      <c r="P110" s="579"/>
      <c r="Q110" s="374"/>
      <c r="R110" s="382"/>
      <c r="S110" s="382"/>
      <c r="T110" s="382"/>
      <c r="U110" s="382"/>
      <c r="V110" s="604"/>
      <c r="W110" s="605"/>
      <c r="X110" s="380"/>
    </row>
    <row r="111" spans="1:24" hidden="1">
      <c r="A111" s="380"/>
      <c r="B111" s="634" t="s">
        <v>341</v>
      </c>
      <c r="C111" s="635"/>
      <c r="D111" s="579"/>
      <c r="E111" s="579"/>
      <c r="F111" s="579"/>
      <c r="G111" s="579"/>
      <c r="H111" s="579"/>
      <c r="I111" s="579"/>
      <c r="J111" s="579"/>
      <c r="K111" s="579"/>
      <c r="L111" s="580"/>
      <c r="M111" s="579"/>
      <c r="N111" s="579"/>
      <c r="O111" s="580"/>
      <c r="P111" s="579"/>
      <c r="Q111" s="374"/>
      <c r="R111" s="382"/>
      <c r="S111" s="382"/>
      <c r="T111" s="382"/>
      <c r="U111" s="382"/>
      <c r="V111" s="604"/>
      <c r="W111" s="605"/>
      <c r="X111" s="380"/>
    </row>
    <row r="112" spans="1:24" hidden="1">
      <c r="A112" s="380"/>
      <c r="B112" s="634" t="s">
        <v>498</v>
      </c>
      <c r="C112" s="635"/>
      <c r="D112" s="579"/>
      <c r="E112" s="579"/>
      <c r="F112" s="579"/>
      <c r="G112" s="579"/>
      <c r="H112" s="579"/>
      <c r="I112" s="579"/>
      <c r="J112" s="579"/>
      <c r="K112" s="579"/>
      <c r="L112" s="580"/>
      <c r="M112" s="579"/>
      <c r="N112" s="579"/>
      <c r="O112" s="580"/>
      <c r="P112" s="579"/>
      <c r="Q112" s="374"/>
      <c r="R112" s="382"/>
      <c r="S112" s="382"/>
      <c r="T112" s="382"/>
      <c r="U112" s="382"/>
      <c r="V112" s="604"/>
      <c r="W112" s="605"/>
      <c r="X112" s="380"/>
    </row>
    <row r="113" spans="1:24" hidden="1">
      <c r="A113" s="380"/>
      <c r="B113" s="634" t="s">
        <v>499</v>
      </c>
      <c r="C113" s="635"/>
      <c r="D113" s="579"/>
      <c r="E113" s="579"/>
      <c r="F113" s="579"/>
      <c r="G113" s="579"/>
      <c r="H113" s="579"/>
      <c r="I113" s="579"/>
      <c r="J113" s="579"/>
      <c r="K113" s="579"/>
      <c r="L113" s="580"/>
      <c r="M113" s="579"/>
      <c r="N113" s="579"/>
      <c r="O113" s="580"/>
      <c r="P113" s="579"/>
      <c r="Q113" s="374"/>
      <c r="R113" s="382"/>
      <c r="S113" s="382"/>
      <c r="T113" s="382"/>
      <c r="U113" s="382"/>
      <c r="V113" s="604"/>
      <c r="W113" s="605"/>
      <c r="X113" s="380"/>
    </row>
    <row r="114" spans="1:24" hidden="1">
      <c r="A114" s="380"/>
      <c r="B114" s="634" t="s">
        <v>500</v>
      </c>
      <c r="C114" s="635"/>
      <c r="D114" s="579"/>
      <c r="E114" s="579"/>
      <c r="F114" s="579"/>
      <c r="G114" s="579"/>
      <c r="H114" s="579"/>
      <c r="I114" s="579"/>
      <c r="J114" s="579"/>
      <c r="K114" s="579"/>
      <c r="L114" s="580"/>
      <c r="M114" s="579"/>
      <c r="N114" s="579"/>
      <c r="O114" s="580"/>
      <c r="P114" s="579"/>
      <c r="Q114" s="374"/>
      <c r="R114" s="382"/>
      <c r="S114" s="382"/>
      <c r="T114" s="382"/>
      <c r="U114" s="382"/>
      <c r="V114" s="604"/>
      <c r="W114" s="605"/>
      <c r="X114" s="380"/>
    </row>
    <row r="115" spans="1:24" hidden="1">
      <c r="A115" s="380"/>
      <c r="B115" s="634" t="s">
        <v>212</v>
      </c>
      <c r="C115" s="527"/>
      <c r="D115" s="579"/>
      <c r="E115" s="579"/>
      <c r="F115" s="579"/>
      <c r="G115" s="579"/>
      <c r="H115" s="579"/>
      <c r="I115" s="579"/>
      <c r="J115" s="579"/>
      <c r="K115" s="579"/>
      <c r="L115" s="580"/>
      <c r="M115" s="579"/>
      <c r="N115" s="579"/>
      <c r="O115" s="580"/>
      <c r="P115" s="579"/>
      <c r="Q115" s="374"/>
      <c r="R115" s="382"/>
      <c r="S115" s="382"/>
      <c r="T115" s="382"/>
      <c r="U115" s="382"/>
      <c r="V115" s="604"/>
      <c r="W115" s="605"/>
      <c r="X115" s="380"/>
    </row>
    <row r="116" spans="1:24" hidden="1">
      <c r="A116" s="380"/>
      <c r="C116" s="527"/>
      <c r="D116" s="579"/>
      <c r="E116" s="579"/>
      <c r="F116" s="579"/>
      <c r="G116" s="579"/>
      <c r="H116" s="579"/>
      <c r="I116" s="579"/>
      <c r="J116" s="579"/>
      <c r="K116" s="579"/>
      <c r="L116" s="580"/>
      <c r="M116" s="579"/>
      <c r="N116" s="579"/>
      <c r="O116" s="580"/>
      <c r="P116" s="579"/>
      <c r="Q116" s="374"/>
      <c r="R116" s="382"/>
      <c r="S116" s="382"/>
      <c r="T116" s="382"/>
      <c r="U116" s="382"/>
      <c r="V116" s="604"/>
      <c r="W116" s="605"/>
      <c r="X116" s="380"/>
    </row>
    <row r="117" spans="1:24" hidden="1">
      <c r="A117" s="380"/>
      <c r="B117" s="608" t="s">
        <v>334</v>
      </c>
      <c r="C117" s="609"/>
      <c r="D117" s="579"/>
      <c r="E117" s="579"/>
      <c r="F117" s="579"/>
      <c r="G117" s="579"/>
      <c r="H117" s="579"/>
      <c r="I117" s="579"/>
      <c r="J117" s="579"/>
      <c r="K117" s="579"/>
      <c r="L117" s="580"/>
      <c r="M117" s="579"/>
      <c r="N117" s="579"/>
      <c r="O117" s="580"/>
      <c r="P117" s="579"/>
      <c r="Q117" s="374"/>
      <c r="R117" s="382"/>
      <c r="S117" s="382"/>
      <c r="T117" s="382"/>
      <c r="U117" s="382"/>
      <c r="V117" s="604"/>
      <c r="W117" s="605"/>
      <c r="X117" s="380"/>
    </row>
    <row r="118" spans="1:24" hidden="1">
      <c r="A118" s="380"/>
      <c r="B118" s="606" t="e">
        <v>#N/A</v>
      </c>
      <c r="C118" s="523"/>
      <c r="D118" s="579"/>
      <c r="E118" s="579"/>
      <c r="F118" s="579"/>
      <c r="G118" s="579"/>
      <c r="H118" s="579"/>
      <c r="I118" s="579"/>
      <c r="J118" s="579"/>
      <c r="K118" s="579"/>
      <c r="L118" s="580"/>
      <c r="M118" s="579"/>
      <c r="N118" s="579"/>
      <c r="O118" s="580"/>
      <c r="P118" s="579"/>
      <c r="Q118" s="374"/>
      <c r="R118" s="382"/>
      <c r="S118" s="382"/>
      <c r="T118" s="382"/>
      <c r="U118" s="382"/>
      <c r="V118" s="604"/>
      <c r="W118" s="605"/>
      <c r="X118" s="380"/>
    </row>
    <row r="119" spans="1:24" hidden="1">
      <c r="A119" s="380"/>
      <c r="B119" s="608" t="s">
        <v>342</v>
      </c>
      <c r="C119" s="523"/>
      <c r="D119" s="380"/>
      <c r="E119" s="380"/>
      <c r="F119" s="380"/>
      <c r="G119" s="579"/>
      <c r="H119" s="579"/>
      <c r="I119" s="579"/>
      <c r="J119" s="579"/>
      <c r="K119" s="579"/>
      <c r="L119" s="380"/>
      <c r="M119" s="607"/>
      <c r="N119" s="579"/>
      <c r="O119" s="580"/>
      <c r="P119" s="579"/>
      <c r="Q119" s="374"/>
      <c r="R119" s="382"/>
      <c r="S119" s="382"/>
      <c r="T119" s="382"/>
      <c r="U119" s="382"/>
      <c r="V119" s="604"/>
      <c r="W119" s="605"/>
      <c r="X119" s="380"/>
    </row>
    <row r="120" spans="1:24" hidden="1">
      <c r="A120" s="380"/>
      <c r="B120" s="380"/>
      <c r="C120" s="609"/>
      <c r="D120" s="380"/>
      <c r="E120" s="380"/>
      <c r="F120" s="380"/>
      <c r="G120" s="579"/>
      <c r="H120" s="579"/>
      <c r="I120" s="579"/>
      <c r="J120" s="579"/>
      <c r="K120" s="579"/>
      <c r="L120" s="580"/>
      <c r="M120" s="579"/>
      <c r="N120" s="579"/>
      <c r="O120" s="580"/>
      <c r="P120" s="579"/>
      <c r="Q120" s="374"/>
      <c r="R120" s="382"/>
      <c r="S120" s="382"/>
      <c r="T120" s="382"/>
      <c r="U120" s="382"/>
      <c r="V120" s="604"/>
      <c r="W120" s="605"/>
      <c r="X120" s="380"/>
    </row>
    <row r="121" spans="1:24" hidden="1">
      <c r="A121" s="380"/>
      <c r="B121" s="606" t="s">
        <v>336</v>
      </c>
      <c r="C121" s="620"/>
      <c r="D121" s="380"/>
      <c r="E121" s="380"/>
      <c r="F121" s="380"/>
      <c r="G121" s="380"/>
      <c r="H121" s="380"/>
      <c r="I121" s="380"/>
      <c r="J121" s="380"/>
      <c r="K121" s="380"/>
      <c r="L121" s="380"/>
      <c r="M121" s="380"/>
      <c r="N121" s="380"/>
      <c r="O121" s="380"/>
      <c r="P121" s="380"/>
      <c r="Q121" s="380"/>
      <c r="R121" s="524"/>
      <c r="S121" s="524"/>
      <c r="T121" s="524"/>
      <c r="U121" s="524"/>
      <c r="V121" s="380"/>
      <c r="W121" s="380"/>
      <c r="X121" s="380"/>
    </row>
    <row r="122" spans="1:24" hidden="1">
      <c r="A122" s="380"/>
      <c r="B122" s="371" t="s">
        <v>502</v>
      </c>
      <c r="C122" s="523"/>
      <c r="D122" s="380"/>
      <c r="E122" s="380"/>
      <c r="F122" s="380"/>
      <c r="G122" s="380"/>
      <c r="H122" s="380"/>
      <c r="I122" s="380"/>
      <c r="J122" s="380"/>
      <c r="K122" s="380"/>
      <c r="L122" s="380"/>
      <c r="M122" s="380"/>
      <c r="N122" s="380"/>
      <c r="O122" s="380"/>
      <c r="P122" s="380"/>
      <c r="Q122" s="380"/>
      <c r="R122" s="524"/>
      <c r="S122" s="524"/>
      <c r="T122" s="524"/>
      <c r="U122" s="524"/>
      <c r="V122" s="380"/>
      <c r="W122" s="380"/>
      <c r="X122" s="380"/>
    </row>
    <row r="123" spans="1:24" hidden="1">
      <c r="A123" s="380"/>
      <c r="B123" s="380"/>
      <c r="C123" s="611"/>
      <c r="D123" s="380"/>
      <c r="E123" s="380"/>
      <c r="F123" s="380"/>
      <c r="G123" s="380"/>
      <c r="H123" s="380"/>
      <c r="I123" s="380"/>
      <c r="J123" s="380"/>
      <c r="K123" s="380"/>
      <c r="L123" s="380"/>
      <c r="M123" s="380"/>
      <c r="N123" s="380"/>
      <c r="O123" s="380"/>
      <c r="P123" s="380"/>
      <c r="Q123" s="380"/>
      <c r="R123" s="524"/>
      <c r="S123" s="524"/>
      <c r="T123" s="524"/>
      <c r="U123" s="524"/>
      <c r="V123" s="380"/>
      <c r="W123" s="380"/>
      <c r="X123" s="380"/>
    </row>
    <row r="124" spans="1:24" hidden="1">
      <c r="A124" s="380"/>
      <c r="B124" s="610" t="s">
        <v>432</v>
      </c>
      <c r="C124" s="612"/>
      <c r="D124" s="380"/>
      <c r="E124" s="380"/>
      <c r="F124" s="380"/>
      <c r="G124" s="380"/>
      <c r="H124" s="380"/>
      <c r="I124" s="380"/>
      <c r="J124" s="380"/>
      <c r="K124" s="380"/>
      <c r="L124" s="380"/>
      <c r="M124" s="380"/>
      <c r="N124" s="380"/>
      <c r="O124" s="380"/>
      <c r="P124" s="380"/>
      <c r="Q124" s="380"/>
      <c r="R124" s="524"/>
      <c r="S124" s="524"/>
      <c r="T124" s="524"/>
      <c r="U124" s="524"/>
      <c r="V124" s="380"/>
      <c r="W124" s="380"/>
      <c r="X124" s="380"/>
    </row>
    <row r="125" spans="1:24" hidden="1">
      <c r="A125" s="380"/>
      <c r="B125" s="610" t="s">
        <v>125</v>
      </c>
      <c r="C125" s="612"/>
      <c r="D125" s="380"/>
      <c r="E125" s="380"/>
      <c r="F125" s="380"/>
      <c r="G125" s="380"/>
      <c r="H125" s="380"/>
      <c r="I125" s="380"/>
      <c r="J125" s="380"/>
      <c r="K125" s="380"/>
      <c r="L125" s="380"/>
      <c r="M125" s="380"/>
      <c r="N125" s="380"/>
      <c r="O125" s="380"/>
      <c r="P125" s="380"/>
      <c r="Q125" s="380"/>
      <c r="R125" s="524"/>
      <c r="S125" s="524"/>
      <c r="T125" s="524"/>
      <c r="U125" s="524"/>
      <c r="V125" s="380"/>
      <c r="W125" s="380"/>
      <c r="X125" s="380"/>
    </row>
    <row r="126" spans="1:24" hidden="1">
      <c r="A126" s="380"/>
      <c r="B126" s="610" t="s">
        <v>126</v>
      </c>
      <c r="C126" s="612"/>
      <c r="D126" s="380"/>
      <c r="E126" s="380"/>
      <c r="F126" s="380"/>
      <c r="G126" s="380"/>
      <c r="H126" s="380"/>
      <c r="I126" s="380"/>
      <c r="J126" s="380"/>
      <c r="K126" s="380"/>
      <c r="L126" s="380"/>
      <c r="M126" s="380"/>
      <c r="N126" s="380"/>
      <c r="O126" s="380"/>
      <c r="P126" s="380"/>
      <c r="Q126" s="380"/>
      <c r="R126" s="524"/>
      <c r="S126" s="524"/>
      <c r="T126" s="524"/>
      <c r="U126" s="524"/>
      <c r="V126" s="380"/>
      <c r="W126" s="380"/>
      <c r="X126" s="380"/>
    </row>
    <row r="127" spans="1:24" hidden="1">
      <c r="A127" s="380"/>
      <c r="B127" s="610" t="s">
        <v>127</v>
      </c>
      <c r="C127" s="612"/>
      <c r="D127" s="380"/>
      <c r="E127" s="380"/>
      <c r="F127" s="380"/>
      <c r="G127" s="380"/>
      <c r="H127" s="380"/>
      <c r="I127" s="380"/>
      <c r="J127" s="380"/>
      <c r="K127" s="380"/>
      <c r="L127" s="380"/>
      <c r="M127" s="380"/>
      <c r="N127" s="613"/>
      <c r="O127" s="613"/>
      <c r="P127" s="613"/>
      <c r="Q127" s="614"/>
      <c r="R127" s="615"/>
      <c r="S127" s="524"/>
      <c r="T127" s="524"/>
      <c r="U127" s="524"/>
      <c r="V127" s="380"/>
      <c r="W127" s="380"/>
      <c r="X127" s="616"/>
    </row>
    <row r="128" spans="1:24" hidden="1">
      <c r="A128" s="380"/>
      <c r="B128" s="610" t="s">
        <v>128</v>
      </c>
      <c r="C128" s="617"/>
      <c r="D128" s="380"/>
      <c r="E128" s="380"/>
      <c r="F128" s="380"/>
      <c r="G128" s="380"/>
      <c r="H128" s="380"/>
      <c r="I128" s="380"/>
      <c r="J128" s="380"/>
      <c r="K128" s="380"/>
      <c r="L128" s="380"/>
      <c r="M128" s="380"/>
      <c r="N128" s="380"/>
      <c r="O128" s="380"/>
      <c r="P128" s="380"/>
      <c r="Q128" s="380"/>
      <c r="R128" s="524"/>
      <c r="S128" s="524"/>
      <c r="T128" s="524"/>
      <c r="U128" s="524"/>
      <c r="V128" s="380"/>
      <c r="W128" s="380"/>
      <c r="X128" s="380"/>
    </row>
    <row r="129" spans="1:24" hidden="1">
      <c r="A129" s="380"/>
      <c r="B129" s="610" t="s">
        <v>433</v>
      </c>
      <c r="C129" s="618"/>
      <c r="D129" s="380"/>
      <c r="E129" s="380"/>
      <c r="F129" s="380"/>
      <c r="G129" s="380"/>
      <c r="H129" s="380"/>
      <c r="I129" s="380"/>
      <c r="J129" s="380"/>
      <c r="K129" s="380"/>
      <c r="L129" s="380"/>
      <c r="M129" s="380"/>
      <c r="N129" s="380"/>
      <c r="O129" s="380"/>
      <c r="P129" s="380"/>
      <c r="Q129" s="380"/>
      <c r="R129" s="524"/>
      <c r="S129" s="524"/>
      <c r="T129" s="524"/>
      <c r="U129" s="524"/>
      <c r="V129" s="380"/>
      <c r="W129" s="380"/>
      <c r="X129" s="380"/>
    </row>
    <row r="130" spans="1:24" hidden="1">
      <c r="A130" s="380"/>
      <c r="B130" s="610" t="s">
        <v>434</v>
      </c>
      <c r="C130" s="523"/>
      <c r="D130" s="380"/>
      <c r="E130" s="380"/>
      <c r="F130" s="380"/>
      <c r="G130" s="380"/>
      <c r="H130" s="380"/>
      <c r="I130" s="380"/>
      <c r="J130" s="380"/>
      <c r="K130" s="380"/>
      <c r="L130" s="380"/>
      <c r="M130" s="380"/>
      <c r="N130" s="380"/>
      <c r="O130" s="380"/>
      <c r="P130" s="380"/>
      <c r="Q130" s="380"/>
      <c r="R130" s="524"/>
      <c r="S130" s="524"/>
      <c r="T130" s="524"/>
      <c r="U130" s="524"/>
      <c r="V130" s="380"/>
      <c r="W130" s="380"/>
      <c r="X130" s="380"/>
    </row>
    <row r="131" spans="1:24" hidden="1">
      <c r="A131" s="380"/>
      <c r="B131" s="610" t="s">
        <v>435</v>
      </c>
      <c r="C131" s="618"/>
      <c r="D131" s="380"/>
      <c r="E131" s="380"/>
      <c r="F131" s="380"/>
      <c r="G131" s="380"/>
      <c r="H131" s="380"/>
      <c r="I131" s="380"/>
      <c r="J131" s="380"/>
      <c r="K131" s="380"/>
      <c r="L131" s="380"/>
      <c r="M131" s="380"/>
      <c r="N131" s="380"/>
      <c r="O131" s="380"/>
      <c r="P131" s="380"/>
      <c r="Q131" s="380"/>
      <c r="R131" s="524"/>
      <c r="S131" s="524"/>
      <c r="T131" s="524"/>
      <c r="U131" s="524"/>
      <c r="V131" s="380"/>
      <c r="W131" s="380"/>
      <c r="X131" s="380"/>
    </row>
    <row r="132" spans="1:24" hidden="1">
      <c r="A132" s="380"/>
      <c r="B132" s="610" t="s">
        <v>436</v>
      </c>
      <c r="C132" s="618"/>
      <c r="D132" s="380"/>
      <c r="E132" s="380"/>
      <c r="F132" s="380"/>
      <c r="G132" s="380"/>
      <c r="H132" s="380"/>
      <c r="I132" s="380"/>
      <c r="J132" s="380"/>
      <c r="K132" s="380"/>
      <c r="L132" s="380"/>
      <c r="M132" s="380"/>
      <c r="N132" s="380"/>
      <c r="O132" s="380"/>
      <c r="P132" s="380"/>
      <c r="Q132" s="380"/>
      <c r="R132" s="524"/>
      <c r="S132" s="524"/>
      <c r="T132" s="524"/>
      <c r="U132" s="524"/>
      <c r="V132" s="380"/>
      <c r="W132" s="380"/>
      <c r="X132" s="380"/>
    </row>
    <row r="133" spans="1:24" hidden="1">
      <c r="A133" s="380"/>
      <c r="B133" s="610" t="s">
        <v>437</v>
      </c>
      <c r="C133" s="523"/>
      <c r="D133" s="380"/>
      <c r="E133" s="380"/>
      <c r="F133" s="380"/>
      <c r="G133" s="380"/>
      <c r="H133" s="380"/>
      <c r="I133" s="380"/>
      <c r="J133" s="380"/>
      <c r="K133" s="380"/>
      <c r="L133" s="380"/>
      <c r="M133" s="380"/>
      <c r="N133" s="619"/>
      <c r="O133" s="619"/>
      <c r="P133" s="619"/>
      <c r="Q133" s="380"/>
      <c r="R133" s="524"/>
      <c r="S133" s="524"/>
      <c r="T133" s="524"/>
      <c r="U133" s="524"/>
      <c r="V133" s="380"/>
      <c r="W133" s="380"/>
      <c r="X133" s="380"/>
    </row>
    <row r="134" spans="1:24" hidden="1">
      <c r="A134" s="380"/>
      <c r="B134" s="610" t="s">
        <v>438</v>
      </c>
      <c r="C134" s="523"/>
      <c r="D134" s="380"/>
      <c r="E134" s="380"/>
      <c r="F134" s="380"/>
      <c r="G134" s="380"/>
      <c r="H134" s="380"/>
      <c r="I134" s="380"/>
      <c r="J134" s="380"/>
      <c r="K134" s="380"/>
      <c r="L134" s="380"/>
      <c r="M134" s="380"/>
      <c r="N134" s="380"/>
      <c r="O134" s="380"/>
      <c r="P134" s="380"/>
      <c r="Q134" s="380"/>
      <c r="R134" s="524"/>
      <c r="S134" s="524"/>
      <c r="T134" s="524"/>
      <c r="U134" s="524"/>
      <c r="V134" s="380"/>
      <c r="W134" s="380"/>
      <c r="X134" s="380"/>
    </row>
    <row r="135" spans="1:24" hidden="1">
      <c r="A135" s="380"/>
      <c r="B135" s="610" t="s">
        <v>439</v>
      </c>
      <c r="C135" s="523"/>
      <c r="D135" s="380"/>
      <c r="E135" s="380"/>
      <c r="F135" s="380"/>
      <c r="G135" s="380"/>
      <c r="H135" s="380"/>
      <c r="I135" s="380"/>
      <c r="J135" s="380"/>
      <c r="K135" s="380"/>
      <c r="L135" s="380"/>
      <c r="M135" s="380"/>
      <c r="N135" s="380"/>
      <c r="O135" s="380"/>
      <c r="P135" s="380"/>
      <c r="Q135" s="380"/>
      <c r="R135" s="524"/>
      <c r="S135" s="524"/>
      <c r="T135" s="524"/>
      <c r="U135" s="524"/>
      <c r="V135" s="380"/>
      <c r="W135" s="380"/>
      <c r="X135" s="380"/>
    </row>
    <row r="136" spans="1:24" hidden="1">
      <c r="A136" s="380"/>
      <c r="B136" s="610" t="s">
        <v>440</v>
      </c>
      <c r="C136" s="618"/>
      <c r="D136" s="380"/>
      <c r="E136" s="380"/>
      <c r="F136" s="380"/>
      <c r="G136" s="380"/>
      <c r="H136" s="380"/>
      <c r="I136" s="380"/>
      <c r="J136" s="380"/>
      <c r="K136" s="380"/>
      <c r="L136" s="380"/>
      <c r="M136" s="380"/>
      <c r="N136" s="380"/>
      <c r="O136" s="380"/>
      <c r="P136" s="380"/>
      <c r="Q136" s="380"/>
      <c r="R136" s="524"/>
      <c r="S136" s="524"/>
      <c r="T136" s="524"/>
      <c r="U136" s="524"/>
      <c r="V136" s="380"/>
      <c r="W136" s="380"/>
      <c r="X136" s="380"/>
    </row>
    <row r="137" spans="1:24" hidden="1">
      <c r="A137" s="380"/>
      <c r="B137" s="610" t="s">
        <v>441</v>
      </c>
      <c r="C137" s="620"/>
      <c r="D137" s="380"/>
      <c r="E137" s="380"/>
      <c r="F137" s="380"/>
      <c r="G137" s="380"/>
      <c r="H137" s="380"/>
      <c r="I137" s="380"/>
      <c r="J137" s="380"/>
      <c r="K137" s="380"/>
      <c r="L137" s="380"/>
      <c r="M137" s="380"/>
      <c r="N137" s="380"/>
      <c r="O137" s="380"/>
      <c r="P137" s="380"/>
      <c r="Q137" s="380"/>
      <c r="R137" s="524"/>
      <c r="S137" s="524"/>
      <c r="T137" s="524"/>
      <c r="U137" s="524"/>
      <c r="V137" s="621"/>
      <c r="W137" s="621"/>
      <c r="X137" s="380"/>
    </row>
    <row r="138" spans="1:24" ht="12.75" hidden="1" customHeight="1">
      <c r="A138" s="380"/>
      <c r="B138" s="610" t="s">
        <v>388</v>
      </c>
      <c r="C138" s="523"/>
      <c r="D138" s="380"/>
      <c r="E138" s="380"/>
      <c r="F138" s="380"/>
      <c r="G138" s="380"/>
      <c r="H138" s="380"/>
      <c r="I138" s="380"/>
      <c r="J138" s="380"/>
      <c r="K138" s="380"/>
      <c r="L138" s="380"/>
      <c r="M138" s="380"/>
      <c r="N138" s="380"/>
      <c r="O138" s="380"/>
      <c r="P138" s="380"/>
      <c r="Q138" s="380"/>
      <c r="R138" s="524"/>
      <c r="S138" s="524"/>
      <c r="T138" s="524"/>
      <c r="U138" s="524"/>
      <c r="V138" s="380"/>
      <c r="W138" s="621"/>
      <c r="X138" s="380"/>
    </row>
    <row r="139" spans="1:24" ht="12.75" hidden="1" customHeight="1">
      <c r="A139" s="380"/>
      <c r="B139" s="610" t="s">
        <v>388</v>
      </c>
      <c r="C139" s="523"/>
      <c r="D139" s="380"/>
      <c r="E139" s="380"/>
      <c r="F139" s="380"/>
      <c r="G139" s="380"/>
      <c r="H139" s="380"/>
      <c r="I139" s="380"/>
      <c r="J139" s="380"/>
      <c r="K139" s="380"/>
      <c r="L139" s="380"/>
      <c r="M139" s="380"/>
      <c r="N139" s="380"/>
      <c r="O139" s="380"/>
      <c r="P139" s="380"/>
      <c r="Q139" s="380"/>
      <c r="R139" s="524"/>
      <c r="S139" s="524"/>
      <c r="T139" s="524"/>
      <c r="U139" s="524"/>
      <c r="V139" s="380"/>
      <c r="W139" s="621"/>
      <c r="X139" s="380"/>
    </row>
    <row r="140" spans="1:24" ht="12.75" hidden="1" customHeight="1">
      <c r="A140" s="380"/>
      <c r="B140" s="610" t="s">
        <v>388</v>
      </c>
      <c r="C140" s="523"/>
      <c r="D140" s="380"/>
      <c r="E140" s="380"/>
      <c r="F140" s="380"/>
      <c r="G140" s="380"/>
      <c r="H140" s="380"/>
      <c r="I140" s="380"/>
      <c r="J140" s="380"/>
      <c r="K140" s="380"/>
      <c r="L140" s="380"/>
      <c r="M140" s="380"/>
      <c r="N140" s="380"/>
      <c r="O140" s="380"/>
      <c r="P140" s="380"/>
      <c r="Q140" s="380"/>
      <c r="R140" s="524"/>
      <c r="S140" s="524"/>
      <c r="T140" s="524"/>
      <c r="U140" s="524"/>
      <c r="V140" s="380"/>
      <c r="W140" s="621"/>
      <c r="X140" s="380"/>
    </row>
    <row r="141" spans="1:24" ht="12.75" hidden="1" customHeight="1">
      <c r="A141" s="380"/>
      <c r="B141" s="610" t="s">
        <v>442</v>
      </c>
      <c r="C141" s="523"/>
      <c r="D141" s="380"/>
      <c r="E141" s="380"/>
      <c r="F141" s="380"/>
      <c r="G141" s="380"/>
      <c r="H141" s="380"/>
      <c r="I141" s="380"/>
      <c r="J141" s="380"/>
      <c r="K141" s="380"/>
      <c r="L141" s="380"/>
      <c r="M141" s="380"/>
      <c r="N141" s="380"/>
      <c r="O141" s="380"/>
      <c r="P141" s="380"/>
      <c r="Q141" s="380"/>
      <c r="R141" s="524"/>
      <c r="S141" s="524"/>
      <c r="T141" s="524"/>
      <c r="U141" s="524"/>
      <c r="V141" s="380"/>
      <c r="W141" s="621"/>
      <c r="X141" s="380"/>
    </row>
    <row r="142" spans="1:24" ht="12.75" hidden="1" customHeight="1">
      <c r="A142" s="380"/>
      <c r="B142" s="610" t="s">
        <v>443</v>
      </c>
      <c r="C142" s="523"/>
      <c r="D142" s="380"/>
      <c r="E142" s="380"/>
      <c r="F142" s="380"/>
      <c r="G142" s="380"/>
      <c r="H142" s="380"/>
      <c r="I142" s="380"/>
      <c r="J142" s="380"/>
      <c r="K142" s="380"/>
      <c r="L142" s="380"/>
      <c r="M142" s="380"/>
      <c r="N142" s="380"/>
      <c r="O142" s="380"/>
      <c r="P142" s="380"/>
      <c r="Q142" s="380"/>
      <c r="R142" s="524"/>
      <c r="S142" s="524"/>
      <c r="T142" s="524"/>
      <c r="U142" s="524"/>
      <c r="V142" s="380"/>
      <c r="W142" s="621"/>
      <c r="X142" s="380"/>
    </row>
    <row r="143" spans="1:24" ht="20.100000000000001" hidden="1" customHeight="1">
      <c r="A143" s="380"/>
      <c r="B143" s="627" t="s">
        <v>198</v>
      </c>
      <c r="C143" s="523"/>
      <c r="D143" s="380"/>
      <c r="E143" s="380"/>
      <c r="F143" s="380"/>
      <c r="G143" s="380"/>
      <c r="H143" s="380"/>
      <c r="I143" s="380"/>
      <c r="J143" s="380"/>
      <c r="K143" s="380"/>
      <c r="L143" s="380"/>
      <c r="M143" s="380"/>
      <c r="N143" s="380"/>
      <c r="O143" s="380"/>
      <c r="P143" s="380"/>
      <c r="Q143" s="380"/>
      <c r="R143" s="524"/>
      <c r="S143" s="524"/>
      <c r="T143" s="524"/>
      <c r="U143" s="524"/>
      <c r="V143" s="380"/>
      <c r="W143" s="621"/>
      <c r="X143" s="380"/>
    </row>
    <row r="144" spans="1:24" hidden="1">
      <c r="A144" s="380"/>
      <c r="B144" s="371" t="s">
        <v>192</v>
      </c>
      <c r="C144" s="523"/>
      <c r="D144" s="380"/>
      <c r="E144" s="380"/>
      <c r="F144" s="380"/>
      <c r="G144" s="380"/>
      <c r="H144" s="380"/>
      <c r="I144" s="380"/>
      <c r="J144" s="380"/>
      <c r="K144" s="380"/>
      <c r="L144" s="380"/>
      <c r="M144" s="380"/>
      <c r="N144" s="380"/>
      <c r="O144" s="380"/>
      <c r="P144" s="380"/>
      <c r="Q144" s="380"/>
      <c r="R144" s="524"/>
      <c r="S144" s="524"/>
      <c r="T144" s="524"/>
      <c r="U144" s="524"/>
      <c r="V144" s="380"/>
      <c r="W144" s="380"/>
      <c r="X144" s="380"/>
    </row>
    <row r="145" spans="1:24" ht="26.1" hidden="1" customHeight="1">
      <c r="A145" s="629"/>
      <c r="B145" s="629"/>
      <c r="C145" s="629"/>
      <c r="D145" s="629"/>
      <c r="E145" s="629"/>
      <c r="F145" s="629"/>
      <c r="G145" s="629"/>
      <c r="H145" s="629"/>
      <c r="I145" s="629"/>
      <c r="J145" s="629"/>
      <c r="K145" s="629"/>
      <c r="L145" s="629"/>
      <c r="M145" s="629"/>
      <c r="N145" s="629"/>
      <c r="O145" s="629"/>
      <c r="P145" s="629"/>
      <c r="Q145" s="629"/>
      <c r="R145" s="629"/>
      <c r="S145" s="629"/>
      <c r="T145" s="629"/>
      <c r="U145" s="629"/>
      <c r="V145" s="629"/>
      <c r="W145" s="629"/>
    </row>
    <row r="146" spans="1:24" ht="5.25" hidden="1" customHeight="1"/>
    <row r="147" spans="1:24" ht="24" hidden="1" customHeight="1">
      <c r="P147" s="213" t="s">
        <v>392</v>
      </c>
      <c r="R147" s="372" t="s">
        <v>337</v>
      </c>
    </row>
    <row r="148" spans="1:24" ht="24" hidden="1" customHeight="1">
      <c r="A148" s="374"/>
      <c r="B148" s="373" t="s">
        <v>365</v>
      </c>
      <c r="C148" s="527"/>
      <c r="D148" s="374"/>
      <c r="E148" s="374"/>
      <c r="F148" s="374"/>
      <c r="G148" s="374"/>
      <c r="H148" s="374"/>
      <c r="I148" s="374"/>
      <c r="J148" s="374"/>
      <c r="K148" s="374"/>
      <c r="L148" s="374"/>
      <c r="M148" s="374"/>
      <c r="N148" s="374"/>
      <c r="O148" s="374"/>
      <c r="P148" s="374"/>
      <c r="Q148" s="374"/>
      <c r="R148" s="382"/>
      <c r="S148" s="382"/>
      <c r="T148" s="382"/>
      <c r="U148" s="528"/>
      <c r="V148" s="529"/>
      <c r="W148" s="526"/>
      <c r="X148" s="374"/>
    </row>
    <row r="149" spans="1:24" ht="18" hidden="1" customHeight="1">
      <c r="A149" s="380"/>
      <c r="B149" s="530" t="s">
        <v>503</v>
      </c>
      <c r="C149" s="631"/>
      <c r="D149" s="632"/>
      <c r="E149" s="632"/>
      <c r="F149" s="632"/>
      <c r="G149" s="632"/>
      <c r="H149" s="632"/>
      <c r="I149" s="632"/>
      <c r="J149" s="632"/>
      <c r="K149" s="632"/>
      <c r="L149" s="632"/>
      <c r="M149" s="632"/>
      <c r="N149" s="633"/>
      <c r="O149" s="633"/>
      <c r="P149" s="633"/>
      <c r="Q149" s="633"/>
      <c r="R149" s="633"/>
      <c r="S149" s="633"/>
      <c r="T149" s="633"/>
      <c r="U149" s="633"/>
      <c r="V149" s="632"/>
      <c r="W149" s="632"/>
      <c r="X149" s="380"/>
    </row>
    <row r="150" spans="1:24" ht="15.9" hidden="1" customHeight="1">
      <c r="A150" s="380"/>
      <c r="B150" s="532"/>
      <c r="C150" s="533"/>
      <c r="D150" s="380"/>
      <c r="E150" s="380"/>
      <c r="F150" s="380"/>
      <c r="G150" s="380"/>
      <c r="H150" s="380"/>
      <c r="I150" s="380"/>
      <c r="J150" s="380"/>
      <c r="K150" s="380"/>
      <c r="L150" s="380"/>
      <c r="M150" s="380"/>
      <c r="V150" s="380"/>
      <c r="W150" s="380"/>
      <c r="X150" s="380"/>
    </row>
    <row r="151" spans="1:24" ht="15.75" hidden="1" customHeight="1">
      <c r="B151" s="221"/>
      <c r="C151" s="222" t="s">
        <v>159</v>
      </c>
      <c r="D151" s="223" t="s">
        <v>392</v>
      </c>
      <c r="E151" s="223"/>
      <c r="F151" s="223"/>
      <c r="G151" s="387"/>
      <c r="H151" s="623"/>
      <c r="I151" s="388"/>
      <c r="J151" s="394"/>
      <c r="L151" s="380"/>
      <c r="M151" s="380"/>
      <c r="V151" s="380"/>
      <c r="W151" s="380"/>
      <c r="X151" s="380"/>
    </row>
    <row r="152" spans="1:24" ht="12.75" hidden="1" customHeight="1">
      <c r="B152" s="226"/>
      <c r="C152" s="227" t="s">
        <v>160</v>
      </c>
      <c r="D152" s="392" t="s">
        <v>395</v>
      </c>
      <c r="E152" s="392"/>
      <c r="F152" s="392"/>
      <c r="G152" s="394"/>
      <c r="H152" s="382"/>
      <c r="I152" s="624"/>
      <c r="J152" s="394"/>
      <c r="L152" s="380"/>
      <c r="M152" s="380"/>
      <c r="N152" s="211"/>
      <c r="O152" s="542"/>
      <c r="P152" s="393"/>
      <c r="Q152" s="394"/>
      <c r="R152" s="394"/>
      <c r="S152" s="394"/>
      <c r="T152" s="394"/>
      <c r="U152" s="382"/>
      <c r="V152" s="380"/>
      <c r="W152" s="380"/>
      <c r="X152" s="380"/>
    </row>
    <row r="153" spans="1:24" ht="17.399999999999999" hidden="1">
      <c r="B153" s="230"/>
      <c r="C153" s="231" t="s">
        <v>161</v>
      </c>
      <c r="D153" s="232" t="s">
        <v>464</v>
      </c>
      <c r="E153" s="232"/>
      <c r="F153" s="232"/>
      <c r="G153" s="397"/>
      <c r="H153" s="625"/>
      <c r="I153" s="398"/>
      <c r="J153" s="394"/>
      <c r="L153" s="380"/>
      <c r="M153" s="380"/>
      <c r="N153" s="211"/>
      <c r="O153" s="542"/>
      <c r="P153" s="393"/>
      <c r="Q153" s="394"/>
      <c r="R153" s="394"/>
      <c r="S153" s="394"/>
      <c r="T153" s="394"/>
      <c r="U153" s="382"/>
      <c r="V153" s="380"/>
      <c r="W153" s="380"/>
      <c r="X153" s="380"/>
    </row>
    <row r="154" spans="1:24" hidden="1">
      <c r="A154" s="380"/>
      <c r="B154" s="380"/>
      <c r="C154" s="550"/>
      <c r="D154" s="380"/>
      <c r="E154" s="380"/>
      <c r="F154" s="380"/>
      <c r="G154" s="380"/>
      <c r="H154" s="380"/>
      <c r="I154" s="380"/>
      <c r="J154" s="380"/>
      <c r="K154" s="380"/>
      <c r="L154" s="380"/>
      <c r="M154" s="380"/>
      <c r="N154" s="380"/>
      <c r="O154" s="380"/>
      <c r="P154" s="380"/>
      <c r="Q154" s="380"/>
      <c r="R154" s="524"/>
      <c r="S154" s="524"/>
      <c r="T154" s="524"/>
      <c r="U154" s="524"/>
      <c r="V154" s="380"/>
      <c r="W154" s="380"/>
      <c r="X154" s="380"/>
    </row>
    <row r="155" spans="1:24" hidden="1">
      <c r="A155" s="380"/>
      <c r="B155" s="549"/>
      <c r="C155" s="550"/>
      <c r="D155" s="551" t="s">
        <v>319</v>
      </c>
      <c r="E155" s="551"/>
      <c r="F155" s="551"/>
      <c r="G155" s="551"/>
      <c r="H155" s="551"/>
      <c r="I155" s="551"/>
      <c r="J155" s="551"/>
      <c r="K155" s="551"/>
      <c r="L155" s="551"/>
      <c r="M155" s="551"/>
      <c r="N155" s="551" t="s">
        <v>320</v>
      </c>
      <c r="O155" s="551"/>
      <c r="P155" s="551"/>
      <c r="Q155" s="551"/>
      <c r="R155" s="552"/>
      <c r="S155" s="553" t="s">
        <v>182</v>
      </c>
      <c r="T155" s="553" t="s">
        <v>182</v>
      </c>
      <c r="U155" s="553" t="s">
        <v>182</v>
      </c>
      <c r="V155" s="554"/>
      <c r="W155" s="555" t="s">
        <v>321</v>
      </c>
      <c r="X155" s="380"/>
    </row>
    <row r="156" spans="1:24" hidden="1">
      <c r="A156" s="380"/>
      <c r="B156" s="374"/>
      <c r="C156" s="527"/>
      <c r="D156" s="556" t="s">
        <v>322</v>
      </c>
      <c r="E156" s="556" t="s">
        <v>323</v>
      </c>
      <c r="F156" s="556" t="s">
        <v>324</v>
      </c>
      <c r="G156" s="556" t="s">
        <v>325</v>
      </c>
      <c r="H156" s="556" t="s">
        <v>326</v>
      </c>
      <c r="I156" s="556" t="s">
        <v>327</v>
      </c>
      <c r="J156" s="556" t="s">
        <v>328</v>
      </c>
      <c r="K156" s="556" t="s">
        <v>329</v>
      </c>
      <c r="L156" s="556" t="s">
        <v>330</v>
      </c>
      <c r="M156" s="556" t="s">
        <v>331</v>
      </c>
      <c r="N156" s="556" t="s">
        <v>329</v>
      </c>
      <c r="O156" s="556" t="s">
        <v>330</v>
      </c>
      <c r="P156" s="556" t="s">
        <v>331</v>
      </c>
      <c r="Q156" s="556">
        <v>0</v>
      </c>
      <c r="R156" s="626" t="s">
        <v>182</v>
      </c>
      <c r="S156" s="626" t="s">
        <v>466</v>
      </c>
      <c r="T156" s="626" t="s">
        <v>467</v>
      </c>
      <c r="U156" s="626" t="s">
        <v>332</v>
      </c>
      <c r="V156" s="556">
        <v>0</v>
      </c>
      <c r="W156" s="556" t="s">
        <v>333</v>
      </c>
      <c r="X156" s="380"/>
    </row>
    <row r="157" spans="1:24" hidden="1">
      <c r="A157" s="380"/>
      <c r="B157" s="563">
        <v>0</v>
      </c>
      <c r="C157" s="564" t="s">
        <v>388</v>
      </c>
      <c r="D157" s="565" t="s">
        <v>388</v>
      </c>
      <c r="E157" s="566" t="s">
        <v>388</v>
      </c>
      <c r="F157" s="566" t="s">
        <v>388</v>
      </c>
      <c r="G157" s="566" t="s">
        <v>388</v>
      </c>
      <c r="H157" s="566" t="s">
        <v>388</v>
      </c>
      <c r="I157" s="566" t="s">
        <v>388</v>
      </c>
      <c r="J157" s="566" t="s">
        <v>388</v>
      </c>
      <c r="K157" s="566" t="s">
        <v>388</v>
      </c>
      <c r="L157" s="567" t="s">
        <v>388</v>
      </c>
      <c r="M157" s="568" t="s">
        <v>388</v>
      </c>
      <c r="N157" s="565" t="s">
        <v>388</v>
      </c>
      <c r="O157" s="567" t="s">
        <v>388</v>
      </c>
      <c r="P157" s="566" t="s">
        <v>388</v>
      </c>
      <c r="Q157" s="569"/>
      <c r="R157" s="570" t="e">
        <v>#VALUE!</v>
      </c>
      <c r="S157" s="571" t="e">
        <v>#VALUE!</v>
      </c>
      <c r="T157" s="571" t="e">
        <v>#VALUE!</v>
      </c>
      <c r="U157" s="571" t="e">
        <v>#VALUE!</v>
      </c>
      <c r="V157" s="572"/>
      <c r="W157" s="573" t="s">
        <v>388</v>
      </c>
      <c r="X157" s="380"/>
    </row>
    <row r="158" spans="1:24" hidden="1">
      <c r="A158" s="380"/>
      <c r="B158" s="576">
        <v>0</v>
      </c>
      <c r="C158" s="577" t="s">
        <v>388</v>
      </c>
      <c r="D158" s="578" t="s">
        <v>388</v>
      </c>
      <c r="E158" s="579" t="s">
        <v>388</v>
      </c>
      <c r="F158" s="579" t="s">
        <v>388</v>
      </c>
      <c r="G158" s="579" t="s">
        <v>388</v>
      </c>
      <c r="H158" s="579" t="s">
        <v>388</v>
      </c>
      <c r="I158" s="579" t="s">
        <v>388</v>
      </c>
      <c r="J158" s="579" t="s">
        <v>388</v>
      </c>
      <c r="K158" s="579" t="s">
        <v>388</v>
      </c>
      <c r="L158" s="580" t="s">
        <v>388</v>
      </c>
      <c r="M158" s="581" t="s">
        <v>388</v>
      </c>
      <c r="N158" s="578" t="s">
        <v>388</v>
      </c>
      <c r="O158" s="580" t="s">
        <v>388</v>
      </c>
      <c r="P158" s="579" t="s">
        <v>388</v>
      </c>
      <c r="Q158" s="582"/>
      <c r="R158" s="583" t="e">
        <v>#VALUE!</v>
      </c>
      <c r="S158" s="382" t="e">
        <v>#VALUE!</v>
      </c>
      <c r="T158" s="382" t="e">
        <v>#VALUE!</v>
      </c>
      <c r="U158" s="382" t="e">
        <v>#VALUE!</v>
      </c>
      <c r="V158" s="584"/>
      <c r="W158" s="585" t="s">
        <v>388</v>
      </c>
      <c r="X158" s="380"/>
    </row>
    <row r="159" spans="1:24" hidden="1">
      <c r="A159" s="380"/>
      <c r="B159" s="576">
        <v>0</v>
      </c>
      <c r="C159" s="577" t="s">
        <v>388</v>
      </c>
      <c r="D159" s="578" t="s">
        <v>388</v>
      </c>
      <c r="E159" s="579" t="s">
        <v>388</v>
      </c>
      <c r="F159" s="579" t="s">
        <v>388</v>
      </c>
      <c r="G159" s="579" t="s">
        <v>388</v>
      </c>
      <c r="H159" s="579" t="s">
        <v>388</v>
      </c>
      <c r="I159" s="579" t="s">
        <v>388</v>
      </c>
      <c r="J159" s="579" t="s">
        <v>388</v>
      </c>
      <c r="K159" s="579" t="s">
        <v>388</v>
      </c>
      <c r="L159" s="580" t="s">
        <v>388</v>
      </c>
      <c r="M159" s="581" t="s">
        <v>388</v>
      </c>
      <c r="N159" s="578" t="s">
        <v>388</v>
      </c>
      <c r="O159" s="580" t="s">
        <v>388</v>
      </c>
      <c r="P159" s="579" t="s">
        <v>388</v>
      </c>
      <c r="Q159" s="582"/>
      <c r="R159" s="583" t="e">
        <v>#VALUE!</v>
      </c>
      <c r="S159" s="382" t="e">
        <v>#VALUE!</v>
      </c>
      <c r="T159" s="382" t="e">
        <v>#VALUE!</v>
      </c>
      <c r="U159" s="382" t="e">
        <v>#VALUE!</v>
      </c>
      <c r="V159" s="584"/>
      <c r="W159" s="585" t="s">
        <v>388</v>
      </c>
      <c r="X159" s="380"/>
    </row>
    <row r="160" spans="1:24" hidden="1">
      <c r="A160" s="380"/>
      <c r="B160" s="576">
        <v>0</v>
      </c>
      <c r="C160" s="577" t="s">
        <v>388</v>
      </c>
      <c r="D160" s="578" t="s">
        <v>388</v>
      </c>
      <c r="E160" s="579" t="s">
        <v>388</v>
      </c>
      <c r="F160" s="579" t="s">
        <v>388</v>
      </c>
      <c r="G160" s="579" t="s">
        <v>388</v>
      </c>
      <c r="H160" s="579" t="s">
        <v>388</v>
      </c>
      <c r="I160" s="579" t="s">
        <v>388</v>
      </c>
      <c r="J160" s="579" t="s">
        <v>388</v>
      </c>
      <c r="K160" s="579" t="s">
        <v>388</v>
      </c>
      <c r="L160" s="580" t="s">
        <v>388</v>
      </c>
      <c r="M160" s="581" t="s">
        <v>388</v>
      </c>
      <c r="N160" s="578" t="s">
        <v>388</v>
      </c>
      <c r="O160" s="580" t="s">
        <v>388</v>
      </c>
      <c r="P160" s="579" t="s">
        <v>388</v>
      </c>
      <c r="Q160" s="582"/>
      <c r="R160" s="583" t="e">
        <v>#VALUE!</v>
      </c>
      <c r="S160" s="382" t="e">
        <v>#VALUE!</v>
      </c>
      <c r="T160" s="382" t="e">
        <v>#VALUE!</v>
      </c>
      <c r="U160" s="382" t="e">
        <v>#VALUE!</v>
      </c>
      <c r="V160" s="584"/>
      <c r="W160" s="585" t="s">
        <v>388</v>
      </c>
      <c r="X160" s="380"/>
    </row>
    <row r="161" spans="1:24" hidden="1">
      <c r="A161" s="380"/>
      <c r="B161" s="586">
        <v>0</v>
      </c>
      <c r="C161" s="587" t="s">
        <v>388</v>
      </c>
      <c r="D161" s="588" t="s">
        <v>388</v>
      </c>
      <c r="E161" s="589" t="s">
        <v>388</v>
      </c>
      <c r="F161" s="589" t="s">
        <v>388</v>
      </c>
      <c r="G161" s="589" t="s">
        <v>388</v>
      </c>
      <c r="H161" s="589" t="s">
        <v>388</v>
      </c>
      <c r="I161" s="589" t="s">
        <v>388</v>
      </c>
      <c r="J161" s="589" t="s">
        <v>388</v>
      </c>
      <c r="K161" s="589" t="s">
        <v>388</v>
      </c>
      <c r="L161" s="590" t="s">
        <v>388</v>
      </c>
      <c r="M161" s="591" t="s">
        <v>388</v>
      </c>
      <c r="N161" s="588" t="s">
        <v>388</v>
      </c>
      <c r="O161" s="590" t="s">
        <v>388</v>
      </c>
      <c r="P161" s="589" t="s">
        <v>388</v>
      </c>
      <c r="Q161" s="592"/>
      <c r="R161" s="593" t="e">
        <v>#VALUE!</v>
      </c>
      <c r="S161" s="594" t="e">
        <v>#VALUE!</v>
      </c>
      <c r="T161" s="594" t="e">
        <v>#VALUE!</v>
      </c>
      <c r="U161" s="594" t="e">
        <v>#VALUE!</v>
      </c>
      <c r="V161" s="595"/>
      <c r="W161" s="596" t="s">
        <v>388</v>
      </c>
      <c r="X161" s="380"/>
    </row>
    <row r="162" spans="1:24" hidden="1">
      <c r="A162" s="380"/>
      <c r="B162" s="563">
        <v>0</v>
      </c>
      <c r="C162" s="564" t="s">
        <v>388</v>
      </c>
      <c r="D162" s="565" t="s">
        <v>388</v>
      </c>
      <c r="E162" s="566" t="s">
        <v>388</v>
      </c>
      <c r="F162" s="566" t="s">
        <v>388</v>
      </c>
      <c r="G162" s="566" t="s">
        <v>388</v>
      </c>
      <c r="H162" s="566" t="s">
        <v>388</v>
      </c>
      <c r="I162" s="566" t="s">
        <v>388</v>
      </c>
      <c r="J162" s="566" t="s">
        <v>388</v>
      </c>
      <c r="K162" s="566" t="s">
        <v>388</v>
      </c>
      <c r="L162" s="567" t="s">
        <v>388</v>
      </c>
      <c r="M162" s="568" t="s">
        <v>388</v>
      </c>
      <c r="N162" s="565" t="s">
        <v>388</v>
      </c>
      <c r="O162" s="567" t="s">
        <v>388</v>
      </c>
      <c r="P162" s="566" t="s">
        <v>388</v>
      </c>
      <c r="Q162" s="569"/>
      <c r="R162" s="570" t="e">
        <v>#VALUE!</v>
      </c>
      <c r="S162" s="571" t="e">
        <v>#VALUE!</v>
      </c>
      <c r="T162" s="571" t="e">
        <v>#VALUE!</v>
      </c>
      <c r="U162" s="571" t="e">
        <v>#VALUE!</v>
      </c>
      <c r="V162" s="572"/>
      <c r="W162" s="573" t="s">
        <v>388</v>
      </c>
      <c r="X162" s="380"/>
    </row>
    <row r="163" spans="1:24" hidden="1">
      <c r="A163" s="380"/>
      <c r="B163" s="576">
        <v>0</v>
      </c>
      <c r="C163" s="577" t="s">
        <v>388</v>
      </c>
      <c r="D163" s="578" t="s">
        <v>388</v>
      </c>
      <c r="E163" s="579" t="s">
        <v>388</v>
      </c>
      <c r="F163" s="579" t="s">
        <v>388</v>
      </c>
      <c r="G163" s="579" t="s">
        <v>388</v>
      </c>
      <c r="H163" s="579" t="s">
        <v>388</v>
      </c>
      <c r="I163" s="579" t="s">
        <v>388</v>
      </c>
      <c r="J163" s="579" t="s">
        <v>388</v>
      </c>
      <c r="K163" s="579" t="s">
        <v>388</v>
      </c>
      <c r="L163" s="580" t="s">
        <v>388</v>
      </c>
      <c r="M163" s="581" t="s">
        <v>388</v>
      </c>
      <c r="N163" s="578" t="s">
        <v>388</v>
      </c>
      <c r="O163" s="580" t="s">
        <v>388</v>
      </c>
      <c r="P163" s="579" t="s">
        <v>388</v>
      </c>
      <c r="Q163" s="582"/>
      <c r="R163" s="583" t="e">
        <v>#VALUE!</v>
      </c>
      <c r="S163" s="382" t="e">
        <v>#VALUE!</v>
      </c>
      <c r="T163" s="382" t="e">
        <v>#VALUE!</v>
      </c>
      <c r="U163" s="382" t="e">
        <v>#VALUE!</v>
      </c>
      <c r="V163" s="584"/>
      <c r="W163" s="585" t="s">
        <v>388</v>
      </c>
      <c r="X163" s="380"/>
    </row>
    <row r="164" spans="1:24" hidden="1">
      <c r="A164" s="380"/>
      <c r="B164" s="576">
        <v>0</v>
      </c>
      <c r="C164" s="577" t="s">
        <v>388</v>
      </c>
      <c r="D164" s="578" t="s">
        <v>388</v>
      </c>
      <c r="E164" s="579" t="s">
        <v>388</v>
      </c>
      <c r="F164" s="579" t="s">
        <v>388</v>
      </c>
      <c r="G164" s="579" t="s">
        <v>388</v>
      </c>
      <c r="H164" s="579" t="s">
        <v>388</v>
      </c>
      <c r="I164" s="579" t="s">
        <v>388</v>
      </c>
      <c r="J164" s="579" t="s">
        <v>388</v>
      </c>
      <c r="K164" s="579" t="s">
        <v>388</v>
      </c>
      <c r="L164" s="580" t="s">
        <v>388</v>
      </c>
      <c r="M164" s="581" t="s">
        <v>388</v>
      </c>
      <c r="N164" s="578" t="s">
        <v>388</v>
      </c>
      <c r="O164" s="580" t="s">
        <v>388</v>
      </c>
      <c r="P164" s="579" t="s">
        <v>388</v>
      </c>
      <c r="Q164" s="582"/>
      <c r="R164" s="583" t="e">
        <v>#VALUE!</v>
      </c>
      <c r="S164" s="382" t="e">
        <v>#VALUE!</v>
      </c>
      <c r="T164" s="382" t="e">
        <v>#VALUE!</v>
      </c>
      <c r="U164" s="382" t="e">
        <v>#VALUE!</v>
      </c>
      <c r="V164" s="584"/>
      <c r="W164" s="585" t="s">
        <v>388</v>
      </c>
      <c r="X164" s="380"/>
    </row>
    <row r="165" spans="1:24" hidden="1">
      <c r="A165" s="380"/>
      <c r="B165" s="576">
        <v>0</v>
      </c>
      <c r="C165" s="577" t="s">
        <v>388</v>
      </c>
      <c r="D165" s="578" t="s">
        <v>388</v>
      </c>
      <c r="E165" s="579" t="s">
        <v>388</v>
      </c>
      <c r="F165" s="579" t="s">
        <v>388</v>
      </c>
      <c r="G165" s="579" t="s">
        <v>388</v>
      </c>
      <c r="H165" s="579" t="s">
        <v>388</v>
      </c>
      <c r="I165" s="579" t="s">
        <v>388</v>
      </c>
      <c r="J165" s="579" t="s">
        <v>388</v>
      </c>
      <c r="K165" s="579" t="s">
        <v>388</v>
      </c>
      <c r="L165" s="580" t="s">
        <v>388</v>
      </c>
      <c r="M165" s="581" t="s">
        <v>388</v>
      </c>
      <c r="N165" s="578" t="s">
        <v>388</v>
      </c>
      <c r="O165" s="580" t="s">
        <v>388</v>
      </c>
      <c r="P165" s="579" t="s">
        <v>388</v>
      </c>
      <c r="Q165" s="582"/>
      <c r="R165" s="583" t="e">
        <v>#VALUE!</v>
      </c>
      <c r="S165" s="382" t="e">
        <v>#VALUE!</v>
      </c>
      <c r="T165" s="382" t="e">
        <v>#VALUE!</v>
      </c>
      <c r="U165" s="382" t="e">
        <v>#VALUE!</v>
      </c>
      <c r="V165" s="584"/>
      <c r="W165" s="585" t="s">
        <v>388</v>
      </c>
      <c r="X165" s="380"/>
    </row>
    <row r="166" spans="1:24" hidden="1">
      <c r="A166" s="380"/>
      <c r="B166" s="586">
        <v>0</v>
      </c>
      <c r="C166" s="587" t="s">
        <v>388</v>
      </c>
      <c r="D166" s="588" t="s">
        <v>388</v>
      </c>
      <c r="E166" s="589" t="s">
        <v>388</v>
      </c>
      <c r="F166" s="589" t="s">
        <v>388</v>
      </c>
      <c r="G166" s="589" t="s">
        <v>388</v>
      </c>
      <c r="H166" s="589" t="s">
        <v>388</v>
      </c>
      <c r="I166" s="589" t="s">
        <v>388</v>
      </c>
      <c r="J166" s="589" t="s">
        <v>388</v>
      </c>
      <c r="K166" s="589" t="s">
        <v>388</v>
      </c>
      <c r="L166" s="590" t="s">
        <v>388</v>
      </c>
      <c r="M166" s="591" t="s">
        <v>388</v>
      </c>
      <c r="N166" s="588" t="s">
        <v>388</v>
      </c>
      <c r="O166" s="590" t="s">
        <v>388</v>
      </c>
      <c r="P166" s="589" t="s">
        <v>388</v>
      </c>
      <c r="Q166" s="592"/>
      <c r="R166" s="593" t="e">
        <v>#VALUE!</v>
      </c>
      <c r="S166" s="594" t="e">
        <v>#VALUE!</v>
      </c>
      <c r="T166" s="594" t="e">
        <v>#VALUE!</v>
      </c>
      <c r="U166" s="594" t="e">
        <v>#VALUE!</v>
      </c>
      <c r="V166" s="595"/>
      <c r="W166" s="596" t="s">
        <v>388</v>
      </c>
      <c r="X166" s="380"/>
    </row>
    <row r="167" spans="1:24" hidden="1">
      <c r="A167" s="380"/>
      <c r="B167" s="563">
        <v>0</v>
      </c>
      <c r="C167" s="564" t="s">
        <v>388</v>
      </c>
      <c r="D167" s="565" t="s">
        <v>388</v>
      </c>
      <c r="E167" s="566" t="s">
        <v>388</v>
      </c>
      <c r="F167" s="566" t="s">
        <v>388</v>
      </c>
      <c r="G167" s="566" t="s">
        <v>388</v>
      </c>
      <c r="H167" s="566" t="s">
        <v>388</v>
      </c>
      <c r="I167" s="566" t="s">
        <v>388</v>
      </c>
      <c r="J167" s="566" t="s">
        <v>388</v>
      </c>
      <c r="K167" s="566" t="s">
        <v>388</v>
      </c>
      <c r="L167" s="567" t="s">
        <v>388</v>
      </c>
      <c r="M167" s="568" t="s">
        <v>388</v>
      </c>
      <c r="N167" s="565" t="s">
        <v>388</v>
      </c>
      <c r="O167" s="567" t="s">
        <v>388</v>
      </c>
      <c r="P167" s="566" t="s">
        <v>388</v>
      </c>
      <c r="Q167" s="569"/>
      <c r="R167" s="570" t="e">
        <v>#VALUE!</v>
      </c>
      <c r="S167" s="571" t="e">
        <v>#VALUE!</v>
      </c>
      <c r="T167" s="571" t="e">
        <v>#VALUE!</v>
      </c>
      <c r="U167" s="571" t="e">
        <v>#VALUE!</v>
      </c>
      <c r="V167" s="572"/>
      <c r="W167" s="573" t="s">
        <v>388</v>
      </c>
      <c r="X167" s="380"/>
    </row>
    <row r="168" spans="1:24" hidden="1">
      <c r="A168" s="380"/>
      <c r="B168" s="576">
        <v>0</v>
      </c>
      <c r="C168" s="577" t="s">
        <v>388</v>
      </c>
      <c r="D168" s="578" t="s">
        <v>388</v>
      </c>
      <c r="E168" s="579" t="s">
        <v>388</v>
      </c>
      <c r="F168" s="579" t="s">
        <v>388</v>
      </c>
      <c r="G168" s="579" t="s">
        <v>388</v>
      </c>
      <c r="H168" s="579" t="s">
        <v>388</v>
      </c>
      <c r="I168" s="579" t="s">
        <v>388</v>
      </c>
      <c r="J168" s="579" t="s">
        <v>388</v>
      </c>
      <c r="K168" s="579" t="s">
        <v>388</v>
      </c>
      <c r="L168" s="580" t="s">
        <v>388</v>
      </c>
      <c r="M168" s="581" t="s">
        <v>388</v>
      </c>
      <c r="N168" s="578" t="s">
        <v>388</v>
      </c>
      <c r="O168" s="580" t="s">
        <v>388</v>
      </c>
      <c r="P168" s="579" t="s">
        <v>388</v>
      </c>
      <c r="Q168" s="582"/>
      <c r="R168" s="583" t="e">
        <v>#VALUE!</v>
      </c>
      <c r="S168" s="382" t="e">
        <v>#VALUE!</v>
      </c>
      <c r="T168" s="382" t="e">
        <v>#VALUE!</v>
      </c>
      <c r="U168" s="382" t="e">
        <v>#VALUE!</v>
      </c>
      <c r="V168" s="584"/>
      <c r="W168" s="585" t="s">
        <v>388</v>
      </c>
      <c r="X168" s="380"/>
    </row>
    <row r="169" spans="1:24" hidden="1">
      <c r="A169" s="380"/>
      <c r="B169" s="576">
        <v>0</v>
      </c>
      <c r="C169" s="577" t="s">
        <v>388</v>
      </c>
      <c r="D169" s="578" t="s">
        <v>388</v>
      </c>
      <c r="E169" s="579" t="s">
        <v>388</v>
      </c>
      <c r="F169" s="579" t="s">
        <v>388</v>
      </c>
      <c r="G169" s="579" t="s">
        <v>388</v>
      </c>
      <c r="H169" s="579" t="s">
        <v>388</v>
      </c>
      <c r="I169" s="579" t="s">
        <v>388</v>
      </c>
      <c r="J169" s="579" t="s">
        <v>388</v>
      </c>
      <c r="K169" s="579" t="s">
        <v>388</v>
      </c>
      <c r="L169" s="580" t="s">
        <v>388</v>
      </c>
      <c r="M169" s="581" t="s">
        <v>388</v>
      </c>
      <c r="N169" s="578" t="s">
        <v>388</v>
      </c>
      <c r="O169" s="580" t="s">
        <v>388</v>
      </c>
      <c r="P169" s="579" t="s">
        <v>388</v>
      </c>
      <c r="Q169" s="582"/>
      <c r="R169" s="583" t="e">
        <v>#VALUE!</v>
      </c>
      <c r="S169" s="382" t="e">
        <v>#VALUE!</v>
      </c>
      <c r="T169" s="382" t="e">
        <v>#VALUE!</v>
      </c>
      <c r="U169" s="382" t="e">
        <v>#VALUE!</v>
      </c>
      <c r="V169" s="584"/>
      <c r="W169" s="585" t="s">
        <v>388</v>
      </c>
      <c r="X169" s="380"/>
    </row>
    <row r="170" spans="1:24" hidden="1">
      <c r="A170" s="380"/>
      <c r="B170" s="576">
        <v>0</v>
      </c>
      <c r="C170" s="577" t="s">
        <v>388</v>
      </c>
      <c r="D170" s="578" t="s">
        <v>388</v>
      </c>
      <c r="E170" s="579" t="s">
        <v>388</v>
      </c>
      <c r="F170" s="579" t="s">
        <v>388</v>
      </c>
      <c r="G170" s="579" t="s">
        <v>388</v>
      </c>
      <c r="H170" s="579" t="s">
        <v>388</v>
      </c>
      <c r="I170" s="579" t="s">
        <v>388</v>
      </c>
      <c r="J170" s="579" t="s">
        <v>388</v>
      </c>
      <c r="K170" s="579" t="s">
        <v>388</v>
      </c>
      <c r="L170" s="580" t="s">
        <v>388</v>
      </c>
      <c r="M170" s="581" t="s">
        <v>388</v>
      </c>
      <c r="N170" s="578" t="s">
        <v>388</v>
      </c>
      <c r="O170" s="580" t="s">
        <v>388</v>
      </c>
      <c r="P170" s="579" t="s">
        <v>388</v>
      </c>
      <c r="Q170" s="582"/>
      <c r="R170" s="583" t="e">
        <v>#VALUE!</v>
      </c>
      <c r="S170" s="382" t="e">
        <v>#VALUE!</v>
      </c>
      <c r="T170" s="382" t="e">
        <v>#VALUE!</v>
      </c>
      <c r="U170" s="382" t="e">
        <v>#VALUE!</v>
      </c>
      <c r="V170" s="584"/>
      <c r="W170" s="585" t="s">
        <v>388</v>
      </c>
      <c r="X170" s="380"/>
    </row>
    <row r="171" spans="1:24" hidden="1">
      <c r="A171" s="380"/>
      <c r="B171" s="586">
        <v>0</v>
      </c>
      <c r="C171" s="587" t="s">
        <v>388</v>
      </c>
      <c r="D171" s="588" t="s">
        <v>388</v>
      </c>
      <c r="E171" s="589" t="s">
        <v>388</v>
      </c>
      <c r="F171" s="589" t="s">
        <v>388</v>
      </c>
      <c r="G171" s="589" t="s">
        <v>388</v>
      </c>
      <c r="H171" s="589" t="s">
        <v>388</v>
      </c>
      <c r="I171" s="589" t="s">
        <v>388</v>
      </c>
      <c r="J171" s="589" t="s">
        <v>388</v>
      </c>
      <c r="K171" s="589" t="s">
        <v>388</v>
      </c>
      <c r="L171" s="590" t="s">
        <v>388</v>
      </c>
      <c r="M171" s="591" t="s">
        <v>388</v>
      </c>
      <c r="N171" s="588" t="s">
        <v>388</v>
      </c>
      <c r="O171" s="590" t="s">
        <v>388</v>
      </c>
      <c r="P171" s="589" t="s">
        <v>388</v>
      </c>
      <c r="Q171" s="592"/>
      <c r="R171" s="593" t="e">
        <v>#VALUE!</v>
      </c>
      <c r="S171" s="594" t="e">
        <v>#VALUE!</v>
      </c>
      <c r="T171" s="594" t="e">
        <v>#VALUE!</v>
      </c>
      <c r="U171" s="594" t="e">
        <v>#VALUE!</v>
      </c>
      <c r="V171" s="595"/>
      <c r="W171" s="596" t="s">
        <v>388</v>
      </c>
      <c r="X171" s="380"/>
    </row>
    <row r="172" spans="1:24" hidden="1">
      <c r="A172" s="380"/>
      <c r="B172" s="563">
        <v>0</v>
      </c>
      <c r="C172" s="564" t="s">
        <v>388</v>
      </c>
      <c r="D172" s="565" t="s">
        <v>388</v>
      </c>
      <c r="E172" s="566" t="s">
        <v>388</v>
      </c>
      <c r="F172" s="566" t="s">
        <v>388</v>
      </c>
      <c r="G172" s="566" t="s">
        <v>388</v>
      </c>
      <c r="H172" s="566" t="s">
        <v>388</v>
      </c>
      <c r="I172" s="566" t="s">
        <v>388</v>
      </c>
      <c r="J172" s="566" t="s">
        <v>388</v>
      </c>
      <c r="K172" s="566" t="s">
        <v>388</v>
      </c>
      <c r="L172" s="567" t="s">
        <v>388</v>
      </c>
      <c r="M172" s="568" t="s">
        <v>388</v>
      </c>
      <c r="N172" s="565" t="s">
        <v>388</v>
      </c>
      <c r="O172" s="567" t="s">
        <v>388</v>
      </c>
      <c r="P172" s="566" t="s">
        <v>388</v>
      </c>
      <c r="Q172" s="569"/>
      <c r="R172" s="570" t="e">
        <v>#VALUE!</v>
      </c>
      <c r="S172" s="571" t="e">
        <v>#VALUE!</v>
      </c>
      <c r="T172" s="571" t="e">
        <v>#VALUE!</v>
      </c>
      <c r="U172" s="571" t="e">
        <v>#VALUE!</v>
      </c>
      <c r="V172" s="572"/>
      <c r="W172" s="573" t="s">
        <v>388</v>
      </c>
      <c r="X172" s="380"/>
    </row>
    <row r="173" spans="1:24" hidden="1">
      <c r="A173" s="380"/>
      <c r="B173" s="576">
        <v>0</v>
      </c>
      <c r="C173" s="577" t="s">
        <v>388</v>
      </c>
      <c r="D173" s="578" t="s">
        <v>388</v>
      </c>
      <c r="E173" s="579" t="s">
        <v>388</v>
      </c>
      <c r="F173" s="579" t="s">
        <v>388</v>
      </c>
      <c r="G173" s="579" t="s">
        <v>388</v>
      </c>
      <c r="H173" s="579" t="s">
        <v>388</v>
      </c>
      <c r="I173" s="579" t="s">
        <v>388</v>
      </c>
      <c r="J173" s="579" t="s">
        <v>388</v>
      </c>
      <c r="K173" s="579" t="s">
        <v>388</v>
      </c>
      <c r="L173" s="580" t="s">
        <v>388</v>
      </c>
      <c r="M173" s="581" t="s">
        <v>388</v>
      </c>
      <c r="N173" s="578" t="s">
        <v>388</v>
      </c>
      <c r="O173" s="580" t="s">
        <v>388</v>
      </c>
      <c r="P173" s="579" t="s">
        <v>388</v>
      </c>
      <c r="Q173" s="582"/>
      <c r="R173" s="583" t="e">
        <v>#VALUE!</v>
      </c>
      <c r="S173" s="382" t="e">
        <v>#VALUE!</v>
      </c>
      <c r="T173" s="382" t="e">
        <v>#VALUE!</v>
      </c>
      <c r="U173" s="382" t="e">
        <v>#VALUE!</v>
      </c>
      <c r="V173" s="584"/>
      <c r="W173" s="585" t="s">
        <v>388</v>
      </c>
      <c r="X173" s="380"/>
    </row>
    <row r="174" spans="1:24" hidden="1">
      <c r="A174" s="380"/>
      <c r="B174" s="576">
        <v>0</v>
      </c>
      <c r="C174" s="577" t="s">
        <v>388</v>
      </c>
      <c r="D174" s="578" t="s">
        <v>388</v>
      </c>
      <c r="E174" s="579" t="s">
        <v>388</v>
      </c>
      <c r="F174" s="579" t="s">
        <v>388</v>
      </c>
      <c r="G174" s="579" t="s">
        <v>388</v>
      </c>
      <c r="H174" s="579" t="s">
        <v>388</v>
      </c>
      <c r="I174" s="579" t="s">
        <v>388</v>
      </c>
      <c r="J174" s="579" t="s">
        <v>388</v>
      </c>
      <c r="K174" s="579" t="s">
        <v>388</v>
      </c>
      <c r="L174" s="580" t="s">
        <v>388</v>
      </c>
      <c r="M174" s="581" t="s">
        <v>388</v>
      </c>
      <c r="N174" s="578" t="s">
        <v>388</v>
      </c>
      <c r="O174" s="580" t="s">
        <v>388</v>
      </c>
      <c r="P174" s="579" t="s">
        <v>388</v>
      </c>
      <c r="Q174" s="582"/>
      <c r="R174" s="583" t="e">
        <v>#VALUE!</v>
      </c>
      <c r="S174" s="382" t="e">
        <v>#VALUE!</v>
      </c>
      <c r="T174" s="382" t="e">
        <v>#VALUE!</v>
      </c>
      <c r="U174" s="382" t="e">
        <v>#VALUE!</v>
      </c>
      <c r="V174" s="584"/>
      <c r="W174" s="585" t="s">
        <v>388</v>
      </c>
      <c r="X174" s="380"/>
    </row>
    <row r="175" spans="1:24" hidden="1">
      <c r="A175" s="380"/>
      <c r="B175" s="576">
        <v>0</v>
      </c>
      <c r="C175" s="577" t="s">
        <v>388</v>
      </c>
      <c r="D175" s="578" t="s">
        <v>388</v>
      </c>
      <c r="E175" s="579" t="s">
        <v>388</v>
      </c>
      <c r="F175" s="579" t="s">
        <v>388</v>
      </c>
      <c r="G175" s="579" t="s">
        <v>388</v>
      </c>
      <c r="H175" s="579" t="s">
        <v>388</v>
      </c>
      <c r="I175" s="579" t="s">
        <v>388</v>
      </c>
      <c r="J175" s="579" t="s">
        <v>388</v>
      </c>
      <c r="K175" s="579" t="s">
        <v>388</v>
      </c>
      <c r="L175" s="580" t="s">
        <v>388</v>
      </c>
      <c r="M175" s="581" t="s">
        <v>388</v>
      </c>
      <c r="N175" s="578" t="s">
        <v>388</v>
      </c>
      <c r="O175" s="580" t="s">
        <v>388</v>
      </c>
      <c r="P175" s="579" t="s">
        <v>388</v>
      </c>
      <c r="Q175" s="582"/>
      <c r="R175" s="583" t="e">
        <v>#VALUE!</v>
      </c>
      <c r="S175" s="382" t="e">
        <v>#VALUE!</v>
      </c>
      <c r="T175" s="382" t="e">
        <v>#VALUE!</v>
      </c>
      <c r="U175" s="382" t="e">
        <v>#VALUE!</v>
      </c>
      <c r="V175" s="584"/>
      <c r="W175" s="585" t="s">
        <v>388</v>
      </c>
      <c r="X175" s="380"/>
    </row>
    <row r="176" spans="1:24" hidden="1">
      <c r="A176" s="380"/>
      <c r="B176" s="586">
        <v>0</v>
      </c>
      <c r="C176" s="587" t="s">
        <v>388</v>
      </c>
      <c r="D176" s="588" t="s">
        <v>388</v>
      </c>
      <c r="E176" s="589" t="s">
        <v>388</v>
      </c>
      <c r="F176" s="589" t="s">
        <v>388</v>
      </c>
      <c r="G176" s="589" t="s">
        <v>388</v>
      </c>
      <c r="H176" s="589" t="s">
        <v>388</v>
      </c>
      <c r="I176" s="589" t="s">
        <v>388</v>
      </c>
      <c r="J176" s="589" t="s">
        <v>388</v>
      </c>
      <c r="K176" s="589" t="s">
        <v>388</v>
      </c>
      <c r="L176" s="590" t="s">
        <v>388</v>
      </c>
      <c r="M176" s="591" t="s">
        <v>388</v>
      </c>
      <c r="N176" s="588" t="s">
        <v>388</v>
      </c>
      <c r="O176" s="590" t="s">
        <v>388</v>
      </c>
      <c r="P176" s="589" t="s">
        <v>388</v>
      </c>
      <c r="Q176" s="592"/>
      <c r="R176" s="593" t="e">
        <v>#VALUE!</v>
      </c>
      <c r="S176" s="594" t="e">
        <v>#VALUE!</v>
      </c>
      <c r="T176" s="594" t="e">
        <v>#VALUE!</v>
      </c>
      <c r="U176" s="594" t="e">
        <v>#VALUE!</v>
      </c>
      <c r="V176" s="595"/>
      <c r="W176" s="596" t="s">
        <v>388</v>
      </c>
      <c r="X176" s="380"/>
    </row>
    <row r="177" spans="1:24" hidden="1">
      <c r="A177" s="380"/>
      <c r="B177" s="598"/>
      <c r="C177" s="599"/>
      <c r="D177" s="566"/>
      <c r="E177" s="566"/>
      <c r="F177" s="566"/>
      <c r="G177" s="566"/>
      <c r="H177" s="566"/>
      <c r="I177" s="566"/>
      <c r="J177" s="566"/>
      <c r="K177" s="566"/>
      <c r="L177" s="567"/>
      <c r="M177" s="566"/>
      <c r="N177" s="566"/>
      <c r="O177" s="567"/>
      <c r="P177" s="566"/>
      <c r="Q177" s="598"/>
      <c r="R177" s="571"/>
      <c r="S177" s="571"/>
      <c r="T177" s="571"/>
      <c r="U177" s="571"/>
      <c r="V177" s="600"/>
      <c r="W177" s="601"/>
      <c r="X177" s="380"/>
    </row>
    <row r="178" spans="1:24" hidden="1">
      <c r="A178" s="380"/>
      <c r="B178" s="608" t="s">
        <v>338</v>
      </c>
      <c r="C178" s="527"/>
      <c r="D178" s="579"/>
      <c r="E178" s="579"/>
      <c r="F178" s="579"/>
      <c r="G178" s="579"/>
      <c r="H178" s="579"/>
      <c r="I178" s="579"/>
      <c r="J178" s="579"/>
      <c r="K178" s="579"/>
      <c r="L178" s="580"/>
      <c r="M178" s="579"/>
      <c r="N178" s="579"/>
      <c r="O178" s="580"/>
      <c r="P178" s="579"/>
      <c r="Q178" s="374"/>
      <c r="R178" s="382"/>
      <c r="S178" s="382"/>
      <c r="T178" s="382"/>
      <c r="U178" s="382"/>
      <c r="V178" s="604"/>
      <c r="W178" s="605"/>
      <c r="X178" s="380"/>
    </row>
    <row r="179" spans="1:24" hidden="1">
      <c r="A179" s="380"/>
      <c r="B179" s="380"/>
      <c r="C179" s="609"/>
      <c r="D179" s="579"/>
      <c r="E179" s="579"/>
      <c r="F179" s="579"/>
      <c r="G179" s="579"/>
      <c r="H179" s="579"/>
      <c r="I179" s="579"/>
      <c r="J179" s="579"/>
      <c r="K179" s="579"/>
      <c r="L179" s="580"/>
      <c r="M179" s="579"/>
      <c r="N179" s="579"/>
      <c r="O179" s="580"/>
      <c r="P179" s="579"/>
      <c r="Q179" s="374"/>
      <c r="R179" s="382"/>
      <c r="S179" s="382"/>
      <c r="T179" s="382"/>
      <c r="U179" s="382"/>
      <c r="V179" s="604"/>
      <c r="W179" s="605"/>
      <c r="X179" s="380"/>
    </row>
    <row r="180" spans="1:24" hidden="1">
      <c r="A180" s="380"/>
      <c r="B180" s="634" t="s">
        <v>339</v>
      </c>
      <c r="C180" s="523"/>
      <c r="D180" s="579"/>
      <c r="E180" s="579"/>
      <c r="F180" s="579"/>
      <c r="G180" s="579"/>
      <c r="H180" s="579"/>
      <c r="I180" s="579"/>
      <c r="J180" s="579"/>
      <c r="K180" s="579"/>
      <c r="L180" s="580"/>
      <c r="M180" s="579"/>
      <c r="N180" s="579"/>
      <c r="O180" s="580"/>
      <c r="P180" s="579"/>
      <c r="Q180" s="374"/>
      <c r="R180" s="382"/>
      <c r="S180" s="382"/>
      <c r="T180" s="382"/>
      <c r="U180" s="382"/>
      <c r="V180" s="604"/>
      <c r="W180" s="605"/>
      <c r="X180" s="380"/>
    </row>
    <row r="181" spans="1:24" hidden="1">
      <c r="A181" s="380"/>
      <c r="B181" s="634" t="s">
        <v>340</v>
      </c>
      <c r="C181" s="618"/>
      <c r="D181" s="579"/>
      <c r="E181" s="579"/>
      <c r="F181" s="579"/>
      <c r="G181" s="579"/>
      <c r="H181" s="579"/>
      <c r="I181" s="579"/>
      <c r="J181" s="579"/>
      <c r="K181" s="579"/>
      <c r="L181" s="580"/>
      <c r="M181" s="579"/>
      <c r="N181" s="579"/>
      <c r="O181" s="580"/>
      <c r="P181" s="579"/>
      <c r="Q181" s="374"/>
      <c r="R181" s="382"/>
      <c r="S181" s="382"/>
      <c r="T181" s="382"/>
      <c r="U181" s="382"/>
      <c r="V181" s="604"/>
      <c r="W181" s="605"/>
      <c r="X181" s="380"/>
    </row>
    <row r="182" spans="1:24" hidden="1">
      <c r="A182" s="380"/>
      <c r="B182" s="634" t="s">
        <v>497</v>
      </c>
      <c r="C182" s="635"/>
      <c r="D182" s="579"/>
      <c r="E182" s="579"/>
      <c r="F182" s="579"/>
      <c r="G182" s="579"/>
      <c r="H182" s="579"/>
      <c r="I182" s="579"/>
      <c r="J182" s="579"/>
      <c r="K182" s="579"/>
      <c r="L182" s="580"/>
      <c r="M182" s="579"/>
      <c r="N182" s="579"/>
      <c r="O182" s="580"/>
      <c r="P182" s="579"/>
      <c r="Q182" s="374"/>
      <c r="R182" s="382"/>
      <c r="S182" s="382"/>
      <c r="T182" s="382"/>
      <c r="U182" s="382"/>
      <c r="V182" s="604"/>
      <c r="W182" s="605"/>
      <c r="X182" s="380"/>
    </row>
    <row r="183" spans="1:24" hidden="1">
      <c r="A183" s="380"/>
      <c r="B183" s="634" t="s">
        <v>341</v>
      </c>
      <c r="C183" s="635"/>
      <c r="D183" s="579"/>
      <c r="E183" s="579"/>
      <c r="F183" s="579"/>
      <c r="G183" s="579"/>
      <c r="H183" s="579"/>
      <c r="I183" s="579"/>
      <c r="J183" s="579"/>
      <c r="K183" s="579"/>
      <c r="L183" s="580"/>
      <c r="M183" s="579"/>
      <c r="N183" s="579"/>
      <c r="O183" s="580"/>
      <c r="P183" s="579"/>
      <c r="Q183" s="374"/>
      <c r="R183" s="382"/>
      <c r="S183" s="382"/>
      <c r="T183" s="382"/>
      <c r="U183" s="382"/>
      <c r="V183" s="604"/>
      <c r="W183" s="605"/>
      <c r="X183" s="380"/>
    </row>
    <row r="184" spans="1:24" hidden="1">
      <c r="A184" s="380"/>
      <c r="B184" s="634" t="s">
        <v>498</v>
      </c>
      <c r="C184" s="635"/>
      <c r="D184" s="579"/>
      <c r="E184" s="579"/>
      <c r="F184" s="579"/>
      <c r="G184" s="579"/>
      <c r="H184" s="579"/>
      <c r="I184" s="579"/>
      <c r="J184" s="579"/>
      <c r="K184" s="579"/>
      <c r="L184" s="580"/>
      <c r="M184" s="579"/>
      <c r="N184" s="579"/>
      <c r="O184" s="580"/>
      <c r="P184" s="579"/>
      <c r="Q184" s="374"/>
      <c r="R184" s="382"/>
      <c r="S184" s="382"/>
      <c r="T184" s="382"/>
      <c r="U184" s="382"/>
      <c r="V184" s="604"/>
      <c r="W184" s="605"/>
      <c r="X184" s="380"/>
    </row>
    <row r="185" spans="1:24" hidden="1">
      <c r="A185" s="380"/>
      <c r="B185" s="634" t="s">
        <v>499</v>
      </c>
      <c r="C185" s="635"/>
      <c r="D185" s="579"/>
      <c r="E185" s="579"/>
      <c r="F185" s="579"/>
      <c r="G185" s="579"/>
      <c r="H185" s="579"/>
      <c r="I185" s="579"/>
      <c r="J185" s="579"/>
      <c r="K185" s="579"/>
      <c r="L185" s="580"/>
      <c r="M185" s="579"/>
      <c r="N185" s="579"/>
      <c r="O185" s="580"/>
      <c r="P185" s="579"/>
      <c r="Q185" s="374"/>
      <c r="R185" s="382"/>
      <c r="S185" s="382"/>
      <c r="T185" s="382"/>
      <c r="U185" s="382"/>
      <c r="V185" s="604"/>
      <c r="W185" s="605"/>
      <c r="X185" s="380"/>
    </row>
    <row r="186" spans="1:24" hidden="1">
      <c r="A186" s="380"/>
      <c r="B186" s="634" t="s">
        <v>500</v>
      </c>
      <c r="C186" s="635"/>
      <c r="D186" s="579"/>
      <c r="E186" s="579"/>
      <c r="F186" s="579"/>
      <c r="G186" s="579"/>
      <c r="H186" s="579"/>
      <c r="I186" s="579"/>
      <c r="J186" s="579"/>
      <c r="K186" s="579"/>
      <c r="L186" s="580"/>
      <c r="M186" s="579"/>
      <c r="N186" s="579"/>
      <c r="O186" s="580"/>
      <c r="P186" s="579"/>
      <c r="Q186" s="374"/>
      <c r="R186" s="382"/>
      <c r="S186" s="382"/>
      <c r="T186" s="382"/>
      <c r="U186" s="382"/>
      <c r="V186" s="604"/>
      <c r="W186" s="605"/>
      <c r="X186" s="380"/>
    </row>
    <row r="187" spans="1:24" hidden="1">
      <c r="A187" s="380"/>
      <c r="B187" s="634" t="s">
        <v>212</v>
      </c>
      <c r="C187" s="527"/>
      <c r="D187" s="579"/>
      <c r="E187" s="579"/>
      <c r="F187" s="579"/>
      <c r="G187" s="579"/>
      <c r="H187" s="579"/>
      <c r="I187" s="579"/>
      <c r="J187" s="579"/>
      <c r="K187" s="579"/>
      <c r="L187" s="580"/>
      <c r="M187" s="579"/>
      <c r="N187" s="579"/>
      <c r="O187" s="580"/>
      <c r="P187" s="579"/>
      <c r="Q187" s="374"/>
      <c r="R187" s="382"/>
      <c r="S187" s="382"/>
      <c r="T187" s="382"/>
      <c r="U187" s="382"/>
      <c r="V187" s="604"/>
      <c r="W187" s="605"/>
      <c r="X187" s="380"/>
    </row>
    <row r="188" spans="1:24" hidden="1">
      <c r="A188" s="380"/>
      <c r="C188" s="527"/>
      <c r="D188" s="579"/>
      <c r="E188" s="579"/>
      <c r="F188" s="579"/>
      <c r="G188" s="579"/>
      <c r="H188" s="579"/>
      <c r="I188" s="579"/>
      <c r="J188" s="579"/>
      <c r="K188" s="579"/>
      <c r="L188" s="580"/>
      <c r="M188" s="579"/>
      <c r="N188" s="579"/>
      <c r="O188" s="580"/>
      <c r="P188" s="579"/>
      <c r="Q188" s="374"/>
      <c r="R188" s="382"/>
      <c r="S188" s="382"/>
      <c r="T188" s="382"/>
      <c r="U188" s="382"/>
      <c r="V188" s="604"/>
      <c r="W188" s="605"/>
      <c r="X188" s="380"/>
    </row>
    <row r="189" spans="1:24" hidden="1">
      <c r="A189" s="380"/>
      <c r="B189" s="608" t="s">
        <v>334</v>
      </c>
      <c r="C189" s="609"/>
      <c r="D189" s="579"/>
      <c r="E189" s="579"/>
      <c r="F189" s="579"/>
      <c r="G189" s="579"/>
      <c r="H189" s="579"/>
      <c r="I189" s="579"/>
      <c r="J189" s="579"/>
      <c r="K189" s="579"/>
      <c r="L189" s="580"/>
      <c r="M189" s="579"/>
      <c r="N189" s="579"/>
      <c r="O189" s="580"/>
      <c r="P189" s="579"/>
      <c r="Q189" s="374"/>
      <c r="R189" s="382"/>
      <c r="S189" s="382"/>
      <c r="T189" s="382"/>
      <c r="U189" s="382"/>
      <c r="V189" s="604"/>
      <c r="W189" s="605"/>
      <c r="X189" s="380"/>
    </row>
    <row r="190" spans="1:24" hidden="1">
      <c r="A190" s="380"/>
      <c r="B190" s="606" t="e">
        <v>#N/A</v>
      </c>
      <c r="C190" s="523"/>
      <c r="D190" s="579"/>
      <c r="E190" s="579"/>
      <c r="F190" s="579"/>
      <c r="G190" s="579"/>
      <c r="H190" s="579"/>
      <c r="I190" s="579"/>
      <c r="J190" s="579"/>
      <c r="K190" s="579"/>
      <c r="L190" s="580"/>
      <c r="M190" s="579"/>
      <c r="N190" s="579"/>
      <c r="O190" s="580"/>
      <c r="P190" s="579"/>
      <c r="Q190" s="374"/>
      <c r="R190" s="382"/>
      <c r="S190" s="382"/>
      <c r="T190" s="382"/>
      <c r="U190" s="382"/>
      <c r="V190" s="604"/>
      <c r="W190" s="605"/>
      <c r="X190" s="380"/>
    </row>
    <row r="191" spans="1:24" hidden="1">
      <c r="A191" s="380"/>
      <c r="B191" s="608" t="s">
        <v>342</v>
      </c>
      <c r="C191" s="523"/>
      <c r="D191" s="380"/>
      <c r="E191" s="380"/>
      <c r="F191" s="380"/>
      <c r="G191" s="579"/>
      <c r="H191" s="579"/>
      <c r="I191" s="579"/>
      <c r="J191" s="579"/>
      <c r="K191" s="579"/>
      <c r="L191" s="380"/>
      <c r="M191" s="607"/>
      <c r="N191" s="579"/>
      <c r="O191" s="580"/>
      <c r="P191" s="579"/>
      <c r="Q191" s="374"/>
      <c r="R191" s="382"/>
      <c r="S191" s="382"/>
      <c r="T191" s="382"/>
      <c r="U191" s="382"/>
      <c r="V191" s="604"/>
      <c r="W191" s="605"/>
      <c r="X191" s="380"/>
    </row>
    <row r="192" spans="1:24" hidden="1">
      <c r="A192" s="380"/>
      <c r="B192" s="380"/>
      <c r="C192" s="609"/>
      <c r="D192" s="380"/>
      <c r="E192" s="380"/>
      <c r="F192" s="380"/>
      <c r="G192" s="579"/>
      <c r="H192" s="579"/>
      <c r="I192" s="579"/>
      <c r="J192" s="579"/>
      <c r="K192" s="579"/>
      <c r="L192" s="580"/>
      <c r="M192" s="579"/>
      <c r="N192" s="579"/>
      <c r="O192" s="580"/>
      <c r="P192" s="579"/>
      <c r="Q192" s="374"/>
      <c r="R192" s="382"/>
      <c r="S192" s="382"/>
      <c r="T192" s="382"/>
      <c r="U192" s="382"/>
      <c r="V192" s="604"/>
      <c r="W192" s="605"/>
      <c r="X192" s="380"/>
    </row>
    <row r="193" spans="1:24" hidden="1">
      <c r="A193" s="380"/>
      <c r="B193" s="608" t="s">
        <v>336</v>
      </c>
      <c r="C193" s="620"/>
      <c r="D193" s="380"/>
      <c r="E193" s="380"/>
      <c r="F193" s="380"/>
      <c r="G193" s="380"/>
      <c r="H193" s="380"/>
      <c r="I193" s="380"/>
      <c r="J193" s="380"/>
      <c r="K193" s="380"/>
      <c r="L193" s="380"/>
      <c r="M193" s="380"/>
      <c r="N193" s="380"/>
      <c r="O193" s="380"/>
      <c r="P193" s="380"/>
      <c r="Q193" s="380"/>
      <c r="R193" s="524"/>
      <c r="S193" s="524"/>
      <c r="T193" s="524"/>
      <c r="U193" s="524"/>
      <c r="V193" s="380"/>
      <c r="W193" s="380"/>
      <c r="X193" s="380"/>
    </row>
    <row r="194" spans="1:24" hidden="1">
      <c r="A194" s="380"/>
      <c r="B194" s="636" t="s">
        <v>502</v>
      </c>
      <c r="C194" s="523"/>
      <c r="D194" s="380"/>
      <c r="E194" s="380"/>
      <c r="F194" s="380"/>
      <c r="G194" s="380"/>
      <c r="H194" s="380"/>
      <c r="I194" s="380"/>
      <c r="J194" s="380"/>
      <c r="K194" s="380"/>
      <c r="L194" s="380"/>
      <c r="M194" s="380"/>
      <c r="N194" s="380"/>
      <c r="O194" s="380"/>
      <c r="P194" s="380"/>
      <c r="Q194" s="380"/>
      <c r="R194" s="524"/>
      <c r="S194" s="524"/>
      <c r="T194" s="524"/>
      <c r="U194" s="524"/>
      <c r="V194" s="380"/>
      <c r="W194" s="380"/>
      <c r="X194" s="380"/>
    </row>
    <row r="195" spans="1:24" hidden="1">
      <c r="A195" s="380"/>
      <c r="B195" s="380"/>
      <c r="C195" s="611"/>
      <c r="D195" s="380"/>
      <c r="E195" s="380"/>
      <c r="F195" s="380"/>
      <c r="G195" s="380"/>
      <c r="H195" s="380"/>
      <c r="I195" s="380"/>
      <c r="J195" s="380"/>
      <c r="K195" s="380"/>
      <c r="L195" s="380"/>
      <c r="M195" s="380"/>
      <c r="N195" s="380"/>
      <c r="O195" s="380"/>
      <c r="P195" s="380"/>
      <c r="Q195" s="380"/>
      <c r="R195" s="524"/>
      <c r="S195" s="524"/>
      <c r="T195" s="524"/>
      <c r="U195" s="524"/>
      <c r="V195" s="380"/>
      <c r="W195" s="380"/>
      <c r="X195" s="380"/>
    </row>
    <row r="196" spans="1:24" hidden="1">
      <c r="A196" s="380"/>
      <c r="B196" s="610" t="s">
        <v>432</v>
      </c>
      <c r="C196" s="612"/>
      <c r="D196" s="380"/>
      <c r="E196" s="380"/>
      <c r="F196" s="380"/>
      <c r="G196" s="380"/>
      <c r="H196" s="380"/>
      <c r="I196" s="380"/>
      <c r="J196" s="380"/>
      <c r="K196" s="380"/>
      <c r="L196" s="380"/>
      <c r="M196" s="380"/>
      <c r="N196" s="380"/>
      <c r="O196" s="380"/>
      <c r="P196" s="380"/>
      <c r="Q196" s="380"/>
      <c r="R196" s="524"/>
      <c r="S196" s="524"/>
      <c r="T196" s="524"/>
      <c r="U196" s="524"/>
      <c r="V196" s="380"/>
      <c r="W196" s="380"/>
      <c r="X196" s="380"/>
    </row>
    <row r="197" spans="1:24" hidden="1">
      <c r="A197" s="380"/>
      <c r="B197" s="610" t="s">
        <v>125</v>
      </c>
      <c r="C197" s="612"/>
      <c r="D197" s="380"/>
      <c r="E197" s="380"/>
      <c r="F197" s="380"/>
      <c r="G197" s="380"/>
      <c r="H197" s="380"/>
      <c r="I197" s="380"/>
      <c r="J197" s="380"/>
      <c r="K197" s="380"/>
      <c r="L197" s="380"/>
      <c r="M197" s="380"/>
      <c r="N197" s="380"/>
      <c r="O197" s="380"/>
      <c r="P197" s="380"/>
      <c r="Q197" s="380"/>
      <c r="R197" s="524"/>
      <c r="S197" s="524"/>
      <c r="T197" s="524"/>
      <c r="U197" s="524"/>
      <c r="V197" s="380"/>
      <c r="W197" s="380"/>
      <c r="X197" s="380"/>
    </row>
    <row r="198" spans="1:24" hidden="1">
      <c r="A198" s="380"/>
      <c r="B198" s="610" t="s">
        <v>126</v>
      </c>
      <c r="C198" s="612"/>
      <c r="D198" s="380"/>
      <c r="E198" s="380"/>
      <c r="F198" s="380"/>
      <c r="G198" s="380"/>
      <c r="H198" s="380"/>
      <c r="I198" s="380"/>
      <c r="J198" s="380"/>
      <c r="K198" s="380"/>
      <c r="L198" s="380"/>
      <c r="M198" s="380"/>
      <c r="N198" s="380"/>
      <c r="O198" s="380"/>
      <c r="P198" s="380"/>
      <c r="Q198" s="380"/>
      <c r="R198" s="524"/>
      <c r="S198" s="524"/>
      <c r="T198" s="524"/>
      <c r="U198" s="524"/>
      <c r="V198" s="380"/>
      <c r="W198" s="380"/>
      <c r="X198" s="380"/>
    </row>
    <row r="199" spans="1:24" hidden="1">
      <c r="A199" s="380"/>
      <c r="B199" s="610" t="s">
        <v>127</v>
      </c>
      <c r="C199" s="612"/>
      <c r="D199" s="380"/>
      <c r="E199" s="380"/>
      <c r="F199" s="380"/>
      <c r="G199" s="380"/>
      <c r="H199" s="380"/>
      <c r="I199" s="380"/>
      <c r="J199" s="380"/>
      <c r="K199" s="380"/>
      <c r="L199" s="380"/>
      <c r="M199" s="380"/>
      <c r="N199" s="613"/>
      <c r="O199" s="613"/>
      <c r="P199" s="613"/>
      <c r="Q199" s="614"/>
      <c r="R199" s="615"/>
      <c r="S199" s="524"/>
      <c r="T199" s="524"/>
      <c r="U199" s="524"/>
      <c r="V199" s="380"/>
      <c r="W199" s="380"/>
      <c r="X199" s="616"/>
    </row>
    <row r="200" spans="1:24" hidden="1">
      <c r="A200" s="380"/>
      <c r="B200" s="610" t="s">
        <v>128</v>
      </c>
      <c r="C200" s="617"/>
      <c r="D200" s="380"/>
      <c r="E200" s="380"/>
      <c r="F200" s="380"/>
      <c r="G200" s="380"/>
      <c r="H200" s="380"/>
      <c r="I200" s="380"/>
      <c r="J200" s="380"/>
      <c r="K200" s="380"/>
      <c r="L200" s="380"/>
      <c r="M200" s="380"/>
      <c r="N200" s="380"/>
      <c r="O200" s="380"/>
      <c r="P200" s="380"/>
      <c r="Q200" s="380"/>
      <c r="R200" s="524"/>
      <c r="S200" s="524"/>
      <c r="T200" s="524"/>
      <c r="U200" s="524"/>
      <c r="V200" s="380"/>
      <c r="W200" s="380"/>
      <c r="X200" s="380"/>
    </row>
    <row r="201" spans="1:24" hidden="1">
      <c r="A201" s="380"/>
      <c r="B201" s="610" t="s">
        <v>433</v>
      </c>
      <c r="C201" s="618"/>
      <c r="D201" s="380"/>
      <c r="E201" s="380"/>
      <c r="F201" s="380"/>
      <c r="G201" s="380"/>
      <c r="H201" s="380"/>
      <c r="I201" s="380"/>
      <c r="J201" s="380"/>
      <c r="K201" s="380"/>
      <c r="L201" s="380"/>
      <c r="M201" s="380"/>
      <c r="N201" s="380"/>
      <c r="O201" s="380"/>
      <c r="P201" s="380"/>
      <c r="Q201" s="380"/>
      <c r="R201" s="524"/>
      <c r="S201" s="524"/>
      <c r="T201" s="524"/>
      <c r="U201" s="524"/>
      <c r="V201" s="380"/>
      <c r="W201" s="380"/>
      <c r="X201" s="380"/>
    </row>
    <row r="202" spans="1:24" hidden="1">
      <c r="A202" s="380"/>
      <c r="B202" s="610" t="s">
        <v>434</v>
      </c>
      <c r="C202" s="523"/>
      <c r="D202" s="380"/>
      <c r="E202" s="380"/>
      <c r="F202" s="380"/>
      <c r="G202" s="380"/>
      <c r="H202" s="380"/>
      <c r="I202" s="380"/>
      <c r="J202" s="380"/>
      <c r="K202" s="380"/>
      <c r="L202" s="380"/>
      <c r="M202" s="380"/>
      <c r="N202" s="380"/>
      <c r="O202" s="380"/>
      <c r="P202" s="380"/>
      <c r="Q202" s="380"/>
      <c r="R202" s="524"/>
      <c r="S202" s="524"/>
      <c r="T202" s="524"/>
      <c r="U202" s="524"/>
      <c r="V202" s="380"/>
      <c r="W202" s="380"/>
      <c r="X202" s="380"/>
    </row>
    <row r="203" spans="1:24" hidden="1">
      <c r="A203" s="380"/>
      <c r="B203" s="610" t="s">
        <v>435</v>
      </c>
      <c r="C203" s="618"/>
      <c r="D203" s="380"/>
      <c r="E203" s="380"/>
      <c r="F203" s="380"/>
      <c r="G203" s="380"/>
      <c r="H203" s="380"/>
      <c r="I203" s="380"/>
      <c r="J203" s="380"/>
      <c r="K203" s="380"/>
      <c r="L203" s="380"/>
      <c r="M203" s="380"/>
      <c r="N203" s="380"/>
      <c r="O203" s="380"/>
      <c r="P203" s="380"/>
      <c r="Q203" s="380"/>
      <c r="R203" s="524"/>
      <c r="S203" s="524"/>
      <c r="T203" s="524"/>
      <c r="U203" s="524"/>
      <c r="V203" s="380"/>
      <c r="W203" s="380"/>
      <c r="X203" s="380"/>
    </row>
    <row r="204" spans="1:24" hidden="1">
      <c r="A204" s="380"/>
      <c r="B204" s="610" t="s">
        <v>436</v>
      </c>
      <c r="C204" s="618"/>
      <c r="D204" s="380"/>
      <c r="E204" s="380"/>
      <c r="F204" s="380"/>
      <c r="G204" s="380"/>
      <c r="H204" s="380"/>
      <c r="I204" s="380"/>
      <c r="J204" s="380"/>
      <c r="K204" s="380"/>
      <c r="L204" s="380"/>
      <c r="M204" s="380"/>
      <c r="N204" s="380"/>
      <c r="O204" s="380"/>
      <c r="P204" s="380"/>
      <c r="Q204" s="380"/>
      <c r="R204" s="524"/>
      <c r="S204" s="524"/>
      <c r="T204" s="524"/>
      <c r="U204" s="524"/>
      <c r="V204" s="380"/>
      <c r="W204" s="380"/>
      <c r="X204" s="380"/>
    </row>
    <row r="205" spans="1:24" hidden="1">
      <c r="A205" s="380"/>
      <c r="B205" s="610" t="s">
        <v>437</v>
      </c>
      <c r="C205" s="523"/>
      <c r="D205" s="380"/>
      <c r="E205" s="380"/>
      <c r="F205" s="380"/>
      <c r="G205" s="380"/>
      <c r="H205" s="380"/>
      <c r="I205" s="380"/>
      <c r="J205" s="380"/>
      <c r="K205" s="380"/>
      <c r="L205" s="380"/>
      <c r="M205" s="380"/>
      <c r="N205" s="619"/>
      <c r="O205" s="619"/>
      <c r="P205" s="619"/>
      <c r="Q205" s="380"/>
      <c r="R205" s="524"/>
      <c r="S205" s="524"/>
      <c r="T205" s="524"/>
      <c r="U205" s="524"/>
      <c r="V205" s="380"/>
      <c r="W205" s="380"/>
      <c r="X205" s="380"/>
    </row>
    <row r="206" spans="1:24" hidden="1">
      <c r="A206" s="380"/>
      <c r="B206" s="610" t="s">
        <v>438</v>
      </c>
      <c r="C206" s="523"/>
      <c r="D206" s="380"/>
      <c r="E206" s="380"/>
      <c r="F206" s="380"/>
      <c r="G206" s="380"/>
      <c r="H206" s="380"/>
      <c r="I206" s="380"/>
      <c r="J206" s="380"/>
      <c r="K206" s="380"/>
      <c r="L206" s="380"/>
      <c r="M206" s="380"/>
      <c r="N206" s="380"/>
      <c r="O206" s="380"/>
      <c r="P206" s="380"/>
      <c r="Q206" s="380"/>
      <c r="R206" s="524"/>
      <c r="S206" s="524"/>
      <c r="T206" s="524"/>
      <c r="U206" s="524"/>
      <c r="V206" s="380"/>
      <c r="W206" s="380"/>
      <c r="X206" s="380"/>
    </row>
    <row r="207" spans="1:24" hidden="1">
      <c r="A207" s="380"/>
      <c r="B207" s="610" t="s">
        <v>439</v>
      </c>
      <c r="C207" s="523"/>
      <c r="D207" s="380"/>
      <c r="E207" s="380"/>
      <c r="F207" s="380"/>
      <c r="G207" s="380"/>
      <c r="H207" s="380"/>
      <c r="I207" s="380"/>
      <c r="J207" s="380"/>
      <c r="K207" s="380"/>
      <c r="L207" s="380"/>
      <c r="M207" s="380"/>
      <c r="N207" s="380"/>
      <c r="O207" s="380"/>
      <c r="P207" s="380"/>
      <c r="Q207" s="380"/>
      <c r="R207" s="524"/>
      <c r="S207" s="524"/>
      <c r="T207" s="524"/>
      <c r="U207" s="524"/>
      <c r="V207" s="380"/>
      <c r="W207" s="380"/>
      <c r="X207" s="380"/>
    </row>
    <row r="208" spans="1:24" hidden="1">
      <c r="A208" s="380"/>
      <c r="B208" s="610" t="s">
        <v>440</v>
      </c>
      <c r="C208" s="618"/>
      <c r="D208" s="380"/>
      <c r="E208" s="380"/>
      <c r="F208" s="380"/>
      <c r="G208" s="380"/>
      <c r="H208" s="380"/>
      <c r="I208" s="380"/>
      <c r="J208" s="380"/>
      <c r="K208" s="380"/>
      <c r="L208" s="380"/>
      <c r="M208" s="380"/>
      <c r="N208" s="380"/>
      <c r="O208" s="380"/>
      <c r="P208" s="380"/>
      <c r="Q208" s="380"/>
      <c r="R208" s="524"/>
      <c r="S208" s="524"/>
      <c r="T208" s="524"/>
      <c r="U208" s="524"/>
      <c r="V208" s="380"/>
      <c r="W208" s="380"/>
      <c r="X208" s="380"/>
    </row>
    <row r="209" spans="1:24" hidden="1">
      <c r="A209" s="380"/>
      <c r="B209" s="610" t="s">
        <v>441</v>
      </c>
      <c r="C209" s="620"/>
      <c r="D209" s="380"/>
      <c r="E209" s="380"/>
      <c r="F209" s="380"/>
      <c r="G209" s="380"/>
      <c r="H209" s="380"/>
      <c r="I209" s="380"/>
      <c r="J209" s="380"/>
      <c r="K209" s="380"/>
      <c r="L209" s="380"/>
      <c r="M209" s="380"/>
      <c r="N209" s="380"/>
      <c r="O209" s="380"/>
      <c r="P209" s="380"/>
      <c r="Q209" s="380"/>
      <c r="R209" s="524"/>
      <c r="S209" s="524"/>
      <c r="T209" s="524"/>
      <c r="U209" s="524"/>
      <c r="V209" s="621"/>
      <c r="W209" s="621"/>
      <c r="X209" s="380"/>
    </row>
    <row r="210" spans="1:24" hidden="1">
      <c r="A210" s="380"/>
      <c r="B210" s="610" t="s">
        <v>388</v>
      </c>
      <c r="C210" s="620"/>
      <c r="D210" s="380"/>
      <c r="E210" s="380"/>
      <c r="F210" s="380"/>
      <c r="G210" s="380"/>
      <c r="H210" s="380"/>
      <c r="I210" s="380"/>
      <c r="J210" s="380"/>
      <c r="K210" s="380"/>
      <c r="L210" s="380"/>
      <c r="M210" s="380"/>
      <c r="N210" s="380"/>
      <c r="O210" s="380"/>
      <c r="P210" s="380"/>
      <c r="Q210" s="380"/>
      <c r="R210" s="524"/>
      <c r="S210" s="524"/>
      <c r="T210" s="524"/>
      <c r="U210" s="524"/>
      <c r="V210" s="621"/>
      <c r="W210" s="621"/>
      <c r="X210" s="380"/>
    </row>
    <row r="211" spans="1:24" hidden="1">
      <c r="A211" s="380"/>
      <c r="B211" s="610" t="s">
        <v>388</v>
      </c>
      <c r="C211" s="620"/>
      <c r="D211" s="380"/>
      <c r="E211" s="380"/>
      <c r="F211" s="380"/>
      <c r="G211" s="380"/>
      <c r="H211" s="380"/>
      <c r="I211" s="380"/>
      <c r="J211" s="380"/>
      <c r="K211" s="380"/>
      <c r="L211" s="380"/>
      <c r="M211" s="380"/>
      <c r="N211" s="380"/>
      <c r="O211" s="380"/>
      <c r="P211" s="380"/>
      <c r="Q211" s="380"/>
      <c r="R211" s="524"/>
      <c r="S211" s="524"/>
      <c r="T211" s="524"/>
      <c r="U211" s="524"/>
      <c r="V211" s="621"/>
      <c r="W211" s="621"/>
      <c r="X211" s="380"/>
    </row>
    <row r="212" spans="1:24" hidden="1">
      <c r="A212" s="380"/>
      <c r="B212" s="610" t="s">
        <v>388</v>
      </c>
      <c r="C212" s="620"/>
      <c r="D212" s="380"/>
      <c r="E212" s="380"/>
      <c r="F212" s="380"/>
      <c r="G212" s="380"/>
      <c r="H212" s="380"/>
      <c r="I212" s="380"/>
      <c r="J212" s="380"/>
      <c r="K212" s="380"/>
      <c r="L212" s="380"/>
      <c r="M212" s="380"/>
      <c r="N212" s="380"/>
      <c r="O212" s="380"/>
      <c r="P212" s="380"/>
      <c r="Q212" s="380"/>
      <c r="R212" s="524"/>
      <c r="S212" s="524"/>
      <c r="T212" s="524"/>
      <c r="U212" s="524"/>
      <c r="V212" s="621"/>
      <c r="W212" s="621"/>
      <c r="X212" s="380"/>
    </row>
    <row r="213" spans="1:24" hidden="1">
      <c r="A213" s="380"/>
      <c r="B213" s="610" t="s">
        <v>442</v>
      </c>
      <c r="C213" s="620"/>
      <c r="D213" s="380"/>
      <c r="E213" s="380"/>
      <c r="F213" s="380"/>
      <c r="G213" s="380"/>
      <c r="H213" s="380"/>
      <c r="I213" s="380"/>
      <c r="J213" s="380"/>
      <c r="K213" s="380"/>
      <c r="L213" s="380"/>
      <c r="M213" s="380"/>
      <c r="N213" s="380"/>
      <c r="O213" s="380"/>
      <c r="P213" s="380"/>
      <c r="Q213" s="380"/>
      <c r="R213" s="524"/>
      <c r="S213" s="524"/>
      <c r="T213" s="524"/>
      <c r="U213" s="524"/>
      <c r="V213" s="621"/>
      <c r="W213" s="621"/>
      <c r="X213" s="380"/>
    </row>
    <row r="214" spans="1:24" hidden="1">
      <c r="A214" s="380"/>
      <c r="B214" s="610" t="s">
        <v>443</v>
      </c>
      <c r="C214" s="620"/>
      <c r="D214" s="380"/>
      <c r="E214" s="380"/>
      <c r="F214" s="380"/>
      <c r="G214" s="380"/>
      <c r="H214" s="380"/>
      <c r="I214" s="380"/>
      <c r="J214" s="380"/>
      <c r="K214" s="380"/>
      <c r="L214" s="380"/>
      <c r="M214" s="380"/>
      <c r="N214" s="380"/>
      <c r="O214" s="380"/>
      <c r="P214" s="380"/>
      <c r="Q214" s="380"/>
      <c r="R214" s="524"/>
      <c r="S214" s="524"/>
      <c r="T214" s="524"/>
      <c r="U214" s="524"/>
      <c r="V214" s="621"/>
      <c r="W214" s="621"/>
      <c r="X214" s="380"/>
    </row>
    <row r="215" spans="1:24" ht="20.100000000000001" hidden="1" customHeight="1">
      <c r="A215" s="380"/>
      <c r="B215" s="627" t="s">
        <v>198</v>
      </c>
      <c r="C215" s="523"/>
      <c r="D215" s="380"/>
      <c r="E215" s="380"/>
      <c r="F215" s="380"/>
      <c r="G215" s="380"/>
      <c r="H215" s="380"/>
      <c r="I215" s="380"/>
      <c r="J215" s="380"/>
      <c r="K215" s="380"/>
      <c r="L215" s="380"/>
      <c r="M215" s="380"/>
      <c r="N215" s="380"/>
      <c r="O215" s="380"/>
      <c r="P215" s="380"/>
      <c r="Q215" s="380"/>
      <c r="R215" s="524"/>
      <c r="S215" s="524"/>
      <c r="T215" s="524"/>
      <c r="U215" s="524"/>
      <c r="V215" s="380"/>
      <c r="W215" s="621"/>
      <c r="X215" s="380"/>
    </row>
    <row r="216" spans="1:24" hidden="1">
      <c r="A216" s="380"/>
      <c r="B216" s="371" t="s">
        <v>192</v>
      </c>
      <c r="C216" s="523"/>
      <c r="D216" s="380"/>
      <c r="E216" s="380"/>
      <c r="F216" s="380"/>
      <c r="G216" s="380"/>
      <c r="H216" s="380"/>
      <c r="I216" s="380"/>
      <c r="J216" s="380"/>
      <c r="K216" s="380"/>
      <c r="L216" s="380"/>
      <c r="M216" s="380"/>
      <c r="N216" s="380"/>
      <c r="O216" s="380"/>
      <c r="P216" s="380"/>
      <c r="Q216" s="380"/>
      <c r="R216" s="524"/>
      <c r="S216" s="524"/>
      <c r="T216" s="524"/>
      <c r="U216" s="524"/>
      <c r="V216" s="380"/>
      <c r="W216" s="380"/>
      <c r="X216" s="380"/>
    </row>
  </sheetData>
  <sheetProtection password="8AA1" sheet="1" objects="1" scenarios="1"/>
  <mergeCells count="6">
    <mergeCell ref="D11:M11"/>
    <mergeCell ref="N11:Q11"/>
    <mergeCell ref="D83:M83"/>
    <mergeCell ref="N83:Q83"/>
    <mergeCell ref="D155:M155"/>
    <mergeCell ref="N155:Q155"/>
  </mergeCells>
  <printOptions horizontalCentered="1"/>
  <pageMargins left="0.25" right="0.25" top="0.3" bottom="0" header="0.5" footer="0"/>
  <pageSetup scale="43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59999389629810485"/>
    <outlinePr summaryBelow="0"/>
    <pageSetUpPr fitToPage="1"/>
  </sheetPr>
  <dimension ref="A1:L62"/>
  <sheetViews>
    <sheetView showGridLines="0" topLeftCell="B7" zoomScale="85" zoomScaleNormal="100" workbookViewId="0"/>
  </sheetViews>
  <sheetFormatPr defaultColWidth="9.109375" defaultRowHeight="13.2"/>
  <cols>
    <col min="1" max="1" width="26.33203125" style="2" customWidth="1"/>
    <col min="2" max="3" width="17.33203125" style="639" customWidth="1"/>
    <col min="4" max="12" width="17.33203125" style="640" customWidth="1"/>
    <col min="13" max="16384" width="9.109375" style="2"/>
  </cols>
  <sheetData>
    <row r="1" spans="1:12" ht="26.1" customHeight="1">
      <c r="A1" s="206"/>
      <c r="B1" s="637"/>
      <c r="C1" s="637"/>
      <c r="D1" s="638"/>
      <c r="E1" s="638"/>
      <c r="F1" s="638"/>
      <c r="G1" s="638"/>
      <c r="H1" s="638"/>
      <c r="I1" s="638"/>
      <c r="J1" s="638"/>
      <c r="K1" s="638"/>
      <c r="L1" s="638"/>
    </row>
    <row r="2" spans="1:12" ht="5.25" customHeight="1"/>
    <row r="3" spans="1:12" ht="24" customHeight="1">
      <c r="I3" s="2"/>
      <c r="J3" s="213" t="s">
        <v>392</v>
      </c>
      <c r="K3" s="372" t="s">
        <v>343</v>
      </c>
    </row>
    <row r="4" spans="1:12" ht="24" customHeight="1">
      <c r="A4" s="641" t="s">
        <v>365</v>
      </c>
    </row>
    <row r="5" spans="1:12" ht="18" customHeight="1">
      <c r="A5" s="642" t="s">
        <v>344</v>
      </c>
      <c r="L5" s="643"/>
    </row>
    <row r="6" spans="1:12" ht="18" customHeight="1">
      <c r="A6" s="644"/>
      <c r="G6" s="2"/>
      <c r="H6" s="2"/>
      <c r="I6" s="2"/>
      <c r="J6" s="2"/>
      <c r="K6" s="2"/>
      <c r="L6" s="2"/>
    </row>
    <row r="7" spans="1:12" ht="15.75" customHeight="1">
      <c r="A7" s="386" t="s">
        <v>159</v>
      </c>
      <c r="B7" s="223" t="s">
        <v>392</v>
      </c>
      <c r="C7" s="387"/>
      <c r="D7" s="388"/>
      <c r="E7" s="2"/>
      <c r="F7" s="2"/>
      <c r="G7" s="2"/>
      <c r="H7" s="2"/>
      <c r="I7" s="2"/>
      <c r="J7" s="2"/>
      <c r="K7" s="2"/>
      <c r="L7" s="2"/>
    </row>
    <row r="8" spans="1:12" ht="12.75" customHeight="1">
      <c r="A8" s="645" t="s">
        <v>160</v>
      </c>
      <c r="B8" s="392" t="s">
        <v>395</v>
      </c>
      <c r="C8" s="646"/>
      <c r="D8" s="624"/>
      <c r="E8" s="2"/>
      <c r="F8" s="2"/>
      <c r="G8" s="2"/>
      <c r="H8" s="2"/>
      <c r="I8" s="2"/>
      <c r="J8" s="2"/>
      <c r="K8" s="2"/>
      <c r="L8" s="2"/>
    </row>
    <row r="9" spans="1:12" ht="18" customHeight="1">
      <c r="A9" s="647" t="s">
        <v>161</v>
      </c>
      <c r="B9" s="232" t="s">
        <v>464</v>
      </c>
      <c r="C9" s="397"/>
      <c r="D9" s="398"/>
      <c r="E9" s="2"/>
      <c r="F9" s="2"/>
      <c r="G9" s="648"/>
      <c r="H9" s="648"/>
      <c r="I9" s="648"/>
      <c r="J9" s="648"/>
      <c r="K9" s="648"/>
      <c r="L9" s="648"/>
    </row>
    <row r="10" spans="1:12" ht="12.75" customHeight="1">
      <c r="A10" s="542"/>
      <c r="B10" s="393"/>
      <c r="C10" s="394"/>
      <c r="D10" s="394"/>
      <c r="E10" s="2"/>
      <c r="F10" s="2"/>
      <c r="G10" s="648"/>
      <c r="H10" s="648"/>
      <c r="I10" s="648"/>
      <c r="J10" s="648"/>
      <c r="K10" s="648"/>
      <c r="L10" s="648"/>
    </row>
    <row r="11" spans="1:12" ht="12.75" customHeight="1">
      <c r="A11" s="649" t="s">
        <v>345</v>
      </c>
      <c r="B11" s="393"/>
      <c r="C11" s="394"/>
      <c r="D11" s="394"/>
      <c r="E11" s="2"/>
      <c r="F11" s="2"/>
      <c r="G11" s="648"/>
      <c r="H11" s="648"/>
      <c r="I11" s="648"/>
      <c r="J11" s="648"/>
      <c r="K11" s="648"/>
      <c r="L11" s="648"/>
    </row>
    <row r="12" spans="1:12" ht="12.75" customHeight="1"/>
    <row r="13" spans="1:12" ht="37.5" customHeight="1">
      <c r="A13" s="650" t="s">
        <v>346</v>
      </c>
      <c r="B13" s="651" t="s">
        <v>22</v>
      </c>
      <c r="C13" s="651" t="s">
        <v>347</v>
      </c>
      <c r="D13" s="652" t="s">
        <v>83</v>
      </c>
      <c r="E13" s="652" t="s">
        <v>348</v>
      </c>
      <c r="F13" s="652" t="s">
        <v>349</v>
      </c>
      <c r="G13" s="652" t="s">
        <v>350</v>
      </c>
      <c r="H13" s="652" t="s">
        <v>351</v>
      </c>
      <c r="I13" s="652" t="s">
        <v>352</v>
      </c>
      <c r="J13" s="652" t="s">
        <v>353</v>
      </c>
      <c r="K13" s="652" t="s">
        <v>354</v>
      </c>
      <c r="L13" s="652" t="s">
        <v>355</v>
      </c>
    </row>
    <row r="14" spans="1:12" ht="15" customHeight="1">
      <c r="A14" s="653">
        <v>42125</v>
      </c>
      <c r="B14" s="654">
        <v>243</v>
      </c>
      <c r="C14" s="654">
        <v>100</v>
      </c>
      <c r="D14" s="655">
        <v>107238</v>
      </c>
      <c r="E14" s="656">
        <v>441.30864197530866</v>
      </c>
      <c r="F14" s="655">
        <v>82566</v>
      </c>
      <c r="G14" s="655">
        <v>3700</v>
      </c>
      <c r="H14" s="655">
        <v>6288</v>
      </c>
      <c r="I14" s="655">
        <v>92554</v>
      </c>
      <c r="J14" s="657">
        <v>0.8630709263507339</v>
      </c>
      <c r="K14" s="656">
        <v>380.88065843621399</v>
      </c>
      <c r="L14" s="658"/>
    </row>
    <row r="15" spans="1:12" ht="15" customHeight="1">
      <c r="A15" s="653">
        <v>42156</v>
      </c>
      <c r="B15" s="654">
        <v>255</v>
      </c>
      <c r="C15" s="654">
        <v>107</v>
      </c>
      <c r="D15" s="655">
        <v>115123</v>
      </c>
      <c r="E15" s="656">
        <v>451.46274509803919</v>
      </c>
      <c r="F15" s="655">
        <v>55698</v>
      </c>
      <c r="G15" s="655">
        <v>4000</v>
      </c>
      <c r="H15" s="655">
        <v>6278</v>
      </c>
      <c r="I15" s="655">
        <v>65976</v>
      </c>
      <c r="J15" s="657">
        <v>0.57309138920980174</v>
      </c>
      <c r="K15" s="656">
        <v>258.7294117647059</v>
      </c>
      <c r="L15" s="658"/>
    </row>
    <row r="16" spans="1:12" ht="15" customHeight="1">
      <c r="A16" s="653">
        <v>42186</v>
      </c>
      <c r="B16" s="654">
        <v>243</v>
      </c>
      <c r="C16" s="654">
        <v>104</v>
      </c>
      <c r="D16" s="655">
        <v>110973</v>
      </c>
      <c r="E16" s="656">
        <v>456.67901234567898</v>
      </c>
      <c r="F16" s="655">
        <v>65192</v>
      </c>
      <c r="G16" s="655">
        <v>3842</v>
      </c>
      <c r="H16" s="655">
        <v>7570</v>
      </c>
      <c r="I16" s="655">
        <v>76604</v>
      </c>
      <c r="J16" s="657">
        <v>0.69029403548610924</v>
      </c>
      <c r="K16" s="656">
        <v>315.24279835390945</v>
      </c>
      <c r="L16" s="658"/>
    </row>
    <row r="17" spans="1:12" ht="15" customHeight="1">
      <c r="A17" s="653">
        <v>42217</v>
      </c>
      <c r="B17" s="654">
        <v>236</v>
      </c>
      <c r="C17" s="654">
        <v>104</v>
      </c>
      <c r="D17" s="655">
        <v>108898</v>
      </c>
      <c r="E17" s="656">
        <v>461.43220338983053</v>
      </c>
      <c r="F17" s="655">
        <v>158152</v>
      </c>
      <c r="G17" s="655">
        <v>3700</v>
      </c>
      <c r="H17" s="655">
        <v>14742</v>
      </c>
      <c r="I17" s="655">
        <v>176594</v>
      </c>
      <c r="J17" s="657">
        <v>1.6216459439108157</v>
      </c>
      <c r="K17" s="656">
        <v>748.27966101694915</v>
      </c>
      <c r="L17" s="658"/>
    </row>
    <row r="18" spans="1:12" ht="15" customHeight="1">
      <c r="A18" s="653">
        <v>42248</v>
      </c>
      <c r="B18" s="654">
        <v>256</v>
      </c>
      <c r="C18" s="654">
        <v>110</v>
      </c>
      <c r="D18" s="655">
        <v>114066</v>
      </c>
      <c r="E18" s="656">
        <v>445.5703125</v>
      </c>
      <c r="F18" s="655">
        <v>163225</v>
      </c>
      <c r="G18" s="655">
        <v>3937</v>
      </c>
      <c r="H18" s="655">
        <v>15506</v>
      </c>
      <c r="I18" s="655">
        <v>182668</v>
      </c>
      <c r="J18" s="657">
        <v>1.6014237371346414</v>
      </c>
      <c r="K18" s="656">
        <v>713.546875</v>
      </c>
      <c r="L18" s="658"/>
    </row>
    <row r="19" spans="1:12" ht="15" customHeight="1">
      <c r="A19" s="653">
        <v>42278</v>
      </c>
      <c r="B19" s="654">
        <v>251</v>
      </c>
      <c r="C19" s="654">
        <v>109</v>
      </c>
      <c r="D19" s="655">
        <v>114659</v>
      </c>
      <c r="E19" s="656">
        <v>456.80876494023903</v>
      </c>
      <c r="F19" s="655">
        <v>134677</v>
      </c>
      <c r="G19" s="655">
        <v>3937</v>
      </c>
      <c r="H19" s="655">
        <v>12963</v>
      </c>
      <c r="I19" s="655">
        <v>151577</v>
      </c>
      <c r="J19" s="657">
        <v>1.3219808301136413</v>
      </c>
      <c r="K19" s="656">
        <v>603.89243027888449</v>
      </c>
      <c r="L19" s="658"/>
    </row>
    <row r="20" spans="1:12" ht="15" customHeight="1">
      <c r="A20" s="653">
        <v>42309</v>
      </c>
      <c r="B20" s="654">
        <v>257</v>
      </c>
      <c r="C20" s="654">
        <v>112</v>
      </c>
      <c r="D20" s="655">
        <v>116302</v>
      </c>
      <c r="E20" s="656">
        <v>452.53696498054472</v>
      </c>
      <c r="F20" s="655">
        <v>55714</v>
      </c>
      <c r="G20" s="655">
        <v>4000</v>
      </c>
      <c r="H20" s="655">
        <v>9820</v>
      </c>
      <c r="I20" s="655">
        <v>69534</v>
      </c>
      <c r="J20" s="657">
        <v>0.59787449914876789</v>
      </c>
      <c r="K20" s="656">
        <v>270.56031128404669</v>
      </c>
      <c r="L20" s="658"/>
    </row>
    <row r="21" spans="1:12" ht="15" customHeight="1">
      <c r="A21" s="653">
        <v>42339</v>
      </c>
      <c r="B21" s="654">
        <v>263</v>
      </c>
      <c r="C21" s="654">
        <v>114</v>
      </c>
      <c r="D21" s="655">
        <v>118780</v>
      </c>
      <c r="E21" s="656">
        <v>451.63498098859316</v>
      </c>
      <c r="F21" s="655">
        <v>76908</v>
      </c>
      <c r="G21" s="655">
        <v>4095</v>
      </c>
      <c r="H21" s="655">
        <v>11616</v>
      </c>
      <c r="I21" s="655">
        <v>92619</v>
      </c>
      <c r="J21" s="657">
        <v>0.77975248358309479</v>
      </c>
      <c r="K21" s="656">
        <v>352.16349809885929</v>
      </c>
      <c r="L21" s="658"/>
    </row>
    <row r="22" spans="1:12" ht="15" customHeight="1">
      <c r="A22" s="653">
        <v>42370</v>
      </c>
      <c r="B22" s="654">
        <v>266</v>
      </c>
      <c r="C22" s="654">
        <v>115</v>
      </c>
      <c r="D22" s="655">
        <v>132537</v>
      </c>
      <c r="E22" s="656">
        <v>498.25939849624058</v>
      </c>
      <c r="F22" s="655">
        <v>56383</v>
      </c>
      <c r="G22" s="655">
        <v>4240</v>
      </c>
      <c r="H22" s="655">
        <v>10358</v>
      </c>
      <c r="I22" s="655">
        <v>70981</v>
      </c>
      <c r="J22" s="657">
        <v>0.53555610886016736</v>
      </c>
      <c r="K22" s="656">
        <v>266.84586466165416</v>
      </c>
      <c r="L22" s="658"/>
    </row>
    <row r="23" spans="1:12" ht="15" customHeight="1">
      <c r="A23" s="653">
        <v>42401</v>
      </c>
      <c r="B23" s="654">
        <v>259</v>
      </c>
      <c r="C23" s="654">
        <v>111</v>
      </c>
      <c r="D23" s="655">
        <v>129371</v>
      </c>
      <c r="E23" s="656">
        <v>499.50193050193047</v>
      </c>
      <c r="F23" s="655">
        <v>54376</v>
      </c>
      <c r="G23" s="655">
        <v>4144</v>
      </c>
      <c r="H23" s="655">
        <v>9631</v>
      </c>
      <c r="I23" s="655">
        <v>68151</v>
      </c>
      <c r="J23" s="657">
        <v>0.5267873016363791</v>
      </c>
      <c r="K23" s="656">
        <v>263.13127413127415</v>
      </c>
      <c r="L23" s="658"/>
    </row>
    <row r="24" spans="1:12" ht="15" customHeight="1">
      <c r="A24" s="653">
        <v>42430</v>
      </c>
      <c r="B24" s="654">
        <v>256</v>
      </c>
      <c r="C24" s="654">
        <v>112</v>
      </c>
      <c r="D24" s="655">
        <v>127103</v>
      </c>
      <c r="E24" s="656">
        <v>496.49609375</v>
      </c>
      <c r="F24" s="655">
        <v>73048</v>
      </c>
      <c r="G24" s="655">
        <v>4080</v>
      </c>
      <c r="H24" s="655">
        <v>13256</v>
      </c>
      <c r="I24" s="655">
        <v>90384</v>
      </c>
      <c r="J24" s="657">
        <v>0.71110831372980965</v>
      </c>
      <c r="K24" s="656">
        <v>353.0625</v>
      </c>
      <c r="L24" s="658"/>
    </row>
    <row r="25" spans="1:12" ht="15" customHeight="1" thickBot="1">
      <c r="A25" s="659">
        <v>42461</v>
      </c>
      <c r="B25" s="660">
        <v>257</v>
      </c>
      <c r="C25" s="660">
        <v>111</v>
      </c>
      <c r="D25" s="661">
        <v>127204</v>
      </c>
      <c r="E25" s="662">
        <v>494.95719844357978</v>
      </c>
      <c r="F25" s="661">
        <v>68317</v>
      </c>
      <c r="G25" s="661">
        <v>4112</v>
      </c>
      <c r="H25" s="661">
        <v>10406</v>
      </c>
      <c r="I25" s="661">
        <v>82835</v>
      </c>
      <c r="J25" s="663">
        <v>0.65119807553221598</v>
      </c>
      <c r="K25" s="662">
        <v>322.31517509727627</v>
      </c>
      <c r="L25" s="664">
        <v>401.2087442472058</v>
      </c>
    </row>
    <row r="26" spans="1:12" ht="15" customHeight="1">
      <c r="A26" s="665">
        <v>42491</v>
      </c>
      <c r="B26" s="666">
        <v>244</v>
      </c>
      <c r="C26" s="666">
        <v>107</v>
      </c>
      <c r="D26" s="667">
        <v>121540</v>
      </c>
      <c r="E26" s="668">
        <v>498.11475409836066</v>
      </c>
      <c r="F26" s="667">
        <v>70611</v>
      </c>
      <c r="G26" s="667">
        <v>3904</v>
      </c>
      <c r="H26" s="667">
        <v>7624</v>
      </c>
      <c r="I26" s="667">
        <v>82139</v>
      </c>
      <c r="J26" s="669">
        <v>0.67581866052328454</v>
      </c>
      <c r="K26" s="668">
        <v>336.63524590163934</v>
      </c>
      <c r="L26" s="670">
        <v>397.65428853105487</v>
      </c>
    </row>
    <row r="27" spans="1:12" ht="15" customHeight="1">
      <c r="A27" s="653">
        <v>42522</v>
      </c>
      <c r="B27" s="654">
        <v>244</v>
      </c>
      <c r="C27" s="654">
        <v>108</v>
      </c>
      <c r="D27" s="655">
        <v>120884</v>
      </c>
      <c r="E27" s="656">
        <v>495.42622950819674</v>
      </c>
      <c r="F27" s="655">
        <v>65660</v>
      </c>
      <c r="G27" s="655">
        <v>3872</v>
      </c>
      <c r="H27" s="655">
        <v>10133</v>
      </c>
      <c r="I27" s="655">
        <v>79665</v>
      </c>
      <c r="J27" s="657">
        <v>0.65902021772939345</v>
      </c>
      <c r="K27" s="656">
        <v>326.49590163934425</v>
      </c>
      <c r="L27" s="658">
        <v>403.61180738786283</v>
      </c>
    </row>
    <row r="28" spans="1:12" ht="15" customHeight="1">
      <c r="A28" s="653">
        <v>42552</v>
      </c>
      <c r="B28" s="654">
        <v>248</v>
      </c>
      <c r="C28" s="654">
        <v>109</v>
      </c>
      <c r="D28" s="655">
        <v>123640</v>
      </c>
      <c r="E28" s="656">
        <v>498.54838709677421</v>
      </c>
      <c r="F28" s="655">
        <v>57190</v>
      </c>
      <c r="G28" s="655">
        <v>3936</v>
      </c>
      <c r="H28" s="655">
        <v>8414</v>
      </c>
      <c r="I28" s="655">
        <v>69540</v>
      </c>
      <c r="J28" s="657">
        <v>0.5624393400194112</v>
      </c>
      <c r="K28" s="656">
        <v>280.40322580645159</v>
      </c>
      <c r="L28" s="658">
        <v>400.62133684557131</v>
      </c>
    </row>
    <row r="29" spans="1:12" ht="15" customHeight="1">
      <c r="A29" s="653">
        <v>42583</v>
      </c>
      <c r="B29" s="654">
        <v>253</v>
      </c>
      <c r="C29" s="654">
        <v>113</v>
      </c>
      <c r="D29" s="655">
        <v>128456</v>
      </c>
      <c r="E29" s="656">
        <v>507.73122529644269</v>
      </c>
      <c r="F29" s="655">
        <v>78486</v>
      </c>
      <c r="G29" s="655">
        <v>4048</v>
      </c>
      <c r="H29" s="655">
        <v>7267</v>
      </c>
      <c r="I29" s="655">
        <v>89801</v>
      </c>
      <c r="J29" s="657">
        <v>0.69907984056797656</v>
      </c>
      <c r="K29" s="656">
        <v>354.94466403162056</v>
      </c>
      <c r="L29" s="658">
        <v>369.97184020956121</v>
      </c>
    </row>
    <row r="30" spans="1:12" ht="15" customHeight="1">
      <c r="A30" s="653">
        <v>42614</v>
      </c>
      <c r="B30" s="654">
        <v>257</v>
      </c>
      <c r="C30" s="654">
        <v>114</v>
      </c>
      <c r="D30" s="655">
        <v>129137</v>
      </c>
      <c r="E30" s="656">
        <v>502.47859922178986</v>
      </c>
      <c r="F30" s="655">
        <v>59546</v>
      </c>
      <c r="G30" s="655">
        <v>4112</v>
      </c>
      <c r="H30" s="655">
        <v>9304</v>
      </c>
      <c r="I30" s="655">
        <v>72962</v>
      </c>
      <c r="J30" s="657">
        <v>0.56499686379581371</v>
      </c>
      <c r="K30" s="656">
        <v>283.89883268482492</v>
      </c>
      <c r="L30" s="658">
        <v>333.94042553191491</v>
      </c>
    </row>
    <row r="31" spans="1:12" ht="15" customHeight="1">
      <c r="A31" s="653">
        <v>42644</v>
      </c>
      <c r="B31" s="654">
        <v>254</v>
      </c>
      <c r="C31" s="654">
        <v>112</v>
      </c>
      <c r="D31" s="655">
        <v>124628</v>
      </c>
      <c r="E31" s="656">
        <v>490.66141732283467</v>
      </c>
      <c r="F31" s="655">
        <v>85285</v>
      </c>
      <c r="G31" s="655">
        <v>4000</v>
      </c>
      <c r="H31" s="655">
        <v>9988</v>
      </c>
      <c r="I31" s="655">
        <v>99273</v>
      </c>
      <c r="J31" s="657">
        <v>0.79655454632987777</v>
      </c>
      <c r="K31" s="656">
        <v>390.83858267716533</v>
      </c>
      <c r="L31" s="658">
        <v>316.50882930019623</v>
      </c>
    </row>
    <row r="32" spans="1:12" ht="15" customHeight="1">
      <c r="A32" s="653">
        <v>42675</v>
      </c>
      <c r="B32" s="654">
        <v>249</v>
      </c>
      <c r="C32" s="654">
        <v>111</v>
      </c>
      <c r="D32" s="655">
        <v>123276</v>
      </c>
      <c r="E32" s="656">
        <v>495.08433734939757</v>
      </c>
      <c r="F32" s="655">
        <v>42149</v>
      </c>
      <c r="G32" s="655">
        <v>3968</v>
      </c>
      <c r="H32" s="655">
        <v>10195</v>
      </c>
      <c r="I32" s="655">
        <v>56312</v>
      </c>
      <c r="J32" s="657">
        <v>0.45679613225607579</v>
      </c>
      <c r="K32" s="656">
        <v>226.15261044176708</v>
      </c>
      <c r="L32" s="658">
        <v>313.00393442622953</v>
      </c>
    </row>
    <row r="33" spans="1:12" ht="15" customHeight="1">
      <c r="A33" s="653">
        <v>42705</v>
      </c>
      <c r="B33" s="654">
        <v>246</v>
      </c>
      <c r="C33" s="654">
        <v>112</v>
      </c>
      <c r="D33" s="655">
        <v>115679</v>
      </c>
      <c r="E33" s="656">
        <v>470.23983739837399</v>
      </c>
      <c r="F33" s="655">
        <v>60410</v>
      </c>
      <c r="G33" s="655">
        <v>3936</v>
      </c>
      <c r="H33" s="655">
        <v>8079</v>
      </c>
      <c r="I33" s="655">
        <v>72425</v>
      </c>
      <c r="J33" s="657">
        <v>0.62608597930480037</v>
      </c>
      <c r="K33" s="656">
        <v>294.41056910569108</v>
      </c>
      <c r="L33" s="658">
        <v>308.10023079459279</v>
      </c>
    </row>
    <row r="34" spans="1:12" ht="15" customHeight="1">
      <c r="A34" s="653">
        <v>42736</v>
      </c>
      <c r="B34" s="654">
        <v>259</v>
      </c>
      <c r="C34" s="654">
        <v>116</v>
      </c>
      <c r="D34" s="655">
        <v>137145</v>
      </c>
      <c r="E34" s="656">
        <v>529.51737451737449</v>
      </c>
      <c r="F34" s="655">
        <v>31129</v>
      </c>
      <c r="G34" s="655">
        <v>4517</v>
      </c>
      <c r="H34" s="655">
        <v>6495</v>
      </c>
      <c r="I34" s="655">
        <v>42141</v>
      </c>
      <c r="J34" s="657">
        <v>0.30727332385431477</v>
      </c>
      <c r="K34" s="656">
        <v>162.70656370656371</v>
      </c>
      <c r="L34" s="658">
        <v>299.28222075346991</v>
      </c>
    </row>
    <row r="35" spans="1:12" ht="15" customHeight="1">
      <c r="A35" s="653">
        <v>42767</v>
      </c>
      <c r="B35" s="654">
        <v>255</v>
      </c>
      <c r="C35" s="654">
        <v>113</v>
      </c>
      <c r="D35" s="655">
        <v>132890</v>
      </c>
      <c r="E35" s="656">
        <v>521.13725490196077</v>
      </c>
      <c r="F35" s="655">
        <v>41354</v>
      </c>
      <c r="G35" s="655">
        <v>4412</v>
      </c>
      <c r="H35" s="655">
        <v>5340</v>
      </c>
      <c r="I35" s="655">
        <v>51106</v>
      </c>
      <c r="J35" s="657">
        <v>0.38457370757769582</v>
      </c>
      <c r="K35" s="656">
        <v>200.4156862745098</v>
      </c>
      <c r="L35" s="658">
        <v>294.03805426869621</v>
      </c>
    </row>
    <row r="36" spans="1:12" ht="15" customHeight="1">
      <c r="A36" s="653">
        <v>42795</v>
      </c>
      <c r="B36" s="654">
        <v>272</v>
      </c>
      <c r="C36" s="654">
        <v>119</v>
      </c>
      <c r="D36" s="655">
        <v>140737</v>
      </c>
      <c r="E36" s="656">
        <v>517.41544117647061</v>
      </c>
      <c r="F36" s="655">
        <v>33330</v>
      </c>
      <c r="G36" s="655">
        <v>4622</v>
      </c>
      <c r="H36" s="655">
        <v>8153</v>
      </c>
      <c r="I36" s="655">
        <v>46105</v>
      </c>
      <c r="J36" s="657">
        <v>0.3275968650745717</v>
      </c>
      <c r="K36" s="656">
        <v>169.50367647058823</v>
      </c>
      <c r="L36" s="658">
        <v>277.91441737985519</v>
      </c>
    </row>
    <row r="37" spans="1:12" ht="15" customHeight="1">
      <c r="A37" s="653">
        <v>42826</v>
      </c>
      <c r="B37" s="654">
        <v>277</v>
      </c>
      <c r="C37" s="654">
        <v>121</v>
      </c>
      <c r="D37" s="655">
        <v>145958</v>
      </c>
      <c r="E37" s="656">
        <v>526.92418772563178</v>
      </c>
      <c r="F37" s="655">
        <v>29457</v>
      </c>
      <c r="G37" s="655">
        <v>4779</v>
      </c>
      <c r="H37" s="655">
        <v>5760</v>
      </c>
      <c r="I37" s="655">
        <v>39996</v>
      </c>
      <c r="J37" s="657">
        <v>0.27402403431124023</v>
      </c>
      <c r="K37" s="656">
        <v>144.38989169675091</v>
      </c>
      <c r="L37" s="658">
        <v>262.08796599084371</v>
      </c>
    </row>
    <row r="38" spans="1:12" ht="13.5" customHeight="1">
      <c r="A38" s="671"/>
      <c r="D38" s="672"/>
      <c r="E38" s="673"/>
      <c r="F38" s="672"/>
      <c r="G38" s="672"/>
      <c r="H38" s="672"/>
      <c r="I38" s="672"/>
      <c r="J38" s="674"/>
      <c r="K38" s="673"/>
    </row>
    <row r="39" spans="1:12" ht="13.5" customHeight="1">
      <c r="A39" s="639"/>
      <c r="D39" s="672"/>
      <c r="E39" s="673"/>
      <c r="F39" s="672"/>
      <c r="G39" s="672"/>
      <c r="H39" s="672"/>
      <c r="I39" s="672"/>
      <c r="J39" s="674"/>
      <c r="K39" s="673"/>
      <c r="L39" s="675"/>
    </row>
    <row r="40" spans="1:12" ht="13.5" customHeight="1">
      <c r="A40" s="676" t="s">
        <v>356</v>
      </c>
      <c r="D40" s="672"/>
      <c r="E40" s="673"/>
      <c r="F40" s="672"/>
      <c r="G40" s="672"/>
      <c r="H40" s="672"/>
      <c r="I40" s="672"/>
      <c r="J40" s="674"/>
      <c r="K40" s="673"/>
      <c r="L40" s="675"/>
    </row>
    <row r="41" spans="1:12" ht="13.5" customHeight="1">
      <c r="A41" s="676"/>
      <c r="D41" s="672"/>
      <c r="E41" s="673"/>
      <c r="F41" s="672"/>
      <c r="G41" s="672"/>
      <c r="H41" s="672"/>
      <c r="I41" s="672"/>
      <c r="J41" s="674"/>
      <c r="K41" s="673"/>
      <c r="L41" s="675"/>
    </row>
    <row r="42" spans="1:12" ht="13.5" customHeight="1">
      <c r="A42" s="677" t="s">
        <v>233</v>
      </c>
      <c r="B42" s="678">
        <v>3058</v>
      </c>
      <c r="C42" s="678">
        <v>1355</v>
      </c>
      <c r="D42" s="679">
        <v>1543970</v>
      </c>
      <c r="E42" s="680"/>
      <c r="F42" s="679">
        <v>654607</v>
      </c>
      <c r="G42" s="679">
        <v>50106</v>
      </c>
      <c r="H42" s="679">
        <v>96752</v>
      </c>
      <c r="I42" s="681">
        <v>801465</v>
      </c>
      <c r="J42" s="682">
        <v>0.51909363523902663</v>
      </c>
      <c r="K42" s="683">
        <v>262.08796599084371</v>
      </c>
      <c r="L42" s="684"/>
    </row>
    <row r="43" spans="1:12" ht="13.5" customHeight="1">
      <c r="A43" s="677"/>
      <c r="B43" s="685"/>
      <c r="C43" s="685"/>
      <c r="D43" s="686"/>
      <c r="E43" s="680"/>
      <c r="F43" s="686"/>
      <c r="G43" s="686"/>
      <c r="H43" s="686"/>
      <c r="I43" s="686"/>
      <c r="J43" s="687"/>
      <c r="K43" s="680"/>
      <c r="L43" s="675"/>
    </row>
    <row r="44" spans="1:12" ht="13.5" customHeight="1">
      <c r="A44" s="677" t="s">
        <v>234</v>
      </c>
      <c r="B44" s="678">
        <v>3042</v>
      </c>
      <c r="C44" s="678">
        <v>1309</v>
      </c>
      <c r="D44" s="679">
        <v>1422254</v>
      </c>
      <c r="E44" s="680"/>
      <c r="F44" s="679">
        <v>1044256</v>
      </c>
      <c r="G44" s="679">
        <v>47787</v>
      </c>
      <c r="H44" s="679">
        <v>128434</v>
      </c>
      <c r="I44" s="681">
        <v>1220477</v>
      </c>
      <c r="J44" s="688">
        <v>0.85812871681148373</v>
      </c>
      <c r="K44" s="683">
        <v>401.2087442472058</v>
      </c>
      <c r="L44" s="684"/>
    </row>
    <row r="45" spans="1:12" ht="13.5" customHeight="1">
      <c r="A45" s="689"/>
      <c r="B45" s="690"/>
      <c r="C45" s="691"/>
      <c r="D45" s="692"/>
      <c r="E45" s="692"/>
      <c r="F45" s="692"/>
      <c r="G45" s="692"/>
      <c r="H45" s="692"/>
      <c r="I45" s="693"/>
      <c r="J45" s="694"/>
      <c r="K45" s="693"/>
    </row>
    <row r="46" spans="1:12" ht="13.5" customHeight="1">
      <c r="A46" s="676" t="s">
        <v>357</v>
      </c>
      <c r="B46" s="695"/>
      <c r="C46" s="695"/>
      <c r="D46" s="696"/>
      <c r="E46" s="696"/>
      <c r="F46" s="696"/>
      <c r="G46" s="696"/>
      <c r="H46" s="696"/>
      <c r="I46" s="697"/>
      <c r="J46" s="697"/>
      <c r="K46" s="697"/>
    </row>
    <row r="47" spans="1:12" ht="13.5" customHeight="1">
      <c r="A47" s="671"/>
      <c r="I47" s="697"/>
      <c r="J47" s="697"/>
      <c r="K47" s="697"/>
    </row>
    <row r="48" spans="1:12" ht="13.5" customHeight="1">
      <c r="A48" s="677" t="s">
        <v>233</v>
      </c>
      <c r="B48" s="698">
        <v>254.83333333333334</v>
      </c>
      <c r="C48" s="698">
        <v>112.91666666666667</v>
      </c>
      <c r="D48" s="683">
        <v>504.89535644211901</v>
      </c>
      <c r="E48" s="692"/>
      <c r="F48" s="683">
        <v>214.06376716808373</v>
      </c>
      <c r="G48" s="683">
        <v>16.385219097449312</v>
      </c>
      <c r="H48" s="683">
        <v>31.638979725310662</v>
      </c>
      <c r="I48" s="683">
        <v>262.08796599084371</v>
      </c>
      <c r="J48" s="699"/>
      <c r="K48" s="700"/>
      <c r="L48" s="701"/>
    </row>
    <row r="49" spans="1:12" ht="13.5" customHeight="1">
      <c r="A49" s="677"/>
      <c r="B49" s="691"/>
      <c r="C49" s="691"/>
      <c r="D49" s="692"/>
      <c r="E49" s="692"/>
      <c r="F49" s="692"/>
      <c r="G49" s="680"/>
      <c r="H49" s="680"/>
      <c r="I49" s="680"/>
      <c r="J49" s="680"/>
      <c r="K49" s="700"/>
      <c r="L49" s="701"/>
    </row>
    <row r="50" spans="1:12" ht="13.5" customHeight="1">
      <c r="A50" s="677" t="s">
        <v>234</v>
      </c>
      <c r="B50" s="698">
        <v>253.5</v>
      </c>
      <c r="C50" s="698">
        <v>109.08333333333333</v>
      </c>
      <c r="D50" s="683">
        <v>467.53911900065748</v>
      </c>
      <c r="E50" s="692"/>
      <c r="F50" s="683">
        <v>343.2794214332676</v>
      </c>
      <c r="G50" s="683">
        <v>15.709072978303748</v>
      </c>
      <c r="H50" s="683">
        <v>42.220249835634448</v>
      </c>
      <c r="I50" s="683">
        <v>401.2087442472058</v>
      </c>
      <c r="J50" s="699"/>
      <c r="K50" s="700"/>
      <c r="L50" s="701"/>
    </row>
    <row r="51" spans="1:12" ht="13.5" customHeight="1">
      <c r="A51" s="689"/>
      <c r="B51" s="702"/>
      <c r="I51" s="697"/>
      <c r="J51" s="697"/>
      <c r="K51" s="697"/>
    </row>
    <row r="52" spans="1:12" ht="13.5" customHeight="1">
      <c r="A52" s="676" t="s">
        <v>19</v>
      </c>
      <c r="K52" s="703"/>
      <c r="L52" s="704"/>
    </row>
    <row r="53" spans="1:12" ht="13.5" customHeight="1">
      <c r="A53" s="676"/>
      <c r="B53" s="674"/>
      <c r="C53" s="674"/>
      <c r="I53" s="363"/>
      <c r="J53" s="693"/>
      <c r="K53" s="693"/>
    </row>
    <row r="54" spans="1:12" ht="13.5" customHeight="1">
      <c r="A54" s="298" t="s">
        <v>358</v>
      </c>
      <c r="B54" s="705">
        <v>5.259697567389976E-3</v>
      </c>
      <c r="C54" s="705">
        <v>3.5141329258976395E-2</v>
      </c>
      <c r="D54" s="705">
        <v>7.9899704481004141E-2</v>
      </c>
      <c r="E54" s="706"/>
      <c r="F54" s="705">
        <v>-0.37641538116581497</v>
      </c>
      <c r="G54" s="705">
        <v>4.3041758102429606E-2</v>
      </c>
      <c r="H54" s="705">
        <v>-0.25062073653086381</v>
      </c>
      <c r="I54" s="705">
        <v>-0.34675410307269494</v>
      </c>
      <c r="J54" s="707"/>
      <c r="K54" s="708"/>
      <c r="L54" s="709"/>
    </row>
    <row r="55" spans="1:12" ht="13.5" customHeight="1">
      <c r="A55" s="689"/>
      <c r="B55" s="702"/>
      <c r="C55" s="702"/>
      <c r="I55" s="697"/>
      <c r="J55" s="697"/>
      <c r="K55" s="697"/>
    </row>
    <row r="56" spans="1:12" ht="13.5" customHeight="1">
      <c r="I56" s="697"/>
      <c r="J56" s="697"/>
      <c r="K56" s="697"/>
    </row>
    <row r="57" spans="1:12">
      <c r="A57" s="710" t="s">
        <v>359</v>
      </c>
      <c r="B57" s="711"/>
      <c r="C57" s="711"/>
      <c r="D57" s="712"/>
      <c r="E57" s="712"/>
      <c r="F57" s="712"/>
      <c r="G57" s="712"/>
      <c r="H57" s="712"/>
      <c r="I57" s="713"/>
      <c r="J57" s="713"/>
      <c r="K57" s="713"/>
      <c r="L57" s="714"/>
    </row>
    <row r="58" spans="1:12">
      <c r="A58" s="715"/>
      <c r="B58" s="716"/>
      <c r="C58" s="716"/>
      <c r="D58" s="716"/>
      <c r="E58" s="716"/>
      <c r="F58" s="716"/>
      <c r="G58" s="716"/>
      <c r="H58" s="716"/>
      <c r="I58" s="716"/>
      <c r="J58" s="716"/>
      <c r="K58" s="716"/>
      <c r="L58" s="717"/>
    </row>
    <row r="59" spans="1:12">
      <c r="A59" s="715"/>
      <c r="B59" s="716"/>
      <c r="C59" s="716"/>
      <c r="D59" s="716"/>
      <c r="E59" s="716"/>
      <c r="F59" s="716"/>
      <c r="G59" s="716"/>
      <c r="H59" s="716"/>
      <c r="I59" s="716"/>
      <c r="J59" s="716"/>
      <c r="K59" s="716"/>
      <c r="L59" s="717"/>
    </row>
    <row r="60" spans="1:12">
      <c r="A60" s="715"/>
      <c r="B60" s="716"/>
      <c r="C60" s="716"/>
      <c r="D60" s="716"/>
      <c r="E60" s="716"/>
      <c r="F60" s="716"/>
      <c r="G60" s="716"/>
      <c r="H60" s="716"/>
      <c r="I60" s="716"/>
      <c r="J60" s="716"/>
      <c r="K60" s="716"/>
      <c r="L60" s="717"/>
    </row>
    <row r="61" spans="1:12">
      <c r="A61" s="715"/>
      <c r="B61" s="716"/>
      <c r="C61" s="716"/>
      <c r="D61" s="716"/>
      <c r="E61" s="716"/>
      <c r="F61" s="716"/>
      <c r="G61" s="716"/>
      <c r="H61" s="716"/>
      <c r="I61" s="716"/>
      <c r="J61" s="716"/>
      <c r="K61" s="716"/>
      <c r="L61" s="717"/>
    </row>
    <row r="62" spans="1:12">
      <c r="A62" s="718"/>
      <c r="B62" s="719"/>
      <c r="C62" s="719"/>
      <c r="D62" s="719"/>
      <c r="E62" s="719"/>
      <c r="F62" s="719"/>
      <c r="G62" s="719"/>
      <c r="H62" s="719"/>
      <c r="I62" s="719"/>
      <c r="J62" s="719"/>
      <c r="K62" s="719"/>
      <c r="L62" s="720"/>
    </row>
  </sheetData>
  <sheetProtection password="8AA1" sheet="1" objects="1" scenarios="1"/>
  <mergeCells count="5">
    <mergeCell ref="A58:L58"/>
    <mergeCell ref="A59:L59"/>
    <mergeCell ref="A60:L60"/>
    <mergeCell ref="A61:L61"/>
    <mergeCell ref="A62:L62"/>
  </mergeCells>
  <printOptions horizontalCentered="1"/>
  <pageMargins left="0.25" right="0.25" top="0.5" bottom="0.5" header="0.5" footer="0.25"/>
  <pageSetup scale="59" pageOrder="overThenDown" orientation="landscape" r:id="rId1"/>
  <headerFooter alignWithMargins="0">
    <oddFooter>&amp;R&amp;8Report Created on 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3" tint="0.59999389629810485"/>
  </sheetPr>
  <dimension ref="A1:AC72"/>
  <sheetViews>
    <sheetView zoomScale="85" zoomScaleNormal="85" workbookViewId="0"/>
  </sheetViews>
  <sheetFormatPr defaultColWidth="9.109375" defaultRowHeight="13.2"/>
  <cols>
    <col min="1" max="1" width="14.6640625" style="633" customWidth="1"/>
    <col min="2" max="2" width="6.6640625" style="633" customWidth="1"/>
    <col min="3" max="3" width="7.6640625" style="633" customWidth="1"/>
    <col min="4" max="4" width="9.6640625" style="633" customWidth="1"/>
    <col min="5" max="6" width="7.6640625" style="633" customWidth="1"/>
    <col min="7" max="7" width="9.6640625" style="633" customWidth="1"/>
    <col min="8" max="9" width="7.6640625" style="633" customWidth="1"/>
    <col min="10" max="10" width="9.6640625" style="633" customWidth="1"/>
    <col min="11" max="12" width="7.6640625" style="633" customWidth="1"/>
    <col min="13" max="13" width="9.6640625" style="633" customWidth="1"/>
    <col min="14" max="14" width="7.6640625" style="633" customWidth="1"/>
    <col min="15" max="15" width="2.6640625" style="633" customWidth="1"/>
    <col min="16" max="16" width="14.6640625" style="633" customWidth="1"/>
    <col min="17" max="17" width="6.6640625" style="633" customWidth="1"/>
    <col min="18" max="18" width="7.6640625" style="633" customWidth="1"/>
    <col min="19" max="19" width="9.6640625" style="633" customWidth="1"/>
    <col min="20" max="21" width="7.6640625" style="633" customWidth="1"/>
    <col min="22" max="22" width="9.6640625" style="633" customWidth="1"/>
    <col min="23" max="24" width="7.6640625" style="633" customWidth="1"/>
    <col min="25" max="25" width="9.6640625" style="633" customWidth="1"/>
    <col min="26" max="27" width="7.6640625" style="633" customWidth="1"/>
    <col min="28" max="28" width="9.6640625" style="633" customWidth="1"/>
    <col min="29" max="29" width="7.6640625" style="633" customWidth="1"/>
    <col min="30" max="16384" width="9.109375" style="633"/>
  </cols>
  <sheetData>
    <row r="1" spans="1:29" ht="22.8">
      <c r="A1" s="721" t="s">
        <v>365</v>
      </c>
      <c r="B1" s="722"/>
    </row>
    <row r="2" spans="1:29" ht="17.399999999999999">
      <c r="A2" s="723" t="s">
        <v>360</v>
      </c>
      <c r="B2" s="723"/>
    </row>
    <row r="3" spans="1:29">
      <c r="A3" s="633" t="s">
        <v>361</v>
      </c>
      <c r="B3" s="724" t="s">
        <v>392</v>
      </c>
      <c r="D3" s="724"/>
      <c r="E3" s="724"/>
      <c r="F3" s="724"/>
      <c r="G3" s="724"/>
      <c r="H3" s="724"/>
    </row>
    <row r="4" spans="1:29">
      <c r="A4" s="633" t="s">
        <v>362</v>
      </c>
      <c r="B4" s="725" t="s">
        <v>395</v>
      </c>
      <c r="C4" s="725"/>
      <c r="D4" s="725"/>
      <c r="E4" s="724"/>
      <c r="F4" s="724"/>
      <c r="G4" s="724"/>
      <c r="H4" s="724"/>
    </row>
    <row r="5" spans="1:29">
      <c r="A5" s="633" t="s">
        <v>363</v>
      </c>
      <c r="B5" s="726" t="s">
        <v>390</v>
      </c>
      <c r="C5" s="726"/>
      <c r="D5" s="726"/>
      <c r="E5" s="724"/>
      <c r="F5" s="724"/>
      <c r="G5" s="724"/>
      <c r="H5" s="724"/>
    </row>
    <row r="6" spans="1:29" ht="13.8" thickBot="1"/>
    <row r="7" spans="1:29" ht="18" customHeight="1" thickBot="1">
      <c r="A7" s="727" t="s">
        <v>364</v>
      </c>
      <c r="B7" s="727"/>
      <c r="C7" s="728" t="s">
        <v>365</v>
      </c>
      <c r="D7" s="729"/>
      <c r="E7" s="729"/>
      <c r="F7" s="729"/>
      <c r="G7" s="729"/>
      <c r="H7" s="729"/>
      <c r="I7" s="729"/>
      <c r="J7" s="729"/>
      <c r="K7" s="729"/>
      <c r="L7" s="729"/>
      <c r="M7" s="729"/>
      <c r="N7" s="730"/>
      <c r="P7" s="727" t="s">
        <v>366</v>
      </c>
      <c r="Q7" s="727"/>
      <c r="R7" s="728"/>
      <c r="S7" s="729"/>
      <c r="T7" s="729"/>
      <c r="U7" s="729"/>
      <c r="V7" s="729"/>
      <c r="W7" s="729"/>
      <c r="X7" s="729"/>
      <c r="Y7" s="729"/>
      <c r="Z7" s="729"/>
      <c r="AA7" s="729"/>
      <c r="AB7" s="729"/>
      <c r="AC7" s="730"/>
    </row>
    <row r="8" spans="1:29" ht="15" customHeight="1" thickBot="1">
      <c r="A8" s="731" t="s">
        <v>367</v>
      </c>
      <c r="B8" s="727"/>
      <c r="C8" s="728" t="s">
        <v>136</v>
      </c>
      <c r="D8" s="729"/>
      <c r="E8" s="730"/>
      <c r="F8" s="728" t="s">
        <v>137</v>
      </c>
      <c r="G8" s="729"/>
      <c r="H8" s="730"/>
      <c r="I8" s="728" t="s">
        <v>138</v>
      </c>
      <c r="J8" s="729"/>
      <c r="K8" s="730"/>
      <c r="L8" s="728" t="s">
        <v>139</v>
      </c>
      <c r="M8" s="729"/>
      <c r="N8" s="730"/>
      <c r="P8" s="727"/>
      <c r="Q8" s="727"/>
      <c r="R8" s="732"/>
      <c r="S8" s="733"/>
      <c r="T8" s="733"/>
      <c r="U8" s="733"/>
      <c r="V8" s="733"/>
      <c r="W8" s="733"/>
      <c r="X8" s="733"/>
      <c r="Y8" s="733"/>
      <c r="Z8" s="733"/>
      <c r="AA8" s="733"/>
      <c r="AB8" s="733"/>
      <c r="AC8" s="734"/>
    </row>
    <row r="9" spans="1:29" ht="15" customHeight="1">
      <c r="A9" s="735" t="s">
        <v>163</v>
      </c>
      <c r="B9" s="735"/>
      <c r="C9" s="736" t="s">
        <v>400</v>
      </c>
      <c r="D9" s="737"/>
      <c r="E9" s="738"/>
      <c r="F9" s="736" t="s">
        <v>417</v>
      </c>
      <c r="G9" s="737"/>
      <c r="H9" s="738"/>
      <c r="I9" s="736">
        <v>479</v>
      </c>
      <c r="J9" s="737"/>
      <c r="K9" s="738"/>
      <c r="L9" s="736" t="s">
        <v>429</v>
      </c>
      <c r="M9" s="737"/>
      <c r="N9" s="738"/>
      <c r="P9" s="735" t="s">
        <v>163</v>
      </c>
      <c r="Q9" s="735"/>
      <c r="R9" s="736"/>
      <c r="S9" s="739"/>
      <c r="T9" s="740"/>
      <c r="U9" s="736"/>
      <c r="V9" s="739"/>
      <c r="W9" s="740"/>
      <c r="X9" s="736"/>
      <c r="Y9" s="739"/>
      <c r="Z9" s="740"/>
      <c r="AA9" s="736"/>
      <c r="AB9" s="739"/>
      <c r="AC9" s="740"/>
    </row>
    <row r="10" spans="1:29">
      <c r="A10" s="741" t="s">
        <v>164</v>
      </c>
      <c r="B10" s="741"/>
      <c r="C10" s="742" t="s">
        <v>446</v>
      </c>
      <c r="D10" s="743" t="s">
        <v>388</v>
      </c>
      <c r="E10" s="744" t="s">
        <v>388</v>
      </c>
      <c r="F10" s="742" t="s">
        <v>446</v>
      </c>
      <c r="G10" s="743" t="s">
        <v>388</v>
      </c>
      <c r="H10" s="744" t="s">
        <v>388</v>
      </c>
      <c r="I10" s="742" t="s">
        <v>447</v>
      </c>
      <c r="J10" s="743" t="s">
        <v>388</v>
      </c>
      <c r="K10" s="744" t="s">
        <v>388</v>
      </c>
      <c r="L10" s="742" t="s">
        <v>447</v>
      </c>
      <c r="M10" s="743" t="s">
        <v>388</v>
      </c>
      <c r="N10" s="744" t="s">
        <v>388</v>
      </c>
      <c r="P10" s="741" t="s">
        <v>164</v>
      </c>
      <c r="Q10" s="741"/>
      <c r="R10" s="742"/>
      <c r="S10" s="743"/>
      <c r="T10" s="744"/>
      <c r="U10" s="742"/>
      <c r="V10" s="743"/>
      <c r="W10" s="744"/>
      <c r="X10" s="742"/>
      <c r="Y10" s="743"/>
      <c r="Z10" s="744"/>
      <c r="AA10" s="742"/>
      <c r="AB10" s="743"/>
      <c r="AC10" s="744"/>
    </row>
    <row r="11" spans="1:29">
      <c r="A11" s="745" t="s">
        <v>168</v>
      </c>
      <c r="B11" s="745"/>
      <c r="C11" s="746" t="s">
        <v>448</v>
      </c>
      <c r="D11" s="747"/>
      <c r="E11" s="748"/>
      <c r="F11" s="749" t="s">
        <v>419</v>
      </c>
      <c r="G11" s="750"/>
      <c r="H11" s="751"/>
      <c r="I11" s="749" t="s">
        <v>448</v>
      </c>
      <c r="J11" s="750"/>
      <c r="K11" s="751"/>
      <c r="L11" s="749" t="s">
        <v>419</v>
      </c>
      <c r="M11" s="750"/>
      <c r="N11" s="751"/>
      <c r="P11" s="745" t="s">
        <v>168</v>
      </c>
      <c r="Q11" s="745"/>
      <c r="R11" s="749"/>
      <c r="S11" s="750"/>
      <c r="T11" s="751"/>
      <c r="U11" s="749"/>
      <c r="V11" s="750"/>
      <c r="W11" s="751"/>
      <c r="X11" s="749"/>
      <c r="Y11" s="750"/>
      <c r="Z11" s="751"/>
      <c r="AA11" s="749"/>
      <c r="AB11" s="750"/>
      <c r="AC11" s="751"/>
    </row>
    <row r="12" spans="1:29">
      <c r="A12" s="735" t="s">
        <v>169</v>
      </c>
      <c r="B12" s="735"/>
      <c r="C12" s="752" t="s">
        <v>170</v>
      </c>
      <c r="D12" s="753"/>
      <c r="E12" s="754"/>
      <c r="F12" s="752" t="s">
        <v>170</v>
      </c>
      <c r="G12" s="753"/>
      <c r="H12" s="754"/>
      <c r="I12" s="752" t="s">
        <v>170</v>
      </c>
      <c r="J12" s="753"/>
      <c r="K12" s="754"/>
      <c r="L12" s="752" t="s">
        <v>170</v>
      </c>
      <c r="M12" s="753"/>
      <c r="N12" s="754"/>
      <c r="P12" s="735" t="s">
        <v>169</v>
      </c>
      <c r="Q12" s="735"/>
      <c r="R12" s="752" t="s">
        <v>170</v>
      </c>
      <c r="S12" s="753"/>
      <c r="T12" s="754"/>
      <c r="U12" s="752" t="s">
        <v>170</v>
      </c>
      <c r="V12" s="753"/>
      <c r="W12" s="754"/>
      <c r="X12" s="752" t="s">
        <v>170</v>
      </c>
      <c r="Y12" s="753"/>
      <c r="Z12" s="754"/>
      <c r="AA12" s="752" t="s">
        <v>170</v>
      </c>
      <c r="AB12" s="753"/>
      <c r="AC12" s="754"/>
    </row>
    <row r="13" spans="1:29">
      <c r="A13" s="741" t="s">
        <v>368</v>
      </c>
      <c r="B13" s="741"/>
      <c r="C13" s="249" t="s">
        <v>449</v>
      </c>
      <c r="D13" s="130"/>
      <c r="E13" s="250"/>
      <c r="F13" s="249" t="s">
        <v>450</v>
      </c>
      <c r="G13" s="130"/>
      <c r="H13" s="250"/>
      <c r="I13" s="249" t="s">
        <v>449</v>
      </c>
      <c r="J13" s="130"/>
      <c r="K13" s="250"/>
      <c r="L13" s="249" t="s">
        <v>450</v>
      </c>
      <c r="M13" s="130"/>
      <c r="N13" s="250"/>
      <c r="P13" s="741" t="s">
        <v>368</v>
      </c>
      <c r="Q13" s="741"/>
      <c r="R13" s="755"/>
      <c r="S13" s="756"/>
      <c r="T13" s="757"/>
      <c r="U13" s="755"/>
      <c r="V13" s="756"/>
      <c r="W13" s="757"/>
      <c r="X13" s="755"/>
      <c r="Y13" s="756"/>
      <c r="Z13" s="757"/>
      <c r="AA13" s="755"/>
      <c r="AB13" s="756"/>
      <c r="AC13" s="757"/>
    </row>
    <row r="14" spans="1:29">
      <c r="A14" s="741" t="s">
        <v>369</v>
      </c>
      <c r="B14" s="741"/>
      <c r="C14" s="249" t="s">
        <v>80</v>
      </c>
      <c r="D14" s="130"/>
      <c r="E14" s="250"/>
      <c r="F14" s="249" t="s">
        <v>80</v>
      </c>
      <c r="G14" s="130"/>
      <c r="H14" s="250"/>
      <c r="I14" s="249" t="s">
        <v>80</v>
      </c>
      <c r="J14" s="130"/>
      <c r="K14" s="250"/>
      <c r="L14" s="249" t="s">
        <v>80</v>
      </c>
      <c r="M14" s="130"/>
      <c r="N14" s="250"/>
      <c r="P14" s="741" t="s">
        <v>369</v>
      </c>
      <c r="Q14" s="741"/>
      <c r="R14" s="758"/>
      <c r="S14" s="759"/>
      <c r="T14" s="760"/>
      <c r="U14" s="758"/>
      <c r="V14" s="759"/>
      <c r="W14" s="760"/>
      <c r="X14" s="758"/>
      <c r="Y14" s="759"/>
      <c r="Z14" s="760"/>
      <c r="AA14" s="758"/>
      <c r="AB14" s="759"/>
      <c r="AC14" s="760"/>
    </row>
    <row r="15" spans="1:29">
      <c r="A15" s="741" t="s">
        <v>370</v>
      </c>
      <c r="B15" s="741"/>
      <c r="C15" s="742" t="s">
        <v>80</v>
      </c>
      <c r="D15" s="743"/>
      <c r="E15" s="744"/>
      <c r="F15" s="742" t="s">
        <v>80</v>
      </c>
      <c r="G15" s="743"/>
      <c r="H15" s="744"/>
      <c r="I15" s="742" t="s">
        <v>80</v>
      </c>
      <c r="J15" s="743"/>
      <c r="K15" s="744"/>
      <c r="L15" s="742" t="s">
        <v>80</v>
      </c>
      <c r="M15" s="743"/>
      <c r="N15" s="744"/>
      <c r="P15" s="741" t="s">
        <v>370</v>
      </c>
      <c r="Q15" s="741"/>
      <c r="R15" s="755"/>
      <c r="S15" s="756"/>
      <c r="T15" s="757"/>
      <c r="U15" s="755"/>
      <c r="V15" s="756"/>
      <c r="W15" s="757"/>
      <c r="X15" s="755"/>
      <c r="Y15" s="756"/>
      <c r="Z15" s="757"/>
      <c r="AA15" s="755"/>
      <c r="AB15" s="756"/>
      <c r="AC15" s="757"/>
    </row>
    <row r="16" spans="1:29">
      <c r="A16" s="741" t="s">
        <v>371</v>
      </c>
      <c r="B16" s="741"/>
      <c r="C16" s="742" t="s">
        <v>451</v>
      </c>
      <c r="D16" s="743"/>
      <c r="E16" s="744"/>
      <c r="F16" s="742" t="s">
        <v>80</v>
      </c>
      <c r="G16" s="743"/>
      <c r="H16" s="744"/>
      <c r="I16" s="742" t="s">
        <v>451</v>
      </c>
      <c r="J16" s="743"/>
      <c r="K16" s="744"/>
      <c r="L16" s="742" t="s">
        <v>80</v>
      </c>
      <c r="M16" s="743"/>
      <c r="N16" s="744"/>
      <c r="P16" s="741" t="s">
        <v>371</v>
      </c>
      <c r="Q16" s="741"/>
      <c r="R16" s="758"/>
      <c r="S16" s="759"/>
      <c r="T16" s="760"/>
      <c r="U16" s="758"/>
      <c r="V16" s="759"/>
      <c r="W16" s="760"/>
      <c r="X16" s="758"/>
      <c r="Y16" s="759"/>
      <c r="Z16" s="760"/>
      <c r="AA16" s="758"/>
      <c r="AB16" s="759"/>
      <c r="AC16" s="760"/>
    </row>
    <row r="17" spans="1:29">
      <c r="A17" s="741" t="s">
        <v>372</v>
      </c>
      <c r="B17" s="741"/>
      <c r="C17" s="742" t="s">
        <v>452</v>
      </c>
      <c r="D17" s="743"/>
      <c r="E17" s="744"/>
      <c r="F17" s="742" t="s">
        <v>80</v>
      </c>
      <c r="G17" s="743"/>
      <c r="H17" s="744"/>
      <c r="I17" s="742" t="s">
        <v>452</v>
      </c>
      <c r="J17" s="743"/>
      <c r="K17" s="744"/>
      <c r="L17" s="742" t="s">
        <v>80</v>
      </c>
      <c r="M17" s="743"/>
      <c r="N17" s="744"/>
      <c r="P17" s="741" t="s">
        <v>372</v>
      </c>
      <c r="Q17" s="741"/>
      <c r="R17" s="755"/>
      <c r="S17" s="756"/>
      <c r="T17" s="757"/>
      <c r="U17" s="755"/>
      <c r="V17" s="756"/>
      <c r="W17" s="757"/>
      <c r="X17" s="755"/>
      <c r="Y17" s="756"/>
      <c r="Z17" s="757"/>
      <c r="AA17" s="755"/>
      <c r="AB17" s="756"/>
      <c r="AC17" s="757"/>
    </row>
    <row r="18" spans="1:29">
      <c r="A18" s="633" t="s">
        <v>373</v>
      </c>
      <c r="C18" s="742" t="s">
        <v>80</v>
      </c>
      <c r="D18" s="743"/>
      <c r="E18" s="744"/>
      <c r="F18" s="742" t="s">
        <v>80</v>
      </c>
      <c r="G18" s="743"/>
      <c r="H18" s="744"/>
      <c r="I18" s="742" t="s">
        <v>80</v>
      </c>
      <c r="J18" s="743"/>
      <c r="K18" s="744"/>
      <c r="L18" s="742" t="s">
        <v>80</v>
      </c>
      <c r="M18" s="743"/>
      <c r="N18" s="744"/>
      <c r="P18" s="741" t="s">
        <v>373</v>
      </c>
      <c r="R18" s="755"/>
      <c r="S18" s="756"/>
      <c r="T18" s="757"/>
      <c r="U18" s="755"/>
      <c r="V18" s="756"/>
      <c r="W18" s="757"/>
      <c r="X18" s="755"/>
      <c r="Y18" s="756"/>
      <c r="Z18" s="757"/>
      <c r="AA18" s="755"/>
      <c r="AB18" s="756"/>
      <c r="AC18" s="757"/>
    </row>
    <row r="19" spans="1:29">
      <c r="A19" s="741" t="s">
        <v>174</v>
      </c>
      <c r="B19" s="741"/>
      <c r="C19" s="742" t="s">
        <v>388</v>
      </c>
      <c r="D19" s="743"/>
      <c r="E19" s="744"/>
      <c r="F19" s="742">
        <v>0</v>
      </c>
      <c r="G19" s="743"/>
      <c r="H19" s="744"/>
      <c r="I19" s="742" t="s">
        <v>388</v>
      </c>
      <c r="J19" s="743"/>
      <c r="K19" s="744"/>
      <c r="L19" s="742" t="s">
        <v>388</v>
      </c>
      <c r="M19" s="743"/>
      <c r="N19" s="744"/>
      <c r="P19" s="741" t="s">
        <v>174</v>
      </c>
      <c r="Q19" s="741"/>
      <c r="R19" s="755"/>
      <c r="S19" s="756"/>
      <c r="T19" s="757"/>
      <c r="U19" s="755"/>
      <c r="V19" s="756"/>
      <c r="W19" s="757"/>
      <c r="X19" s="755"/>
      <c r="Y19" s="756"/>
      <c r="Z19" s="757"/>
      <c r="AA19" s="755"/>
      <c r="AB19" s="756"/>
      <c r="AC19" s="757"/>
    </row>
    <row r="20" spans="1:29">
      <c r="A20" s="741" t="s">
        <v>175</v>
      </c>
      <c r="B20" s="741"/>
      <c r="C20" s="249" t="s">
        <v>453</v>
      </c>
      <c r="D20" s="130"/>
      <c r="E20" s="250"/>
      <c r="F20" s="249" t="s">
        <v>454</v>
      </c>
      <c r="G20" s="130"/>
      <c r="H20" s="250"/>
      <c r="I20" s="249" t="s">
        <v>453</v>
      </c>
      <c r="J20" s="130"/>
      <c r="K20" s="250"/>
      <c r="L20" s="249" t="s">
        <v>454</v>
      </c>
      <c r="M20" s="130"/>
      <c r="N20" s="250"/>
      <c r="P20" s="741" t="s">
        <v>175</v>
      </c>
      <c r="Q20" s="741"/>
      <c r="R20" s="755"/>
      <c r="S20" s="756"/>
      <c r="T20" s="757"/>
      <c r="U20" s="755"/>
      <c r="V20" s="756"/>
      <c r="W20" s="757"/>
      <c r="X20" s="755"/>
      <c r="Y20" s="756"/>
      <c r="Z20" s="757"/>
      <c r="AA20" s="755"/>
      <c r="AB20" s="756"/>
      <c r="AC20" s="757"/>
    </row>
    <row r="21" spans="1:29">
      <c r="A21" s="741" t="s">
        <v>176</v>
      </c>
      <c r="B21" s="741"/>
      <c r="C21" s="742" t="s">
        <v>455</v>
      </c>
      <c r="D21" s="743"/>
      <c r="E21" s="744"/>
      <c r="F21" s="742" t="s">
        <v>455</v>
      </c>
      <c r="G21" s="743"/>
      <c r="H21" s="744"/>
      <c r="I21" s="742" t="s">
        <v>455</v>
      </c>
      <c r="J21" s="743"/>
      <c r="K21" s="744"/>
      <c r="L21" s="742" t="s">
        <v>455</v>
      </c>
      <c r="M21" s="743"/>
      <c r="N21" s="744"/>
      <c r="P21" s="741" t="s">
        <v>176</v>
      </c>
      <c r="Q21" s="741"/>
      <c r="R21" s="761"/>
      <c r="S21" s="762"/>
      <c r="T21" s="763"/>
      <c r="U21" s="761"/>
      <c r="V21" s="762"/>
      <c r="W21" s="763"/>
      <c r="X21" s="761"/>
      <c r="Y21" s="762"/>
      <c r="Z21" s="763"/>
      <c r="AA21" s="761"/>
      <c r="AB21" s="762"/>
      <c r="AC21" s="763"/>
    </row>
    <row r="22" spans="1:29">
      <c r="A22" s="741" t="s">
        <v>177</v>
      </c>
      <c r="B22" s="741"/>
      <c r="C22" s="742" t="s">
        <v>456</v>
      </c>
      <c r="D22" s="743"/>
      <c r="E22" s="744"/>
      <c r="F22" s="742" t="s">
        <v>457</v>
      </c>
      <c r="G22" s="743"/>
      <c r="H22" s="744"/>
      <c r="I22" s="742" t="s">
        <v>456</v>
      </c>
      <c r="J22" s="743"/>
      <c r="K22" s="744"/>
      <c r="L22" s="742" t="s">
        <v>457</v>
      </c>
      <c r="M22" s="743"/>
      <c r="N22" s="744"/>
      <c r="P22" s="741" t="s">
        <v>177</v>
      </c>
      <c r="Q22" s="741"/>
      <c r="R22" s="755"/>
      <c r="S22" s="756"/>
      <c r="T22" s="757"/>
      <c r="U22" s="755"/>
      <c r="V22" s="756"/>
      <c r="W22" s="757"/>
      <c r="X22" s="755"/>
      <c r="Y22" s="756"/>
      <c r="Z22" s="757"/>
      <c r="AA22" s="755"/>
      <c r="AB22" s="756"/>
      <c r="AC22" s="757"/>
    </row>
    <row r="23" spans="1:29" ht="24.9" customHeight="1">
      <c r="A23" s="745" t="s">
        <v>178</v>
      </c>
      <c r="B23" s="745"/>
      <c r="C23" s="764" t="s">
        <v>414</v>
      </c>
      <c r="D23" s="765"/>
      <c r="E23" s="766"/>
      <c r="F23" s="764" t="s">
        <v>424</v>
      </c>
      <c r="G23" s="765"/>
      <c r="H23" s="766"/>
      <c r="I23" s="764" t="s">
        <v>414</v>
      </c>
      <c r="J23" s="765"/>
      <c r="K23" s="766"/>
      <c r="L23" s="764" t="s">
        <v>424</v>
      </c>
      <c r="M23" s="765"/>
      <c r="N23" s="766"/>
      <c r="P23" s="745" t="s">
        <v>178</v>
      </c>
      <c r="Q23" s="745"/>
      <c r="R23" s="767"/>
      <c r="S23" s="768"/>
      <c r="T23" s="769"/>
      <c r="U23" s="767"/>
      <c r="V23" s="768"/>
      <c r="W23" s="769"/>
      <c r="X23" s="767"/>
      <c r="Y23" s="768"/>
      <c r="Z23" s="769"/>
      <c r="AA23" s="767"/>
      <c r="AB23" s="768"/>
      <c r="AC23" s="769"/>
    </row>
    <row r="24" spans="1:29">
      <c r="A24" s="735"/>
      <c r="B24" s="735"/>
      <c r="C24" s="752" t="s">
        <v>374</v>
      </c>
      <c r="D24" s="753"/>
      <c r="E24" s="754"/>
      <c r="F24" s="752" t="s">
        <v>374</v>
      </c>
      <c r="G24" s="753"/>
      <c r="H24" s="754"/>
      <c r="I24" s="752" t="s">
        <v>374</v>
      </c>
      <c r="J24" s="753"/>
      <c r="K24" s="754"/>
      <c r="L24" s="752" t="s">
        <v>374</v>
      </c>
      <c r="M24" s="753"/>
      <c r="N24" s="754"/>
      <c r="P24" s="735"/>
      <c r="Q24" s="735"/>
      <c r="R24" s="752" t="s">
        <v>374</v>
      </c>
      <c r="S24" s="753"/>
      <c r="T24" s="754"/>
      <c r="U24" s="752" t="s">
        <v>374</v>
      </c>
      <c r="V24" s="753"/>
      <c r="W24" s="754"/>
      <c r="X24" s="752" t="s">
        <v>374</v>
      </c>
      <c r="Y24" s="753"/>
      <c r="Z24" s="754"/>
      <c r="AA24" s="752" t="s">
        <v>374</v>
      </c>
      <c r="AB24" s="753"/>
      <c r="AC24" s="754"/>
    </row>
    <row r="25" spans="1:29">
      <c r="A25" s="741" t="s">
        <v>175</v>
      </c>
      <c r="B25" s="741"/>
      <c r="C25" s="742" t="s">
        <v>458</v>
      </c>
      <c r="D25" s="743"/>
      <c r="E25" s="744"/>
      <c r="F25" s="742" t="s">
        <v>457</v>
      </c>
      <c r="G25" s="743"/>
      <c r="H25" s="744"/>
      <c r="I25" s="742" t="s">
        <v>458</v>
      </c>
      <c r="J25" s="743"/>
      <c r="K25" s="744"/>
      <c r="L25" s="742" t="s">
        <v>457</v>
      </c>
      <c r="M25" s="743"/>
      <c r="N25" s="744"/>
      <c r="P25" s="741" t="s">
        <v>175</v>
      </c>
      <c r="Q25" s="741"/>
      <c r="R25" s="755"/>
      <c r="S25" s="756"/>
      <c r="T25" s="757"/>
      <c r="U25" s="755"/>
      <c r="V25" s="756"/>
      <c r="W25" s="757"/>
      <c r="X25" s="755"/>
      <c r="Y25" s="756"/>
      <c r="Z25" s="757"/>
      <c r="AA25" s="755"/>
      <c r="AB25" s="756"/>
      <c r="AC25" s="757"/>
    </row>
    <row r="26" spans="1:29">
      <c r="A26" s="741" t="s">
        <v>176</v>
      </c>
      <c r="B26" s="741"/>
      <c r="C26" s="742" t="s">
        <v>459</v>
      </c>
      <c r="D26" s="743"/>
      <c r="E26" s="744"/>
      <c r="F26" s="742" t="s">
        <v>459</v>
      </c>
      <c r="G26" s="743"/>
      <c r="H26" s="744"/>
      <c r="I26" s="742" t="s">
        <v>459</v>
      </c>
      <c r="J26" s="743"/>
      <c r="K26" s="744"/>
      <c r="L26" s="742" t="s">
        <v>459</v>
      </c>
      <c r="M26" s="743"/>
      <c r="N26" s="744"/>
      <c r="P26" s="741" t="s">
        <v>176</v>
      </c>
      <c r="Q26" s="741"/>
      <c r="R26" s="761"/>
      <c r="S26" s="762"/>
      <c r="T26" s="763"/>
      <c r="U26" s="761"/>
      <c r="V26" s="762"/>
      <c r="W26" s="763"/>
      <c r="X26" s="761"/>
      <c r="Y26" s="762"/>
      <c r="Z26" s="763"/>
      <c r="AA26" s="761"/>
      <c r="AB26" s="762"/>
      <c r="AC26" s="763"/>
    </row>
    <row r="27" spans="1:29">
      <c r="A27" s="745" t="s">
        <v>180</v>
      </c>
      <c r="B27" s="745"/>
      <c r="C27" s="749" t="s">
        <v>460</v>
      </c>
      <c r="D27" s="750"/>
      <c r="E27" s="751"/>
      <c r="F27" s="749" t="s">
        <v>461</v>
      </c>
      <c r="G27" s="750"/>
      <c r="H27" s="751"/>
      <c r="I27" s="749" t="s">
        <v>460</v>
      </c>
      <c r="J27" s="750"/>
      <c r="K27" s="751"/>
      <c r="L27" s="749" t="s">
        <v>461</v>
      </c>
      <c r="M27" s="750"/>
      <c r="N27" s="751"/>
      <c r="P27" s="745" t="s">
        <v>180</v>
      </c>
      <c r="Q27" s="745"/>
      <c r="R27" s="770"/>
      <c r="S27" s="771"/>
      <c r="T27" s="772"/>
      <c r="U27" s="770"/>
      <c r="V27" s="771"/>
      <c r="W27" s="772"/>
      <c r="X27" s="770"/>
      <c r="Y27" s="771"/>
      <c r="Z27" s="772"/>
      <c r="AA27" s="770"/>
      <c r="AB27" s="771"/>
      <c r="AC27" s="772"/>
    </row>
    <row r="28" spans="1:29">
      <c r="A28" s="735" t="s">
        <v>185</v>
      </c>
      <c r="B28" s="735"/>
      <c r="C28" s="773" t="s">
        <v>21</v>
      </c>
      <c r="D28" s="774" t="s">
        <v>375</v>
      </c>
      <c r="E28" s="775" t="s">
        <v>376</v>
      </c>
      <c r="F28" s="773" t="s">
        <v>21</v>
      </c>
      <c r="G28" s="774" t="s">
        <v>375</v>
      </c>
      <c r="H28" s="775" t="s">
        <v>376</v>
      </c>
      <c r="I28" s="773" t="s">
        <v>21</v>
      </c>
      <c r="J28" s="774" t="s">
        <v>375</v>
      </c>
      <c r="K28" s="775" t="s">
        <v>376</v>
      </c>
      <c r="L28" s="773" t="s">
        <v>21</v>
      </c>
      <c r="M28" s="774" t="s">
        <v>375</v>
      </c>
      <c r="N28" s="775" t="s">
        <v>376</v>
      </c>
      <c r="P28" s="735" t="s">
        <v>185</v>
      </c>
      <c r="Q28" s="735"/>
      <c r="R28" s="773" t="s">
        <v>21</v>
      </c>
      <c r="S28" s="774" t="s">
        <v>375</v>
      </c>
      <c r="T28" s="775" t="s">
        <v>376</v>
      </c>
      <c r="U28" s="773" t="s">
        <v>21</v>
      </c>
      <c r="V28" s="774" t="s">
        <v>375</v>
      </c>
      <c r="W28" s="775" t="s">
        <v>376</v>
      </c>
      <c r="X28" s="773" t="s">
        <v>21</v>
      </c>
      <c r="Y28" s="774" t="s">
        <v>375</v>
      </c>
      <c r="Z28" s="775" t="s">
        <v>376</v>
      </c>
      <c r="AA28" s="773" t="s">
        <v>21</v>
      </c>
      <c r="AB28" s="774" t="s">
        <v>375</v>
      </c>
      <c r="AC28" s="775" t="s">
        <v>376</v>
      </c>
    </row>
    <row r="29" spans="1:29">
      <c r="A29" s="741" t="s">
        <v>182</v>
      </c>
      <c r="B29" s="741"/>
      <c r="C29" s="776">
        <v>45</v>
      </c>
      <c r="D29" s="777">
        <v>837.75</v>
      </c>
      <c r="E29" s="778">
        <v>1</v>
      </c>
      <c r="F29" s="776">
        <v>10</v>
      </c>
      <c r="G29" s="777">
        <v>527.42999999999995</v>
      </c>
      <c r="H29" s="778">
        <v>1</v>
      </c>
      <c r="I29" s="776">
        <v>0</v>
      </c>
      <c r="J29" s="777">
        <v>837.75</v>
      </c>
      <c r="K29" s="778">
        <v>1</v>
      </c>
      <c r="L29" s="776">
        <v>1E-4</v>
      </c>
      <c r="M29" s="777">
        <v>527.42999999999995</v>
      </c>
      <c r="N29" s="778">
        <v>1</v>
      </c>
      <c r="P29" s="741" t="s">
        <v>182</v>
      </c>
      <c r="Q29" s="741"/>
      <c r="R29" s="776"/>
      <c r="S29" s="777"/>
      <c r="T29" s="778" t="s">
        <v>388</v>
      </c>
      <c r="U29" s="776"/>
      <c r="V29" s="777"/>
      <c r="W29" s="778" t="s">
        <v>388</v>
      </c>
      <c r="X29" s="776"/>
      <c r="Y29" s="777"/>
      <c r="Z29" s="778" t="s">
        <v>388</v>
      </c>
      <c r="AA29" s="776"/>
      <c r="AB29" s="777"/>
      <c r="AC29" s="778" t="s">
        <v>388</v>
      </c>
    </row>
    <row r="30" spans="1:29">
      <c r="A30" s="741" t="s">
        <v>462</v>
      </c>
      <c r="B30" s="741"/>
      <c r="C30" s="776">
        <v>10</v>
      </c>
      <c r="D30" s="777">
        <v>1759.28</v>
      </c>
      <c r="E30" s="778">
        <v>2.1000059683676513</v>
      </c>
      <c r="F30" s="776">
        <v>5</v>
      </c>
      <c r="G30" s="777">
        <v>1107.5999999999999</v>
      </c>
      <c r="H30" s="778">
        <v>2.0999943120414084</v>
      </c>
      <c r="I30" s="776">
        <v>0</v>
      </c>
      <c r="J30" s="777">
        <v>1759.28</v>
      </c>
      <c r="K30" s="778">
        <v>2.1000059683676513</v>
      </c>
      <c r="L30" s="776">
        <v>0</v>
      </c>
      <c r="M30" s="777">
        <v>1107.5999999999999</v>
      </c>
      <c r="N30" s="778">
        <v>2.0999943120414084</v>
      </c>
      <c r="P30" s="741" t="s">
        <v>462</v>
      </c>
      <c r="Q30" s="741"/>
      <c r="R30" s="776"/>
      <c r="S30" s="777"/>
      <c r="T30" s="778" t="s">
        <v>388</v>
      </c>
      <c r="U30" s="776"/>
      <c r="V30" s="777"/>
      <c r="W30" s="778" t="s">
        <v>388</v>
      </c>
      <c r="X30" s="776"/>
      <c r="Y30" s="777"/>
      <c r="Z30" s="778" t="s">
        <v>388</v>
      </c>
      <c r="AA30" s="776"/>
      <c r="AB30" s="777"/>
      <c r="AC30" s="778" t="s">
        <v>388</v>
      </c>
    </row>
    <row r="31" spans="1:29">
      <c r="A31" s="741" t="s">
        <v>463</v>
      </c>
      <c r="B31" s="741"/>
      <c r="C31" s="776">
        <v>9</v>
      </c>
      <c r="D31" s="777">
        <v>1591.73</v>
      </c>
      <c r="E31" s="778">
        <v>1.9000059683676516</v>
      </c>
      <c r="F31" s="776">
        <v>2</v>
      </c>
      <c r="G31" s="777">
        <v>1002.12</v>
      </c>
      <c r="H31" s="778">
        <v>1.9000056879585918</v>
      </c>
      <c r="I31" s="776">
        <v>0</v>
      </c>
      <c r="J31" s="777">
        <v>1591.73</v>
      </c>
      <c r="K31" s="778">
        <v>1.9000059683676516</v>
      </c>
      <c r="L31" s="776">
        <v>0</v>
      </c>
      <c r="M31" s="777">
        <v>1002.12</v>
      </c>
      <c r="N31" s="778">
        <v>1.9000056879585918</v>
      </c>
      <c r="P31" s="741" t="s">
        <v>463</v>
      </c>
      <c r="Q31" s="741"/>
      <c r="R31" s="776"/>
      <c r="S31" s="777"/>
      <c r="T31" s="778" t="s">
        <v>388</v>
      </c>
      <c r="U31" s="776"/>
      <c r="V31" s="777"/>
      <c r="W31" s="778" t="s">
        <v>388</v>
      </c>
      <c r="X31" s="776"/>
      <c r="Y31" s="777"/>
      <c r="Z31" s="778" t="s">
        <v>388</v>
      </c>
      <c r="AA31" s="776"/>
      <c r="AB31" s="777"/>
      <c r="AC31" s="778" t="s">
        <v>388</v>
      </c>
    </row>
    <row r="32" spans="1:29">
      <c r="A32" s="741" t="s">
        <v>183</v>
      </c>
      <c r="B32" s="741"/>
      <c r="C32" s="776">
        <v>25</v>
      </c>
      <c r="D32" s="777">
        <v>2513.25</v>
      </c>
      <c r="E32" s="778">
        <v>3</v>
      </c>
      <c r="F32" s="776">
        <v>13</v>
      </c>
      <c r="G32" s="777">
        <v>1582.29</v>
      </c>
      <c r="H32" s="778">
        <v>3</v>
      </c>
      <c r="I32" s="776">
        <v>1</v>
      </c>
      <c r="J32" s="777">
        <v>2513.25</v>
      </c>
      <c r="K32" s="778">
        <v>3</v>
      </c>
      <c r="L32" s="776">
        <v>0</v>
      </c>
      <c r="M32" s="777">
        <v>1582.29</v>
      </c>
      <c r="N32" s="778">
        <v>3</v>
      </c>
      <c r="P32" s="741" t="s">
        <v>183</v>
      </c>
      <c r="Q32" s="741"/>
      <c r="R32" s="776"/>
      <c r="S32" s="777"/>
      <c r="T32" s="778" t="s">
        <v>388</v>
      </c>
      <c r="U32" s="776"/>
      <c r="V32" s="777"/>
      <c r="W32" s="778" t="s">
        <v>388</v>
      </c>
      <c r="X32" s="776"/>
      <c r="Y32" s="777"/>
      <c r="Z32" s="778" t="s">
        <v>388</v>
      </c>
      <c r="AA32" s="776"/>
      <c r="AB32" s="777"/>
      <c r="AC32" s="778" t="s">
        <v>388</v>
      </c>
    </row>
    <row r="33" spans="1:29">
      <c r="A33" s="735" t="s">
        <v>377</v>
      </c>
      <c r="B33" s="735"/>
      <c r="C33" s="779">
        <f>IF(C9="","",SUMPRODUCT(D29:D32,C29:C32))</f>
        <v>132448.37</v>
      </c>
      <c r="D33" s="780"/>
      <c r="E33" s="781"/>
      <c r="F33" s="779">
        <f>IF(F9="","",SUMPRODUCT(G29:G32,F29:F32))</f>
        <v>33386.31</v>
      </c>
      <c r="G33" s="780"/>
      <c r="H33" s="781"/>
      <c r="I33" s="779">
        <f>IF(I9="","",SUMPRODUCT(J29:J32,I29:I32))</f>
        <v>2513.25</v>
      </c>
      <c r="J33" s="780"/>
      <c r="K33" s="781"/>
      <c r="L33" s="779">
        <f>IF(L9="","",SUMPRODUCT(M29:M32,L29:L32))</f>
        <v>5.2742999999999998E-2</v>
      </c>
      <c r="M33" s="780"/>
      <c r="N33" s="781"/>
      <c r="P33" s="735" t="s">
        <v>377</v>
      </c>
      <c r="Q33" s="735"/>
      <c r="R33" s="779" t="str">
        <f>IF(R9="","",SUMPRODUCT(S29:S32,R29:R32))</f>
        <v/>
      </c>
      <c r="S33" s="780"/>
      <c r="T33" s="781"/>
      <c r="U33" s="779" t="str">
        <f>IF(U9="","",SUMPRODUCT(V29:V32,U29:U32))</f>
        <v/>
      </c>
      <c r="V33" s="780"/>
      <c r="W33" s="781"/>
      <c r="X33" s="779" t="str">
        <f>IF(X9="","",SUMPRODUCT(Y29:Y32,X29:X32))</f>
        <v/>
      </c>
      <c r="Y33" s="780"/>
      <c r="Z33" s="781"/>
      <c r="AA33" s="779" t="str">
        <f>IF(AA9="","",SUMPRODUCT(AB29:AB32,AA29:AA32))</f>
        <v/>
      </c>
      <c r="AB33" s="780"/>
      <c r="AC33" s="781"/>
    </row>
    <row r="34" spans="1:29" ht="13.8" thickBot="1">
      <c r="A34" s="782" t="s">
        <v>378</v>
      </c>
      <c r="B34" s="782"/>
      <c r="C34" s="783">
        <f>IF(C9="","",C33*12)</f>
        <v>1589380.44</v>
      </c>
      <c r="D34" s="784"/>
      <c r="E34" s="785"/>
      <c r="F34" s="783">
        <f>IF(F9="","",F33*12)</f>
        <v>400635.72</v>
      </c>
      <c r="G34" s="784"/>
      <c r="H34" s="785"/>
      <c r="I34" s="783">
        <f>IF(I9="","",I33*12)</f>
        <v>30159</v>
      </c>
      <c r="J34" s="784"/>
      <c r="K34" s="785"/>
      <c r="L34" s="783">
        <f>IF(L9="","",L33*12)</f>
        <v>0.63291600000000003</v>
      </c>
      <c r="M34" s="784"/>
      <c r="N34" s="785"/>
      <c r="P34" s="782" t="s">
        <v>378</v>
      </c>
      <c r="Q34" s="782"/>
      <c r="R34" s="783" t="str">
        <f>IF(R9="","",R33*12)</f>
        <v/>
      </c>
      <c r="S34" s="784"/>
      <c r="T34" s="785"/>
      <c r="U34" s="783" t="str">
        <f>IF(U9="","",U33*12)</f>
        <v/>
      </c>
      <c r="V34" s="784"/>
      <c r="W34" s="785"/>
      <c r="X34" s="783" t="str">
        <f>IF(X9="","",X33*12)</f>
        <v/>
      </c>
      <c r="Y34" s="784"/>
      <c r="Z34" s="785"/>
      <c r="AA34" s="783" t="str">
        <f>IF(AA9="","",AA33*12)</f>
        <v/>
      </c>
      <c r="AB34" s="784"/>
      <c r="AC34" s="785"/>
    </row>
    <row r="35" spans="1:29" ht="13.8" thickBot="1">
      <c r="A35" s="782" t="s">
        <v>379</v>
      </c>
      <c r="B35" s="782"/>
      <c r="C35" s="786">
        <f>SUM(C34:N34)</f>
        <v>2020175.7929159999</v>
      </c>
      <c r="D35" s="787"/>
      <c r="E35" s="788"/>
      <c r="F35" s="789"/>
      <c r="G35" s="789"/>
      <c r="H35" s="789"/>
      <c r="I35" s="789"/>
      <c r="J35" s="789"/>
      <c r="K35" s="789"/>
      <c r="L35" s="789"/>
      <c r="M35" s="789"/>
      <c r="N35" s="789"/>
      <c r="P35" s="782" t="s">
        <v>379</v>
      </c>
      <c r="Q35" s="782"/>
      <c r="R35" s="786">
        <f>SUM(R34:AC34)</f>
        <v>0</v>
      </c>
      <c r="S35" s="787"/>
      <c r="T35" s="788"/>
      <c r="U35" s="786"/>
      <c r="V35" s="787"/>
      <c r="W35" s="788"/>
      <c r="X35" s="786"/>
      <c r="Y35" s="787"/>
      <c r="Z35" s="788"/>
      <c r="AA35" s="786"/>
      <c r="AB35" s="787"/>
      <c r="AC35" s="788"/>
    </row>
    <row r="36" spans="1:29" ht="13.8" thickBot="1">
      <c r="A36" s="782" t="s">
        <v>380</v>
      </c>
      <c r="B36" s="782"/>
      <c r="C36" s="790">
        <f>C35/A39-1</f>
        <v>0.14575469314504463</v>
      </c>
      <c r="D36" s="791"/>
      <c r="E36" s="792"/>
      <c r="F36" s="789"/>
      <c r="G36" s="789"/>
      <c r="H36" s="789"/>
      <c r="I36" s="789"/>
      <c r="J36" s="789"/>
      <c r="K36" s="789"/>
      <c r="L36" s="789"/>
      <c r="M36" s="789"/>
      <c r="N36" s="789"/>
      <c r="P36" s="782" t="s">
        <v>381</v>
      </c>
      <c r="Q36" s="782"/>
      <c r="R36" s="793" t="str">
        <f>IF(R9="","",R34-$C$34)</f>
        <v/>
      </c>
      <c r="S36" s="794"/>
      <c r="T36" s="795"/>
      <c r="U36" s="793" t="str">
        <f>IF(U9="","",U34-$F$34)</f>
        <v/>
      </c>
      <c r="V36" s="794"/>
      <c r="W36" s="795"/>
      <c r="X36" s="793" t="str">
        <f>IF(X9="","",X34-$I$34)</f>
        <v/>
      </c>
      <c r="Y36" s="794"/>
      <c r="Z36" s="795"/>
      <c r="AA36" s="793" t="str">
        <f>IF(AA9="","",AA34-$L$34)</f>
        <v/>
      </c>
      <c r="AB36" s="794"/>
      <c r="AC36" s="795"/>
    </row>
    <row r="37" spans="1:29" ht="13.8" thickBot="1">
      <c r="P37" s="782" t="s">
        <v>382</v>
      </c>
      <c r="Q37" s="782"/>
      <c r="R37" s="790" t="str">
        <f>IF(R9="","",R34/$C$34-1)</f>
        <v/>
      </c>
      <c r="S37" s="796"/>
      <c r="T37" s="797"/>
      <c r="U37" s="790" t="str">
        <f>IF(U9="","",U34/$F$34-1)</f>
        <v/>
      </c>
      <c r="V37" s="796"/>
      <c r="W37" s="797"/>
      <c r="X37" s="790" t="str">
        <f>IF(X9="","",X34/$I$34-1)</f>
        <v/>
      </c>
      <c r="Y37" s="796"/>
      <c r="Z37" s="797"/>
      <c r="AA37" s="790" t="str">
        <f>IF(AA9="","",AA34/$L$34-1)</f>
        <v/>
      </c>
      <c r="AB37" s="796"/>
      <c r="AC37" s="797"/>
    </row>
    <row r="38" spans="1:29" ht="13.8" thickBot="1">
      <c r="P38" s="782" t="s">
        <v>383</v>
      </c>
      <c r="Q38" s="782"/>
      <c r="R38" s="786">
        <f>SUM(R34:AC34)-SUM(C34:N34)</f>
        <v>-2020175.7929159999</v>
      </c>
      <c r="S38" s="787"/>
      <c r="T38" s="788"/>
      <c r="U38" s="790">
        <f>R35/$C$35-1</f>
        <v>-1</v>
      </c>
      <c r="V38" s="791"/>
      <c r="W38" s="792"/>
    </row>
    <row r="39" spans="1:29">
      <c r="A39" s="798">
        <v>1763183.5200000003</v>
      </c>
      <c r="F39" s="799"/>
      <c r="G39" s="799"/>
      <c r="H39" s="799"/>
      <c r="I39" s="799"/>
      <c r="J39" s="799"/>
      <c r="K39" s="799"/>
      <c r="L39" s="799"/>
      <c r="M39" s="799"/>
      <c r="N39" s="799"/>
      <c r="P39" s="782"/>
      <c r="Q39" s="782"/>
      <c r="R39" s="789"/>
      <c r="S39" s="789"/>
      <c r="T39" s="789"/>
      <c r="U39" s="800"/>
      <c r="V39" s="800"/>
      <c r="W39" s="800"/>
    </row>
    <row r="40" spans="1:29" ht="13.8" thickBot="1">
      <c r="X40" s="799"/>
      <c r="Y40" s="799"/>
      <c r="Z40" s="799"/>
      <c r="AA40" s="799"/>
      <c r="AB40" s="799"/>
      <c r="AC40" s="799"/>
    </row>
    <row r="41" spans="1:29" ht="18" customHeight="1" thickBot="1">
      <c r="A41" s="727" t="s">
        <v>366</v>
      </c>
      <c r="B41" s="727"/>
      <c r="C41" s="728"/>
      <c r="D41" s="729"/>
      <c r="E41" s="729"/>
      <c r="F41" s="729"/>
      <c r="G41" s="729"/>
      <c r="H41" s="729"/>
      <c r="I41" s="729"/>
      <c r="J41" s="729"/>
      <c r="K41" s="729"/>
      <c r="L41" s="729"/>
      <c r="M41" s="729"/>
      <c r="N41" s="730"/>
    </row>
    <row r="42" spans="1:29" ht="15" customHeight="1" thickBot="1">
      <c r="A42" s="727"/>
      <c r="B42" s="727"/>
      <c r="C42" s="732"/>
      <c r="D42" s="733"/>
      <c r="E42" s="733"/>
      <c r="F42" s="733"/>
      <c r="G42" s="733"/>
      <c r="H42" s="733"/>
      <c r="I42" s="733"/>
      <c r="J42" s="733"/>
      <c r="K42" s="733"/>
      <c r="L42" s="733"/>
      <c r="M42" s="733"/>
      <c r="N42" s="734"/>
    </row>
    <row r="43" spans="1:29" ht="15" customHeight="1">
      <c r="A43" s="735" t="s">
        <v>163</v>
      </c>
      <c r="B43" s="735"/>
      <c r="C43" s="736"/>
      <c r="D43" s="739"/>
      <c r="E43" s="740"/>
      <c r="F43" s="736"/>
      <c r="G43" s="739"/>
      <c r="H43" s="740"/>
      <c r="I43" s="736"/>
      <c r="J43" s="739"/>
      <c r="K43" s="740"/>
      <c r="L43" s="736"/>
      <c r="M43" s="739"/>
      <c r="N43" s="740"/>
    </row>
    <row r="44" spans="1:29" ht="13.8" thickBot="1">
      <c r="A44" s="741" t="s">
        <v>164</v>
      </c>
      <c r="B44" s="741"/>
      <c r="C44" s="742"/>
      <c r="D44" s="743"/>
      <c r="E44" s="744"/>
      <c r="F44" s="742"/>
      <c r="G44" s="743"/>
      <c r="H44" s="744"/>
      <c r="I44" s="742"/>
      <c r="J44" s="743"/>
      <c r="K44" s="744"/>
      <c r="L44" s="742"/>
      <c r="M44" s="743"/>
      <c r="N44" s="744"/>
      <c r="P44" s="801" t="s">
        <v>384</v>
      </c>
      <c r="Q44" s="727"/>
      <c r="R44" s="727"/>
      <c r="S44" s="727"/>
      <c r="T44" s="727"/>
      <c r="U44" s="727"/>
      <c r="V44" s="727"/>
      <c r="W44" s="727"/>
      <c r="X44" s="727"/>
      <c r="Y44" s="727"/>
    </row>
    <row r="45" spans="1:29">
      <c r="A45" s="745" t="s">
        <v>168</v>
      </c>
      <c r="B45" s="745"/>
      <c r="C45" s="749"/>
      <c r="D45" s="750"/>
      <c r="E45" s="751"/>
      <c r="F45" s="749"/>
      <c r="G45" s="750"/>
      <c r="H45" s="751"/>
      <c r="I45" s="749"/>
      <c r="J45" s="750"/>
      <c r="K45" s="751"/>
      <c r="L45" s="749"/>
      <c r="M45" s="750"/>
      <c r="N45" s="751"/>
      <c r="P45" s="802"/>
      <c r="Q45" s="803"/>
      <c r="R45" s="803"/>
      <c r="S45" s="803"/>
      <c r="T45" s="803"/>
      <c r="U45" s="803"/>
      <c r="V45" s="803"/>
      <c r="W45" s="803"/>
      <c r="X45" s="803"/>
      <c r="Y45" s="803"/>
      <c r="Z45" s="803"/>
      <c r="AA45" s="803"/>
      <c r="AB45" s="803"/>
      <c r="AC45" s="804"/>
    </row>
    <row r="46" spans="1:29">
      <c r="A46" s="735" t="s">
        <v>169</v>
      </c>
      <c r="B46" s="735"/>
      <c r="C46" s="752" t="s">
        <v>170</v>
      </c>
      <c r="D46" s="753"/>
      <c r="E46" s="754"/>
      <c r="F46" s="752" t="s">
        <v>170</v>
      </c>
      <c r="G46" s="753"/>
      <c r="H46" s="754"/>
      <c r="I46" s="752" t="s">
        <v>170</v>
      </c>
      <c r="J46" s="753"/>
      <c r="K46" s="754"/>
      <c r="L46" s="752" t="s">
        <v>170</v>
      </c>
      <c r="M46" s="753"/>
      <c r="N46" s="754"/>
      <c r="P46" s="805"/>
      <c r="Q46" s="806"/>
      <c r="R46" s="806"/>
      <c r="S46" s="806"/>
      <c r="T46" s="806"/>
      <c r="U46" s="806"/>
      <c r="V46" s="806"/>
      <c r="W46" s="806"/>
      <c r="X46" s="806"/>
      <c r="Y46" s="806"/>
      <c r="Z46" s="806"/>
      <c r="AA46" s="806"/>
      <c r="AB46" s="806"/>
      <c r="AC46" s="807"/>
    </row>
    <row r="47" spans="1:29">
      <c r="A47" s="741" t="s">
        <v>368</v>
      </c>
      <c r="B47" s="741"/>
      <c r="C47" s="755"/>
      <c r="D47" s="756"/>
      <c r="E47" s="757"/>
      <c r="F47" s="755"/>
      <c r="G47" s="756"/>
      <c r="H47" s="757"/>
      <c r="I47" s="755"/>
      <c r="J47" s="756"/>
      <c r="K47" s="757"/>
      <c r="L47" s="755"/>
      <c r="M47" s="756"/>
      <c r="N47" s="757"/>
      <c r="P47" s="805"/>
      <c r="Q47" s="806"/>
      <c r="R47" s="806"/>
      <c r="S47" s="806"/>
      <c r="T47" s="806"/>
      <c r="U47" s="806"/>
      <c r="V47" s="806"/>
      <c r="W47" s="806"/>
      <c r="X47" s="806"/>
      <c r="Y47" s="806"/>
      <c r="Z47" s="806"/>
      <c r="AA47" s="806"/>
      <c r="AB47" s="806"/>
      <c r="AC47" s="807"/>
    </row>
    <row r="48" spans="1:29">
      <c r="A48" s="741" t="s">
        <v>369</v>
      </c>
      <c r="B48" s="741"/>
      <c r="C48" s="755"/>
      <c r="D48" s="756"/>
      <c r="E48" s="757"/>
      <c r="F48" s="755"/>
      <c r="G48" s="756"/>
      <c r="H48" s="757"/>
      <c r="I48" s="755"/>
      <c r="J48" s="756"/>
      <c r="K48" s="757"/>
      <c r="L48" s="755"/>
      <c r="M48" s="756"/>
      <c r="N48" s="757"/>
      <c r="P48" s="805"/>
      <c r="Q48" s="806"/>
      <c r="R48" s="806"/>
      <c r="S48" s="806"/>
      <c r="T48" s="806"/>
      <c r="U48" s="806"/>
      <c r="V48" s="806"/>
      <c r="W48" s="806"/>
      <c r="X48" s="806"/>
      <c r="Y48" s="806"/>
      <c r="Z48" s="806"/>
      <c r="AA48" s="806"/>
      <c r="AB48" s="806"/>
      <c r="AC48" s="807"/>
    </row>
    <row r="49" spans="1:29" ht="12.75" customHeight="1">
      <c r="A49" s="741" t="s">
        <v>370</v>
      </c>
      <c r="B49" s="741"/>
      <c r="C49" s="758"/>
      <c r="D49" s="759"/>
      <c r="E49" s="760"/>
      <c r="F49" s="758"/>
      <c r="G49" s="759"/>
      <c r="H49" s="760"/>
      <c r="I49" s="758"/>
      <c r="J49" s="759"/>
      <c r="K49" s="760"/>
      <c r="L49" s="758"/>
      <c r="M49" s="759"/>
      <c r="N49" s="760"/>
      <c r="P49" s="808"/>
      <c r="Q49" s="809"/>
      <c r="R49" s="809"/>
      <c r="S49" s="809"/>
      <c r="T49" s="809"/>
      <c r="U49" s="809"/>
      <c r="V49" s="810"/>
      <c r="W49" s="810"/>
      <c r="X49" s="806"/>
      <c r="Y49" s="806"/>
      <c r="Z49" s="806"/>
      <c r="AA49" s="806"/>
      <c r="AB49" s="806"/>
      <c r="AC49" s="807"/>
    </row>
    <row r="50" spans="1:29">
      <c r="A50" s="741" t="s">
        <v>371</v>
      </c>
      <c r="B50" s="741"/>
      <c r="C50" s="755"/>
      <c r="D50" s="756"/>
      <c r="E50" s="757"/>
      <c r="F50" s="755"/>
      <c r="G50" s="756"/>
      <c r="H50" s="757"/>
      <c r="I50" s="755"/>
      <c r="J50" s="756"/>
      <c r="K50" s="757"/>
      <c r="L50" s="755"/>
      <c r="M50" s="756"/>
      <c r="N50" s="757"/>
      <c r="P50" s="805"/>
      <c r="Q50" s="806"/>
      <c r="R50" s="806"/>
      <c r="S50" s="806"/>
      <c r="T50" s="806"/>
      <c r="U50" s="806"/>
      <c r="V50" s="806"/>
      <c r="W50" s="806"/>
      <c r="X50" s="806"/>
      <c r="Y50" s="806"/>
      <c r="Z50" s="806"/>
      <c r="AA50" s="806"/>
      <c r="AB50" s="806"/>
      <c r="AC50" s="807"/>
    </row>
    <row r="51" spans="1:29">
      <c r="A51" s="741" t="s">
        <v>372</v>
      </c>
      <c r="C51" s="755"/>
      <c r="D51" s="756"/>
      <c r="E51" s="757"/>
      <c r="F51" s="755"/>
      <c r="G51" s="756"/>
      <c r="H51" s="757"/>
      <c r="I51" s="755"/>
      <c r="J51" s="756"/>
      <c r="K51" s="757"/>
      <c r="L51" s="755"/>
      <c r="M51" s="756"/>
      <c r="N51" s="757"/>
      <c r="P51" s="805"/>
      <c r="Q51" s="806"/>
      <c r="R51" s="806"/>
      <c r="S51" s="806"/>
      <c r="T51" s="806"/>
      <c r="U51" s="806"/>
      <c r="V51" s="806"/>
      <c r="W51" s="806"/>
      <c r="X51" s="806"/>
      <c r="Y51" s="806"/>
      <c r="Z51" s="806"/>
      <c r="AA51" s="806"/>
      <c r="AB51" s="806"/>
      <c r="AC51" s="807"/>
    </row>
    <row r="52" spans="1:29">
      <c r="A52" s="741" t="s">
        <v>373</v>
      </c>
      <c r="B52" s="741"/>
      <c r="C52" s="755"/>
      <c r="D52" s="756"/>
      <c r="E52" s="757"/>
      <c r="F52" s="755"/>
      <c r="G52" s="756"/>
      <c r="H52" s="757"/>
      <c r="I52" s="755"/>
      <c r="J52" s="756"/>
      <c r="K52" s="757"/>
      <c r="L52" s="755"/>
      <c r="M52" s="756"/>
      <c r="N52" s="757"/>
      <c r="P52" s="811"/>
      <c r="Q52" s="812"/>
      <c r="R52" s="812"/>
      <c r="S52" s="812"/>
      <c r="T52" s="812"/>
      <c r="U52" s="812"/>
      <c r="V52" s="806"/>
      <c r="W52" s="806"/>
      <c r="X52" s="806"/>
      <c r="Y52" s="806"/>
      <c r="Z52" s="806"/>
      <c r="AA52" s="806"/>
      <c r="AB52" s="806"/>
      <c r="AC52" s="807"/>
    </row>
    <row r="53" spans="1:29">
      <c r="A53" s="741" t="s">
        <v>174</v>
      </c>
      <c r="B53" s="741"/>
      <c r="C53" s="755"/>
      <c r="D53" s="756"/>
      <c r="E53" s="757"/>
      <c r="F53" s="755"/>
      <c r="G53" s="756"/>
      <c r="H53" s="757"/>
      <c r="I53" s="755"/>
      <c r="J53" s="756"/>
      <c r="K53" s="757"/>
      <c r="L53" s="755"/>
      <c r="M53" s="756"/>
      <c r="N53" s="757"/>
      <c r="P53" s="811"/>
      <c r="Q53" s="812"/>
      <c r="R53" s="812"/>
      <c r="S53" s="812"/>
      <c r="T53" s="812"/>
      <c r="U53" s="812"/>
      <c r="V53" s="806"/>
      <c r="W53" s="806"/>
      <c r="X53" s="806"/>
      <c r="Y53" s="806"/>
      <c r="Z53" s="806"/>
      <c r="AA53" s="806"/>
      <c r="AB53" s="806"/>
      <c r="AC53" s="807"/>
    </row>
    <row r="54" spans="1:29" ht="12.75" customHeight="1">
      <c r="A54" s="741" t="s">
        <v>175</v>
      </c>
      <c r="B54" s="741"/>
      <c r="C54" s="761"/>
      <c r="D54" s="762"/>
      <c r="E54" s="763"/>
      <c r="F54" s="761"/>
      <c r="G54" s="762"/>
      <c r="H54" s="763"/>
      <c r="I54" s="761"/>
      <c r="J54" s="762"/>
      <c r="K54" s="763"/>
      <c r="L54" s="761"/>
      <c r="M54" s="762"/>
      <c r="N54" s="763"/>
      <c r="P54" s="808"/>
      <c r="Q54" s="809"/>
      <c r="R54" s="809"/>
      <c r="S54" s="809"/>
      <c r="T54" s="809"/>
      <c r="U54" s="809"/>
      <c r="V54" s="806"/>
      <c r="W54" s="806"/>
      <c r="X54" s="806"/>
      <c r="Y54" s="806"/>
      <c r="Z54" s="806"/>
      <c r="AA54" s="806"/>
      <c r="AB54" s="806"/>
      <c r="AC54" s="807"/>
    </row>
    <row r="55" spans="1:29" ht="12.75" customHeight="1">
      <c r="A55" s="741" t="s">
        <v>176</v>
      </c>
      <c r="B55" s="741"/>
      <c r="C55" s="755"/>
      <c r="D55" s="756"/>
      <c r="E55" s="757"/>
      <c r="F55" s="755"/>
      <c r="G55" s="756"/>
      <c r="H55" s="757"/>
      <c r="I55" s="755"/>
      <c r="J55" s="756"/>
      <c r="K55" s="757"/>
      <c r="L55" s="755"/>
      <c r="M55" s="756"/>
      <c r="N55" s="757"/>
      <c r="P55" s="813"/>
      <c r="Q55" s="809"/>
      <c r="R55" s="809"/>
      <c r="S55" s="809"/>
      <c r="T55" s="809"/>
      <c r="U55" s="809"/>
      <c r="V55" s="806"/>
      <c r="W55" s="806"/>
      <c r="X55" s="806"/>
      <c r="Y55" s="806"/>
      <c r="Z55" s="806"/>
      <c r="AA55" s="806"/>
      <c r="AB55" s="806"/>
      <c r="AC55" s="807"/>
    </row>
    <row r="56" spans="1:29" ht="12.75" customHeight="1">
      <c r="A56" s="741" t="s">
        <v>177</v>
      </c>
      <c r="B56" s="745"/>
      <c r="C56" s="770"/>
      <c r="D56" s="771"/>
      <c r="E56" s="772"/>
      <c r="F56" s="770"/>
      <c r="G56" s="771"/>
      <c r="H56" s="772"/>
      <c r="I56" s="770"/>
      <c r="J56" s="771"/>
      <c r="K56" s="772"/>
      <c r="L56" s="770"/>
      <c r="M56" s="771"/>
      <c r="N56" s="772"/>
      <c r="P56" s="808"/>
      <c r="Q56" s="809"/>
      <c r="R56" s="809"/>
      <c r="S56" s="809"/>
      <c r="T56" s="809"/>
      <c r="U56" s="809"/>
      <c r="V56" s="806"/>
      <c r="W56" s="806"/>
      <c r="X56" s="806"/>
      <c r="Y56" s="806"/>
      <c r="Z56" s="806"/>
      <c r="AA56" s="806"/>
      <c r="AB56" s="806"/>
      <c r="AC56" s="807"/>
    </row>
    <row r="57" spans="1:29" ht="24.9" customHeight="1">
      <c r="A57" s="745" t="s">
        <v>178</v>
      </c>
      <c r="C57" s="767"/>
      <c r="D57" s="768"/>
      <c r="E57" s="769"/>
      <c r="F57" s="767"/>
      <c r="G57" s="768"/>
      <c r="H57" s="769"/>
      <c r="I57" s="767"/>
      <c r="J57" s="768"/>
      <c r="K57" s="769"/>
      <c r="L57" s="767"/>
      <c r="M57" s="768"/>
      <c r="N57" s="769"/>
      <c r="P57" s="805"/>
      <c r="Q57" s="806"/>
      <c r="R57" s="806"/>
      <c r="S57" s="806"/>
      <c r="T57" s="806"/>
      <c r="U57" s="806"/>
      <c r="V57" s="806"/>
      <c r="W57" s="806"/>
      <c r="X57" s="806"/>
      <c r="Y57" s="806"/>
      <c r="Z57" s="806"/>
      <c r="AA57" s="806"/>
      <c r="AB57" s="806"/>
      <c r="AC57" s="807"/>
    </row>
    <row r="58" spans="1:29" ht="12.75" customHeight="1">
      <c r="A58" s="735"/>
      <c r="B58" s="735"/>
      <c r="C58" s="752" t="s">
        <v>374</v>
      </c>
      <c r="D58" s="753"/>
      <c r="E58" s="754"/>
      <c r="F58" s="752" t="s">
        <v>374</v>
      </c>
      <c r="G58" s="753"/>
      <c r="H58" s="754"/>
      <c r="I58" s="752" t="s">
        <v>374</v>
      </c>
      <c r="J58" s="753"/>
      <c r="K58" s="754"/>
      <c r="L58" s="752" t="s">
        <v>374</v>
      </c>
      <c r="M58" s="753"/>
      <c r="N58" s="754"/>
      <c r="P58" s="805"/>
      <c r="Q58" s="806"/>
      <c r="R58" s="806"/>
      <c r="S58" s="806"/>
      <c r="T58" s="806"/>
      <c r="U58" s="806"/>
      <c r="V58" s="806"/>
      <c r="W58" s="806"/>
      <c r="X58" s="806"/>
      <c r="Y58" s="806"/>
      <c r="Z58" s="806"/>
      <c r="AA58" s="806"/>
      <c r="AB58" s="806"/>
      <c r="AC58" s="807"/>
    </row>
    <row r="59" spans="1:29" ht="12.75" customHeight="1">
      <c r="A59" s="741" t="s">
        <v>175</v>
      </c>
      <c r="B59" s="741"/>
      <c r="C59" s="758"/>
      <c r="D59" s="759"/>
      <c r="E59" s="760"/>
      <c r="F59" s="758"/>
      <c r="G59" s="759"/>
      <c r="H59" s="760"/>
      <c r="I59" s="758"/>
      <c r="J59" s="759"/>
      <c r="K59" s="760"/>
      <c r="L59" s="758"/>
      <c r="M59" s="759"/>
      <c r="N59" s="760"/>
      <c r="P59" s="814"/>
      <c r="Q59" s="806"/>
      <c r="R59" s="806"/>
      <c r="S59" s="815"/>
      <c r="T59" s="806"/>
      <c r="U59" s="806"/>
      <c r="V59" s="806"/>
      <c r="W59" s="806"/>
      <c r="X59" s="806"/>
      <c r="Y59" s="806"/>
      <c r="Z59" s="806"/>
      <c r="AA59" s="806"/>
      <c r="AB59" s="806"/>
      <c r="AC59" s="807"/>
    </row>
    <row r="60" spans="1:29" ht="12.75" customHeight="1" thickBot="1">
      <c r="A60" s="741" t="s">
        <v>176</v>
      </c>
      <c r="B60" s="741"/>
      <c r="C60" s="816"/>
      <c r="D60" s="817"/>
      <c r="E60" s="818"/>
      <c r="F60" s="816"/>
      <c r="G60" s="817"/>
      <c r="H60" s="818"/>
      <c r="I60" s="816"/>
      <c r="J60" s="817"/>
      <c r="K60" s="818"/>
      <c r="L60" s="816"/>
      <c r="M60" s="817"/>
      <c r="N60" s="818"/>
      <c r="P60" s="819"/>
      <c r="Q60" s="820"/>
      <c r="R60" s="821"/>
      <c r="S60" s="822"/>
      <c r="T60" s="820"/>
      <c r="U60" s="821"/>
      <c r="V60" s="823"/>
      <c r="W60" s="823"/>
      <c r="X60" s="824"/>
      <c r="Y60" s="824"/>
      <c r="Z60" s="824"/>
      <c r="AA60" s="824"/>
      <c r="AB60" s="824"/>
      <c r="AC60" s="825"/>
    </row>
    <row r="61" spans="1:29" ht="12.75" customHeight="1">
      <c r="A61" s="745" t="s">
        <v>180</v>
      </c>
      <c r="B61" s="745"/>
      <c r="C61" s="826"/>
      <c r="D61" s="827"/>
      <c r="E61" s="828"/>
      <c r="F61" s="826"/>
      <c r="G61" s="827"/>
      <c r="H61" s="828"/>
      <c r="I61" s="826"/>
      <c r="J61" s="827"/>
      <c r="K61" s="828"/>
      <c r="L61" s="826"/>
      <c r="M61" s="827"/>
      <c r="N61" s="828"/>
      <c r="P61" s="829"/>
      <c r="Q61" s="829"/>
      <c r="R61" s="829"/>
      <c r="S61" s="829"/>
      <c r="T61" s="829"/>
      <c r="U61" s="829"/>
      <c r="V61" s="741"/>
      <c r="W61" s="741"/>
      <c r="X61" s="741"/>
      <c r="Y61" s="741"/>
    </row>
    <row r="62" spans="1:29" ht="12.75" customHeight="1">
      <c r="A62" s="735" t="s">
        <v>185</v>
      </c>
      <c r="B62" s="735"/>
      <c r="C62" s="773" t="s">
        <v>21</v>
      </c>
      <c r="D62" s="774" t="s">
        <v>375</v>
      </c>
      <c r="E62" s="775" t="s">
        <v>376</v>
      </c>
      <c r="F62" s="773" t="s">
        <v>21</v>
      </c>
      <c r="G62" s="774" t="s">
        <v>375</v>
      </c>
      <c r="H62" s="775" t="s">
        <v>376</v>
      </c>
      <c r="I62" s="773" t="s">
        <v>21</v>
      </c>
      <c r="J62" s="774" t="s">
        <v>375</v>
      </c>
      <c r="K62" s="775" t="s">
        <v>376</v>
      </c>
      <c r="L62" s="773" t="s">
        <v>21</v>
      </c>
      <c r="M62" s="774" t="s">
        <v>375</v>
      </c>
      <c r="N62" s="775" t="s">
        <v>376</v>
      </c>
      <c r="P62" s="830"/>
      <c r="Q62" s="830"/>
      <c r="R62" s="830"/>
      <c r="S62" s="830"/>
      <c r="T62" s="830"/>
      <c r="U62" s="830"/>
      <c r="V62" s="830"/>
      <c r="W62" s="830"/>
      <c r="X62" s="830"/>
      <c r="Y62" s="830"/>
    </row>
    <row r="63" spans="1:29" ht="12.75" customHeight="1">
      <c r="A63" s="741" t="s">
        <v>182</v>
      </c>
      <c r="B63" s="741"/>
      <c r="C63" s="776"/>
      <c r="D63" s="777"/>
      <c r="E63" s="778" t="s">
        <v>388</v>
      </c>
      <c r="F63" s="776"/>
      <c r="G63" s="777"/>
      <c r="H63" s="778" t="s">
        <v>388</v>
      </c>
      <c r="I63" s="776"/>
      <c r="J63" s="777"/>
      <c r="K63" s="778" t="s">
        <v>388</v>
      </c>
      <c r="L63" s="776"/>
      <c r="M63" s="777"/>
      <c r="N63" s="778" t="s">
        <v>388</v>
      </c>
      <c r="P63" s="831" t="s">
        <v>385</v>
      </c>
      <c r="Q63" s="831"/>
      <c r="R63" s="831"/>
      <c r="S63" s="832"/>
      <c r="T63" s="832"/>
      <c r="U63" s="832"/>
      <c r="V63" s="832"/>
      <c r="W63" s="832"/>
      <c r="X63" s="832"/>
      <c r="Y63" s="832"/>
    </row>
    <row r="64" spans="1:29" ht="12.75" customHeight="1">
      <c r="A64" s="741" t="s">
        <v>462</v>
      </c>
      <c r="B64" s="741"/>
      <c r="C64" s="776"/>
      <c r="D64" s="777"/>
      <c r="E64" s="778" t="s">
        <v>388</v>
      </c>
      <c r="F64" s="776"/>
      <c r="G64" s="777"/>
      <c r="H64" s="778" t="s">
        <v>388</v>
      </c>
      <c r="I64" s="776"/>
      <c r="J64" s="777"/>
      <c r="K64" s="778" t="s">
        <v>388</v>
      </c>
      <c r="L64" s="776"/>
      <c r="M64" s="777"/>
      <c r="N64" s="778" t="s">
        <v>388</v>
      </c>
      <c r="P64" s="782" t="s">
        <v>386</v>
      </c>
      <c r="Q64" s="782"/>
      <c r="R64" s="782"/>
      <c r="S64" s="833"/>
      <c r="T64" s="833"/>
      <c r="U64" s="833"/>
      <c r="V64" s="833"/>
      <c r="W64" s="833"/>
      <c r="X64" s="833"/>
      <c r="Y64" s="833"/>
    </row>
    <row r="65" spans="1:14">
      <c r="A65" s="741" t="s">
        <v>463</v>
      </c>
      <c r="B65" s="741"/>
      <c r="C65" s="776"/>
      <c r="D65" s="777"/>
      <c r="E65" s="778" t="s">
        <v>388</v>
      </c>
      <c r="F65" s="776"/>
      <c r="G65" s="777"/>
      <c r="H65" s="778" t="s">
        <v>388</v>
      </c>
      <c r="I65" s="776"/>
      <c r="J65" s="777"/>
      <c r="K65" s="778" t="s">
        <v>388</v>
      </c>
      <c r="L65" s="776"/>
      <c r="M65" s="777"/>
      <c r="N65" s="778" t="s">
        <v>388</v>
      </c>
    </row>
    <row r="66" spans="1:14">
      <c r="A66" s="741" t="s">
        <v>183</v>
      </c>
      <c r="B66" s="741"/>
      <c r="C66" s="776"/>
      <c r="D66" s="777"/>
      <c r="E66" s="778" t="s">
        <v>388</v>
      </c>
      <c r="F66" s="776"/>
      <c r="G66" s="777"/>
      <c r="H66" s="778" t="s">
        <v>388</v>
      </c>
      <c r="I66" s="776"/>
      <c r="J66" s="777"/>
      <c r="K66" s="778" t="s">
        <v>388</v>
      </c>
      <c r="L66" s="776"/>
      <c r="M66" s="777"/>
      <c r="N66" s="778" t="s">
        <v>388</v>
      </c>
    </row>
    <row r="67" spans="1:14">
      <c r="A67" s="735" t="s">
        <v>377</v>
      </c>
      <c r="B67" s="735"/>
      <c r="C67" s="834" t="str">
        <f>IF(C43="","",SUMPRODUCT(D63:D66,C63:C66))</f>
        <v/>
      </c>
      <c r="D67" s="835"/>
      <c r="E67" s="836"/>
      <c r="F67" s="834" t="str">
        <f>IF(F43="","",SUMPRODUCT(G63:G66,F63:F66))</f>
        <v/>
      </c>
      <c r="G67" s="835"/>
      <c r="H67" s="836"/>
      <c r="I67" s="834" t="str">
        <f>IF(I43="","",SUMPRODUCT(J63:J66,I63:I66))</f>
        <v/>
      </c>
      <c r="J67" s="835"/>
      <c r="K67" s="836"/>
      <c r="L67" s="834" t="str">
        <f>IF(L43="","",SUMPRODUCT(M63:M66,L63:L66))</f>
        <v/>
      </c>
      <c r="M67" s="835"/>
      <c r="N67" s="836"/>
    </row>
    <row r="68" spans="1:14" ht="13.8" thickBot="1">
      <c r="A68" s="782" t="s">
        <v>378</v>
      </c>
      <c r="B68" s="782"/>
      <c r="C68" s="837" t="str">
        <f>IF(C43="","",C67*12)</f>
        <v/>
      </c>
      <c r="D68" s="838"/>
      <c r="E68" s="839"/>
      <c r="F68" s="837" t="str">
        <f>IF(F43="","",F67*12)</f>
        <v/>
      </c>
      <c r="G68" s="838"/>
      <c r="H68" s="839"/>
      <c r="I68" s="837" t="str">
        <f>IF(I43="","",I67*12)</f>
        <v/>
      </c>
      <c r="J68" s="838"/>
      <c r="K68" s="839"/>
      <c r="L68" s="837" t="str">
        <f>IF(L43="","",L67*12)</f>
        <v/>
      </c>
      <c r="M68" s="838"/>
      <c r="N68" s="839"/>
    </row>
    <row r="69" spans="1:14" ht="13.8" thickBot="1">
      <c r="A69" s="782" t="s">
        <v>379</v>
      </c>
      <c r="B69" s="782"/>
      <c r="C69" s="786">
        <f>SUM(C68:N68)</f>
        <v>0</v>
      </c>
      <c r="D69" s="787"/>
      <c r="E69" s="788"/>
      <c r="F69" s="786"/>
      <c r="G69" s="787"/>
      <c r="H69" s="788"/>
      <c r="I69" s="786"/>
      <c r="J69" s="787"/>
      <c r="K69" s="788"/>
      <c r="L69" s="786"/>
      <c r="M69" s="787"/>
      <c r="N69" s="788"/>
    </row>
    <row r="70" spans="1:14" ht="13.8" thickBot="1">
      <c r="A70" s="782" t="s">
        <v>381</v>
      </c>
      <c r="B70" s="782"/>
      <c r="C70" s="793" t="str">
        <f>IF(C43="","",C68-$C$34)</f>
        <v/>
      </c>
      <c r="D70" s="794"/>
      <c r="E70" s="795"/>
      <c r="F70" s="793" t="str">
        <f>IF(F43="","",F68-$F$34)</f>
        <v/>
      </c>
      <c r="G70" s="794"/>
      <c r="H70" s="795"/>
      <c r="I70" s="793" t="str">
        <f>IF(I43="","",I68-$I$34)</f>
        <v/>
      </c>
      <c r="J70" s="794"/>
      <c r="K70" s="795"/>
      <c r="L70" s="793" t="str">
        <f>IF(L43="","",L68-$L$34)</f>
        <v/>
      </c>
      <c r="M70" s="794"/>
      <c r="N70" s="795"/>
    </row>
    <row r="71" spans="1:14" ht="13.8" thickBot="1">
      <c r="A71" s="782" t="s">
        <v>382</v>
      </c>
      <c r="B71" s="782"/>
      <c r="C71" s="790" t="str">
        <f>IF(C43="","",C68/$C$34-1)</f>
        <v/>
      </c>
      <c r="D71" s="796"/>
      <c r="E71" s="797"/>
      <c r="F71" s="790" t="str">
        <f>IF(F43="","",F68/$F$34-1)</f>
        <v/>
      </c>
      <c r="G71" s="796"/>
      <c r="H71" s="797"/>
      <c r="I71" s="790" t="str">
        <f>IF(I43="","",I68/$I$34-1)</f>
        <v/>
      </c>
      <c r="J71" s="796"/>
      <c r="K71" s="797"/>
      <c r="L71" s="790" t="str">
        <f>IF(L43="","",L68/$L$34-1)</f>
        <v/>
      </c>
      <c r="M71" s="796"/>
      <c r="N71" s="797"/>
    </row>
    <row r="72" spans="1:14" ht="13.8" thickBot="1">
      <c r="A72" s="782" t="s">
        <v>383</v>
      </c>
      <c r="B72" s="782"/>
      <c r="C72" s="786">
        <f>SUM(C68:N68)-SUM(C34:N34)</f>
        <v>-2020175.7929159999</v>
      </c>
      <c r="D72" s="787"/>
      <c r="E72" s="788"/>
      <c r="F72" s="790">
        <f>C69/$C$35-1</f>
        <v>-1</v>
      </c>
      <c r="G72" s="791"/>
      <c r="H72" s="792"/>
    </row>
  </sheetData>
  <sheetProtection password="8AA1" sheet="1" objects="1" scenarios="1"/>
  <mergeCells count="263">
    <mergeCell ref="C72:E72"/>
    <mergeCell ref="F72:H72"/>
    <mergeCell ref="C70:E70"/>
    <mergeCell ref="F70:H70"/>
    <mergeCell ref="I70:K70"/>
    <mergeCell ref="L70:N70"/>
    <mergeCell ref="C71:E71"/>
    <mergeCell ref="F71:H71"/>
    <mergeCell ref="I71:K71"/>
    <mergeCell ref="L71:N71"/>
    <mergeCell ref="P61:R61"/>
    <mergeCell ref="S61:U61"/>
    <mergeCell ref="P62:Y62"/>
    <mergeCell ref="P63:Y63"/>
    <mergeCell ref="C69:E69"/>
    <mergeCell ref="F69:H69"/>
    <mergeCell ref="I69:K69"/>
    <mergeCell ref="L69:N69"/>
    <mergeCell ref="C57:E57"/>
    <mergeCell ref="F57:H57"/>
    <mergeCell ref="I57:K57"/>
    <mergeCell ref="L57:N57"/>
    <mergeCell ref="C58:E58"/>
    <mergeCell ref="F58:H58"/>
    <mergeCell ref="I58:K58"/>
    <mergeCell ref="L58:N58"/>
    <mergeCell ref="C55:E55"/>
    <mergeCell ref="F55:H55"/>
    <mergeCell ref="I55:K55"/>
    <mergeCell ref="L55:N55"/>
    <mergeCell ref="C56:E56"/>
    <mergeCell ref="F56:H56"/>
    <mergeCell ref="I56:K56"/>
    <mergeCell ref="L56:N56"/>
    <mergeCell ref="C53:E53"/>
    <mergeCell ref="F53:H53"/>
    <mergeCell ref="I53:K53"/>
    <mergeCell ref="L53:N53"/>
    <mergeCell ref="C54:E54"/>
    <mergeCell ref="F54:H54"/>
    <mergeCell ref="I54:K54"/>
    <mergeCell ref="L54:N54"/>
    <mergeCell ref="C51:E51"/>
    <mergeCell ref="F51:H51"/>
    <mergeCell ref="I51:K51"/>
    <mergeCell ref="L51:N51"/>
    <mergeCell ref="C52:E52"/>
    <mergeCell ref="F52:H52"/>
    <mergeCell ref="I52:K52"/>
    <mergeCell ref="L52:N52"/>
    <mergeCell ref="C48:E48"/>
    <mergeCell ref="F48:H48"/>
    <mergeCell ref="I48:K48"/>
    <mergeCell ref="L48:N48"/>
    <mergeCell ref="C50:E50"/>
    <mergeCell ref="F50:H50"/>
    <mergeCell ref="I50:K50"/>
    <mergeCell ref="L50:N50"/>
    <mergeCell ref="C46:E46"/>
    <mergeCell ref="F46:H46"/>
    <mergeCell ref="I46:K46"/>
    <mergeCell ref="L46:N46"/>
    <mergeCell ref="C47:E47"/>
    <mergeCell ref="F47:H47"/>
    <mergeCell ref="I47:K47"/>
    <mergeCell ref="L47:N47"/>
    <mergeCell ref="C44:E44"/>
    <mergeCell ref="F44:H44"/>
    <mergeCell ref="I44:K44"/>
    <mergeCell ref="L44:N44"/>
    <mergeCell ref="C45:E45"/>
    <mergeCell ref="F45:H45"/>
    <mergeCell ref="I45:K45"/>
    <mergeCell ref="L45:N45"/>
    <mergeCell ref="R38:T38"/>
    <mergeCell ref="U38:W38"/>
    <mergeCell ref="C41:N41"/>
    <mergeCell ref="C43:E43"/>
    <mergeCell ref="F43:H43"/>
    <mergeCell ref="I43:K43"/>
    <mergeCell ref="L43:N43"/>
    <mergeCell ref="C36:E36"/>
    <mergeCell ref="R36:T36"/>
    <mergeCell ref="U36:W36"/>
    <mergeCell ref="X36:Z36"/>
    <mergeCell ref="AA36:AC36"/>
    <mergeCell ref="R37:T37"/>
    <mergeCell ref="U37:W37"/>
    <mergeCell ref="X37:Z37"/>
    <mergeCell ref="AA37:AC37"/>
    <mergeCell ref="X34:Z34"/>
    <mergeCell ref="AA34:AC34"/>
    <mergeCell ref="C35:E35"/>
    <mergeCell ref="R35:T35"/>
    <mergeCell ref="U35:W35"/>
    <mergeCell ref="X35:Z35"/>
    <mergeCell ref="AA35:AC35"/>
    <mergeCell ref="C34:E34"/>
    <mergeCell ref="F34:H34"/>
    <mergeCell ref="I34:K34"/>
    <mergeCell ref="L34:N34"/>
    <mergeCell ref="R34:T34"/>
    <mergeCell ref="U34:W34"/>
    <mergeCell ref="X27:Z27"/>
    <mergeCell ref="AA27:AC27"/>
    <mergeCell ref="C33:E33"/>
    <mergeCell ref="F33:H33"/>
    <mergeCell ref="I33:K33"/>
    <mergeCell ref="L33:N33"/>
    <mergeCell ref="R33:T33"/>
    <mergeCell ref="U33:W33"/>
    <mergeCell ref="X33:Z33"/>
    <mergeCell ref="AA33:AC33"/>
    <mergeCell ref="C27:E27"/>
    <mergeCell ref="F27:H27"/>
    <mergeCell ref="I27:K27"/>
    <mergeCell ref="L27:N27"/>
    <mergeCell ref="R27:T27"/>
    <mergeCell ref="U27:W27"/>
    <mergeCell ref="X25:Z25"/>
    <mergeCell ref="AA25:AC25"/>
    <mergeCell ref="C26:E26"/>
    <mergeCell ref="F26:H26"/>
    <mergeCell ref="I26:K26"/>
    <mergeCell ref="L26:N26"/>
    <mergeCell ref="R26:T26"/>
    <mergeCell ref="U26:W26"/>
    <mergeCell ref="X26:Z26"/>
    <mergeCell ref="AA26:AC26"/>
    <mergeCell ref="C25:E25"/>
    <mergeCell ref="F25:H25"/>
    <mergeCell ref="I25:K25"/>
    <mergeCell ref="L25:N25"/>
    <mergeCell ref="R25:T25"/>
    <mergeCell ref="U25:W25"/>
    <mergeCell ref="X23:Z23"/>
    <mergeCell ref="AA23:AC23"/>
    <mergeCell ref="C24:E24"/>
    <mergeCell ref="F24:H24"/>
    <mergeCell ref="I24:K24"/>
    <mergeCell ref="L24:N24"/>
    <mergeCell ref="R24:T24"/>
    <mergeCell ref="U24:W24"/>
    <mergeCell ref="X24:Z24"/>
    <mergeCell ref="AA24:AC24"/>
    <mergeCell ref="C23:E23"/>
    <mergeCell ref="F23:H23"/>
    <mergeCell ref="I23:K23"/>
    <mergeCell ref="L23:N23"/>
    <mergeCell ref="R23:T23"/>
    <mergeCell ref="U23:W23"/>
    <mergeCell ref="X21:Z21"/>
    <mergeCell ref="AA21:AC21"/>
    <mergeCell ref="C22:E22"/>
    <mergeCell ref="F22:H22"/>
    <mergeCell ref="I22:K22"/>
    <mergeCell ref="L22:N22"/>
    <mergeCell ref="R22:T22"/>
    <mergeCell ref="U22:W22"/>
    <mergeCell ref="X22:Z22"/>
    <mergeCell ref="AA22:AC22"/>
    <mergeCell ref="C21:E21"/>
    <mergeCell ref="F21:H21"/>
    <mergeCell ref="I21:K21"/>
    <mergeCell ref="L21:N21"/>
    <mergeCell ref="R21:T21"/>
    <mergeCell ref="U21:W21"/>
    <mergeCell ref="X19:Z19"/>
    <mergeCell ref="AA19:AC19"/>
    <mergeCell ref="C20:E20"/>
    <mergeCell ref="F20:H20"/>
    <mergeCell ref="I20:K20"/>
    <mergeCell ref="L20:N20"/>
    <mergeCell ref="R20:T20"/>
    <mergeCell ref="U20:W20"/>
    <mergeCell ref="X20:Z20"/>
    <mergeCell ref="AA20:AC20"/>
    <mergeCell ref="C19:E19"/>
    <mergeCell ref="F19:H19"/>
    <mergeCell ref="I19:K19"/>
    <mergeCell ref="L19:N19"/>
    <mergeCell ref="R19:T19"/>
    <mergeCell ref="U19:W19"/>
    <mergeCell ref="X17:Z17"/>
    <mergeCell ref="AA17:AC17"/>
    <mergeCell ref="C18:E18"/>
    <mergeCell ref="F18:H18"/>
    <mergeCell ref="I18:K18"/>
    <mergeCell ref="L18:N18"/>
    <mergeCell ref="R18:T18"/>
    <mergeCell ref="U18:W18"/>
    <mergeCell ref="X18:Z18"/>
    <mergeCell ref="AA18:AC18"/>
    <mergeCell ref="C17:E17"/>
    <mergeCell ref="F17:H17"/>
    <mergeCell ref="I17:K17"/>
    <mergeCell ref="L17:N17"/>
    <mergeCell ref="R17:T17"/>
    <mergeCell ref="U17:W17"/>
    <mergeCell ref="X15:Z15"/>
    <mergeCell ref="AA15:AC15"/>
    <mergeCell ref="C16:E16"/>
    <mergeCell ref="F16:H16"/>
    <mergeCell ref="I16:K16"/>
    <mergeCell ref="L16:N16"/>
    <mergeCell ref="C15:E15"/>
    <mergeCell ref="F15:H15"/>
    <mergeCell ref="I15:K15"/>
    <mergeCell ref="L15:N15"/>
    <mergeCell ref="R15:T15"/>
    <mergeCell ref="U15:W15"/>
    <mergeCell ref="X13:Z13"/>
    <mergeCell ref="AA13:AC13"/>
    <mergeCell ref="C14:E14"/>
    <mergeCell ref="F14:H14"/>
    <mergeCell ref="I14:K14"/>
    <mergeCell ref="L14:N14"/>
    <mergeCell ref="C13:E13"/>
    <mergeCell ref="F13:H13"/>
    <mergeCell ref="I13:K13"/>
    <mergeCell ref="L13:N13"/>
    <mergeCell ref="R13:T13"/>
    <mergeCell ref="U13:W13"/>
    <mergeCell ref="X11:Z11"/>
    <mergeCell ref="AA11:AC11"/>
    <mergeCell ref="C12:E12"/>
    <mergeCell ref="F12:H12"/>
    <mergeCell ref="I12:K12"/>
    <mergeCell ref="L12:N12"/>
    <mergeCell ref="R12:T12"/>
    <mergeCell ref="U12:W12"/>
    <mergeCell ref="X12:Z12"/>
    <mergeCell ref="AA12:AC12"/>
    <mergeCell ref="C11:E11"/>
    <mergeCell ref="F11:H11"/>
    <mergeCell ref="I11:K11"/>
    <mergeCell ref="L11:N11"/>
    <mergeCell ref="R11:T11"/>
    <mergeCell ref="U11:W11"/>
    <mergeCell ref="X9:Z9"/>
    <mergeCell ref="AA9:AC9"/>
    <mergeCell ref="C10:E10"/>
    <mergeCell ref="F10:H10"/>
    <mergeCell ref="I10:K10"/>
    <mergeCell ref="L10:N10"/>
    <mergeCell ref="R10:T10"/>
    <mergeCell ref="U10:W10"/>
    <mergeCell ref="X10:Z10"/>
    <mergeCell ref="AA10:AC10"/>
    <mergeCell ref="C9:E9"/>
    <mergeCell ref="F9:H9"/>
    <mergeCell ref="I9:K9"/>
    <mergeCell ref="L9:N9"/>
    <mergeCell ref="R9:T9"/>
    <mergeCell ref="U9:W9"/>
    <mergeCell ref="B4:D4"/>
    <mergeCell ref="B5:D5"/>
    <mergeCell ref="C7:N7"/>
    <mergeCell ref="R7:AC7"/>
    <mergeCell ref="C8:E8"/>
    <mergeCell ref="F8:H8"/>
    <mergeCell ref="I8:K8"/>
    <mergeCell ref="L8:N8"/>
  </mergeCells>
  <dataValidations count="1">
    <dataValidation type="list" allowBlank="1" showInputMessage="1" showErrorMessage="1" sqref="C8 F8 I8 L8">
      <formula1>options</formula1>
    </dataValidation>
  </dataValidations>
  <pageMargins left="0.25" right="0" top="0.5" bottom="0.25" header="0.5" footer="0.5"/>
  <pageSetup scale="55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81</vt:i4>
      </vt:variant>
    </vt:vector>
  </HeadingPairs>
  <TitlesOfParts>
    <vt:vector size="89" baseType="lpstr">
      <vt:lpstr>Ren Info</vt:lpstr>
      <vt:lpstr>UAF</vt:lpstr>
      <vt:lpstr>Exhibit</vt:lpstr>
      <vt:lpstr>Total</vt:lpstr>
      <vt:lpstr>MPE</vt:lpstr>
      <vt:lpstr>HSA MPE</vt:lpstr>
      <vt:lpstr>PvCI Rpt</vt:lpstr>
      <vt:lpstr>Appeal</vt:lpstr>
      <vt:lpstr>appbysiteyesno</vt:lpstr>
      <vt:lpstr>appcortrunyes</vt:lpstr>
      <vt:lpstr>appsite</vt:lpstr>
      <vt:lpstr>apptotalsubs</vt:lpstr>
      <vt:lpstr>assumptions</vt:lpstr>
      <vt:lpstr>assumptions2</vt:lpstr>
      <vt:lpstr>assumptions3</vt:lpstr>
      <vt:lpstr>assumptions4</vt:lpstr>
      <vt:lpstr>assumptions5</vt:lpstr>
      <vt:lpstr>assumptions6</vt:lpstr>
      <vt:lpstr>assumptions7</vt:lpstr>
      <vt:lpstr>ExhAll</vt:lpstr>
      <vt:lpstr>ExhPg1Ass</vt:lpstr>
      <vt:lpstr>ExhPg1to2Ass</vt:lpstr>
      <vt:lpstr>ExhPg1to3Ass</vt:lpstr>
      <vt:lpstr>ExhPg1to4Ass</vt:lpstr>
      <vt:lpstr>ExhPgBrk1</vt:lpstr>
      <vt:lpstr>ExhPgBrk2</vt:lpstr>
      <vt:lpstr>ExhPgBrk3</vt:lpstr>
      <vt:lpstr>ExhPgBrk4</vt:lpstr>
      <vt:lpstr>ExhPgBrk5</vt:lpstr>
      <vt:lpstr>FeesYN</vt:lpstr>
      <vt:lpstr>HideThreeTier</vt:lpstr>
      <vt:lpstr>HideTwoTier</vt:lpstr>
      <vt:lpstr>HRAHSAAssump</vt:lpstr>
      <vt:lpstr>NewOpt</vt:lpstr>
      <vt:lpstr>Option13to16Exh</vt:lpstr>
      <vt:lpstr>Option17to20Exh</vt:lpstr>
      <vt:lpstr>Option1Exh</vt:lpstr>
      <vt:lpstr>Option2to4Exh</vt:lpstr>
      <vt:lpstr>Option5to8Exh</vt:lpstr>
      <vt:lpstr>Option9to12Exh</vt:lpstr>
      <vt:lpstr>OptionKeys</vt:lpstr>
      <vt:lpstr>Pg2Exh</vt:lpstr>
      <vt:lpstr>Pg3Exh</vt:lpstr>
      <vt:lpstr>Pg4Exh</vt:lpstr>
      <vt:lpstr>Pg5Exh</vt:lpstr>
      <vt:lpstr>Plan13</vt:lpstr>
      <vt:lpstr>Plan17</vt:lpstr>
      <vt:lpstr>Plan5</vt:lpstr>
      <vt:lpstr>Plan9</vt:lpstr>
      <vt:lpstr>plans</vt:lpstr>
      <vt:lpstr>plans2</vt:lpstr>
      <vt:lpstr>plans3</vt:lpstr>
      <vt:lpstr>plans4</vt:lpstr>
      <vt:lpstr>plans5</vt:lpstr>
      <vt:lpstr>plans6</vt:lpstr>
      <vt:lpstr>plans7</vt:lpstr>
      <vt:lpstr>Exhibit!Print_Area</vt:lpstr>
      <vt:lpstr>'HSA MPE'!Print_Area</vt:lpstr>
      <vt:lpstr>MPE!Print_Area</vt:lpstr>
      <vt:lpstr>Total!Print_Area</vt:lpstr>
      <vt:lpstr>UAF!Print_Area</vt:lpstr>
      <vt:lpstr>UAF!Print_Titles</vt:lpstr>
      <vt:lpstr>PvCI_Mo</vt:lpstr>
      <vt:lpstr>UAFOption01</vt:lpstr>
      <vt:lpstr>UAFOption02</vt:lpstr>
      <vt:lpstr>UAFOption03</vt:lpstr>
      <vt:lpstr>UAFOption04</vt:lpstr>
      <vt:lpstr>UAFOption05</vt:lpstr>
      <vt:lpstr>UAFOption06</vt:lpstr>
      <vt:lpstr>UAFOption07</vt:lpstr>
      <vt:lpstr>UAFOption08</vt:lpstr>
      <vt:lpstr>UAFOption09</vt:lpstr>
      <vt:lpstr>UAFOption10</vt:lpstr>
      <vt:lpstr>UAFOption11</vt:lpstr>
      <vt:lpstr>UAFOption12</vt:lpstr>
      <vt:lpstr>UAFOption13</vt:lpstr>
      <vt:lpstr>UAFOption14</vt:lpstr>
      <vt:lpstr>UAFOption15</vt:lpstr>
      <vt:lpstr>UAFOption16</vt:lpstr>
      <vt:lpstr>UAFOption17</vt:lpstr>
      <vt:lpstr>UAFOption18</vt:lpstr>
      <vt:lpstr>UAFOption19</vt:lpstr>
      <vt:lpstr>UAFOption20</vt:lpstr>
      <vt:lpstr>UAFOption21</vt:lpstr>
      <vt:lpstr>UAFOption22</vt:lpstr>
      <vt:lpstr>UBundleExhibitHide</vt:lpstr>
      <vt:lpstr>UBundleExhibitYN</vt:lpstr>
      <vt:lpstr>UBundleRJWHide</vt:lpstr>
      <vt:lpstr>UBundleRJWYN</vt:lpstr>
    </vt:vector>
  </TitlesOfParts>
  <Company>UnitedHealth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Odom Houze, Susan D</dc:creator>
  <cp:lastModifiedBy>Odom Houze, Susan D</cp:lastModifiedBy>
  <dcterms:created xsi:type="dcterms:W3CDTF">2018-05-04T16:36:37Z</dcterms:created>
  <dcterms:modified xsi:type="dcterms:W3CDTF">2018-05-04T16:37:12Z</dcterms:modified>
</cp:coreProperties>
</file>