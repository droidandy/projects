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/Users/lemdy/Desktop/Benrevo/benrevo-admin-service/carriers/uhc/data/clients/UHC/2018/Optimizers/"/>
    </mc:Choice>
  </mc:AlternateContent>
  <bookViews>
    <workbookView xWindow="0" yWindow="460" windowWidth="16140" windowHeight="17540" tabRatio="748" activeTab="1"/>
  </bookViews>
  <sheets>
    <sheet name="UHC Instructions" sheetId="27" r:id="rId1"/>
    <sheet name="INTAKE" sheetId="1" r:id="rId2"/>
    <sheet name="DENTAL INTAKE" sheetId="6" r:id="rId3"/>
  </sheets>
  <externalReferences>
    <externalReference r:id="rId4"/>
    <externalReference r:id="rId5"/>
    <externalReference r:id="rId6"/>
  </externalReferences>
  <definedNames>
    <definedName name="Ann.Max.Carry.1" hidden="1">#REF!</definedName>
    <definedName name="Ann.Max.Carry11">'DENTAL INTAKE'!$C$54</definedName>
    <definedName name="Ann.Max.Carry12">'DENTAL INTAKE'!$G$54</definedName>
    <definedName name="Ann.Max.Carry21">'DENTAL INTAKE'!$C$92</definedName>
    <definedName name="Ann.Max.Carry22">'DENTAL INTAKE'!$G$92</definedName>
    <definedName name="Ann.Max.Carry31">'DENTAL INTAKE'!$C$130</definedName>
    <definedName name="Ann.Max.Carry32">'DENTAL INTAKE'!$G$130</definedName>
    <definedName name="Ann.Max.In.1" hidden="1">#REF!</definedName>
    <definedName name="Ann.Max.In11">'DENTAL INTAKE'!$C$53</definedName>
    <definedName name="Ann.Max.In12">'DENTAL INTAKE'!$G$53</definedName>
    <definedName name="Ann.Max.In21">'DENTAL INTAKE'!$C$91</definedName>
    <definedName name="Ann.Max.In22">'DENTAL INTAKE'!$G$91</definedName>
    <definedName name="Ann.Max.In31">'DENTAL INTAKE'!$C$129</definedName>
    <definedName name="Ann.Max.In32">'DENTAL INTAKE'!$G$129</definedName>
    <definedName name="Ann.Max.Out.1" hidden="1">#REF!</definedName>
    <definedName name="Ann.Max.Out11">'DENTAL INTAKE'!$E$53</definedName>
    <definedName name="Ann.Max.Out12">'DENTAL INTAKE'!$I$53</definedName>
    <definedName name="Ann.Max.Out21">'DENTAL INTAKE'!$E$91</definedName>
    <definedName name="Ann.Max.Out22">'DENTAL INTAKE'!$I$91</definedName>
    <definedName name="Ann.Max.Out31">'DENTAL INTAKE'!$E$129</definedName>
    <definedName name="Ann.Max.Out32">'DENTAL INTAKE'!$I$129</definedName>
    <definedName name="Annual.Max.Carryover.Range" hidden="1">[1]Data!$HZ$21:$HZ$23</definedName>
    <definedName name="Annual.Max.Carryover.Selection" hidden="1">[1]Data!$HZ$2</definedName>
    <definedName name="Annual.Max.DPApplies.Range" hidden="1">[1]Data!$HW$27</definedName>
    <definedName name="Annual.Max.DPApplies.Selection" hidden="1">[1]Data!$HW$2</definedName>
    <definedName name="Annual.Max.In.Selection" hidden="1">[1]Data!$HI$3</definedName>
    <definedName name="Annual.Max.InOut.Range" hidden="1">[1]Data!$HQ$21:$HQ$35</definedName>
    <definedName name="Annual.Max.Out.Range" hidden="1">[1]Data!$HQ$21:$HQ$27</definedName>
    <definedName name="Annual.Max.Out.Selection" hidden="1">[1]Data!$HI$4</definedName>
    <definedName name="Auto.Fill.1" hidden="1">#REF!</definedName>
    <definedName name="Auto.Fill.2" hidden="1">#REF!</definedName>
    <definedName name="Auto.Fill.3" hidden="1">#REF!</definedName>
    <definedName name="Basic.In.1.2" hidden="1">#REF!</definedName>
    <definedName name="Basic.In11">'DENTAL INTAKE'!$C$36:$C$39</definedName>
    <definedName name="Basic.In12">'DENTAL INTAKE'!$G$36</definedName>
    <definedName name="Basic.In21">'DENTAL INTAKE'!$C$74</definedName>
    <definedName name="Basic.In22">'DENTAL INTAKE'!$G$74</definedName>
    <definedName name="Basic.In31">'DENTAL INTAKE'!$C$112</definedName>
    <definedName name="Basic.In32">'DENTAL INTAKE'!$G$112</definedName>
    <definedName name="Basic.Major.Wait.Range" hidden="1">[1]Data!$EP$21:$EP$36</definedName>
    <definedName name="Basic.Major.Wait.Selection" hidden="1">[1]Data!$EP$2</definedName>
    <definedName name="Basic.Out.1.2" hidden="1">#REF!</definedName>
    <definedName name="Basic.Out11">'DENTAL INTAKE'!$E$36:$E$39</definedName>
    <definedName name="Basic.Out12">'DENTAL INTAKE'!$I$36</definedName>
    <definedName name="Basic.Out21">'DENTAL INTAKE'!$E$74</definedName>
    <definedName name="Basic.Out22">'DENTAL INTAKE'!$I$74</definedName>
    <definedName name="Basic.Out31">'DENTAL INTAKE'!$E$112</definedName>
    <definedName name="Basic.Out32">'DENTAL INTAKE'!$I$112</definedName>
    <definedName name="Basic.Rest.In.Range" hidden="1">[1]Data!$EH$37:$EH$57</definedName>
    <definedName name="Basic.Rest.In.Selection" hidden="1">[1]Data!$EG$3</definedName>
    <definedName name="Basic.Rest.Out.Range" hidden="1">[1]Data!$EH$39:$EH$56</definedName>
    <definedName name="Basic.Rest.Out.Selection" hidden="1">[1]Data!$EG$4</definedName>
    <definedName name="Basic.Wait.Period.1" hidden="1">#REF!</definedName>
    <definedName name="Basic.Wait.Period.1.2" hidden="1">#REF!</definedName>
    <definedName name="Basic.Wait.Period.2.1" hidden="1">#REF!</definedName>
    <definedName name="Basic.Wait.Period.2.2" hidden="1">#REF!</definedName>
    <definedName name="Basic.Wait.Period.3.1" hidden="1">#REF!</definedName>
    <definedName name="Basic.Wait.Period.3.2" hidden="1">#REF!</definedName>
    <definedName name="Basic.Waive.1" hidden="1">#REF!</definedName>
    <definedName name="Basic.Waive.1.2" hidden="1">#REF!</definedName>
    <definedName name="Basic.Waive.2.1" hidden="1">#REF!</definedName>
    <definedName name="Basic.Waive.2.2" hidden="1">#REF!</definedName>
    <definedName name="Basic.Waive.3.1" hidden="1">#REF!</definedName>
    <definedName name="Basic.Waive.3.2" hidden="1">#REF!</definedName>
    <definedName name="ben.category" hidden="1">[1]Data!$FM$21:$FM$23</definedName>
    <definedName name="Ben.Category.Endo.Selection" hidden="1">[1]Data!$FM$3</definedName>
    <definedName name="Ben.Category.OS.Selection" hidden="1">[1]Data!$FM$9</definedName>
    <definedName name="Ben.Category.Perio.Selection" hidden="1">[1]Data!$FM$6</definedName>
    <definedName name="Ben.Category.ProsRep.Selection" hidden="1">[1]Data!$FM$12</definedName>
    <definedName name="Bitewing.XRays.Output.Text" hidden="1">[2]Data!$HL$3</definedName>
    <definedName name="Bitewing.XRays.Range" hidden="1">[1]Data!$JE$34:$JE$37</definedName>
    <definedName name="Bitewing.XRays.Selection" hidden="1">[1]Data!$JE$2</definedName>
    <definedName name="Brush.Biopsy.Range" hidden="1">[1]Data!$KA$21:$KA$22</definedName>
    <definedName name="Brush.Biopsy.Selection" hidden="1">[1]Data!$KA$2</definedName>
    <definedName name="Coins.1.2" hidden="1">#REF!</definedName>
    <definedName name="Coins1.1" hidden="1">#REF!</definedName>
    <definedName name="Coins2.1" hidden="1">#REF!</definedName>
    <definedName name="Coins2.2" hidden="1">#REF!</definedName>
    <definedName name="Coins3.1" hidden="1">#REF!</definedName>
    <definedName name="Coins3.2" hidden="1">#REF!</definedName>
    <definedName name="Contacts">#REF!</definedName>
    <definedName name="Contract.Length.Range" hidden="1">[1]Data!$DH$21:$DH$34</definedName>
    <definedName name="Contract.Length.Selection" hidden="1">[1]Data!$DF$2</definedName>
    <definedName name="dd.Exchanges.range" hidden="1">[1]Data!$BG$21:$BG$26</definedName>
    <definedName name="dd.exchanges.selection" hidden="1">[1]Data!$BG$2</definedName>
    <definedName name="Ded.Fam.In.1" hidden="1">#REF!</definedName>
    <definedName name="Ded.Fam.In11">'DENTAL INTAKE'!$C$51</definedName>
    <definedName name="Ded.Fam.In12">'DENTAL INTAKE'!$G$51</definedName>
    <definedName name="Ded.Fam.In21">'DENTAL INTAKE'!$C$89</definedName>
    <definedName name="Ded.Fam.In22">'DENTAL INTAKE'!$G$89</definedName>
    <definedName name="Ded.Fam.In31">'DENTAL INTAKE'!$C$127</definedName>
    <definedName name="Ded.Fam.In32">'DENTAL INTAKE'!$G$127</definedName>
    <definedName name="Ded.Fam.Out.1" hidden="1">#REF!</definedName>
    <definedName name="Ded.Fam.Out11">'DENTAL INTAKE'!$E$51</definedName>
    <definedName name="Ded.Fam.Out12">'DENTAL INTAKE'!$I$51</definedName>
    <definedName name="Ded.Fam.Out21">'DENTAL INTAKE'!$E$89</definedName>
    <definedName name="Ded.Fam.Out22">'DENTAL INTAKE'!$I$89</definedName>
    <definedName name="Ded.Fam.Out31">'DENTAL INTAKE'!$E$127</definedName>
    <definedName name="Ded.Fam.Out32">'DENTAL INTAKE'!$I$127</definedName>
    <definedName name="Ded.Ind.In.1" hidden="1">#REF!</definedName>
    <definedName name="Ded.Ind.In11">'DENTAL INTAKE'!$C$50</definedName>
    <definedName name="Ded.Ind.In12">'DENTAL INTAKE'!$G$50</definedName>
    <definedName name="Ded.Ind.In21">'DENTAL INTAKE'!$C$88</definedName>
    <definedName name="Ded.Ind.In22">'DENTAL INTAKE'!$G$88</definedName>
    <definedName name="Ded.Ind.In31">'DENTAL INTAKE'!$C$126</definedName>
    <definedName name="Ded.Ind.In32">'DENTAL INTAKE'!$G$126</definedName>
    <definedName name="Ded.Ind.Out.1" hidden="1">#REF!</definedName>
    <definedName name="Ded.Ind.Out11">'DENTAL INTAKE'!$E$50</definedName>
    <definedName name="Ded.Ind.Out12">'DENTAL INTAKE'!$I$50</definedName>
    <definedName name="Ded.Ind.Out21">'DENTAL INTAKE'!$C$88</definedName>
    <definedName name="Ded.Ind.Out22">'DENTAL INTAKE'!$G$88</definedName>
    <definedName name="Ded.Ind.Out31">'DENTAL INTAKE'!$E$126</definedName>
    <definedName name="Ded.Ind.Out32">'DENTAL INTAKE'!$I$126</definedName>
    <definedName name="Ded.Max1.1" hidden="1">#REF!</definedName>
    <definedName name="Ded.Max1.2" hidden="1">#REF!</definedName>
    <definedName name="Ded.Max2.1" hidden="1">#REF!</definedName>
    <definedName name="Ded.Max2.2" hidden="1">#REF!</definedName>
    <definedName name="Ded.Max3.1" hidden="1">#REF!</definedName>
    <definedName name="Ded.Max3.2" hidden="1">#REF!</definedName>
    <definedName name="Ded.Waive.In.1" hidden="1">#REF!</definedName>
    <definedName name="Ded.Waive.In11">'DENTAL INTAKE'!$C$52</definedName>
    <definedName name="Ded.Waive.In12">'DENTAL INTAKE'!$G$52</definedName>
    <definedName name="Ded.Waive.In21">'DENTAL INTAKE'!$G$52</definedName>
    <definedName name="Ded.Waive.In22">'DENTAL INTAKE'!$G$90</definedName>
    <definedName name="Ded.Waive.In31">'DENTAL INTAKE'!$C$128</definedName>
    <definedName name="Ded.Waive.In32">'DENTAL INTAKE'!$G$128</definedName>
    <definedName name="Ded.Waive.Out.1" hidden="1">#REF!</definedName>
    <definedName name="Ded.Waive.Out11">'DENTAL INTAKE'!$E$52</definedName>
    <definedName name="Ded.Waive.Out12">'DENTAL INTAKE'!$I$52</definedName>
    <definedName name="Ded.Waive.Out21">'DENTAL INTAKE'!$I$52</definedName>
    <definedName name="Ded.Waive.Out22">'DENTAL INTAKE'!$I$90</definedName>
    <definedName name="Ded.Waive.Out31">'DENTAL INTAKE'!$E$128</definedName>
    <definedName name="Ded.Waive.Out32">'DENTAL INTAKE'!$I$128</definedName>
    <definedName name="Deduct.Fam.In.Selection" hidden="1">[1]Data!$GR$3</definedName>
    <definedName name="Deduct.Fam.Out.Selection" hidden="1">[1]Data!$GR$4</definedName>
    <definedName name="Deduct.Fam.Range" hidden="1">[1]Data!$GS$21:$GS$24</definedName>
    <definedName name="Deduct.Ind.In.Selection" hidden="1">[1]Data!$GN$3</definedName>
    <definedName name="Deduct.Ind.Out.Range" hidden="1">[1]Data!$GO$30:$GO$41</definedName>
    <definedName name="Deduct.Ind.Out.Selection" hidden="1">[1]Data!$GN$4</definedName>
    <definedName name="Deduct.Ind.Range" hidden="1">[1]Data!$GO$21:$GO$41</definedName>
    <definedName name="Deduct.Waive.In.Range" hidden="1">[1]Data!$HF$21:$HF$22</definedName>
    <definedName name="deduct.waive.out.Range" hidden="1">[1]Data!$HF$21:$HF$22</definedName>
    <definedName name="Default.Plan.Design.Range" hidden="1">[1]Data!$DV$21:$DV$28</definedName>
    <definedName name="Default.Plan.Design.Selection" hidden="1">[1]Data!$DV$2</definedName>
    <definedName name="DentalScenario1">'DENTAL INTAKE'!$A$28:$I$64</definedName>
    <definedName name="DentalScenario2">'DENTAL INTAKE'!$A$66:$I$103</definedName>
    <definedName name="DentalScenario3">'DENTAL INTAKE'!$A$66:$I$141</definedName>
    <definedName name="Dep.Age.Range" hidden="1">[1]Data!$IM$35</definedName>
    <definedName name="Dep.Age.Selection" hidden="1">[1]Data!$IM$2</definedName>
    <definedName name="DP.In.1.2" hidden="1">#REF!</definedName>
    <definedName name="DP.In.Range" hidden="1">[1]Data!$DZ$21:$DZ$31</definedName>
    <definedName name="DP.In.Selection" hidden="1">[1]Data!$DY$3</definedName>
    <definedName name="DP.In11">'DENTAL INTAKE'!$C$35</definedName>
    <definedName name="DP.In12">'DENTAL INTAKE'!$G$35</definedName>
    <definedName name="DP.In21">'DENTAL INTAKE'!$C$73</definedName>
    <definedName name="DP.In22">'DENTAL INTAKE'!$G$73</definedName>
    <definedName name="DP.In31">'DENTAL INTAKE'!$C$111</definedName>
    <definedName name="DP.In32">'DENTAL INTAKE'!$G$111</definedName>
    <definedName name="DP.Out.1.2" hidden="1">#REF!</definedName>
    <definedName name="DP.Out.Range" hidden="1">[1]Data!$DZ$21:$DZ$31</definedName>
    <definedName name="DP.Out.Selection" hidden="1">[1]Data!$DY$4</definedName>
    <definedName name="DP.Out11">'DENTAL INTAKE'!$E$35</definedName>
    <definedName name="DP.Out12">'DENTAL INTAKE'!$I$35</definedName>
    <definedName name="DP.Out21">'DENTAL INTAKE'!$E$73</definedName>
    <definedName name="DP.Out22">'DENTAL INTAKE'!$I$73</definedName>
    <definedName name="DP.Out31">'DENTAL INTAKE'!$E$111</definedName>
    <definedName name="DP.Out32">'DENTAL INTAKE'!$I$111</definedName>
    <definedName name="Dtl_Scenario_2">'DENTAL INTAKE'!$66:$102</definedName>
    <definedName name="Dtl_Scenario_2_and_3">'DENTAL INTAKE'!$66:$132</definedName>
    <definedName name="DualOption.Range" hidden="1">[1]Data!$CZ$24</definedName>
    <definedName name="DualOption.Selection" hidden="1">[1]Data!$CZ$2</definedName>
    <definedName name="Effective.Date.Range" hidden="1">[1]Data!$Y$42:$Y$56</definedName>
    <definedName name="Effective.Date.Selection" hidden="1">[1]Data!$Y$2</definedName>
    <definedName name="End.In" hidden="1">#REF!</definedName>
    <definedName name="End.In.1.2" hidden="1">#REF!</definedName>
    <definedName name="End.In11">'DENTAL INTAKE'!$C$37</definedName>
    <definedName name="End.In12">'DENTAL INTAKE'!$G$37</definedName>
    <definedName name="End.In21">'DENTAL INTAKE'!$C$75</definedName>
    <definedName name="End.In22">'DENTAL INTAKE'!$G$75</definedName>
    <definedName name="End.In31">'DENTAL INTAKE'!$C$113</definedName>
    <definedName name="End.In32">'DENTAL INTAKE'!$G$113</definedName>
    <definedName name="End.Out" hidden="1">#REF!</definedName>
    <definedName name="End.Out.1.2" hidden="1">#REF!</definedName>
    <definedName name="End.Out11">'DENTAL INTAKE'!$E$37</definedName>
    <definedName name="End.Out12">'DENTAL INTAKE'!$I$37</definedName>
    <definedName name="End.Out21">'DENTAL INTAKE'!$E$75</definedName>
    <definedName name="End.Out22">'DENTAL INTAKE'!$I$75</definedName>
    <definedName name="End.Out31">'DENTAL INTAKE'!$E$113</definedName>
    <definedName name="End.Out32">'DENTAL INTAKE'!$I$113</definedName>
    <definedName name="Endo.In.Selection" hidden="1">[1]Data!$EG$6</definedName>
    <definedName name="Endo.Out.Range" hidden="1">[1]Data!$EH$39:$EH$56</definedName>
    <definedName name="Endo.Out.Selection" hidden="1">[1]Data!$EG$7</definedName>
    <definedName name="ExhibitNoPlans">#REF!</definedName>
    <definedName name="ExhibitPlan1">#REF!</definedName>
    <definedName name="ExhibitPlan10">#REF!</definedName>
    <definedName name="ExhibitPlan2">#REF!</definedName>
    <definedName name="ExhibitPlan3">#REF!</definedName>
    <definedName name="ExhibitPlan4">#REF!</definedName>
    <definedName name="ExhibitPlan5">#REF!</definedName>
    <definedName name="ExhibitPlan6">#REF!</definedName>
    <definedName name="ExhibitPlan7">#REF!</definedName>
    <definedName name="ExhibitPlan8">#REF!</definedName>
    <definedName name="ExhibitPlan9">#REF!</definedName>
    <definedName name="Full.Mouth.XRays.Range" hidden="1">[1]Data!$IX$21:$IX$22</definedName>
    <definedName name="Full.Mouth.XRays.Selection" hidden="1">[1]Data!$IX$2</definedName>
    <definedName name="Funding.Type.Range" hidden="1">[1]Data!$BE$27</definedName>
    <definedName name="Funding.Type.Selection" hidden="1">[1]Data!$BE$2</definedName>
    <definedName name="Implants.Range" hidden="1">[1]Data!$JW$21:$JW$22</definedName>
    <definedName name="Implants.Selection" hidden="1">[1]Data!$JW$2</definedName>
    <definedName name="IntakeNoPlans">INTAKE!$D$15</definedName>
    <definedName name="Major.In.1.2" hidden="1">#REF!</definedName>
    <definedName name="Major.In11">'DENTAL INTAKE'!$C$40</definedName>
    <definedName name="Major.In12">'DENTAL INTAKE'!$G$40</definedName>
    <definedName name="Major.In21">'DENTAL INTAKE'!$C$78</definedName>
    <definedName name="Major.In22">'DENTAL INTAKE'!$G$78</definedName>
    <definedName name="Major.In31">'DENTAL INTAKE'!$C$116</definedName>
    <definedName name="Major.In32">'DENTAL INTAKE'!$G$116</definedName>
    <definedName name="Major.Out.1.2" hidden="1">#REF!</definedName>
    <definedName name="Major.Out11">'DENTAL INTAKE'!$E$40</definedName>
    <definedName name="Major.Out12">'DENTAL INTAKE'!$I$40</definedName>
    <definedName name="Major.Out21">'DENTAL INTAKE'!$E$78</definedName>
    <definedName name="Major.Out22">'DENTAL INTAKE'!$I$78</definedName>
    <definedName name="Major.Out31">'DENTAL INTAKE'!$E$116</definedName>
    <definedName name="Major.Out32">'DENTAL INTAKE'!$I$116</definedName>
    <definedName name="Major.Rest.In.Range" hidden="1">[1]Data!$EH$37:$EH$57</definedName>
    <definedName name="Major.Rest.In.Selection" hidden="1">[1]Data!$EL$3</definedName>
    <definedName name="Major.Rest.Out.Range" hidden="1">[1]Data!$EH$45:$EH$56</definedName>
    <definedName name="Major.Rest.Out.Selection" hidden="1">[1]Data!$EL$4</definedName>
    <definedName name="MedDropDowns">#REF!</definedName>
    <definedName name="MedPlan1">INTAKE!$B$17:$O$18</definedName>
    <definedName name="MedPlan10">INTAKE!$B$17:$O$36</definedName>
    <definedName name="MedPlan2">INTAKE!$B$17:$O$20</definedName>
    <definedName name="MedPlan3">INTAKE!$B$17:$O$22</definedName>
    <definedName name="MedPlan4">INTAKE!$B$17:$O$24</definedName>
    <definedName name="MedPlan5">INTAKE!$B$17:$O$26</definedName>
    <definedName name="MedPlan6">INTAKE!$B$17:$O$28</definedName>
    <definedName name="MedPlan7">INTAKE!$B$17:$O$30</definedName>
    <definedName name="MedPlan8">INTAKE!$B$17:$O$32</definedName>
    <definedName name="MedPlan9">INTAKE!$B$17:$O$34</definedName>
    <definedName name="MedPlans">#REF!</definedName>
    <definedName name="MTC.Range" hidden="1">[1]Data!$KS$26</definedName>
    <definedName name="MTC.selection" hidden="1">[1]Data!$KS$2</definedName>
    <definedName name="Network.Range" hidden="1">[1]Data!$DO$21:$DO$23</definedName>
    <definedName name="Network.Selection" hidden="1">[1]Data!$DO$2</definedName>
    <definedName name="Network1Opt2">'DENTAL INTAKE'!$G$30</definedName>
    <definedName name="OON.Reimb.Range" hidden="1">[1]Data!$IF$21:$IF$28</definedName>
    <definedName name="OON.Reimb.Selection" hidden="1">[1]Data!$IF$2</definedName>
    <definedName name="Option1.1" hidden="1">#REF!</definedName>
    <definedName name="Option1.2" hidden="1">#REF!</definedName>
    <definedName name="Option2.1" hidden="1">#REF!</definedName>
    <definedName name="Option2.2" hidden="1">#REF!</definedName>
    <definedName name="Option3.1" hidden="1">#REF!</definedName>
    <definedName name="Option3.2" hidden="1">#REF!</definedName>
    <definedName name="Ortho.Coins.1.1" hidden="1">#REF!</definedName>
    <definedName name="Ortho.Coins.1.2" hidden="1">#REF!</definedName>
    <definedName name="Ortho.Coins.Range" hidden="1">[1]Data!$FJ$33</definedName>
    <definedName name="Ortho.Coins.Selection" hidden="1">[1]Data!$FJ$2</definedName>
    <definedName name="Ortho.Cov.1.1" hidden="1">#REF!</definedName>
    <definedName name="Ortho.Cov.1.2" hidden="1">#REF!</definedName>
    <definedName name="Ortho.Cov.2.1" hidden="1">#REF!</definedName>
    <definedName name="Ortho.Cov.2.2" hidden="1">#REF!</definedName>
    <definedName name="Ortho.Cov.3.1" hidden="1">#REF!</definedName>
    <definedName name="Ortho.Cov.3.2" hidden="1">#REF!</definedName>
    <definedName name="Ortho.COVERAGE.Range" hidden="1">[1]Data!$FE$21:$FE$24</definedName>
    <definedName name="Ortho.Coverage.Selection" hidden="1">[1]Data!$FE$2</definedName>
    <definedName name="Ortho.Max.In.1.1" hidden="1">#REF!</definedName>
    <definedName name="Ortho.Max.In.1.2" hidden="1">#REF!</definedName>
    <definedName name="Ortho.Max.In.Range" hidden="1">[1]Data!$FU$21</definedName>
    <definedName name="Ortho.Max.In.Selection" hidden="1">[1]Data!$FT$3</definedName>
    <definedName name="Ortho.Max.Out.1.1" hidden="1">#REF!</definedName>
    <definedName name="Ortho.Max.Out.1.2" hidden="1">#REF!</definedName>
    <definedName name="Ortho.Max.Out.Range" hidden="1">[1]Data!$FU$21</definedName>
    <definedName name="Ortho.Max.Out.Selection" hidden="1">[1]Data!$FT$4</definedName>
    <definedName name="Ortho.Wait.1.1" hidden="1">#REF!</definedName>
    <definedName name="Ortho.Wait.1.2" hidden="1">#REF!</definedName>
    <definedName name="Ortho.Wait.2.1" hidden="1">#REF!</definedName>
    <definedName name="Ortho.Wait.2.2" hidden="1">#REF!</definedName>
    <definedName name="Ortho.Wait.3.1" hidden="1">#REF!</definedName>
    <definedName name="Ortho.Wait.3.2" hidden="1">#REF!</definedName>
    <definedName name="Ortho.Wait.Range" hidden="1">[1]Data!$FX$26</definedName>
    <definedName name="Ortho.Wait.Selection" hidden="1">[1]Data!$FX$2</definedName>
    <definedName name="Ortho.waive.1.1" hidden="1">#REF!</definedName>
    <definedName name="Ortho.waive.1.2" hidden="1">#REF!</definedName>
    <definedName name="Ortho.waive.2.1" hidden="1">#REF!</definedName>
    <definedName name="Ortho.waive.2.2" hidden="1">#REF!</definedName>
    <definedName name="Ortho.waive.3.1" hidden="1">#REF!</definedName>
    <definedName name="Ortho.waive.3.2" hidden="1">#REF!</definedName>
    <definedName name="OS.In" hidden="1">#REF!</definedName>
    <definedName name="OS.In.1.2" hidden="1">#REF!</definedName>
    <definedName name="OS.In.Selection" hidden="1">[1]Data!$EG$12</definedName>
    <definedName name="OS.In11">'DENTAL INTAKE'!$C$39</definedName>
    <definedName name="OS.In12">'DENTAL INTAKE'!$G$39</definedName>
    <definedName name="OS.In21">'DENTAL INTAKE'!$C$77</definedName>
    <definedName name="OS.In22">'DENTAL INTAKE'!$G$76:$G$77</definedName>
    <definedName name="OS.In31">'DENTAL INTAKE'!$C$115</definedName>
    <definedName name="OS.In32">'DENTAL INTAKE'!$G$115</definedName>
    <definedName name="OS.out" hidden="1">#REF!</definedName>
    <definedName name="OS.Out.1.2" hidden="1">#REF!</definedName>
    <definedName name="OS.Out.Range" hidden="1">[1]Data!$EH$39:$EH$56</definedName>
    <definedName name="OS.Out.Selection" hidden="1">[1]Data!$EG$13</definedName>
    <definedName name="OS.Out11">'DENTAL INTAKE'!$E$39</definedName>
    <definedName name="OS.Out12">'DENTAL INTAKE'!$I$39</definedName>
    <definedName name="OS.Out21">'DENTAL INTAKE'!$E$77</definedName>
    <definedName name="OS.Out22">'DENTAL INTAKE'!$I$77</definedName>
    <definedName name="OS.Out31">'DENTAL INTAKE'!$E$115</definedName>
    <definedName name="OS.Out32">'DENTAL INTAKE'!$I$115</definedName>
    <definedName name="Participation.Range" hidden="1">[1]Data!$CO$21:$CO$31</definedName>
    <definedName name="Participation.Selection" hidden="1">[1]Data!$CO$2</definedName>
    <definedName name="Perio.In" hidden="1">#REF!</definedName>
    <definedName name="Perio.In.1.2" hidden="1">#REF!</definedName>
    <definedName name="Perio.In.Selection" hidden="1">[1]Data!$EG$9</definedName>
    <definedName name="Perio.In11">'DENTAL INTAKE'!$C$38</definedName>
    <definedName name="Perio.In12">'DENTAL INTAKE'!$G$38</definedName>
    <definedName name="Perio.In21">'DENTAL INTAKE'!$C$76</definedName>
    <definedName name="Perio.In22">'DENTAL INTAKE'!$G$76</definedName>
    <definedName name="Perio.In31">'DENTAL INTAKE'!$C$114</definedName>
    <definedName name="Perio.In32">'DENTAL INTAKE'!$G$114</definedName>
    <definedName name="Perio.Out" hidden="1">#REF!</definedName>
    <definedName name="Perio.Out.1.2" hidden="1">#REF!</definedName>
    <definedName name="Perio.Out.Range" hidden="1">[1]Data!$EH$39:$EH$56</definedName>
    <definedName name="Perio.Out.Selection" hidden="1">[1]Data!$EG$10</definedName>
    <definedName name="Perio.Out11">'DENTAL INTAKE'!$E$38</definedName>
    <definedName name="Perio.Out12">'DENTAL INTAKE'!$I$38</definedName>
    <definedName name="Perio.Out21">'DENTAL INTAKE'!$E$76</definedName>
    <definedName name="Perio.Out22">'DENTAL INTAKE'!$I$76</definedName>
    <definedName name="Perio.Out31">'DENTAL INTAKE'!$E$114</definedName>
    <definedName name="Perio.Out32">'DENTAL INTAKE'!$I$114</definedName>
    <definedName name="PLAN_CODE">#REF!</definedName>
    <definedName name="Plan.Year.Range" hidden="1">[1]Data!$DT$21:$DT$22</definedName>
    <definedName name="Plans">"2017 PLANS'!$A$1:$A$160"</definedName>
    <definedName name="Posterior.Composite.Range" hidden="1">[1]Data!$JS$21:$JS$22</definedName>
    <definedName name="Posterior.Composite.Selection" hidden="1">[1]Data!$JS$2</definedName>
    <definedName name="Prefill.Plan" hidden="1">#REF!</definedName>
    <definedName name="PrefillScenario1Opt1">'DENTAL INTAKE'!$C$32</definedName>
    <definedName name="PrefillScenario1Opt2">'DENTAL INTAKE'!$G$32</definedName>
    <definedName name="PrefillScenario2Opt1">'DENTAL INTAKE'!$C$70</definedName>
    <definedName name="PrefillScenario2Opt2">'DENTAL INTAKE'!$G$70</definedName>
    <definedName name="PrefillScenario3Opt1">'DENTAL INTAKE'!$C$108</definedName>
    <definedName name="PrefillScenario3Opt3">'DENTAL INTAKE'!$G$108</definedName>
    <definedName name="Pregnant.Diabetic.Range" hidden="1">[1]Data!$KH$21:$KH$22</definedName>
    <definedName name="Pregnant.Diabetic.Selection" hidden="1">[1]Data!$KH$2</definedName>
    <definedName name="Prior.Coverage.Range" hidden="1">[1]Data!$AU$21:$AU$23</definedName>
    <definedName name="Prior.Coverage.Selection" hidden="1">[1]Data!$AU$2</definedName>
    <definedName name="Pros.In" hidden="1">#REF!</definedName>
    <definedName name="Pros.In.1.2" hidden="1">#REF!</definedName>
    <definedName name="Pros.In11">'DENTAL INTAKE'!$C$42</definedName>
    <definedName name="Pros.In12">'DENTAL INTAKE'!$G$42</definedName>
    <definedName name="Pros.In21">'DENTAL INTAKE'!$C$80</definedName>
    <definedName name="Pros.In22">'DENTAL INTAKE'!$G$80</definedName>
    <definedName name="Pros.in31">'DENTAL INTAKE'!$C$118</definedName>
    <definedName name="Pros.in32">'DENTAL INTAKE'!$G$118</definedName>
    <definedName name="Pros.Out" hidden="1">#REF!</definedName>
    <definedName name="Pros.Out.1.2" hidden="1">#REF!</definedName>
    <definedName name="Pros.Out11">'DENTAL INTAKE'!$E$42</definedName>
    <definedName name="Pros.Out12">'DENTAL INTAKE'!$I$42</definedName>
    <definedName name="Pros.Out21">'DENTAL INTAKE'!$E$80</definedName>
    <definedName name="Pros.Out22">'DENTAL INTAKE'!$I$80</definedName>
    <definedName name="Pros.Out31">'DENTAL INTAKE'!$E$118</definedName>
    <definedName name="Pros.Out32">'DENTAL INTAKE'!$I$118</definedName>
    <definedName name="Pros.Rep.In" hidden="1">#REF!</definedName>
    <definedName name="Pros.Rep.In.1.2" hidden="1">#REF!</definedName>
    <definedName name="Pros.Rep.Out" hidden="1">#REF!</definedName>
    <definedName name="Pros.Rep.Out.1.2" hidden="1">#REF!</definedName>
    <definedName name="ProsRep.In11">'DENTAL INTAKE'!$C$41</definedName>
    <definedName name="ProsRep.In12">'DENTAL INTAKE'!$G$41</definedName>
    <definedName name="ProsRep.In21">'DENTAL INTAKE'!$C$79</definedName>
    <definedName name="ProsRep.In22">'DENTAL INTAKE'!$G$79</definedName>
    <definedName name="ProsRep.In31">'DENTAL INTAKE'!$C$117</definedName>
    <definedName name="ProsRep.In32">'DENTAL INTAKE'!$G$117</definedName>
    <definedName name="ProsRep.Out11">'DENTAL INTAKE'!$E$41</definedName>
    <definedName name="ProsRep.Out12">'DENTAL INTAKE'!$I$41</definedName>
    <definedName name="ProsRep.Out21">'DENTAL INTAKE'!$E$79</definedName>
    <definedName name="ProsRep.Out22">'DENTAL INTAKE'!$I$79</definedName>
    <definedName name="ProsRep.Out31">'DENTAL INTAKE'!$E$117</definedName>
    <definedName name="ProsRep.Out32">'DENTAL INTAKE'!$I$117</definedName>
    <definedName name="Prosth.In.Selection" hidden="1">[1]Data!$EL$9</definedName>
    <definedName name="Prosth.Out.Range" hidden="1">[1]Data!$EH$45:$EH$56</definedName>
    <definedName name="Prosth.Out.Selection" hidden="1">[1]Data!$EL$10</definedName>
    <definedName name="Prosth.Repair.In.Selection" hidden="1">[1]Data!$EL$6</definedName>
    <definedName name="Prosth.Repair.Out.Range" hidden="1">[1]Data!$EH$45:$EH$56</definedName>
    <definedName name="Prosth.Repair.Out.Selection" hidden="1">[1]Data!$EL$7</definedName>
    <definedName name="RBRATES">#REF!</definedName>
    <definedName name="SAE">#REF!</definedName>
    <definedName name="SAESAR">#REF!</definedName>
    <definedName name="SAR">#REF!</definedName>
    <definedName name="scenario.count" localSheetId="2">'DENTAL INTAKE'!A1</definedName>
    <definedName name="ScenarioDes1Opt2">'DENTAL INTAKE'!$G$29</definedName>
    <definedName name="scenerio.count" hidden="1">#REF!</definedName>
    <definedName name="scenerio.number.1" hidden="1">#REF!</definedName>
    <definedName name="scenerio.number.2" hidden="1">#REF!</definedName>
    <definedName name="scenerio.number.3" hidden="1">#REF!</definedName>
    <definedName name="Sealants.Range" hidden="1">[1]Data!$IT$21:$IT$22</definedName>
    <definedName name="Sealants.Selection" hidden="1">[1]Data!$IT$2</definedName>
    <definedName name="SIC.code.validation.list" hidden="1">'[1]SIC code'!$A$5:$A$1009</definedName>
    <definedName name="Special.Discount.Range.Name" hidden="1">[1]Data!$LN$3</definedName>
    <definedName name="SSE">#REF!</definedName>
    <definedName name="TypePlanYear1Opt2">'DENTAL INTAKE'!$G$31</definedName>
    <definedName name="WaitingPeriods">'DENTAL INTAKE'!$T$1:$T$13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9" i="1" l="1"/>
  <c r="M17" i="1"/>
  <c r="I22" i="6"/>
  <c r="J22" i="6"/>
  <c r="K22" i="6"/>
  <c r="L23" i="6"/>
  <c r="I15" i="6"/>
  <c r="J15" i="6"/>
  <c r="K15" i="6"/>
  <c r="L16" i="6"/>
  <c r="L17" i="6"/>
  <c r="L18" i="6"/>
  <c r="L10" i="6"/>
  <c r="L7" i="6"/>
  <c r="L4" i="6"/>
  <c r="K3" i="6"/>
  <c r="J3" i="6"/>
  <c r="I3" i="6"/>
  <c r="K16" i="1"/>
  <c r="L16" i="1"/>
  <c r="J16" i="1"/>
  <c r="M21" i="1"/>
  <c r="C7" i="6"/>
  <c r="C6" i="6"/>
  <c r="C12" i="6"/>
  <c r="C11" i="6"/>
  <c r="C10" i="6"/>
  <c r="C8" i="6"/>
  <c r="C5" i="6"/>
  <c r="M35" i="1"/>
  <c r="M33" i="1"/>
  <c r="M31" i="1"/>
  <c r="M29" i="1"/>
  <c r="M27" i="1"/>
  <c r="M25" i="1"/>
  <c r="M23" i="1"/>
  <c r="C9" i="6"/>
  <c r="M37" i="1"/>
</calcChain>
</file>

<file path=xl/comments1.xml><?xml version="1.0" encoding="utf-8"?>
<comments xmlns="http://schemas.openxmlformats.org/spreadsheetml/2006/main">
  <authors>
    <author>Microsoft Office User</author>
  </authors>
  <commentList>
    <comment ref="K5" authorId="0">
      <text>
        <r>
          <rPr>
            <b/>
            <sz val="10"/>
            <color indexed="81"/>
            <rFont val="Calibri"/>
            <family val="2"/>
          </rPr>
          <t>dental Enrollment can be pulled from dental quote</t>
        </r>
        <r>
          <rPr>
            <sz val="10"/>
            <color indexed="81"/>
            <rFont val="Calibri"/>
            <family val="2"/>
          </rPr>
          <t xml:space="preserve">
</t>
        </r>
      </text>
    </comment>
    <comment ref="H11" author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</t>
        </r>
      </text>
    </comment>
    <comment ref="K24" authorId="0">
      <text>
        <r>
          <rPr>
            <b/>
            <sz val="10"/>
            <color indexed="81"/>
            <rFont val="Calibri"/>
            <family val="2"/>
          </rPr>
          <t xml:space="preserve">Vision enrollment can be pulled from vision quote. </t>
        </r>
      </text>
    </comment>
  </commentList>
</comments>
</file>

<file path=xl/sharedStrings.xml><?xml version="1.0" encoding="utf-8"?>
<sst xmlns="http://schemas.openxmlformats.org/spreadsheetml/2006/main" count="312" uniqueCount="189">
  <si>
    <t>SECTION 1</t>
  </si>
  <si>
    <t>Account Legal Name:</t>
  </si>
  <si>
    <t>Due Date:</t>
  </si>
  <si>
    <t>Account Name DBA:</t>
  </si>
  <si>
    <t>Effective Date:</t>
  </si>
  <si>
    <t>Sales Executive:</t>
  </si>
  <si>
    <t>SAR-NB / SA-SAE:</t>
  </si>
  <si>
    <t>Spec. Sales Executive:</t>
  </si>
  <si>
    <t>Brokerage Name:</t>
  </si>
  <si>
    <t>EMPLOYER CONTRIBUTIONS</t>
  </si>
  <si>
    <t>RATES</t>
  </si>
  <si>
    <t>Carrier</t>
  </si>
  <si>
    <t>Plan Name</t>
  </si>
  <si>
    <t>EE</t>
  </si>
  <si>
    <t>DEP</t>
  </si>
  <si>
    <t>Total EEs</t>
  </si>
  <si>
    <t>TOTAL EMPLOYEES:</t>
  </si>
  <si>
    <t>Medical Commission:</t>
  </si>
  <si>
    <t>Plan</t>
  </si>
  <si>
    <t>Select One</t>
  </si>
  <si>
    <t>Commission</t>
  </si>
  <si>
    <t>Dental</t>
  </si>
  <si>
    <t>Vision</t>
  </si>
  <si>
    <t>Life/Disability</t>
  </si>
  <si>
    <t>Yes</t>
  </si>
  <si>
    <t>No</t>
  </si>
  <si>
    <t>Group Name:</t>
  </si>
  <si>
    <t>Not Covered</t>
  </si>
  <si>
    <t>Total Eligible EE's:</t>
  </si>
  <si>
    <t>Current Carrier:</t>
  </si>
  <si>
    <t>Funding Arrangement:</t>
  </si>
  <si>
    <t>Tier Rate Structure:</t>
  </si>
  <si>
    <t>Contract Length:</t>
  </si>
  <si>
    <t>Broker Commission:</t>
  </si>
  <si>
    <t>Complete</t>
  </si>
  <si>
    <t>Calendar Year-Std</t>
  </si>
  <si>
    <t>Prefill Plan:</t>
  </si>
  <si>
    <t>In-Network</t>
  </si>
  <si>
    <t>Diagnostic and Preventive</t>
  </si>
  <si>
    <t>Basic Restorative</t>
  </si>
  <si>
    <t>Endodontics</t>
  </si>
  <si>
    <t>No Waiting Periods</t>
  </si>
  <si>
    <t>Periodontics</t>
  </si>
  <si>
    <t>Oral Surgery</t>
  </si>
  <si>
    <t>0 month Basic/12 Month Major</t>
  </si>
  <si>
    <t>Major Restorative</t>
  </si>
  <si>
    <t>0 Month Basic/18 Month Major</t>
  </si>
  <si>
    <t>Prosthetic Repairs</t>
  </si>
  <si>
    <t>0 Month Basic/24 Month Major</t>
  </si>
  <si>
    <t>Prosthetics</t>
  </si>
  <si>
    <t>6 Month Basic/6 Month Major</t>
  </si>
  <si>
    <t>6 Month Basic/12 Month Major</t>
  </si>
  <si>
    <t>Waiting Periods- Basic/Major</t>
  </si>
  <si>
    <t>6 Month Basic/18 Month Major</t>
  </si>
  <si>
    <t>Waived for Prior Coverage?</t>
  </si>
  <si>
    <t>6 Month Basic/24 Month Major</t>
  </si>
  <si>
    <t>Orthodontic Coverage</t>
  </si>
  <si>
    <t>12 Month Basic/18 Month Major</t>
  </si>
  <si>
    <t>Orthodontics Coinsurance</t>
  </si>
  <si>
    <t>12 Month Basic/24 Month Major</t>
  </si>
  <si>
    <t>Lifetime Ortho Maximum</t>
  </si>
  <si>
    <t>Waiting Periods- Ortho</t>
  </si>
  <si>
    <t>18 Month Basic/24 Month Major</t>
  </si>
  <si>
    <t>24 Month Basic/24 Month Major</t>
  </si>
  <si>
    <t>Individual Deductible Option</t>
  </si>
  <si>
    <t>Family Deductible</t>
  </si>
  <si>
    <t>Deductible Waived for Diag/Prev</t>
  </si>
  <si>
    <t>Annual Maximum</t>
  </si>
  <si>
    <t>Annual Maximum Carryover</t>
  </si>
  <si>
    <t>Out-of-Network Reimbursement</t>
  </si>
  <si>
    <t>Dependent Age</t>
  </si>
  <si>
    <t>Posterior Composites</t>
  </si>
  <si>
    <t>Alternated to Amalgam Benefit</t>
  </si>
  <si>
    <t>Implants</t>
  </si>
  <si>
    <t>Brush Biopsy</t>
  </si>
  <si>
    <t>Pregnant/Diabetic add'l svcs</t>
  </si>
  <si>
    <t>Sealants</t>
  </si>
  <si>
    <t>Full Mouth X-Rays</t>
  </si>
  <si>
    <t>Standard-Coverage Every 5 Years</t>
  </si>
  <si>
    <t>Bitewing X-Rays</t>
  </si>
  <si>
    <t>Missing Tooth Clause</t>
  </si>
  <si>
    <t>Standard- 24 Month Waiting Period applies</t>
  </si>
  <si>
    <t>Plan Type</t>
  </si>
  <si>
    <t>Please Also Quote</t>
  </si>
  <si>
    <t>SECTION 4:  CURRENT PLANS, BENEFITS AND RATES</t>
  </si>
  <si>
    <t>SECTION 7:  SPECIALTY QUOTING OPTIONS</t>
  </si>
  <si>
    <t>SSE:</t>
  </si>
  <si>
    <t>Effective Date</t>
  </si>
  <si>
    <t>Sales Representative</t>
  </si>
  <si>
    <t>Employer SIC:</t>
  </si>
  <si>
    <t>Network:</t>
  </si>
  <si>
    <t>Type of Plan Year:</t>
  </si>
  <si>
    <t>Standard-1x per 12 mnths &lt;18Y/O;1X per 24mnths &gt;=18Y/O</t>
  </si>
  <si>
    <t>Standard-Covered as Diagnostic &amp; Preventive</t>
  </si>
  <si>
    <t>Option 1</t>
  </si>
  <si>
    <t>Option 2</t>
  </si>
  <si>
    <t>Out-of-Network</t>
  </si>
  <si>
    <t>Scenario Description:</t>
  </si>
  <si>
    <t>SECTION 1:  RFP DETAILS</t>
  </si>
  <si>
    <t>SCENARIO 3</t>
  </si>
  <si>
    <t>SCENARIO 2</t>
  </si>
  <si>
    <t>N/A</t>
  </si>
  <si>
    <t>3x Individual</t>
  </si>
  <si>
    <t>Children to Age 26</t>
  </si>
  <si>
    <t>Standard-Covered</t>
  </si>
  <si>
    <t>Dental Net Scenarios to Run:</t>
  </si>
  <si>
    <t>DPPO Scenarios to Run:</t>
  </si>
  <si>
    <t>Passive</t>
  </si>
  <si>
    <t>Adult &amp; Dependent Children</t>
  </si>
  <si>
    <t>Printed Quote Option:</t>
  </si>
  <si>
    <t>Kaiser or SIMNSA:</t>
  </si>
  <si>
    <t>Dual Option PPO</t>
  </si>
  <si>
    <t>90th percentile</t>
  </si>
  <si>
    <t>Active</t>
  </si>
  <si>
    <t>BenRevo Quote:</t>
  </si>
  <si>
    <t>Co-Brokerage/Producer Name:</t>
  </si>
  <si>
    <t>NUMBER OF TIERS TO QUOTE:</t>
  </si>
  <si>
    <t>NUMBER OF PLANS:</t>
  </si>
  <si>
    <t>Current:</t>
  </si>
  <si>
    <t>Enrolled:</t>
  </si>
  <si>
    <t>Fully Insured</t>
  </si>
  <si>
    <t>DPPO PLAN 1</t>
  </si>
  <si>
    <t>DPPO PLAN 2</t>
  </si>
  <si>
    <t>DHMO PLAN</t>
  </si>
  <si>
    <t>SECTION 3:  CURRENT DENTAL PLANS</t>
  </si>
  <si>
    <t>SECTION 4:  RENEWAL RATES</t>
  </si>
  <si>
    <t>ALL PLANS</t>
  </si>
  <si>
    <t>Broker Contact Email for Benrevo Quote:</t>
  </si>
  <si>
    <t>Anthem Rates:</t>
  </si>
  <si>
    <t>SECTION 5:  CURRENT VISION PLANS</t>
  </si>
  <si>
    <t>Current Vision Carrier:</t>
  </si>
  <si>
    <t>VISION PLAN</t>
  </si>
  <si>
    <t>Current Rates:</t>
  </si>
  <si>
    <t>Current Enrolled:</t>
  </si>
  <si>
    <t>Renewal Rates:</t>
  </si>
  <si>
    <t>Rates/Enrolled</t>
  </si>
  <si>
    <t>Rates</t>
  </si>
  <si>
    <t>CA Dental Rate Request Form / Vision Intake</t>
  </si>
  <si>
    <t>Complete cells with a white and green backgrounds.</t>
  </si>
  <si>
    <t>12 &amp; 24 months</t>
  </si>
  <si>
    <t>Selected Options Only</t>
  </si>
  <si>
    <t>SIC:</t>
  </si>
  <si>
    <t>Total EEs:</t>
  </si>
  <si>
    <t>Brokerage firm, name, and email address will come in the body of the email</t>
  </si>
  <si>
    <t>Dental and vision enrollment must be pulled from quote</t>
  </si>
  <si>
    <t>Monique Galvin</t>
  </si>
  <si>
    <t>Kurt Hall</t>
  </si>
  <si>
    <t>Marisa Hodges</t>
  </si>
  <si>
    <t>Jason Jurgill</t>
  </si>
  <si>
    <t>Lisa Espinosa</t>
  </si>
  <si>
    <t>Kristen Rivers</t>
  </si>
  <si>
    <t>Dean Schmieder</t>
  </si>
  <si>
    <t>Chris Newman</t>
  </si>
  <si>
    <t>Kevin Stayner</t>
  </si>
  <si>
    <t>Dustin Haala</t>
  </si>
  <si>
    <t>Jeremy Kropelnicki</t>
  </si>
  <si>
    <t>Caroline Ruddock</t>
  </si>
  <si>
    <t>NBC</t>
  </si>
  <si>
    <t>Emily Livaich</t>
  </si>
  <si>
    <t>Caitlin Loonan</t>
  </si>
  <si>
    <t>Nicole Farley</t>
  </si>
  <si>
    <t>Suzanne Trujillo</t>
  </si>
  <si>
    <t>Aimee Chen</t>
  </si>
  <si>
    <t>Janae Ayon</t>
  </si>
  <si>
    <t>Nhean Keo</t>
  </si>
  <si>
    <t>Toni Cloonan</t>
  </si>
  <si>
    <t>Carol Scaccia</t>
  </si>
  <si>
    <t>Sue Arias</t>
  </si>
  <si>
    <t>GA</t>
  </si>
  <si>
    <t>Taylor Garner</t>
  </si>
  <si>
    <t>Andrea Viado</t>
  </si>
  <si>
    <t>SAE</t>
  </si>
  <si>
    <t>Specialty SAE</t>
  </si>
  <si>
    <t>Rosemarie Bayham</t>
  </si>
  <si>
    <t>SECTION 5:  MEDICAL QUOTING OPTIONS</t>
  </si>
  <si>
    <t>DO NOT DELETE</t>
  </si>
  <si>
    <t>UnitedHealthcare Uploader</t>
  </si>
  <si>
    <t>No GA</t>
  </si>
  <si>
    <t>Enrolled EEs:</t>
  </si>
  <si>
    <t>GoGuardian</t>
  </si>
  <si>
    <t>Anthem Blue Cross</t>
  </si>
  <si>
    <t>HMO</t>
  </si>
  <si>
    <t>PPO</t>
  </si>
  <si>
    <t>Anthem HMO</t>
  </si>
  <si>
    <t>Anthem PPO</t>
  </si>
  <si>
    <t>Shawn Brokerage House</t>
  </si>
  <si>
    <t>shawn.tharayil+dev@benrevo.com</t>
  </si>
  <si>
    <t>DEVSALE_FIRST_NAME DEVSALE_LAST_NAME</t>
  </si>
  <si>
    <t>DEVPRESALE_FIRST_NAME DEVPRESALE_LAST_NAME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</si>
</sst>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%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8"/>
      <color rgb="FF0070C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8"/>
      <color rgb="FF0070C0"/>
      <name val="Helvetica Condensed"/>
      <family val="2"/>
    </font>
    <font>
      <b/>
      <sz val="18"/>
      <name val="Century Gothic"/>
      <family val="2"/>
    </font>
    <font>
      <b/>
      <i/>
      <sz val="11"/>
      <color theme="3" tint="-0.249977111117893"/>
      <name val="Calibri"/>
      <family val="2"/>
      <scheme val="minor"/>
    </font>
    <font>
      <u/>
      <sz val="10"/>
      <color indexed="12"/>
      <name val="Arial"/>
      <family val="2"/>
    </font>
    <font>
      <b/>
      <sz val="12"/>
      <color rgb="FFFF0000"/>
      <name val="Calibri"/>
      <family val="2"/>
      <scheme val="minor"/>
    </font>
    <font>
      <b/>
      <sz val="5.5"/>
      <color theme="4" tint="-0.499984740745262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5.5"/>
      <color theme="1"/>
      <name val="Calibri"/>
      <family val="2"/>
      <scheme val="minor"/>
    </font>
    <font>
      <b/>
      <sz val="12"/>
      <color rgb="FF366092"/>
      <name val="Century Gothic"/>
      <family val="2"/>
    </font>
    <font>
      <b/>
      <sz val="16"/>
      <name val="Century Gothic"/>
      <family val="2"/>
    </font>
    <font>
      <b/>
      <sz val="12"/>
      <color theme="4" tint="-0.499984740745262"/>
      <name val="Century Gothic"/>
      <family val="2"/>
    </font>
    <font>
      <b/>
      <sz val="16"/>
      <color theme="4" tint="-0.499984740745262"/>
      <name val="Century Gothic"/>
      <family val="2"/>
    </font>
    <font>
      <b/>
      <sz val="12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Helvetica Condensed"/>
      <family val="2"/>
    </font>
    <font>
      <b/>
      <sz val="8"/>
      <color theme="3" tint="-0.249977111117893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6"/>
      <color rgb="FFFF0000"/>
      <name val="Century Gothic"/>
      <family val="2"/>
    </font>
    <font>
      <b/>
      <sz val="10"/>
      <color rgb="FF92D050"/>
      <name val="Helvetica Condensed"/>
      <family val="2"/>
    </font>
    <font>
      <sz val="10"/>
      <color indexed="81"/>
      <name val="Calibri"/>
      <family val="2"/>
    </font>
    <font>
      <b/>
      <sz val="10"/>
      <color indexed="81"/>
      <name val="Calibri"/>
      <family val="2"/>
    </font>
    <font>
      <u/>
      <sz val="11"/>
      <color theme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6F5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DFDCC7"/>
        <bgColor indexed="64"/>
      </patternFill>
    </fill>
    <fill>
      <patternFill patternType="solid">
        <fgColor rgb="FF8CADD4"/>
        <bgColor indexed="64"/>
      </patternFill>
    </fill>
    <fill>
      <patternFill patternType="solid">
        <fgColor rgb="FFECF1F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5D4D9"/>
        <bgColor indexed="64"/>
      </patternFill>
    </fill>
    <fill>
      <patternFill patternType="solid">
        <fgColor rgb="FF374049"/>
        <bgColor indexed="64"/>
      </patternFill>
    </fill>
  </fills>
  <borders count="182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0.59996337778862885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theme="4" tint="-0.24994659260841701"/>
      </right>
      <top/>
      <bottom style="medium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 style="thin">
        <color theme="4" tint="-0.24994659260841701"/>
      </right>
      <top/>
      <bottom style="thin">
        <color theme="4" tint="-0.24994659260841701"/>
      </bottom>
      <diagonal/>
    </border>
    <border>
      <left style="medium">
        <color theme="4" tint="-0.24994659260841701"/>
      </left>
      <right/>
      <top/>
      <bottom/>
      <diagonal/>
    </border>
    <border>
      <left/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medium">
        <color theme="4" tint="-0.24994659260841701"/>
      </bottom>
      <diagonal/>
    </border>
    <border>
      <left/>
      <right style="thin">
        <color theme="4" tint="-0.24994659260841701"/>
      </right>
      <top style="medium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theme="4" tint="-0.24994659260841701"/>
      </top>
      <bottom/>
      <diagonal/>
    </border>
    <border>
      <left style="medium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/>
      <right/>
      <top style="medium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 style="thin">
        <color theme="4" tint="-0.24994659260841701"/>
      </right>
      <top/>
      <bottom/>
      <diagonal/>
    </border>
    <border>
      <left style="thin">
        <color theme="4" tint="-0.24994659260841701"/>
      </left>
      <right/>
      <top style="medium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/>
      <top style="medium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medium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/>
      <diagonal/>
    </border>
    <border>
      <left/>
      <right style="medium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/>
      <right/>
      <top style="medium">
        <color rgb="FF366092"/>
      </top>
      <bottom/>
      <diagonal/>
    </border>
    <border>
      <left style="thick">
        <color rgb="FF366092"/>
      </left>
      <right/>
      <top style="thick">
        <color rgb="FF366092"/>
      </top>
      <bottom/>
      <diagonal/>
    </border>
    <border>
      <left/>
      <right/>
      <top style="thick">
        <color rgb="FF366092"/>
      </top>
      <bottom/>
      <diagonal/>
    </border>
    <border>
      <left/>
      <right style="thick">
        <color rgb="FF366092"/>
      </right>
      <top style="thick">
        <color rgb="FF366092"/>
      </top>
      <bottom/>
      <diagonal/>
    </border>
    <border>
      <left style="thick">
        <color rgb="FF366092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thick">
        <color rgb="FF366092"/>
      </right>
      <top/>
      <bottom/>
      <diagonal/>
    </border>
    <border>
      <left style="thick">
        <color rgb="FF366092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ck">
        <color rgb="FF366092"/>
      </left>
      <right style="thin">
        <color theme="4" tint="-0.24994659260841701"/>
      </right>
      <top style="medium">
        <color theme="4" tint="-0.24994659260841701"/>
      </top>
      <bottom/>
      <diagonal/>
    </border>
    <border>
      <left style="thick">
        <color rgb="FF366092"/>
      </left>
      <right style="thin">
        <color theme="4" tint="-0.24994659260841701"/>
      </right>
      <top/>
      <bottom/>
      <diagonal/>
    </border>
    <border>
      <left style="thick">
        <color rgb="FF366092"/>
      </left>
      <right style="thin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thick">
        <color rgb="FF366092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ck">
        <color rgb="FF366092"/>
      </left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thick">
        <color rgb="FF366092"/>
      </left>
      <right style="thin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ck">
        <color rgb="FF366092"/>
      </bottom>
      <diagonal/>
    </border>
    <border>
      <left/>
      <right/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/>
      <top/>
      <bottom style="medium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 style="thick">
        <color rgb="FF366092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ck">
        <color rgb="FF366092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ck">
        <color rgb="FF366092"/>
      </right>
      <top style="medium">
        <color theme="4" tint="-0.24994659260841701"/>
      </top>
      <bottom/>
      <diagonal/>
    </border>
    <border>
      <left style="thin">
        <color theme="4" tint="-0.24994659260841701"/>
      </left>
      <right style="thick">
        <color rgb="FF366092"/>
      </right>
      <top style="medium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 style="thick">
        <color rgb="FF366092"/>
      </right>
      <top style="thin">
        <color theme="4" tint="-0.24994659260841701"/>
      </top>
      <bottom style="thick">
        <color rgb="FF366092"/>
      </bottom>
      <diagonal/>
    </border>
    <border>
      <left/>
      <right/>
      <top style="medium">
        <color theme="4" tint="-0.24994659260841701"/>
      </top>
      <bottom style="thick">
        <color rgb="FF366092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 style="thick">
        <color rgb="FF366092"/>
      </bottom>
      <diagonal/>
    </border>
    <border>
      <left/>
      <right style="thick">
        <color rgb="FF366092"/>
      </right>
      <top style="medium">
        <color theme="4" tint="-0.24994659260841701"/>
      </top>
      <bottom style="thick">
        <color rgb="FF366092"/>
      </bottom>
      <diagonal/>
    </border>
    <border>
      <left/>
      <right/>
      <top style="thin">
        <color rgb="FF0070C0"/>
      </top>
      <bottom/>
      <diagonal/>
    </border>
    <border>
      <left/>
      <right/>
      <top style="medium">
        <color rgb="FF366092"/>
      </top>
      <bottom style="thin">
        <color rgb="FF0070C0"/>
      </bottom>
      <diagonal/>
    </border>
    <border>
      <left/>
      <right style="thick">
        <color rgb="FF366092"/>
      </right>
      <top style="thin">
        <color rgb="FF0070C0"/>
      </top>
      <bottom style="thin">
        <color rgb="FF0070C0"/>
      </bottom>
      <diagonal/>
    </border>
    <border>
      <left/>
      <right style="thick">
        <color rgb="FF366092"/>
      </right>
      <top style="medium">
        <color rgb="FF366092"/>
      </top>
      <bottom/>
      <diagonal/>
    </border>
    <border>
      <left/>
      <right style="thick">
        <color rgb="FF366092"/>
      </right>
      <top style="medium">
        <color rgb="FF366092"/>
      </top>
      <bottom style="thin">
        <color rgb="FF0070C0"/>
      </bottom>
      <diagonal/>
    </border>
    <border>
      <left/>
      <right style="thick">
        <color rgb="FF366092"/>
      </right>
      <top style="thin">
        <color rgb="FF0070C0"/>
      </top>
      <bottom/>
      <diagonal/>
    </border>
    <border>
      <left/>
      <right/>
      <top style="thin">
        <color rgb="FF0070C0"/>
      </top>
      <bottom style="thick">
        <color rgb="FF366092"/>
      </bottom>
      <diagonal/>
    </border>
    <border>
      <left/>
      <right style="thick">
        <color rgb="FF366092"/>
      </right>
      <top style="thin">
        <color rgb="FF0070C0"/>
      </top>
      <bottom style="thick">
        <color rgb="FF366092"/>
      </bottom>
      <diagonal/>
    </border>
    <border>
      <left/>
      <right/>
      <top style="medium">
        <color theme="4" tint="-0.24994659260841701"/>
      </top>
      <bottom style="thin">
        <color rgb="FF0070C0"/>
      </bottom>
      <diagonal/>
    </border>
    <border>
      <left/>
      <right style="thick">
        <color rgb="FF366092"/>
      </right>
      <top style="medium">
        <color theme="4" tint="-0.24994659260841701"/>
      </top>
      <bottom style="thin">
        <color rgb="FF0070C0"/>
      </bottom>
      <diagonal/>
    </border>
    <border>
      <left style="medium">
        <color theme="4" tint="-0.24994659260841701"/>
      </left>
      <right/>
      <top style="medium">
        <color rgb="FF366092"/>
      </top>
      <bottom/>
      <diagonal/>
    </border>
    <border>
      <left/>
      <right style="thin">
        <color theme="4" tint="-0.24994659260841701"/>
      </right>
      <top style="medium">
        <color rgb="FF366092"/>
      </top>
      <bottom/>
      <diagonal/>
    </border>
    <border>
      <left style="medium">
        <color theme="4" tint="-0.24994659260841701"/>
      </left>
      <right/>
      <top style="medium">
        <color rgb="FF366092"/>
      </top>
      <bottom style="thin">
        <color rgb="FF0070C0"/>
      </bottom>
      <diagonal/>
    </border>
    <border>
      <left/>
      <right style="thin">
        <color theme="4" tint="-0.24994659260841701"/>
      </right>
      <top style="medium">
        <color rgb="FF366092"/>
      </top>
      <bottom style="thin">
        <color rgb="FF0070C0"/>
      </bottom>
      <diagonal/>
    </border>
    <border>
      <left style="medium">
        <color theme="4" tint="-0.24994659260841701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theme="4" tint="-0.24994659260841701"/>
      </right>
      <top style="thin">
        <color rgb="FF0070C0"/>
      </top>
      <bottom style="thin">
        <color rgb="FF0070C0"/>
      </bottom>
      <diagonal/>
    </border>
    <border>
      <left style="medium">
        <color theme="4" tint="-0.24994659260841701"/>
      </left>
      <right/>
      <top/>
      <bottom style="medium">
        <color rgb="FF366092"/>
      </bottom>
      <diagonal/>
    </border>
    <border>
      <left/>
      <right style="thin">
        <color theme="4" tint="-0.24994659260841701"/>
      </right>
      <top/>
      <bottom style="medium">
        <color rgb="FF366092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medium">
        <color theme="4" tint="-0.24994659260841701"/>
      </right>
      <top/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0.59996337778862885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 style="thin">
        <color theme="4" tint="-0.24994659260841701"/>
      </bottom>
      <diagonal/>
    </border>
    <border>
      <left/>
      <right/>
      <top style="thick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ck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ck">
        <color rgb="FF00C9E7"/>
      </left>
      <right/>
      <top style="thick">
        <color rgb="FF00C9E7"/>
      </top>
      <bottom/>
      <diagonal/>
    </border>
    <border>
      <left/>
      <right/>
      <top style="thick">
        <color rgb="FF00C9E7"/>
      </top>
      <bottom/>
      <diagonal/>
    </border>
    <border>
      <left/>
      <right style="thick">
        <color rgb="FF00C9E7"/>
      </right>
      <top style="thick">
        <color rgb="FF00C9E7"/>
      </top>
      <bottom/>
      <diagonal/>
    </border>
    <border>
      <left style="thick">
        <color rgb="FF00C9E7"/>
      </left>
      <right/>
      <top/>
      <bottom/>
      <diagonal/>
    </border>
    <border>
      <left/>
      <right style="thick">
        <color rgb="FF00C9E7"/>
      </right>
      <top/>
      <bottom/>
      <diagonal/>
    </border>
    <border>
      <left style="thick">
        <color rgb="FF00C9E7"/>
      </left>
      <right style="medium">
        <color theme="4" tint="-0.24994659260841701"/>
      </right>
      <top/>
      <bottom/>
      <diagonal/>
    </border>
    <border>
      <left style="thick">
        <color rgb="FF00C9E7"/>
      </left>
      <right/>
      <top/>
      <bottom style="thick">
        <color rgb="FF00C9E7"/>
      </bottom>
      <diagonal/>
    </border>
    <border>
      <left/>
      <right/>
      <top/>
      <bottom style="thick">
        <color rgb="FF00C9E7"/>
      </bottom>
      <diagonal/>
    </border>
    <border>
      <left/>
      <right style="thick">
        <color rgb="FF00C9E7"/>
      </right>
      <top/>
      <bottom style="thick">
        <color rgb="FF00C9E7"/>
      </bottom>
      <diagonal/>
    </border>
    <border>
      <left style="medium">
        <color rgb="FF00C9E7"/>
      </left>
      <right style="thin">
        <color theme="4" tint="-0.24994659260841701"/>
      </right>
      <top style="medium">
        <color rgb="FF00C9E7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medium">
        <color rgb="FF00C9E7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rgb="FF00C9E7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 style="medium">
        <color rgb="FF00C9E7"/>
      </top>
      <bottom style="thin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rgb="FF00C9E7"/>
      </right>
      <top style="thin">
        <color theme="4" tint="-0.24994659260841701"/>
      </top>
      <bottom/>
      <diagonal/>
    </border>
    <border>
      <left/>
      <right style="medium">
        <color rgb="FF00C9E7"/>
      </right>
      <top/>
      <bottom/>
      <diagonal/>
    </border>
    <border>
      <left style="medium">
        <color rgb="FF00C9E7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rgb="FF00C9E7"/>
      </left>
      <right/>
      <top style="thin">
        <color theme="4" tint="-0.24994659260841701"/>
      </top>
      <bottom style="medium">
        <color rgb="FF00C9E7"/>
      </bottom>
      <diagonal/>
    </border>
    <border>
      <left/>
      <right/>
      <top style="thin">
        <color theme="4" tint="-0.24994659260841701"/>
      </top>
      <bottom style="medium">
        <color rgb="FF00C9E7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medium">
        <color rgb="FF00C9E7"/>
      </bottom>
      <diagonal/>
    </border>
    <border>
      <left/>
      <right style="medium">
        <color rgb="FF00C9E7"/>
      </right>
      <top style="thin">
        <color theme="4" tint="-0.24994659260841701"/>
      </top>
      <bottom style="medium">
        <color rgb="FF00C9E7"/>
      </bottom>
      <diagonal/>
    </border>
    <border>
      <left/>
      <right style="medium">
        <color rgb="FF00C9E7"/>
      </right>
      <top/>
      <bottom style="thin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 style="medium">
        <color rgb="FF00C9E7"/>
      </bottom>
      <diagonal/>
    </border>
    <border>
      <left/>
      <right/>
      <top style="medium">
        <color theme="4" tint="-0.24994659260841701"/>
      </top>
      <bottom style="medium">
        <color rgb="FF00C9E7"/>
      </bottom>
      <diagonal/>
    </border>
    <border>
      <left/>
      <right style="medium">
        <color rgb="FF00C9E7"/>
      </right>
      <top style="medium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0.59996337778862885"/>
      </bottom>
      <diagonal/>
    </border>
    <border>
      <left/>
      <right style="thin">
        <color theme="4" tint="-0.24994659260841701"/>
      </right>
      <top/>
      <bottom style="thin">
        <color theme="4" tint="0.59996337778862885"/>
      </bottom>
      <diagonal/>
    </border>
    <border>
      <left style="medium">
        <color rgb="FF00C9E7"/>
      </left>
      <right/>
      <top style="medium">
        <color rgb="FF00C9E7"/>
      </top>
      <bottom style="thin">
        <color theme="4" tint="-0.24994659260841701"/>
      </bottom>
      <diagonal/>
    </border>
    <border>
      <left/>
      <right/>
      <top style="medium">
        <color rgb="FF00C9E7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medium">
        <color rgb="FF00C9E7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 style="medium">
        <color rgb="FF00C9E7"/>
      </right>
      <top style="thin">
        <color theme="4" tint="-0.24994659260841701"/>
      </top>
      <bottom style="medium">
        <color rgb="FF00C9E7"/>
      </bottom>
      <diagonal/>
    </border>
    <border>
      <left style="thin">
        <color rgb="FF00C9E7"/>
      </left>
      <right style="thin">
        <color theme="4" tint="-0.24994659260841701"/>
      </right>
      <top style="thin">
        <color rgb="FF00C9E7"/>
      </top>
      <bottom style="thin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rgb="FF00C9E7"/>
      </top>
      <bottom style="thin">
        <color rgb="FF00C9E7"/>
      </bottom>
      <diagonal/>
    </border>
    <border>
      <left style="thin">
        <color theme="4" tint="-0.24994659260841701"/>
      </left>
      <right style="thin">
        <color rgb="FF00C9E7"/>
      </right>
      <top style="thin">
        <color rgb="FF00C9E7"/>
      </top>
      <bottom style="thin">
        <color rgb="FF00C9E7"/>
      </bottom>
      <diagonal/>
    </border>
    <border>
      <left style="medium">
        <color rgb="FF00C9E7"/>
      </left>
      <right style="thin">
        <color theme="4" tint="-0.24994659260841701"/>
      </right>
      <top style="medium">
        <color rgb="FF00C9E7"/>
      </top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rgb="FF00C9E7"/>
      </top>
      <bottom style="medium">
        <color rgb="FF00C9E7"/>
      </bottom>
      <diagonal/>
    </border>
    <border>
      <left style="thin">
        <color theme="4" tint="-0.24994659260841701"/>
      </left>
      <right style="thick">
        <color rgb="FF00C9E7"/>
      </right>
      <top style="medium">
        <color rgb="FF00C9E7"/>
      </top>
      <bottom style="medium">
        <color rgb="FF00C9E7"/>
      </bottom>
      <diagonal/>
    </border>
    <border>
      <left/>
      <right style="thick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thick">
        <color rgb="FF00C9E7"/>
      </right>
      <top style="thin">
        <color theme="4" tint="-0.24994659260841701"/>
      </top>
      <bottom style="medium">
        <color theme="4" tint="-0.24994659260841701"/>
      </bottom>
      <diagonal/>
    </border>
    <border>
      <left style="medium">
        <color rgb="FF00C9E7"/>
      </left>
      <right/>
      <top style="thin">
        <color rgb="FF374049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rgb="FF374049"/>
      </top>
      <bottom style="thin">
        <color theme="4" tint="-0.24994659260841701"/>
      </bottom>
      <diagonal/>
    </border>
    <border>
      <left/>
      <right/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 style="thin">
        <color rgb="FF374049"/>
      </top>
      <bottom style="thin">
        <color theme="4" tint="-0.24994659260841701"/>
      </bottom>
      <diagonal/>
    </border>
    <border>
      <left/>
      <right style="medium">
        <color rgb="FF00C9E7"/>
      </right>
      <top style="medium">
        <color rgb="FF00C9E7"/>
      </top>
      <bottom style="thin">
        <color theme="4" tint="-0.24994659260841701"/>
      </bottom>
      <diagonal/>
    </border>
    <border>
      <left style="medium">
        <color rgb="FF00C9E7"/>
      </left>
      <right/>
      <top style="medium">
        <color rgb="FF00C9E7"/>
      </top>
      <bottom style="thin">
        <color rgb="FF374049"/>
      </bottom>
      <diagonal/>
    </border>
    <border>
      <left/>
      <right/>
      <top style="medium">
        <color rgb="FF00C9E7"/>
      </top>
      <bottom style="thin">
        <color rgb="FF374049"/>
      </bottom>
      <diagonal/>
    </border>
    <border>
      <left/>
      <right style="medium">
        <color rgb="FF00C9E7"/>
      </right>
      <top style="medium">
        <color rgb="FF00C9E7"/>
      </top>
      <bottom style="thin">
        <color rgb="FF374049"/>
      </bottom>
      <diagonal/>
    </border>
    <border>
      <left/>
      <right/>
      <top/>
      <bottom style="medium">
        <color rgb="FF00C9E7"/>
      </bottom>
      <diagonal/>
    </border>
    <border>
      <left style="thick">
        <color rgb="FF00C9E7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ck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 style="thick">
        <color rgb="FF00C9E7"/>
      </left>
      <right style="thin">
        <color theme="4" tint="-0.24994659260841701"/>
      </right>
      <top/>
      <bottom style="thick">
        <color rgb="FF00C9E7"/>
      </bottom>
      <diagonal/>
    </border>
    <border>
      <left style="thin">
        <color theme="4" tint="-0.24994659260841701"/>
      </left>
      <right style="thick">
        <color rgb="FF00C9E7"/>
      </right>
      <top/>
      <bottom style="thick">
        <color rgb="FF00C9E7"/>
      </bottom>
      <diagonal/>
    </border>
    <border>
      <left style="thick">
        <color rgb="FF00C9E7"/>
      </left>
      <right style="thin">
        <color theme="4" tint="-0.24994659260841701"/>
      </right>
      <top style="thick">
        <color rgb="FF00C9E7"/>
      </top>
      <bottom/>
      <diagonal/>
    </border>
    <border>
      <left style="thin">
        <color theme="4" tint="-0.24994659260841701"/>
      </left>
      <right style="thick">
        <color rgb="FF00C9E7"/>
      </right>
      <top style="thick">
        <color rgb="FF00C9E7"/>
      </top>
      <bottom/>
      <diagonal/>
    </border>
    <border>
      <left style="thick">
        <color rgb="FF00C9E7"/>
      </left>
      <right style="thin">
        <color theme="4" tint="-0.24994659260841701"/>
      </right>
      <top style="thin">
        <color theme="4" tint="-0.24994659260841701"/>
      </top>
      <bottom style="thick">
        <color rgb="FF00C9E7"/>
      </bottom>
      <diagonal/>
    </border>
    <border>
      <left style="thin">
        <color theme="4" tint="-0.24994659260841701"/>
      </left>
      <right style="thick">
        <color rgb="FF00C9E7"/>
      </right>
      <top style="thin">
        <color theme="4" tint="-0.24994659260841701"/>
      </top>
      <bottom style="thick">
        <color rgb="FF00C9E7"/>
      </bottom>
      <diagonal/>
    </border>
    <border>
      <left style="medium">
        <color rgb="FF00C9E7"/>
      </left>
      <right/>
      <top style="medium">
        <color rgb="FF00C9E7"/>
      </top>
      <bottom style="thick">
        <color theme="4" tint="-0.24994659260841701"/>
      </bottom>
      <diagonal/>
    </border>
    <border>
      <left/>
      <right/>
      <top style="medium">
        <color rgb="FF00C9E7"/>
      </top>
      <bottom style="thick">
        <color theme="4" tint="-0.24994659260841701"/>
      </bottom>
      <diagonal/>
    </border>
    <border>
      <left/>
      <right style="medium">
        <color rgb="FF00C9E7"/>
      </right>
      <top style="medium">
        <color rgb="FF00C9E7"/>
      </top>
      <bottom style="thick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medium">
        <color rgb="FF00C9E7"/>
      </right>
      <top style="thin">
        <color theme="4" tint="-0.24994659260841701"/>
      </top>
      <bottom/>
      <diagonal/>
    </border>
    <border>
      <left style="medium">
        <color rgb="FF00C9E7"/>
      </left>
      <right style="thin">
        <color theme="4" tint="-0.24994659260841701"/>
      </right>
      <top/>
      <bottom/>
      <diagonal/>
    </border>
    <border>
      <left style="thin">
        <color theme="4" tint="-0.24994659260841701"/>
      </left>
      <right style="medium">
        <color rgb="FF00C9E7"/>
      </right>
      <top/>
      <bottom/>
      <diagonal/>
    </border>
    <border>
      <left style="medium">
        <color rgb="FF00C9E7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/>
      <bottom style="thin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/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 style="medium">
        <color rgb="FF00C9E7"/>
      </bottom>
      <diagonal/>
    </border>
    <border>
      <left style="thin">
        <color theme="4" tint="-0.24994659260841701"/>
      </left>
      <right style="medium">
        <color rgb="FF00C9E7"/>
      </right>
      <top/>
      <bottom style="medium">
        <color rgb="FF00C9E7"/>
      </bottom>
      <diagonal/>
    </border>
    <border>
      <left style="medium">
        <color rgb="FF00C9E7"/>
      </left>
      <right/>
      <top style="thick">
        <color theme="4" tint="-0.24994659260841701"/>
      </top>
      <bottom style="thin">
        <color theme="4" tint="-0.24994659260841701"/>
      </bottom>
      <diagonal/>
    </border>
    <border>
      <left/>
      <right style="medium">
        <color rgb="FF00C9E7"/>
      </right>
      <top style="thick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5" tint="0.39994506668294322"/>
      </top>
      <bottom style="medium">
        <color rgb="FF00C9E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C9E7"/>
      </left>
      <right style="medium">
        <color rgb="FF00C9E7"/>
      </right>
      <top style="medium">
        <color rgb="FF00C9E7"/>
      </top>
      <bottom style="medium">
        <color rgb="FF00C9E7"/>
      </bottom>
      <diagonal/>
    </border>
    <border>
      <left style="medium">
        <color rgb="FF00C9E7"/>
      </left>
      <right/>
      <top style="medium">
        <color rgb="FF00C9E7"/>
      </top>
      <bottom style="medium">
        <color rgb="FF00C9E7"/>
      </bottom>
      <diagonal/>
    </border>
    <border>
      <left/>
      <right style="medium">
        <color rgb="FF00C9E7"/>
      </right>
      <top style="medium">
        <color rgb="FF00C9E7"/>
      </top>
      <bottom style="medium">
        <color rgb="FF00C9E7"/>
      </bottom>
      <diagonal/>
    </border>
    <border>
      <left style="thin">
        <color auto="1"/>
      </left>
      <right/>
      <top style="medium">
        <color rgb="FF00C9E7"/>
      </top>
      <bottom style="medium">
        <color rgb="FF00C9E7"/>
      </bottom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7" fillId="0" borderId="0"/>
    <xf numFmtId="0" fontId="1" fillId="0" borderId="0"/>
    <xf numFmtId="0" fontId="1" fillId="0" borderId="0"/>
    <xf numFmtId="0" fontId="17" fillId="0" borderId="0"/>
    <xf numFmtId="0" fontId="22" fillId="0" borderId="0" applyNumberFormat="0" applyFill="0" applyBorder="0" applyAlignment="0" applyProtection="0">
      <alignment vertical="top"/>
      <protection locked="0"/>
    </xf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</cellStyleXfs>
  <cellXfs count="535">
    <xf numFmtId="0" fontId="0" fillId="0" borderId="0" xfId="0"/>
    <xf numFmtId="0" fontId="0" fillId="0" borderId="0" xfId="0" applyFont="1" applyFill="1" applyAlignment="1">
      <alignment vertical="center"/>
    </xf>
    <xf numFmtId="0" fontId="0" fillId="0" borderId="0" xfId="0" applyFont="1" applyFill="1"/>
    <xf numFmtId="0" fontId="0" fillId="4" borderId="0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wrapText="1"/>
    </xf>
    <xf numFmtId="9" fontId="8" fillId="2" borderId="4" xfId="2" applyFont="1" applyFill="1" applyBorder="1" applyAlignment="1">
      <alignment horizontal="right" vertical="center"/>
    </xf>
    <xf numFmtId="9" fontId="8" fillId="2" borderId="11" xfId="2" applyFont="1" applyFill="1" applyBorder="1" applyAlignment="1">
      <alignment horizontal="right" vertical="center"/>
    </xf>
    <xf numFmtId="164" fontId="7" fillId="0" borderId="11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0" borderId="0" xfId="4" applyFont="1" applyBorder="1" applyAlignment="1">
      <alignment horizontal="center"/>
    </xf>
    <xf numFmtId="0" fontId="18" fillId="0" borderId="0" xfId="0" applyFont="1" applyFill="1" applyProtection="1">
      <protection hidden="1"/>
    </xf>
    <xf numFmtId="0" fontId="25" fillId="2" borderId="8" xfId="0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horizontal="center" vertical="center"/>
    </xf>
    <xf numFmtId="0" fontId="16" fillId="4" borderId="0" xfId="0" applyFont="1" applyFill="1"/>
    <xf numFmtId="0" fontId="7" fillId="0" borderId="0" xfId="4" applyFont="1" applyFill="1" applyBorder="1" applyAlignment="1">
      <alignment horizontal="left"/>
    </xf>
    <xf numFmtId="0" fontId="7" fillId="4" borderId="0" xfId="4" applyFont="1" applyFill="1" applyBorder="1" applyAlignment="1">
      <alignment horizontal="left"/>
    </xf>
    <xf numFmtId="0" fontId="27" fillId="3" borderId="0" xfId="0" applyFont="1" applyFill="1" applyBorder="1" applyAlignment="1">
      <alignment horizontal="left" vertical="center"/>
    </xf>
    <xf numFmtId="0" fontId="20" fillId="3" borderId="0" xfId="0" applyFont="1" applyFill="1" applyBorder="1" applyAlignment="1">
      <alignment horizontal="left" vertical="center"/>
    </xf>
    <xf numFmtId="0" fontId="32" fillId="0" borderId="0" xfId="0" applyFont="1" applyFill="1" applyAlignment="1">
      <alignment vertical="center"/>
    </xf>
    <xf numFmtId="9" fontId="0" fillId="0" borderId="0" xfId="2" applyFont="1" applyFill="1"/>
    <xf numFmtId="0" fontId="0" fillId="4" borderId="9" xfId="0" applyFont="1" applyFill="1" applyBorder="1" applyAlignment="1"/>
    <xf numFmtId="3" fontId="0" fillId="0" borderId="0" xfId="0" applyNumberFormat="1" applyFont="1" applyFill="1" applyAlignment="1">
      <alignment vertical="center"/>
    </xf>
    <xf numFmtId="1" fontId="2" fillId="0" borderId="0" xfId="0" applyNumberFormat="1" applyFont="1" applyFill="1" applyAlignment="1">
      <alignment vertical="center"/>
    </xf>
    <xf numFmtId="0" fontId="36" fillId="2" borderId="1" xfId="0" applyFont="1" applyFill="1" applyBorder="1" applyAlignment="1">
      <alignment horizontal="center" vertical="center" wrapText="1"/>
    </xf>
    <xf numFmtId="0" fontId="11" fillId="2" borderId="44" xfId="4" applyFont="1" applyFill="1" applyBorder="1" applyAlignment="1">
      <alignment horizontal="right"/>
    </xf>
    <xf numFmtId="0" fontId="11" fillId="2" borderId="46" xfId="4" applyFont="1" applyFill="1" applyBorder="1" applyAlignment="1">
      <alignment horizontal="right"/>
    </xf>
    <xf numFmtId="0" fontId="11" fillId="4" borderId="47" xfId="0" applyFont="1" applyFill="1" applyBorder="1" applyAlignment="1">
      <alignment horizontal="right"/>
    </xf>
    <xf numFmtId="0" fontId="11" fillId="4" borderId="48" xfId="0" applyFont="1" applyFill="1" applyBorder="1" applyAlignment="1">
      <alignment horizontal="right"/>
    </xf>
    <xf numFmtId="0" fontId="11" fillId="2" borderId="49" xfId="0" applyFont="1" applyFill="1" applyBorder="1" applyAlignment="1">
      <alignment horizontal="right"/>
    </xf>
    <xf numFmtId="0" fontId="11" fillId="4" borderId="50" xfId="0" applyFont="1" applyFill="1" applyBorder="1" applyAlignment="1">
      <alignment horizontal="right"/>
    </xf>
    <xf numFmtId="0" fontId="11" fillId="4" borderId="44" xfId="0" applyFont="1" applyFill="1" applyBorder="1" applyAlignment="1">
      <alignment horizontal="right"/>
    </xf>
    <xf numFmtId="0" fontId="11" fillId="4" borderId="46" xfId="0" applyFont="1" applyFill="1" applyBorder="1" applyAlignment="1">
      <alignment horizontal="right"/>
    </xf>
    <xf numFmtId="0" fontId="11" fillId="2" borderId="51" xfId="0" applyFont="1" applyFill="1" applyBorder="1" applyAlignment="1">
      <alignment horizontal="right"/>
    </xf>
    <xf numFmtId="0" fontId="11" fillId="2" borderId="44" xfId="0" applyFont="1" applyFill="1" applyBorder="1" applyAlignment="1">
      <alignment horizontal="right"/>
    </xf>
    <xf numFmtId="0" fontId="11" fillId="2" borderId="46" xfId="0" applyFont="1" applyFill="1" applyBorder="1" applyAlignment="1">
      <alignment horizontal="right"/>
    </xf>
    <xf numFmtId="0" fontId="11" fillId="4" borderId="51" xfId="0" applyFont="1" applyFill="1" applyBorder="1" applyAlignment="1">
      <alignment horizontal="right"/>
    </xf>
    <xf numFmtId="0" fontId="11" fillId="2" borderId="47" xfId="0" applyFont="1" applyFill="1" applyBorder="1" applyAlignment="1">
      <alignment horizontal="right"/>
    </xf>
    <xf numFmtId="0" fontId="11" fillId="4" borderId="52" xfId="0" applyFont="1" applyFill="1" applyBorder="1" applyAlignment="1">
      <alignment horizontal="right"/>
    </xf>
    <xf numFmtId="0" fontId="4" fillId="7" borderId="0" xfId="0" applyFont="1" applyFill="1" applyBorder="1" applyAlignment="1">
      <alignment horizontal="left"/>
    </xf>
    <xf numFmtId="0" fontId="6" fillId="9" borderId="0" xfId="4" applyFont="1" applyFill="1" applyBorder="1" applyAlignment="1">
      <alignment horizontal="center"/>
    </xf>
    <xf numFmtId="0" fontId="6" fillId="9" borderId="0" xfId="4" applyNumberFormat="1" applyFont="1" applyFill="1" applyBorder="1" applyAlignment="1">
      <alignment horizontal="center"/>
    </xf>
    <xf numFmtId="3" fontId="6" fillId="9" borderId="0" xfId="4" applyNumberFormat="1" applyFont="1" applyFill="1" applyBorder="1" applyAlignment="1">
      <alignment horizontal="center"/>
    </xf>
    <xf numFmtId="14" fontId="6" fillId="9" borderId="0" xfId="4" applyNumberFormat="1" applyFont="1" applyFill="1" applyBorder="1" applyAlignment="1">
      <alignment horizontal="center"/>
    </xf>
    <xf numFmtId="165" fontId="6" fillId="9" borderId="0" xfId="2" applyNumberFormat="1" applyFont="1" applyFill="1" applyBorder="1" applyAlignment="1">
      <alignment horizontal="center"/>
    </xf>
    <xf numFmtId="1" fontId="6" fillId="9" borderId="0" xfId="4" applyNumberFormat="1" applyFont="1" applyFill="1" applyBorder="1" applyAlignment="1">
      <alignment horizontal="center"/>
    </xf>
    <xf numFmtId="0" fontId="16" fillId="4" borderId="0" xfId="0" applyFont="1" applyFill="1" applyBorder="1"/>
    <xf numFmtId="0" fontId="6" fillId="0" borderId="0" xfId="4" applyFont="1" applyFill="1" applyBorder="1" applyAlignment="1">
      <alignment horizontal="center"/>
    </xf>
    <xf numFmtId="0" fontId="6" fillId="0" borderId="0" xfId="4" applyNumberFormat="1" applyFont="1" applyFill="1" applyBorder="1" applyAlignment="1">
      <alignment horizontal="center"/>
    </xf>
    <xf numFmtId="9" fontId="6" fillId="0" borderId="0" xfId="4" applyNumberFormat="1" applyFont="1" applyFill="1" applyBorder="1" applyAlignment="1">
      <alignment horizontal="center"/>
    </xf>
    <xf numFmtId="0" fontId="37" fillId="0" borderId="0" xfId="4" applyFont="1" applyFill="1" applyBorder="1" applyAlignment="1">
      <alignment horizontal="center"/>
    </xf>
    <xf numFmtId="0" fontId="37" fillId="3" borderId="0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 vertical="top"/>
    </xf>
    <xf numFmtId="164" fontId="7" fillId="13" borderId="11" xfId="0" applyNumberFormat="1" applyFont="1" applyFill="1" applyBorder="1" applyAlignment="1">
      <alignment horizontal="center" vertical="center"/>
    </xf>
    <xf numFmtId="9" fontId="8" fillId="2" borderId="38" xfId="2" applyFont="1" applyFill="1" applyBorder="1" applyAlignment="1">
      <alignment horizontal="right" vertical="center"/>
    </xf>
    <xf numFmtId="9" fontId="8" fillId="2" borderId="89" xfId="2" applyFont="1" applyFill="1" applyBorder="1" applyAlignment="1">
      <alignment horizontal="right" vertical="center"/>
    </xf>
    <xf numFmtId="9" fontId="8" fillId="2" borderId="92" xfId="2" applyFont="1" applyFill="1" applyBorder="1" applyAlignment="1">
      <alignment horizontal="right" vertical="center"/>
    </xf>
    <xf numFmtId="164" fontId="7" fillId="3" borderId="89" xfId="0" applyNumberFormat="1" applyFont="1" applyFill="1" applyBorder="1" applyAlignment="1">
      <alignment horizontal="center" vertical="center"/>
    </xf>
    <xf numFmtId="0" fontId="7" fillId="12" borderId="38" xfId="0" applyFont="1" applyFill="1" applyBorder="1" applyAlignment="1">
      <alignment horizontal="center" vertical="center"/>
    </xf>
    <xf numFmtId="164" fontId="7" fillId="3" borderId="94" xfId="0" applyNumberFormat="1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164" fontId="7" fillId="5" borderId="11" xfId="0" applyNumberFormat="1" applyFont="1" applyFill="1" applyBorder="1" applyAlignment="1">
      <alignment horizontal="center" vertical="center"/>
    </xf>
    <xf numFmtId="164" fontId="7" fillId="5" borderId="87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9" fontId="0" fillId="5" borderId="1" xfId="2" applyFont="1" applyFill="1" applyBorder="1" applyAlignment="1">
      <alignment horizontal="center" vertical="center"/>
    </xf>
    <xf numFmtId="0" fontId="7" fillId="14" borderId="93" xfId="0" applyFont="1" applyFill="1" applyBorder="1" applyAlignment="1">
      <alignment horizontal="center" vertical="center"/>
    </xf>
    <xf numFmtId="0" fontId="7" fillId="14" borderId="94" xfId="0" applyFont="1" applyFill="1" applyBorder="1" applyAlignment="1">
      <alignment horizontal="center" vertical="center"/>
    </xf>
    <xf numFmtId="164" fontId="7" fillId="5" borderId="3" xfId="0" applyNumberFormat="1" applyFont="1" applyFill="1" applyBorder="1" applyAlignment="1">
      <alignment horizontal="center" vertical="center"/>
    </xf>
    <xf numFmtId="0" fontId="0" fillId="5" borderId="96" xfId="0" applyFill="1" applyBorder="1" applyAlignment="1">
      <alignment horizontal="right" vertical="center"/>
    </xf>
    <xf numFmtId="0" fontId="6" fillId="2" borderId="1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left" vertical="center"/>
    </xf>
    <xf numFmtId="0" fontId="13" fillId="15" borderId="97" xfId="0" applyFont="1" applyFill="1" applyBorder="1" applyAlignment="1">
      <alignment horizontal="center" vertical="center"/>
    </xf>
    <xf numFmtId="0" fontId="30" fillId="15" borderId="98" xfId="0" applyFont="1" applyFill="1" applyBorder="1" applyAlignment="1">
      <alignment vertical="center"/>
    </xf>
    <xf numFmtId="0" fontId="31" fillId="15" borderId="100" xfId="0" applyFont="1" applyFill="1" applyBorder="1" applyAlignment="1">
      <alignment horizontal="center" vertical="center"/>
    </xf>
    <xf numFmtId="0" fontId="29" fillId="15" borderId="0" xfId="0" applyFont="1" applyFill="1" applyBorder="1" applyAlignment="1">
      <alignment horizontal="left" vertical="center"/>
    </xf>
    <xf numFmtId="0" fontId="38" fillId="15" borderId="0" xfId="0" applyFont="1" applyFill="1" applyBorder="1" applyAlignment="1">
      <alignment horizontal="left" vertical="center" indent="1"/>
    </xf>
    <xf numFmtId="0" fontId="0" fillId="15" borderId="100" xfId="0" applyFont="1" applyFill="1" applyBorder="1"/>
    <xf numFmtId="0" fontId="0" fillId="15" borderId="0" xfId="0" applyFont="1" applyFill="1" applyBorder="1"/>
    <xf numFmtId="0" fontId="0" fillId="15" borderId="101" xfId="0" applyFont="1" applyFill="1" applyBorder="1"/>
    <xf numFmtId="0" fontId="0" fillId="15" borderId="0" xfId="0" applyFont="1" applyFill="1" applyBorder="1" applyAlignment="1">
      <alignment horizontal="center" vertical="center"/>
    </xf>
    <xf numFmtId="0" fontId="0" fillId="15" borderId="0" xfId="0" applyFont="1" applyFill="1" applyBorder="1" applyAlignment="1">
      <alignment horizontal="center"/>
    </xf>
    <xf numFmtId="0" fontId="0" fillId="15" borderId="102" xfId="0" applyFont="1" applyFill="1" applyBorder="1"/>
    <xf numFmtId="0" fontId="0" fillId="15" borderId="0" xfId="0" applyFont="1" applyFill="1" applyBorder="1" applyAlignment="1">
      <alignment horizontal="left" vertical="center"/>
    </xf>
    <xf numFmtId="9" fontId="0" fillId="15" borderId="0" xfId="2" applyFont="1" applyFill="1" applyBorder="1" applyAlignment="1">
      <alignment horizontal="center" vertical="center"/>
    </xf>
    <xf numFmtId="0" fontId="14" fillId="15" borderId="0" xfId="0" applyFont="1" applyFill="1" applyBorder="1"/>
    <xf numFmtId="0" fontId="0" fillId="15" borderId="103" xfId="0" applyFont="1" applyFill="1" applyBorder="1"/>
    <xf numFmtId="0" fontId="0" fillId="15" borderId="104" xfId="0" applyFont="1" applyFill="1" applyBorder="1"/>
    <xf numFmtId="0" fontId="0" fillId="15" borderId="104" xfId="0" applyFont="1" applyFill="1" applyBorder="1" applyAlignment="1">
      <alignment horizontal="center" vertical="center"/>
    </xf>
    <xf numFmtId="0" fontId="0" fillId="4" borderId="111" xfId="0" applyFont="1" applyFill="1" applyBorder="1" applyAlignment="1"/>
    <xf numFmtId="0" fontId="0" fillId="4" borderId="112" xfId="0" applyFont="1" applyFill="1" applyBorder="1" applyAlignment="1">
      <alignment horizontal="center" vertical="center"/>
    </xf>
    <xf numFmtId="0" fontId="2" fillId="2" borderId="110" xfId="0" applyFont="1" applyFill="1" applyBorder="1" applyAlignment="1"/>
    <xf numFmtId="0" fontId="2" fillId="2" borderId="121" xfId="0" applyFont="1" applyFill="1" applyBorder="1" applyAlignment="1"/>
    <xf numFmtId="9" fontId="0" fillId="13" borderId="122" xfId="2" applyFont="1" applyFill="1" applyBorder="1" applyAlignment="1">
      <alignment horizontal="center" vertical="center"/>
    </xf>
    <xf numFmtId="0" fontId="6" fillId="2" borderId="110" xfId="0" applyFont="1" applyFill="1" applyBorder="1" applyAlignment="1">
      <alignment horizontal="center" vertical="center"/>
    </xf>
    <xf numFmtId="0" fontId="6" fillId="2" borderId="130" xfId="0" applyFont="1" applyFill="1" applyBorder="1" applyAlignment="1">
      <alignment horizontal="center" vertical="center" wrapText="1"/>
    </xf>
    <xf numFmtId="9" fontId="8" fillId="2" borderId="131" xfId="2" applyFont="1" applyFill="1" applyBorder="1" applyAlignment="1">
      <alignment horizontal="right" vertical="center"/>
    </xf>
    <xf numFmtId="0" fontId="7" fillId="5" borderId="131" xfId="0" applyFont="1" applyFill="1" applyBorder="1" applyAlignment="1">
      <alignment horizontal="center" vertical="center"/>
    </xf>
    <xf numFmtId="0" fontId="9" fillId="2" borderId="134" xfId="0" applyFont="1" applyFill="1" applyBorder="1" applyAlignment="1">
      <alignment horizontal="left" vertical="center"/>
    </xf>
    <xf numFmtId="0" fontId="9" fillId="2" borderId="135" xfId="0" applyFont="1" applyFill="1" applyBorder="1" applyAlignment="1">
      <alignment horizontal="right" vertical="center"/>
    </xf>
    <xf numFmtId="3" fontId="2" fillId="2" borderId="136" xfId="0" applyNumberFormat="1" applyFont="1" applyFill="1" applyBorder="1" applyAlignment="1">
      <alignment horizontal="center"/>
    </xf>
    <xf numFmtId="0" fontId="4" fillId="15" borderId="0" xfId="0" applyFont="1" applyFill="1" applyBorder="1" applyAlignment="1"/>
    <xf numFmtId="0" fontId="30" fillId="15" borderId="99" xfId="0" applyFont="1" applyFill="1" applyBorder="1" applyAlignment="1">
      <alignment vertical="center"/>
    </xf>
    <xf numFmtId="0" fontId="38" fillId="15" borderId="101" xfId="0" applyFont="1" applyFill="1" applyBorder="1" applyAlignment="1">
      <alignment horizontal="left" vertical="center"/>
    </xf>
    <xf numFmtId="0" fontId="29" fillId="15" borderId="101" xfId="0" applyFont="1" applyFill="1" applyBorder="1" applyAlignment="1">
      <alignment horizontal="left" vertical="center"/>
    </xf>
    <xf numFmtId="0" fontId="4" fillId="15" borderId="101" xfId="0" applyFont="1" applyFill="1" applyBorder="1" applyAlignment="1"/>
    <xf numFmtId="0" fontId="0" fillId="15" borderId="101" xfId="0" applyFont="1" applyFill="1" applyBorder="1" applyAlignment="1">
      <alignment horizontal="center" vertical="center"/>
    </xf>
    <xf numFmtId="0" fontId="0" fillId="15" borderId="105" xfId="0" applyFont="1" applyFill="1" applyBorder="1" applyAlignment="1">
      <alignment horizontal="center" vertical="center"/>
    </xf>
    <xf numFmtId="0" fontId="0" fillId="0" borderId="0" xfId="0" applyFont="1"/>
    <xf numFmtId="0" fontId="5" fillId="5" borderId="146" xfId="0" applyFont="1" applyFill="1" applyBorder="1" applyAlignment="1">
      <alignment horizontal="center" vertical="center" wrapText="1"/>
    </xf>
    <xf numFmtId="0" fontId="12" fillId="6" borderId="148" xfId="0" applyFont="1" applyFill="1" applyBorder="1" applyAlignment="1">
      <alignment vertical="center"/>
    </xf>
    <xf numFmtId="0" fontId="2" fillId="8" borderId="8" xfId="0" applyFont="1" applyFill="1" applyBorder="1" applyAlignment="1">
      <alignment horizontal="center"/>
    </xf>
    <xf numFmtId="0" fontId="12" fillId="15" borderId="153" xfId="0" applyFont="1" applyFill="1" applyBorder="1"/>
    <xf numFmtId="0" fontId="11" fillId="2" borderId="154" xfId="4" applyFont="1" applyFill="1" applyBorder="1" applyAlignment="1">
      <alignment horizontal="right" shrinkToFit="1"/>
    </xf>
    <xf numFmtId="0" fontId="11" fillId="2" borderId="156" xfId="4" applyFont="1" applyFill="1" applyBorder="1" applyAlignment="1">
      <alignment horizontal="right" shrinkToFit="1"/>
    </xf>
    <xf numFmtId="0" fontId="11" fillId="2" borderId="158" xfId="4" applyFont="1" applyFill="1" applyBorder="1" applyAlignment="1">
      <alignment horizontal="right" shrinkToFit="1"/>
    </xf>
    <xf numFmtId="0" fontId="6" fillId="5" borderId="159" xfId="4" applyFont="1" applyFill="1" applyBorder="1" applyAlignment="1">
      <alignment horizontal="center"/>
    </xf>
    <xf numFmtId="0" fontId="6" fillId="5" borderId="155" xfId="4" applyNumberFormat="1" applyFont="1" applyFill="1" applyBorder="1" applyAlignment="1">
      <alignment horizontal="center"/>
    </xf>
    <xf numFmtId="9" fontId="6" fillId="0" borderId="155" xfId="4" applyNumberFormat="1" applyFont="1" applyFill="1" applyBorder="1" applyAlignment="1">
      <alignment horizontal="center"/>
    </xf>
    <xf numFmtId="0" fontId="11" fillId="2" borderId="154" xfId="4" applyFont="1" applyFill="1" applyBorder="1" applyAlignment="1">
      <alignment horizontal="right"/>
    </xf>
    <xf numFmtId="0" fontId="37" fillId="0" borderId="155" xfId="4" applyFont="1" applyFill="1" applyBorder="1" applyAlignment="1">
      <alignment horizontal="center"/>
    </xf>
    <xf numFmtId="0" fontId="11" fillId="2" borderId="160" xfId="4" applyFont="1" applyFill="1" applyBorder="1" applyAlignment="1">
      <alignment horizontal="right"/>
    </xf>
    <xf numFmtId="0" fontId="37" fillId="3" borderId="161" xfId="0" applyFont="1" applyFill="1" applyBorder="1" applyAlignment="1">
      <alignment horizontal="center"/>
    </xf>
    <xf numFmtId="0" fontId="19" fillId="15" borderId="0" xfId="0" applyFont="1" applyFill="1" applyBorder="1" applyAlignment="1">
      <alignment horizontal="center" vertical="center"/>
    </xf>
    <xf numFmtId="0" fontId="28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7" fillId="15" borderId="0" xfId="4" applyFont="1" applyFill="1" applyBorder="1" applyAlignment="1">
      <alignment horizontal="left"/>
    </xf>
    <xf numFmtId="0" fontId="16" fillId="15" borderId="0" xfId="0" applyFont="1" applyFill="1"/>
    <xf numFmtId="0" fontId="35" fillId="15" borderId="0" xfId="0" applyFont="1" applyFill="1" applyBorder="1" applyAlignment="1">
      <alignment horizontal="right" vertical="center"/>
    </xf>
    <xf numFmtId="0" fontId="21" fillId="15" borderId="0" xfId="4" applyFont="1" applyFill="1" applyBorder="1" applyAlignment="1">
      <alignment horizontal="left"/>
    </xf>
    <xf numFmtId="0" fontId="16" fillId="15" borderId="0" xfId="0" applyFont="1" applyFill="1" applyBorder="1"/>
    <xf numFmtId="0" fontId="36" fillId="2" borderId="110" xfId="0" applyFont="1" applyFill="1" applyBorder="1" applyAlignment="1">
      <alignment horizontal="center" vertical="center" wrapText="1"/>
    </xf>
    <xf numFmtId="9" fontId="8" fillId="2" borderId="172" xfId="2" applyFont="1" applyFill="1" applyBorder="1" applyAlignment="1">
      <alignment horizontal="right" vertical="center"/>
    </xf>
    <xf numFmtId="164" fontId="7" fillId="3" borderId="172" xfId="0" applyNumberFormat="1" applyFont="1" applyFill="1" applyBorder="1" applyAlignment="1">
      <alignment horizontal="center" vertical="center"/>
    </xf>
    <xf numFmtId="164" fontId="8" fillId="0" borderId="165" xfId="0" applyNumberFormat="1" applyFont="1" applyFill="1" applyBorder="1" applyAlignment="1">
      <alignment horizontal="center" vertical="center"/>
    </xf>
    <xf numFmtId="3" fontId="8" fillId="2" borderId="166" xfId="0" applyNumberFormat="1" applyFont="1" applyFill="1" applyBorder="1" applyAlignment="1">
      <alignment horizontal="center" vertical="center"/>
    </xf>
    <xf numFmtId="164" fontId="8" fillId="0" borderId="121" xfId="0" applyNumberFormat="1" applyFont="1" applyFill="1" applyBorder="1" applyAlignment="1">
      <alignment horizontal="center" vertical="center"/>
    </xf>
    <xf numFmtId="9" fontId="8" fillId="2" borderId="122" xfId="2" applyFont="1" applyFill="1" applyBorder="1" applyAlignment="1">
      <alignment horizontal="right" vertical="center"/>
    </xf>
    <xf numFmtId="164" fontId="7" fillId="0" borderId="122" xfId="0" applyNumberFormat="1" applyFont="1" applyFill="1" applyBorder="1" applyAlignment="1">
      <alignment horizontal="center" vertical="center"/>
    </xf>
    <xf numFmtId="3" fontId="8" fillId="2" borderId="133" xfId="0" applyNumberFormat="1" applyFont="1" applyFill="1" applyBorder="1" applyAlignment="1">
      <alignment horizontal="center" vertical="center"/>
    </xf>
    <xf numFmtId="164" fontId="7" fillId="0" borderId="176" xfId="0" applyNumberFormat="1" applyFont="1" applyFill="1" applyBorder="1" applyAlignment="1">
      <alignment horizontal="center" vertical="center"/>
    </xf>
    <xf numFmtId="0" fontId="6" fillId="15" borderId="155" xfId="4" applyFont="1" applyFill="1" applyBorder="1" applyAlignment="1">
      <alignment horizontal="center"/>
    </xf>
    <xf numFmtId="0" fontId="6" fillId="15" borderId="155" xfId="4" applyNumberFormat="1" applyFont="1" applyFill="1" applyBorder="1" applyAlignment="1">
      <alignment horizontal="center"/>
    </xf>
    <xf numFmtId="3" fontId="6" fillId="15" borderId="155" xfId="4" applyNumberFormat="1" applyFont="1" applyFill="1" applyBorder="1" applyAlignment="1">
      <alignment horizontal="center"/>
    </xf>
    <xf numFmtId="14" fontId="6" fillId="15" borderId="155" xfId="4" applyNumberFormat="1" applyFont="1" applyFill="1" applyBorder="1" applyAlignment="1">
      <alignment horizontal="center"/>
    </xf>
    <xf numFmtId="165" fontId="6" fillId="15" borderId="155" xfId="2" applyNumberFormat="1" applyFont="1" applyFill="1" applyBorder="1" applyAlignment="1">
      <alignment horizontal="center"/>
    </xf>
    <xf numFmtId="1" fontId="6" fillId="15" borderId="157" xfId="4" applyNumberFormat="1" applyFont="1" applyFill="1" applyBorder="1" applyAlignment="1">
      <alignment horizontal="center"/>
    </xf>
    <xf numFmtId="0" fontId="0" fillId="5" borderId="25" xfId="0" applyFont="1" applyFill="1" applyBorder="1" applyAlignment="1">
      <alignment horizontal="center"/>
    </xf>
    <xf numFmtId="0" fontId="0" fillId="5" borderId="177" xfId="0" applyFont="1" applyFill="1" applyBorder="1" applyAlignment="1">
      <alignment horizontal="center"/>
    </xf>
    <xf numFmtId="9" fontId="8" fillId="5" borderId="126" xfId="2" applyFont="1" applyFill="1" applyBorder="1" applyAlignment="1">
      <alignment horizontal="right" vertical="center"/>
    </xf>
    <xf numFmtId="164" fontId="7" fillId="5" borderId="126" xfId="0" applyNumberFormat="1" applyFont="1" applyFill="1" applyBorder="1" applyAlignment="1">
      <alignment horizontal="center" vertical="center"/>
    </xf>
    <xf numFmtId="164" fontId="7" fillId="5" borderId="127" xfId="0" applyNumberFormat="1" applyFont="1" applyFill="1" applyBorder="1" applyAlignment="1">
      <alignment horizontal="center" vertical="center"/>
    </xf>
    <xf numFmtId="9" fontId="8" fillId="5" borderId="4" xfId="2" applyFont="1" applyFill="1" applyBorder="1" applyAlignment="1">
      <alignment horizontal="right" vertical="center"/>
    </xf>
    <xf numFmtId="9" fontId="8" fillId="5" borderId="11" xfId="2" applyFont="1" applyFill="1" applyBorder="1" applyAlignment="1">
      <alignment horizontal="right" vertical="center"/>
    </xf>
    <xf numFmtId="0" fontId="7" fillId="5" borderId="38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29" fillId="5" borderId="181" xfId="0" applyFont="1" applyFill="1" applyBorder="1" applyAlignment="1">
      <alignment horizontal="center" vertical="center"/>
    </xf>
    <xf numFmtId="0" fontId="29" fillId="5" borderId="180" xfId="0" applyFont="1" applyFill="1" applyBorder="1" applyAlignment="1">
      <alignment horizontal="center" vertical="center"/>
    </xf>
    <xf numFmtId="3" fontId="0" fillId="5" borderId="138" xfId="0" applyNumberFormat="1" applyFont="1" applyFill="1" applyBorder="1" applyAlignment="1">
      <alignment horizontal="center" vertical="center"/>
    </xf>
    <xf numFmtId="0" fontId="0" fillId="5" borderId="139" xfId="0" applyFont="1" applyFill="1" applyBorder="1" applyAlignment="1">
      <alignment horizontal="center" vertical="center"/>
    </xf>
    <xf numFmtId="0" fontId="4" fillId="16" borderId="128" xfId="0" applyFont="1" applyFill="1" applyBorder="1" applyAlignment="1">
      <alignment horizontal="left"/>
    </xf>
    <xf numFmtId="0" fontId="4" fillId="16" borderId="129" xfId="0" applyFont="1" applyFill="1" applyBorder="1" applyAlignment="1">
      <alignment horizontal="left"/>
    </xf>
    <xf numFmtId="0" fontId="4" fillId="16" borderId="149" xfId="0" applyFont="1" applyFill="1" applyBorder="1" applyAlignment="1">
      <alignment horizontal="left"/>
    </xf>
    <xf numFmtId="0" fontId="2" fillId="2" borderId="110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left" vertical="center"/>
    </xf>
    <xf numFmtId="0" fontId="0" fillId="5" borderId="130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0" fontId="0" fillId="0" borderId="130" xfId="0" applyFont="1" applyFill="1" applyBorder="1" applyAlignment="1">
      <alignment horizontal="left" vertical="center"/>
    </xf>
    <xf numFmtId="0" fontId="2" fillId="2" borderId="137" xfId="0" applyFont="1" applyFill="1" applyBorder="1" applyAlignment="1">
      <alignment horizontal="left" vertical="center"/>
    </xf>
    <xf numFmtId="0" fontId="2" fillId="2" borderId="138" xfId="0" applyFont="1" applyFill="1" applyBorder="1" applyAlignment="1">
      <alignment horizontal="left" vertical="center"/>
    </xf>
    <xf numFmtId="14" fontId="0" fillId="5" borderId="1" xfId="0" applyNumberFormat="1" applyFont="1" applyFill="1" applyBorder="1" applyAlignment="1">
      <alignment horizontal="left" vertical="center"/>
    </xf>
    <xf numFmtId="14" fontId="0" fillId="5" borderId="130" xfId="0" applyNumberFormat="1" applyFont="1" applyFill="1" applyBorder="1" applyAlignment="1">
      <alignment horizontal="left" vertical="center"/>
    </xf>
    <xf numFmtId="0" fontId="11" fillId="2" borderId="178" xfId="0" applyFont="1" applyFill="1" applyBorder="1" applyAlignment="1">
      <alignment horizontal="left" vertical="center"/>
    </xf>
    <xf numFmtId="0" fontId="11" fillId="2" borderId="179" xfId="0" applyFont="1" applyFill="1" applyBorder="1" applyAlignment="1">
      <alignment horizontal="left" vertical="center"/>
    </xf>
    <xf numFmtId="0" fontId="7" fillId="5" borderId="110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 wrapText="1"/>
    </xf>
    <xf numFmtId="9" fontId="7" fillId="5" borderId="88" xfId="2" applyFont="1" applyFill="1" applyBorder="1" applyAlignment="1">
      <alignment horizontal="center" vertical="center"/>
    </xf>
    <xf numFmtId="9" fontId="7" fillId="5" borderId="30" xfId="2" applyFont="1" applyFill="1" applyBorder="1" applyAlignment="1">
      <alignment horizontal="center" vertical="center"/>
    </xf>
    <xf numFmtId="9" fontId="7" fillId="5" borderId="3" xfId="2" applyFont="1" applyFill="1" applyBorder="1" applyAlignment="1">
      <alignment horizontal="center" vertical="center"/>
    </xf>
    <xf numFmtId="9" fontId="7" fillId="5" borderId="4" xfId="2" applyFont="1" applyFill="1" applyBorder="1" applyAlignment="1">
      <alignment horizontal="center" vertical="center"/>
    </xf>
    <xf numFmtId="3" fontId="8" fillId="2" borderId="130" xfId="0" applyNumberFormat="1" applyFont="1" applyFill="1" applyBorder="1" applyAlignment="1">
      <alignment horizontal="center" vertical="center"/>
    </xf>
    <xf numFmtId="0" fontId="8" fillId="2" borderId="130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left" vertical="center"/>
    </xf>
    <xf numFmtId="0" fontId="2" fillId="15" borderId="130" xfId="0" applyFont="1" applyFill="1" applyBorder="1" applyAlignment="1">
      <alignment horizontal="left" vertical="center"/>
    </xf>
    <xf numFmtId="0" fontId="2" fillId="2" borderId="121" xfId="0" applyFont="1" applyFill="1" applyBorder="1" applyAlignment="1">
      <alignment horizontal="left" vertical="center"/>
    </xf>
    <xf numFmtId="0" fontId="2" fillId="2" borderId="117" xfId="0" applyFont="1" applyFill="1" applyBorder="1" applyAlignment="1">
      <alignment horizontal="left" vertical="center"/>
    </xf>
    <xf numFmtId="0" fontId="2" fillId="2" borderId="122" xfId="0" applyFont="1" applyFill="1" applyBorder="1" applyAlignment="1">
      <alignment horizontal="left" vertical="center"/>
    </xf>
    <xf numFmtId="0" fontId="0" fillId="0" borderId="122" xfId="0" applyFont="1" applyFill="1" applyBorder="1" applyAlignment="1">
      <alignment horizontal="left" vertical="center"/>
    </xf>
    <xf numFmtId="0" fontId="0" fillId="0" borderId="133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3" fontId="5" fillId="5" borderId="144" xfId="0" applyNumberFormat="1" applyFont="1" applyFill="1" applyBorder="1" applyAlignment="1">
      <alignment horizontal="center" vertical="center"/>
    </xf>
    <xf numFmtId="0" fontId="5" fillId="5" borderId="145" xfId="0" applyFont="1" applyFill="1" applyBorder="1" applyAlignment="1">
      <alignment horizontal="center" vertical="center"/>
    </xf>
    <xf numFmtId="0" fontId="5" fillId="2" borderId="142" xfId="0" applyFont="1" applyFill="1" applyBorder="1" applyAlignment="1">
      <alignment horizontal="center" vertical="center"/>
    </xf>
    <xf numFmtId="0" fontId="5" fillId="2" borderId="143" xfId="0" applyFont="1" applyFill="1" applyBorder="1" applyAlignment="1">
      <alignment horizontal="center" vertical="center"/>
    </xf>
    <xf numFmtId="0" fontId="24" fillId="6" borderId="143" xfId="0" applyFont="1" applyFill="1" applyBorder="1" applyAlignment="1">
      <alignment horizontal="center" vertical="center" wrapText="1"/>
    </xf>
    <xf numFmtId="0" fontId="24" fillId="6" borderId="146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5" fillId="8" borderId="146" xfId="0" applyFont="1" applyFill="1" applyBorder="1" applyAlignment="1">
      <alignment horizontal="right" vertical="center"/>
    </xf>
    <xf numFmtId="0" fontId="5" fillId="8" borderId="147" xfId="0" applyFont="1" applyFill="1" applyBorder="1" applyAlignment="1">
      <alignment horizontal="right" vertical="center"/>
    </xf>
    <xf numFmtId="0" fontId="5" fillId="8" borderId="143" xfId="0" applyFont="1" applyFill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0" fontId="0" fillId="5" borderId="8" xfId="0" applyFont="1" applyFill="1" applyBorder="1" applyAlignment="1">
      <alignment horizontal="center"/>
    </xf>
    <xf numFmtId="0" fontId="0" fillId="13" borderId="118" xfId="0" applyFont="1" applyFill="1" applyBorder="1" applyAlignment="1">
      <alignment horizontal="center"/>
    </xf>
    <xf numFmtId="0" fontId="0" fillId="13" borderId="116" xfId="0" applyFont="1" applyFill="1" applyBorder="1" applyAlignment="1">
      <alignment horizontal="center"/>
    </xf>
    <xf numFmtId="0" fontId="0" fillId="13" borderId="11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0" fillId="0" borderId="111" xfId="0" applyFont="1" applyFill="1" applyBorder="1" applyAlignment="1">
      <alignment horizontal="center"/>
    </xf>
    <xf numFmtId="0" fontId="2" fillId="2" borderId="111" xfId="0" applyFont="1" applyFill="1" applyBorder="1" applyAlignment="1">
      <alignment horizontal="center" vertical="center"/>
    </xf>
    <xf numFmtId="0" fontId="2" fillId="2" borderId="120" xfId="0" applyFont="1" applyFill="1" applyBorder="1" applyAlignment="1">
      <alignment horizontal="center" vertical="center"/>
    </xf>
    <xf numFmtId="0" fontId="4" fillId="16" borderId="106" xfId="0" applyFont="1" applyFill="1" applyBorder="1" applyAlignment="1">
      <alignment horizontal="left"/>
    </xf>
    <xf numFmtId="0" fontId="4" fillId="16" borderId="107" xfId="0" applyFont="1" applyFill="1" applyBorder="1" applyAlignment="1">
      <alignment horizontal="left"/>
    </xf>
    <xf numFmtId="0" fontId="4" fillId="16" borderId="108" xfId="0" applyFont="1" applyFill="1" applyBorder="1" applyAlignment="1">
      <alignment horizontal="left"/>
    </xf>
    <xf numFmtId="0" fontId="4" fillId="16" borderId="109" xfId="0" applyFont="1" applyFill="1" applyBorder="1" applyAlignment="1">
      <alignment horizontal="left"/>
    </xf>
    <xf numFmtId="0" fontId="2" fillId="2" borderId="110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165" fontId="0" fillId="5" borderId="1" xfId="2" applyNumberFormat="1" applyFont="1" applyFill="1" applyBorder="1" applyAlignment="1">
      <alignment horizontal="center" vertical="center"/>
    </xf>
    <xf numFmtId="165" fontId="0" fillId="13" borderId="122" xfId="2" applyNumberFormat="1" applyFont="1" applyFill="1" applyBorder="1" applyAlignment="1">
      <alignment horizontal="center" vertical="center"/>
    </xf>
    <xf numFmtId="165" fontId="0" fillId="13" borderId="118" xfId="2" applyNumberFormat="1" applyFont="1" applyFill="1" applyBorder="1" applyAlignment="1">
      <alignment horizontal="center" vertical="center"/>
    </xf>
    <xf numFmtId="0" fontId="5" fillId="0" borderId="123" xfId="0" applyFont="1" applyFill="1" applyBorder="1" applyAlignment="1">
      <alignment horizontal="center"/>
    </xf>
    <xf numFmtId="0" fontId="5" fillId="0" borderId="124" xfId="0" applyFont="1" applyFill="1" applyBorder="1" applyAlignment="1">
      <alignment horizontal="center"/>
    </xf>
    <xf numFmtId="0" fontId="5" fillId="0" borderId="125" xfId="0" applyFont="1" applyFill="1" applyBorder="1" applyAlignment="1">
      <alignment horizontal="center"/>
    </xf>
    <xf numFmtId="0" fontId="7" fillId="5" borderId="122" xfId="0" applyFont="1" applyFill="1" applyBorder="1" applyAlignment="1">
      <alignment horizontal="left" vertical="center" wrapText="1"/>
    </xf>
    <xf numFmtId="0" fontId="7" fillId="5" borderId="132" xfId="0" applyFont="1" applyFill="1" applyBorder="1" applyAlignment="1">
      <alignment horizontal="left" vertical="center" wrapText="1"/>
    </xf>
    <xf numFmtId="0" fontId="4" fillId="16" borderId="150" xfId="0" applyFont="1" applyFill="1" applyBorder="1" applyAlignment="1">
      <alignment horizontal="left"/>
    </xf>
    <xf numFmtId="0" fontId="4" fillId="16" borderId="151" xfId="0" applyFont="1" applyFill="1" applyBorder="1" applyAlignment="1">
      <alignment horizontal="left"/>
    </xf>
    <xf numFmtId="0" fontId="4" fillId="16" borderId="152" xfId="0" applyFont="1" applyFill="1" applyBorder="1" applyAlignment="1">
      <alignment horizontal="left"/>
    </xf>
    <xf numFmtId="0" fontId="8" fillId="2" borderId="133" xfId="0" applyFont="1" applyFill="1" applyBorder="1" applyAlignment="1">
      <alignment horizontal="center" vertical="center"/>
    </xf>
    <xf numFmtId="0" fontId="7" fillId="5" borderId="131" xfId="0" applyFont="1" applyFill="1" applyBorder="1" applyAlignment="1">
      <alignment horizontal="center" vertical="center" wrapText="1"/>
    </xf>
    <xf numFmtId="49" fontId="7" fillId="15" borderId="8" xfId="1" quotePrefix="1" applyNumberFormat="1" applyFont="1" applyFill="1" applyBorder="1" applyAlignment="1">
      <alignment horizontal="center" vertical="center" wrapText="1"/>
    </xf>
    <xf numFmtId="49" fontId="7" fillId="15" borderId="8" xfId="1" applyNumberFormat="1" applyFont="1" applyFill="1" applyBorder="1" applyAlignment="1">
      <alignment horizontal="center" vertical="center" wrapText="1"/>
    </xf>
    <xf numFmtId="3" fontId="8" fillId="2" borderId="10" xfId="0" applyNumberFormat="1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49" fontId="7" fillId="15" borderId="140" xfId="1" quotePrefix="1" applyNumberFormat="1" applyFont="1" applyFill="1" applyBorder="1" applyAlignment="1">
      <alignment horizontal="center" vertical="center" wrapText="1"/>
    </xf>
    <xf numFmtId="49" fontId="7" fillId="15" borderId="140" xfId="1" applyNumberFormat="1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7" fillId="5" borderId="86" xfId="0" applyFont="1" applyFill="1" applyBorder="1" applyAlignment="1">
      <alignment horizontal="left" vertical="center" wrapText="1"/>
    </xf>
    <xf numFmtId="3" fontId="8" fillId="2" borderId="86" xfId="0" applyNumberFormat="1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left" vertical="center" wrapText="1"/>
    </xf>
    <xf numFmtId="0" fontId="7" fillId="5" borderId="14" xfId="0" applyFont="1" applyFill="1" applyBorder="1" applyAlignment="1">
      <alignment horizontal="left" vertical="center" wrapText="1"/>
    </xf>
    <xf numFmtId="0" fontId="23" fillId="15" borderId="0" xfId="0" applyFont="1" applyFill="1" applyBorder="1" applyAlignment="1">
      <alignment horizontal="center"/>
    </xf>
    <xf numFmtId="165" fontId="2" fillId="5" borderId="2" xfId="2" applyNumberFormat="1" applyFont="1" applyFill="1" applyBorder="1" applyAlignment="1">
      <alignment horizontal="center"/>
    </xf>
    <xf numFmtId="165" fontId="2" fillId="5" borderId="7" xfId="2" applyNumberFormat="1" applyFont="1" applyFill="1" applyBorder="1" applyAlignment="1">
      <alignment horizontal="center"/>
    </xf>
    <xf numFmtId="165" fontId="2" fillId="5" borderId="8" xfId="2" applyNumberFormat="1" applyFont="1" applyFill="1" applyBorder="1" applyAlignment="1">
      <alignment horizontal="center"/>
    </xf>
    <xf numFmtId="0" fontId="2" fillId="2" borderId="113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/>
    </xf>
    <xf numFmtId="0" fontId="2" fillId="2" borderId="115" xfId="0" applyFont="1" applyFill="1" applyBorder="1" applyAlignment="1">
      <alignment horizontal="left"/>
    </xf>
    <xf numFmtId="0" fontId="2" fillId="2" borderId="116" xfId="0" applyFont="1" applyFill="1" applyBorder="1" applyAlignment="1">
      <alignment horizontal="left"/>
    </xf>
    <xf numFmtId="0" fontId="2" fillId="2" borderId="117" xfId="0" applyFont="1" applyFill="1" applyBorder="1" applyAlignment="1">
      <alignment horizontal="left"/>
    </xf>
    <xf numFmtId="0" fontId="2" fillId="13" borderId="2" xfId="0" applyFont="1" applyFill="1" applyBorder="1" applyAlignment="1">
      <alignment horizontal="center"/>
    </xf>
    <xf numFmtId="0" fontId="2" fillId="13" borderId="7" xfId="0" applyFont="1" applyFill="1" applyBorder="1" applyAlignment="1">
      <alignment horizontal="center"/>
    </xf>
    <xf numFmtId="0" fontId="2" fillId="13" borderId="18" xfId="0" applyFont="1" applyFill="1" applyBorder="1" applyAlignment="1">
      <alignment horizontal="center"/>
    </xf>
    <xf numFmtId="0" fontId="2" fillId="13" borderId="118" xfId="0" applyFont="1" applyFill="1" applyBorder="1" applyAlignment="1">
      <alignment horizontal="center"/>
    </xf>
    <xf numFmtId="0" fontId="2" fillId="13" borderId="116" xfId="0" applyFont="1" applyFill="1" applyBorder="1" applyAlignment="1">
      <alignment horizontal="center"/>
    </xf>
    <xf numFmtId="0" fontId="2" fillId="13" borderId="117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2" fillId="2" borderId="24" xfId="0" applyFont="1" applyFill="1" applyBorder="1" applyAlignment="1">
      <alignment horizontal="left"/>
    </xf>
    <xf numFmtId="0" fontId="2" fillId="2" borderId="114" xfId="0" applyFont="1" applyFill="1" applyBorder="1" applyAlignment="1">
      <alignment horizontal="left"/>
    </xf>
    <xf numFmtId="0" fontId="22" fillId="15" borderId="118" xfId="8" applyFill="1" applyBorder="1" applyAlignment="1" applyProtection="1">
      <alignment horizontal="center"/>
    </xf>
    <xf numFmtId="0" fontId="2" fillId="15" borderId="116" xfId="0" applyFont="1" applyFill="1" applyBorder="1" applyAlignment="1">
      <alignment horizontal="center"/>
    </xf>
    <xf numFmtId="0" fontId="2" fillId="15" borderId="119" xfId="0" applyFont="1" applyFill="1" applyBorder="1" applyAlignment="1">
      <alignment horizontal="center"/>
    </xf>
    <xf numFmtId="0" fontId="2" fillId="2" borderId="11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8" fillId="2" borderId="85" xfId="0" applyFont="1" applyFill="1" applyBorder="1" applyAlignment="1">
      <alignment horizontal="center" vertical="center"/>
    </xf>
    <xf numFmtId="49" fontId="7" fillId="15" borderId="141" xfId="1" applyNumberFormat="1" applyFont="1" applyFill="1" applyBorder="1" applyAlignment="1">
      <alignment horizontal="center" vertical="center" wrapText="1"/>
    </xf>
    <xf numFmtId="49" fontId="7" fillId="15" borderId="13" xfId="1" quotePrefix="1" applyNumberFormat="1" applyFont="1" applyFill="1" applyBorder="1" applyAlignment="1">
      <alignment horizontal="center" vertical="center" wrapText="1"/>
    </xf>
    <xf numFmtId="49" fontId="7" fillId="15" borderId="14" xfId="1" applyNumberFormat="1" applyFont="1" applyFill="1" applyBorder="1" applyAlignment="1">
      <alignment horizontal="center" vertical="center" wrapText="1"/>
    </xf>
    <xf numFmtId="9" fontId="7" fillId="5" borderId="8" xfId="2" applyFont="1" applyFill="1" applyBorder="1" applyAlignment="1">
      <alignment horizontal="center" vertical="center"/>
    </xf>
    <xf numFmtId="9" fontId="0" fillId="11" borderId="68" xfId="0" applyNumberFormat="1" applyFont="1" applyFill="1" applyBorder="1" applyAlignment="1">
      <alignment horizontal="center"/>
    </xf>
    <xf numFmtId="9" fontId="0" fillId="11" borderId="71" xfId="0" applyNumberFormat="1" applyFont="1" applyFill="1" applyBorder="1" applyAlignment="1">
      <alignment horizontal="center"/>
    </xf>
    <xf numFmtId="6" fontId="0" fillId="11" borderId="34" xfId="0" applyNumberFormat="1" applyFont="1" applyFill="1" applyBorder="1" applyAlignment="1">
      <alignment horizontal="center"/>
    </xf>
    <xf numFmtId="6" fontId="0" fillId="11" borderId="39" xfId="0" applyNumberFormat="1" applyFont="1" applyFill="1" applyBorder="1" applyAlignment="1">
      <alignment horizontal="center"/>
    </xf>
    <xf numFmtId="0" fontId="0" fillId="11" borderId="15" xfId="0" applyFont="1" applyFill="1" applyBorder="1" applyAlignment="1">
      <alignment horizontal="center"/>
    </xf>
    <xf numFmtId="0" fontId="0" fillId="11" borderId="27" xfId="0" applyFont="1" applyFill="1" applyBorder="1" applyAlignment="1">
      <alignment horizontal="center"/>
    </xf>
    <xf numFmtId="0" fontId="0" fillId="11" borderId="16" xfId="0" applyFont="1" applyFill="1" applyBorder="1" applyAlignment="1">
      <alignment horizontal="center"/>
    </xf>
    <xf numFmtId="9" fontId="0" fillId="6" borderId="2" xfId="0" applyNumberFormat="1" applyFont="1" applyFill="1" applyBorder="1" applyAlignment="1">
      <alignment horizontal="center"/>
    </xf>
    <xf numFmtId="9" fontId="0" fillId="6" borderId="18" xfId="0" applyNumberFormat="1" applyFont="1" applyFill="1" applyBorder="1" applyAlignment="1">
      <alignment horizontal="center"/>
    </xf>
    <xf numFmtId="9" fontId="0" fillId="6" borderId="15" xfId="0" applyNumberFormat="1" applyFont="1" applyFill="1" applyBorder="1" applyAlignment="1">
      <alignment horizontal="center"/>
    </xf>
    <xf numFmtId="9" fontId="0" fillId="6" borderId="16" xfId="0" applyNumberFormat="1" applyFont="1" applyFill="1" applyBorder="1" applyAlignment="1">
      <alignment horizontal="center"/>
    </xf>
    <xf numFmtId="9" fontId="0" fillId="11" borderId="34" xfId="0" applyNumberFormat="1" applyFont="1" applyFill="1" applyBorder="1" applyAlignment="1">
      <alignment horizontal="center"/>
    </xf>
    <xf numFmtId="9" fontId="0" fillId="11" borderId="39" xfId="0" applyNumberFormat="1" applyFont="1" applyFill="1" applyBorder="1" applyAlignment="1">
      <alignment horizontal="center"/>
    </xf>
    <xf numFmtId="0" fontId="2" fillId="2" borderId="37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1" fillId="3" borderId="61" xfId="6" applyFont="1" applyFill="1" applyBorder="1" applyAlignment="1">
      <alignment horizontal="center"/>
    </xf>
    <xf numFmtId="0" fontId="1" fillId="3" borderId="62" xfId="6" applyFont="1" applyFill="1" applyBorder="1" applyAlignment="1">
      <alignment horizontal="center"/>
    </xf>
    <xf numFmtId="0" fontId="1" fillId="3" borderId="63" xfId="6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3" borderId="25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8" xfId="0" applyFont="1" applyFill="1" applyBorder="1" applyAlignment="1">
      <alignment horizontal="center"/>
    </xf>
    <xf numFmtId="0" fontId="0" fillId="3" borderId="23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60" xfId="0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9" fontId="0" fillId="3" borderId="1" xfId="0" applyNumberFormat="1" applyFont="1" applyFill="1" applyBorder="1" applyAlignment="1">
      <alignment horizontal="center"/>
    </xf>
    <xf numFmtId="9" fontId="0" fillId="3" borderId="57" xfId="0" applyNumberFormat="1" applyFont="1" applyFill="1" applyBorder="1" applyAlignment="1">
      <alignment horizontal="center"/>
    </xf>
    <xf numFmtId="6" fontId="0" fillId="3" borderId="8" xfId="0" applyNumberFormat="1" applyFont="1" applyFill="1" applyBorder="1" applyAlignment="1">
      <alignment horizontal="center"/>
    </xf>
    <xf numFmtId="6" fontId="0" fillId="3" borderId="1" xfId="0" applyNumberFormat="1" applyFont="1" applyFill="1" applyBorder="1" applyAlignment="1">
      <alignment horizontal="center"/>
    </xf>
    <xf numFmtId="6" fontId="0" fillId="3" borderId="57" xfId="0" applyNumberFormat="1" applyFont="1" applyFill="1" applyBorder="1" applyAlignment="1">
      <alignment horizontal="center"/>
    </xf>
    <xf numFmtId="0" fontId="1" fillId="3" borderId="34" xfId="6" applyFont="1" applyFill="1" applyBorder="1" applyAlignment="1">
      <alignment horizontal="center"/>
    </xf>
    <xf numFmtId="0" fontId="1" fillId="3" borderId="36" xfId="6" applyFont="1" applyFill="1" applyBorder="1" applyAlignment="1">
      <alignment horizontal="center"/>
    </xf>
    <xf numFmtId="0" fontId="1" fillId="3" borderId="39" xfId="6" applyFont="1" applyFill="1" applyBorder="1" applyAlignment="1">
      <alignment horizontal="center"/>
    </xf>
    <xf numFmtId="9" fontId="0" fillId="6" borderId="23" xfId="0" applyNumberFormat="1" applyFont="1" applyFill="1" applyBorder="1" applyAlignment="1">
      <alignment horizontal="center"/>
    </xf>
    <xf numFmtId="9" fontId="0" fillId="6" borderId="12" xfId="0" applyNumberFormat="1" applyFont="1" applyFill="1" applyBorder="1" applyAlignment="1">
      <alignment horizontal="center"/>
    </xf>
    <xf numFmtId="0" fontId="2" fillId="4" borderId="65" xfId="0" applyFont="1" applyFill="1" applyBorder="1" applyAlignment="1">
      <alignment horizontal="center"/>
    </xf>
    <xf numFmtId="0" fontId="2" fillId="4" borderId="64" xfId="0" applyFont="1" applyFill="1" applyBorder="1" applyAlignment="1">
      <alignment horizontal="center"/>
    </xf>
    <xf numFmtId="0" fontId="2" fillId="4" borderId="66" xfId="0" applyFont="1" applyFill="1" applyBorder="1" applyAlignment="1">
      <alignment horizontal="center"/>
    </xf>
    <xf numFmtId="0" fontId="1" fillId="3" borderId="8" xfId="6" applyFont="1" applyFill="1" applyBorder="1" applyAlignment="1">
      <alignment horizontal="center"/>
    </xf>
    <xf numFmtId="0" fontId="1" fillId="3" borderId="1" xfId="6" applyFont="1" applyFill="1" applyBorder="1" applyAlignment="1">
      <alignment horizontal="center"/>
    </xf>
    <xf numFmtId="0" fontId="1" fillId="3" borderId="57" xfId="6" applyFont="1" applyFill="1" applyBorder="1" applyAlignment="1">
      <alignment horizontal="center"/>
    </xf>
    <xf numFmtId="6" fontId="0" fillId="3" borderId="2" xfId="0" applyNumberFormat="1" applyFont="1" applyFill="1" applyBorder="1" applyAlignment="1">
      <alignment horizontal="center"/>
    </xf>
    <xf numFmtId="6" fontId="0" fillId="6" borderId="34" xfId="0" applyNumberFormat="1" applyFont="1" applyFill="1" applyBorder="1" applyAlignment="1">
      <alignment horizontal="center"/>
    </xf>
    <xf numFmtId="6" fontId="0" fillId="6" borderId="23" xfId="0" applyNumberFormat="1" applyFont="1" applyFill="1" applyBorder="1" applyAlignment="1">
      <alignment horizontal="center"/>
    </xf>
    <xf numFmtId="0" fontId="0" fillId="6" borderId="2" xfId="0" applyFont="1" applyFill="1" applyBorder="1" applyAlignment="1">
      <alignment horizontal="center"/>
    </xf>
    <xf numFmtId="9" fontId="0" fillId="6" borderId="8" xfId="0" applyNumberFormat="1" applyFont="1" applyFill="1" applyBorder="1" applyAlignment="1">
      <alignment horizontal="center"/>
    </xf>
    <xf numFmtId="9" fontId="0" fillId="6" borderId="17" xfId="0" applyNumberFormat="1" applyFont="1" applyFill="1" applyBorder="1" applyAlignment="1">
      <alignment horizontal="center"/>
    </xf>
    <xf numFmtId="9" fontId="0" fillId="11" borderId="23" xfId="0" applyNumberFormat="1" applyFont="1" applyFill="1" applyBorder="1" applyAlignment="1">
      <alignment horizontal="center"/>
    </xf>
    <xf numFmtId="9" fontId="0" fillId="11" borderId="2" xfId="0" applyNumberFormat="1" applyFont="1" applyFill="1" applyBorder="1" applyAlignment="1">
      <alignment horizontal="center"/>
    </xf>
    <xf numFmtId="9" fontId="0" fillId="11" borderId="8" xfId="0" applyNumberFormat="1" applyFont="1" applyFill="1" applyBorder="1" applyAlignment="1">
      <alignment horizontal="center"/>
    </xf>
    <xf numFmtId="9" fontId="0" fillId="11" borderId="15" xfId="0" applyNumberFormat="1" applyFont="1" applyFill="1" applyBorder="1" applyAlignment="1">
      <alignment horizontal="center"/>
    </xf>
    <xf numFmtId="9" fontId="0" fillId="11" borderId="17" xfId="0" applyNumberFormat="1" applyFont="1" applyFill="1" applyBorder="1" applyAlignment="1">
      <alignment horizontal="center"/>
    </xf>
    <xf numFmtId="0" fontId="3" fillId="3" borderId="2" xfId="6" applyFont="1" applyFill="1" applyBorder="1" applyAlignment="1">
      <alignment horizontal="center"/>
    </xf>
    <xf numFmtId="0" fontId="3" fillId="3" borderId="7" xfId="6" applyFont="1" applyFill="1" applyBorder="1" applyAlignment="1">
      <alignment horizontal="center"/>
    </xf>
    <xf numFmtId="0" fontId="3" fillId="3" borderId="18" xfId="6" applyFont="1" applyFill="1" applyBorder="1" applyAlignment="1">
      <alignment horizontal="center"/>
    </xf>
    <xf numFmtId="0" fontId="1" fillId="3" borderId="53" xfId="6" applyFont="1" applyFill="1" applyBorder="1" applyAlignment="1">
      <alignment horizontal="center"/>
    </xf>
    <xf numFmtId="0" fontId="1" fillId="3" borderId="54" xfId="6" applyFont="1" applyFill="1" applyBorder="1" applyAlignment="1">
      <alignment horizontal="center"/>
    </xf>
    <xf numFmtId="0" fontId="1" fillId="3" borderId="56" xfId="6" applyFont="1" applyFill="1" applyBorder="1" applyAlignment="1">
      <alignment horizontal="center"/>
    </xf>
    <xf numFmtId="0" fontId="0" fillId="6" borderId="15" xfId="0" applyFont="1" applyFill="1" applyBorder="1" applyAlignment="1">
      <alignment horizontal="center"/>
    </xf>
    <xf numFmtId="0" fontId="0" fillId="6" borderId="17" xfId="0" applyFont="1" applyFill="1" applyBorder="1" applyAlignment="1">
      <alignment horizontal="center"/>
    </xf>
    <xf numFmtId="6" fontId="0" fillId="11" borderId="23" xfId="0" applyNumberFormat="1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3" borderId="7" xfId="0" applyFont="1" applyFill="1" applyBorder="1" applyAlignment="1">
      <alignment horizontal="center"/>
    </xf>
    <xf numFmtId="0" fontId="0" fillId="3" borderId="18" xfId="0" applyFont="1" applyFill="1" applyBorder="1" applyAlignment="1">
      <alignment horizontal="center"/>
    </xf>
    <xf numFmtId="0" fontId="0" fillId="3" borderId="15" xfId="0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6" xfId="0" applyFont="1" applyFill="1" applyBorder="1" applyAlignment="1">
      <alignment horizontal="center"/>
    </xf>
    <xf numFmtId="6" fontId="0" fillId="6" borderId="39" xfId="0" applyNumberFormat="1" applyFont="1" applyFill="1" applyBorder="1" applyAlignment="1">
      <alignment horizontal="center"/>
    </xf>
    <xf numFmtId="0" fontId="0" fillId="6" borderId="18" xfId="0" applyFont="1" applyFill="1" applyBorder="1" applyAlignment="1">
      <alignment horizontal="center"/>
    </xf>
    <xf numFmtId="0" fontId="0" fillId="6" borderId="16" xfId="0" applyFont="1" applyFill="1" applyBorder="1" applyAlignment="1">
      <alignment horizontal="center"/>
    </xf>
    <xf numFmtId="0" fontId="0" fillId="6" borderId="37" xfId="0" applyFont="1" applyFill="1" applyBorder="1" applyAlignment="1">
      <alignment horizontal="center"/>
    </xf>
    <xf numFmtId="0" fontId="0" fillId="6" borderId="31" xfId="0" applyFont="1" applyFill="1" applyBorder="1" applyAlignment="1">
      <alignment horizontal="center"/>
    </xf>
    <xf numFmtId="0" fontId="0" fillId="6" borderId="32" xfId="0" applyFont="1" applyFill="1" applyBorder="1" applyAlignment="1">
      <alignment horizontal="center"/>
    </xf>
    <xf numFmtId="0" fontId="0" fillId="11" borderId="37" xfId="0" applyFont="1" applyFill="1" applyBorder="1" applyAlignment="1">
      <alignment horizontal="center"/>
    </xf>
    <xf numFmtId="0" fontId="0" fillId="11" borderId="31" xfId="0" applyFont="1" applyFill="1" applyBorder="1" applyAlignment="1">
      <alignment horizontal="center"/>
    </xf>
    <xf numFmtId="0" fontId="0" fillId="11" borderId="32" xfId="0" applyFont="1" applyFill="1" applyBorder="1" applyAlignment="1">
      <alignment horizontal="center"/>
    </xf>
    <xf numFmtId="0" fontId="0" fillId="11" borderId="28" xfId="0" applyFont="1" applyFill="1" applyBorder="1" applyAlignment="1">
      <alignment horizontal="center"/>
    </xf>
    <xf numFmtId="0" fontId="0" fillId="11" borderId="29" xfId="0" applyFont="1" applyFill="1" applyBorder="1" applyAlignment="1">
      <alignment horizontal="center"/>
    </xf>
    <xf numFmtId="0" fontId="0" fillId="11" borderId="59" xfId="0" applyFont="1" applyFill="1" applyBorder="1" applyAlignment="1">
      <alignment horizontal="center"/>
    </xf>
    <xf numFmtId="0" fontId="3" fillId="3" borderId="8" xfId="6" applyFont="1" applyFill="1" applyBorder="1" applyAlignment="1">
      <alignment horizontal="center"/>
    </xf>
    <xf numFmtId="0" fontId="3" fillId="3" borderId="1" xfId="6" applyFont="1" applyFill="1" applyBorder="1" applyAlignment="1">
      <alignment horizontal="center"/>
    </xf>
    <xf numFmtId="0" fontId="3" fillId="3" borderId="57" xfId="6" applyFont="1" applyFill="1" applyBorder="1" applyAlignment="1">
      <alignment horizontal="center"/>
    </xf>
    <xf numFmtId="0" fontId="0" fillId="6" borderId="28" xfId="0" applyFont="1" applyFill="1" applyBorder="1" applyAlignment="1">
      <alignment horizontal="center"/>
    </xf>
    <xf numFmtId="0" fontId="0" fillId="6" borderId="29" xfId="0" applyFont="1" applyFill="1" applyBorder="1" applyAlignment="1">
      <alignment horizontal="center"/>
    </xf>
    <xf numFmtId="0" fontId="0" fillId="6" borderId="59" xfId="0" applyFont="1" applyFill="1" applyBorder="1" applyAlignment="1">
      <alignment horizontal="center"/>
    </xf>
    <xf numFmtId="0" fontId="1" fillId="3" borderId="23" xfId="6" applyFont="1" applyFill="1" applyBorder="1" applyAlignment="1">
      <alignment horizontal="center"/>
    </xf>
    <xf numFmtId="0" fontId="1" fillId="3" borderId="12" xfId="6" applyFont="1" applyFill="1" applyBorder="1" applyAlignment="1">
      <alignment horizontal="center"/>
    </xf>
    <xf numFmtId="0" fontId="1" fillId="3" borderId="60" xfId="6" applyFont="1" applyFill="1" applyBorder="1" applyAlignment="1">
      <alignment horizontal="center"/>
    </xf>
    <xf numFmtId="0" fontId="0" fillId="6" borderId="25" xfId="0" applyFont="1" applyFill="1" applyBorder="1" applyAlignment="1">
      <alignment horizontal="center"/>
    </xf>
    <xf numFmtId="0" fontId="0" fillId="6" borderId="3" xfId="0" applyFont="1" applyFill="1" applyBorder="1" applyAlignment="1">
      <alignment horizontal="center"/>
    </xf>
    <xf numFmtId="0" fontId="0" fillId="6" borderId="58" xfId="0" applyFont="1" applyFill="1" applyBorder="1" applyAlignment="1">
      <alignment horizontal="center"/>
    </xf>
    <xf numFmtId="6" fontId="0" fillId="11" borderId="12" xfId="0" applyNumberFormat="1" applyFont="1" applyFill="1" applyBorder="1" applyAlignment="1">
      <alignment horizontal="center"/>
    </xf>
    <xf numFmtId="6" fontId="0" fillId="11" borderId="60" xfId="0" applyNumberFormat="1" applyFont="1" applyFill="1" applyBorder="1" applyAlignment="1">
      <alignment horizontal="center"/>
    </xf>
    <xf numFmtId="0" fontId="0" fillId="11" borderId="25" xfId="0" applyFont="1" applyFill="1" applyBorder="1" applyAlignment="1">
      <alignment horizontal="center"/>
    </xf>
    <xf numFmtId="0" fontId="0" fillId="11" borderId="3" xfId="0" applyFont="1" applyFill="1" applyBorder="1" applyAlignment="1">
      <alignment horizontal="center"/>
    </xf>
    <xf numFmtId="0" fontId="0" fillId="11" borderId="58" xfId="0" applyFont="1" applyFill="1" applyBorder="1" applyAlignment="1">
      <alignment horizontal="center"/>
    </xf>
    <xf numFmtId="0" fontId="0" fillId="3" borderId="8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57" xfId="0" applyFont="1" applyFill="1" applyBorder="1" applyAlignment="1">
      <alignment horizontal="center"/>
    </xf>
    <xf numFmtId="6" fontId="0" fillId="6" borderId="12" xfId="0" applyNumberFormat="1" applyFont="1" applyFill="1" applyBorder="1" applyAlignment="1">
      <alignment horizontal="center"/>
    </xf>
    <xf numFmtId="6" fontId="0" fillId="6" borderId="60" xfId="0" applyNumberFormat="1" applyFont="1" applyFill="1" applyBorder="1" applyAlignment="1">
      <alignment horizontal="center"/>
    </xf>
    <xf numFmtId="0" fontId="0" fillId="6" borderId="57" xfId="0" applyFont="1" applyFill="1" applyBorder="1" applyAlignment="1">
      <alignment horizontal="center"/>
    </xf>
    <xf numFmtId="9" fontId="0" fillId="11" borderId="1" xfId="0" applyNumberFormat="1" applyFont="1" applyFill="1" applyBorder="1" applyAlignment="1">
      <alignment horizontal="center"/>
    </xf>
    <xf numFmtId="9" fontId="0" fillId="11" borderId="25" xfId="0" applyNumberFormat="1" applyFont="1" applyFill="1" applyBorder="1" applyAlignment="1">
      <alignment horizontal="center"/>
    </xf>
    <xf numFmtId="9" fontId="0" fillId="11" borderId="3" xfId="0" applyNumberFormat="1" applyFont="1" applyFill="1" applyBorder="1" applyAlignment="1">
      <alignment horizontal="center"/>
    </xf>
    <xf numFmtId="0" fontId="0" fillId="3" borderId="67" xfId="0" applyFont="1" applyFill="1" applyBorder="1" applyAlignment="1">
      <alignment horizontal="center"/>
    </xf>
    <xf numFmtId="0" fontId="0" fillId="3" borderId="72" xfId="0" applyFont="1" applyFill="1" applyBorder="1" applyAlignment="1">
      <alignment horizontal="center"/>
    </xf>
    <xf numFmtId="9" fontId="0" fillId="11" borderId="0" xfId="0" applyNumberFormat="1" applyFont="1" applyFill="1" applyBorder="1" applyAlignment="1">
      <alignment horizontal="center"/>
    </xf>
    <xf numFmtId="9" fontId="0" fillId="11" borderId="45" xfId="0" applyNumberFormat="1" applyFont="1" applyFill="1" applyBorder="1" applyAlignment="1">
      <alignment horizontal="center"/>
    </xf>
    <xf numFmtId="9" fontId="0" fillId="11" borderId="35" xfId="0" applyNumberFormat="1" applyFont="1" applyFill="1" applyBorder="1" applyAlignment="1">
      <alignment horizontal="center"/>
    </xf>
    <xf numFmtId="9" fontId="0" fillId="11" borderId="69" xfId="0" applyNumberFormat="1" applyFont="1" applyFill="1" applyBorder="1" applyAlignment="1">
      <alignment horizontal="center"/>
    </xf>
    <xf numFmtId="9" fontId="0" fillId="6" borderId="0" xfId="0" applyNumberFormat="1" applyFont="1" applyFill="1" applyBorder="1" applyAlignment="1">
      <alignment horizontal="center"/>
    </xf>
    <xf numFmtId="9" fontId="0" fillId="6" borderId="45" xfId="0" applyNumberFormat="1" applyFont="1" applyFill="1" applyBorder="1" applyAlignment="1">
      <alignment horizontal="center"/>
    </xf>
    <xf numFmtId="9" fontId="0" fillId="6" borderId="35" xfId="0" applyNumberFormat="1" applyFont="1" applyFill="1" applyBorder="1" applyAlignment="1">
      <alignment horizontal="center"/>
    </xf>
    <xf numFmtId="9" fontId="0" fillId="6" borderId="69" xfId="0" applyNumberFormat="1" applyFont="1" applyFill="1" applyBorder="1" applyAlignment="1">
      <alignment horizontal="center"/>
    </xf>
    <xf numFmtId="9" fontId="0" fillId="6" borderId="68" xfId="0" applyNumberFormat="1" applyFont="1" applyFill="1" applyBorder="1" applyAlignment="1">
      <alignment horizontal="center"/>
    </xf>
    <xf numFmtId="9" fontId="0" fillId="6" borderId="71" xfId="0" applyNumberFormat="1" applyFont="1" applyFill="1" applyBorder="1" applyAlignment="1">
      <alignment horizontal="center"/>
    </xf>
    <xf numFmtId="9" fontId="0" fillId="11" borderId="40" xfId="0" applyNumberFormat="1" applyFont="1" applyFill="1" applyBorder="1" applyAlignment="1">
      <alignment horizontal="center"/>
    </xf>
    <xf numFmtId="9" fontId="0" fillId="11" borderId="70" xfId="0" applyNumberFormat="1" applyFont="1" applyFill="1" applyBorder="1" applyAlignment="1">
      <alignment horizontal="center"/>
    </xf>
    <xf numFmtId="9" fontId="0" fillId="11" borderId="77" xfId="0" applyNumberFormat="1" applyFont="1" applyFill="1" applyBorder="1" applyAlignment="1">
      <alignment horizontal="center"/>
    </xf>
    <xf numFmtId="9" fontId="0" fillId="11" borderId="78" xfId="0" applyNumberFormat="1" applyFont="1" applyFill="1" applyBorder="1" applyAlignment="1">
      <alignment horizontal="center"/>
    </xf>
    <xf numFmtId="9" fontId="0" fillId="6" borderId="79" xfId="0" applyNumberFormat="1" applyFont="1" applyFill="1" applyBorder="1" applyAlignment="1">
      <alignment horizontal="center"/>
    </xf>
    <xf numFmtId="9" fontId="0" fillId="6" borderId="80" xfId="0" applyNumberFormat="1" applyFont="1" applyFill="1" applyBorder="1" applyAlignment="1">
      <alignment horizontal="center"/>
    </xf>
    <xf numFmtId="9" fontId="0" fillId="6" borderId="81" xfId="0" applyNumberFormat="1" applyFont="1" applyFill="1" applyBorder="1" applyAlignment="1">
      <alignment horizontal="center"/>
    </xf>
    <xf numFmtId="9" fontId="0" fillId="6" borderId="82" xfId="0" applyNumberFormat="1" applyFont="1" applyFill="1" applyBorder="1" applyAlignment="1">
      <alignment horizontal="center"/>
    </xf>
    <xf numFmtId="9" fontId="0" fillId="6" borderId="22" xfId="0" applyNumberFormat="1" applyFont="1" applyFill="1" applyBorder="1" applyAlignment="1">
      <alignment horizontal="center"/>
    </xf>
    <xf numFmtId="9" fontId="0" fillId="6" borderId="33" xfId="0" applyNumberFormat="1" applyFont="1" applyFill="1" applyBorder="1" applyAlignment="1">
      <alignment horizontal="center"/>
    </xf>
    <xf numFmtId="0" fontId="0" fillId="0" borderId="35" xfId="0" applyFont="1" applyFill="1" applyBorder="1" applyAlignment="1">
      <alignment horizontal="center"/>
    </xf>
    <xf numFmtId="0" fontId="0" fillId="0" borderId="69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45" xfId="0" applyFont="1" applyFill="1" applyBorder="1" applyAlignment="1">
      <alignment horizontal="center"/>
    </xf>
    <xf numFmtId="9" fontId="0" fillId="11" borderId="79" xfId="0" applyNumberFormat="1" applyFont="1" applyFill="1" applyBorder="1" applyAlignment="1">
      <alignment horizontal="center"/>
    </xf>
    <xf numFmtId="9" fontId="0" fillId="11" borderId="80" xfId="0" applyNumberFormat="1" applyFont="1" applyFill="1" applyBorder="1" applyAlignment="1">
      <alignment horizontal="center"/>
    </xf>
    <xf numFmtId="9" fontId="0" fillId="11" borderId="81" xfId="0" applyNumberFormat="1" applyFont="1" applyFill="1" applyBorder="1" applyAlignment="1">
      <alignment horizontal="center"/>
    </xf>
    <xf numFmtId="9" fontId="0" fillId="11" borderId="82" xfId="0" applyNumberFormat="1" applyFont="1" applyFill="1" applyBorder="1" applyAlignment="1">
      <alignment horizontal="center"/>
    </xf>
    <xf numFmtId="9" fontId="0" fillId="11" borderId="83" xfId="0" applyNumberFormat="1" applyFont="1" applyFill="1" applyBorder="1" applyAlignment="1">
      <alignment horizontal="center"/>
    </xf>
    <xf numFmtId="9" fontId="0" fillId="11" borderId="84" xfId="0" applyNumberFormat="1" applyFont="1" applyFill="1" applyBorder="1" applyAlignment="1">
      <alignment horizontal="center"/>
    </xf>
    <xf numFmtId="0" fontId="0" fillId="3" borderId="68" xfId="0" applyFont="1" applyFill="1" applyBorder="1" applyAlignment="1">
      <alignment horizontal="center"/>
    </xf>
    <xf numFmtId="0" fontId="0" fillId="3" borderId="71" xfId="0" applyFont="1" applyFill="1" applyBorder="1" applyAlignment="1">
      <alignment horizontal="center"/>
    </xf>
    <xf numFmtId="0" fontId="33" fillId="7" borderId="41" xfId="0" applyFont="1" applyFill="1" applyBorder="1" applyAlignment="1">
      <alignment horizontal="center" vertical="center"/>
    </xf>
    <xf numFmtId="0" fontId="33" fillId="7" borderId="42" xfId="0" applyFont="1" applyFill="1" applyBorder="1" applyAlignment="1">
      <alignment horizontal="center" vertical="center"/>
    </xf>
    <xf numFmtId="0" fontId="33" fillId="7" borderId="43" xfId="0" applyFont="1" applyFill="1" applyBorder="1" applyAlignment="1">
      <alignment horizontal="center" vertical="center"/>
    </xf>
    <xf numFmtId="0" fontId="0" fillId="3" borderId="75" xfId="0" applyFont="1" applyFill="1" applyBorder="1" applyAlignment="1">
      <alignment horizontal="center"/>
    </xf>
    <xf numFmtId="0" fontId="0" fillId="3" borderId="76" xfId="0" applyFont="1" applyFill="1" applyBorder="1" applyAlignment="1">
      <alignment horizontal="center"/>
    </xf>
    <xf numFmtId="0" fontId="1" fillId="3" borderId="35" xfId="6" applyFont="1" applyFill="1" applyBorder="1" applyAlignment="1">
      <alignment horizontal="center"/>
    </xf>
    <xf numFmtId="0" fontId="1" fillId="3" borderId="69" xfId="6" applyFont="1" applyFill="1" applyBorder="1" applyAlignment="1">
      <alignment horizontal="center"/>
    </xf>
    <xf numFmtId="6" fontId="0" fillId="11" borderId="79" xfId="0" applyNumberFormat="1" applyFont="1" applyFill="1" applyBorder="1" applyAlignment="1">
      <alignment horizontal="center"/>
    </xf>
    <xf numFmtId="6" fontId="0" fillId="11" borderId="80" xfId="0" applyNumberFormat="1" applyFont="1" applyFill="1" applyBorder="1" applyAlignment="1">
      <alignment horizontal="center"/>
    </xf>
    <xf numFmtId="6" fontId="0" fillId="11" borderId="68" xfId="0" applyNumberFormat="1" applyFont="1" applyFill="1" applyBorder="1" applyAlignment="1">
      <alignment horizontal="center"/>
    </xf>
    <xf numFmtId="6" fontId="0" fillId="11" borderId="71" xfId="0" applyNumberFormat="1" applyFont="1" applyFill="1" applyBorder="1" applyAlignment="1">
      <alignment horizontal="center"/>
    </xf>
    <xf numFmtId="0" fontId="0" fillId="11" borderId="67" xfId="0" applyFont="1" applyFill="1" applyBorder="1" applyAlignment="1">
      <alignment horizontal="center"/>
    </xf>
    <xf numFmtId="0" fontId="0" fillId="11" borderId="72" xfId="0" applyFont="1" applyFill="1" applyBorder="1" applyAlignment="1">
      <alignment horizontal="center"/>
    </xf>
    <xf numFmtId="0" fontId="0" fillId="6" borderId="40" xfId="0" applyFont="1" applyFill="1" applyBorder="1" applyAlignment="1">
      <alignment horizontal="center"/>
    </xf>
    <xf numFmtId="0" fontId="0" fillId="6" borderId="70" xfId="0" applyFont="1" applyFill="1" applyBorder="1" applyAlignment="1">
      <alignment horizontal="center"/>
    </xf>
    <xf numFmtId="0" fontId="0" fillId="11" borderId="40" xfId="0" applyFont="1" applyFill="1" applyBorder="1" applyAlignment="1">
      <alignment horizontal="center"/>
    </xf>
    <xf numFmtId="0" fontId="0" fillId="11" borderId="70" xfId="0" applyFont="1" applyFill="1" applyBorder="1" applyAlignment="1">
      <alignment horizontal="center"/>
    </xf>
    <xf numFmtId="6" fontId="0" fillId="6" borderId="68" xfId="0" applyNumberFormat="1" applyFont="1" applyFill="1" applyBorder="1" applyAlignment="1">
      <alignment horizontal="center"/>
    </xf>
    <xf numFmtId="6" fontId="0" fillId="6" borderId="71" xfId="0" applyNumberFormat="1" applyFont="1" applyFill="1" applyBorder="1" applyAlignment="1">
      <alignment horizontal="center"/>
    </xf>
    <xf numFmtId="0" fontId="0" fillId="6" borderId="35" xfId="0" applyFont="1" applyFill="1" applyBorder="1" applyAlignment="1">
      <alignment horizontal="center"/>
    </xf>
    <xf numFmtId="0" fontId="0" fillId="6" borderId="69" xfId="0" applyFont="1" applyFill="1" applyBorder="1" applyAlignment="1">
      <alignment horizontal="center"/>
    </xf>
    <xf numFmtId="0" fontId="0" fillId="6" borderId="67" xfId="0" applyFont="1" applyFill="1" applyBorder="1" applyAlignment="1">
      <alignment horizontal="center"/>
    </xf>
    <xf numFmtId="0" fontId="0" fillId="6" borderId="72" xfId="0" applyFont="1" applyFill="1" applyBorder="1" applyAlignment="1">
      <alignment horizontal="center"/>
    </xf>
    <xf numFmtId="0" fontId="1" fillId="3" borderId="68" xfId="6" applyFont="1" applyFill="1" applyBorder="1" applyAlignment="1">
      <alignment horizontal="center"/>
    </xf>
    <xf numFmtId="0" fontId="1" fillId="3" borderId="71" xfId="6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57" xfId="0" applyFont="1" applyFill="1" applyBorder="1" applyAlignment="1">
      <alignment horizontal="center"/>
    </xf>
    <xf numFmtId="9" fontId="0" fillId="11" borderId="29" xfId="0" applyNumberFormat="1" applyFont="1" applyFill="1" applyBorder="1" applyAlignment="1">
      <alignment horizontal="center"/>
    </xf>
    <xf numFmtId="9" fontId="0" fillId="11" borderId="59" xfId="0" applyNumberFormat="1" applyFont="1" applyFill="1" applyBorder="1" applyAlignment="1">
      <alignment horizontal="center"/>
    </xf>
    <xf numFmtId="9" fontId="0" fillId="6" borderId="60" xfId="0" applyNumberFormat="1" applyFont="1" applyFill="1" applyBorder="1" applyAlignment="1">
      <alignment horizontal="center"/>
    </xf>
    <xf numFmtId="9" fontId="0" fillId="6" borderId="1" xfId="0" applyNumberFormat="1" applyFont="1" applyFill="1" applyBorder="1" applyAlignment="1">
      <alignment horizontal="center"/>
    </xf>
    <xf numFmtId="9" fontId="0" fillId="6" borderId="57" xfId="0" applyNumberFormat="1" applyFont="1" applyFill="1" applyBorder="1" applyAlignment="1">
      <alignment horizontal="center"/>
    </xf>
    <xf numFmtId="9" fontId="0" fillId="6" borderId="3" xfId="0" applyNumberFormat="1" applyFont="1" applyFill="1" applyBorder="1" applyAlignment="1">
      <alignment horizontal="center"/>
    </xf>
    <xf numFmtId="9" fontId="0" fillId="6" borderId="58" xfId="0" applyNumberFormat="1" applyFont="1" applyFill="1" applyBorder="1" applyAlignment="1">
      <alignment horizontal="center"/>
    </xf>
    <xf numFmtId="9" fontId="0" fillId="11" borderId="12" xfId="0" applyNumberFormat="1" applyFont="1" applyFill="1" applyBorder="1" applyAlignment="1">
      <alignment horizontal="center"/>
    </xf>
    <xf numFmtId="9" fontId="0" fillId="11" borderId="60" xfId="0" applyNumberFormat="1" applyFont="1" applyFill="1" applyBorder="1" applyAlignment="1">
      <alignment horizontal="center"/>
    </xf>
    <xf numFmtId="9" fontId="0" fillId="11" borderId="57" xfId="0" applyNumberFormat="1" applyFont="1" applyFill="1" applyBorder="1" applyAlignment="1">
      <alignment horizontal="center"/>
    </xf>
    <xf numFmtId="9" fontId="0" fillId="11" borderId="58" xfId="0" applyNumberFormat="1" applyFont="1" applyFill="1" applyBorder="1" applyAlignment="1">
      <alignment horizontal="center"/>
    </xf>
    <xf numFmtId="0" fontId="1" fillId="3" borderId="2" xfId="6" applyFont="1" applyFill="1" applyBorder="1" applyAlignment="1">
      <alignment horizontal="center"/>
    </xf>
    <xf numFmtId="0" fontId="1" fillId="3" borderId="7" xfId="6" applyFont="1" applyFill="1" applyBorder="1" applyAlignment="1">
      <alignment horizontal="center"/>
    </xf>
    <xf numFmtId="0" fontId="1" fillId="3" borderId="18" xfId="6" applyFont="1" applyFill="1" applyBorder="1" applyAlignment="1">
      <alignment horizontal="center"/>
    </xf>
    <xf numFmtId="9" fontId="0" fillId="11" borderId="37" xfId="0" applyNumberFormat="1" applyFont="1" applyFill="1" applyBorder="1" applyAlignment="1">
      <alignment horizontal="center"/>
    </xf>
    <xf numFmtId="9" fontId="0" fillId="11" borderId="95" xfId="0" applyNumberFormat="1" applyFont="1" applyFill="1" applyBorder="1" applyAlignment="1">
      <alignment horizontal="center"/>
    </xf>
    <xf numFmtId="9" fontId="0" fillId="6" borderId="34" xfId="0" applyNumberFormat="1" applyFont="1" applyFill="1" applyBorder="1" applyAlignment="1">
      <alignment horizontal="center"/>
    </xf>
    <xf numFmtId="0" fontId="0" fillId="3" borderId="34" xfId="0" applyFont="1" applyFill="1" applyBorder="1" applyAlignment="1">
      <alignment horizontal="center"/>
    </xf>
    <xf numFmtId="0" fontId="0" fillId="3" borderId="36" xfId="0" applyFont="1" applyFill="1" applyBorder="1" applyAlignment="1">
      <alignment horizontal="center"/>
    </xf>
    <xf numFmtId="0" fontId="0" fillId="3" borderId="39" xfId="0" applyFont="1" applyFill="1" applyBorder="1" applyAlignment="1">
      <alignment horizontal="center"/>
    </xf>
    <xf numFmtId="9" fontId="0" fillId="3" borderId="2" xfId="0" applyNumberFormat="1" applyFont="1" applyFill="1" applyBorder="1" applyAlignment="1">
      <alignment horizontal="center"/>
    </xf>
    <xf numFmtId="9" fontId="0" fillId="3" borderId="7" xfId="0" applyNumberFormat="1" applyFont="1" applyFill="1" applyBorder="1" applyAlignment="1">
      <alignment horizontal="center"/>
    </xf>
    <xf numFmtId="9" fontId="0" fillId="3" borderId="18" xfId="0" applyNumberFormat="1" applyFont="1" applyFill="1" applyBorder="1" applyAlignment="1">
      <alignment horizontal="center"/>
    </xf>
    <xf numFmtId="6" fontId="0" fillId="3" borderId="18" xfId="0" applyNumberFormat="1" applyFont="1" applyFill="1" applyBorder="1" applyAlignment="1">
      <alignment horizontal="center"/>
    </xf>
    <xf numFmtId="9" fontId="0" fillId="11" borderId="18" xfId="0" applyNumberFormat="1" applyFont="1" applyFill="1" applyBorder="1" applyAlignment="1">
      <alignment horizontal="center"/>
    </xf>
    <xf numFmtId="9" fontId="0" fillId="6" borderId="25" xfId="0" applyNumberFormat="1" applyFont="1" applyFill="1" applyBorder="1" applyAlignment="1">
      <alignment horizontal="center"/>
    </xf>
    <xf numFmtId="0" fontId="34" fillId="10" borderId="41" xfId="0" applyFont="1" applyFill="1" applyBorder="1" applyAlignment="1">
      <alignment horizontal="center" vertical="center"/>
    </xf>
    <xf numFmtId="0" fontId="34" fillId="10" borderId="42" xfId="0" applyFont="1" applyFill="1" applyBorder="1" applyAlignment="1">
      <alignment horizontal="center" vertical="center"/>
    </xf>
    <xf numFmtId="0" fontId="34" fillId="10" borderId="43" xfId="0" applyFont="1" applyFill="1" applyBorder="1" applyAlignment="1">
      <alignment horizontal="center" vertical="center"/>
    </xf>
    <xf numFmtId="0" fontId="2" fillId="4" borderId="55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/>
    </xf>
    <xf numFmtId="9" fontId="0" fillId="11" borderId="16" xfId="0" applyNumberFormat="1" applyFont="1" applyFill="1" applyBorder="1" applyAlignment="1">
      <alignment horizontal="center"/>
    </xf>
    <xf numFmtId="0" fontId="0" fillId="0" borderId="15" xfId="0" applyFont="1" applyFill="1" applyBorder="1" applyAlignment="1">
      <alignment horizontal="center"/>
    </xf>
    <xf numFmtId="0" fontId="0" fillId="0" borderId="27" xfId="0" applyFont="1" applyFill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9" fontId="0" fillId="11" borderId="32" xfId="0" applyNumberFormat="1" applyFont="1" applyFill="1" applyBorder="1" applyAlignment="1">
      <alignment horizontal="center"/>
    </xf>
    <xf numFmtId="9" fontId="0" fillId="6" borderId="39" xfId="0" applyNumberFormat="1" applyFont="1" applyFill="1" applyBorder="1" applyAlignment="1">
      <alignment horizontal="center"/>
    </xf>
    <xf numFmtId="0" fontId="2" fillId="4" borderId="37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2" fillId="4" borderId="32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center"/>
    </xf>
    <xf numFmtId="0" fontId="4" fillId="16" borderId="97" xfId="0" applyFont="1" applyFill="1" applyBorder="1" applyAlignment="1">
      <alignment horizontal="left"/>
    </xf>
    <xf numFmtId="0" fontId="4" fillId="16" borderId="99" xfId="0" applyFont="1" applyFill="1" applyBorder="1" applyAlignment="1">
      <alignment horizontal="left"/>
    </xf>
    <xf numFmtId="0" fontId="3" fillId="3" borderId="35" xfId="6" applyFont="1" applyFill="1" applyBorder="1" applyAlignment="1">
      <alignment horizontal="center"/>
    </xf>
    <xf numFmtId="0" fontId="3" fillId="3" borderId="69" xfId="6" applyFont="1" applyFill="1" applyBorder="1" applyAlignment="1">
      <alignment horizontal="center"/>
    </xf>
    <xf numFmtId="0" fontId="0" fillId="3" borderId="73" xfId="6" applyFont="1" applyFill="1" applyBorder="1" applyAlignment="1">
      <alignment horizontal="center"/>
    </xf>
    <xf numFmtId="0" fontId="1" fillId="3" borderId="73" xfId="6" applyFont="1" applyFill="1" applyBorder="1" applyAlignment="1">
      <alignment horizontal="center"/>
    </xf>
    <xf numFmtId="0" fontId="1" fillId="3" borderId="74" xfId="6" applyFont="1" applyFill="1" applyBorder="1" applyAlignment="1">
      <alignment horizontal="center"/>
    </xf>
    <xf numFmtId="9" fontId="0" fillId="3" borderId="35" xfId="0" applyNumberFormat="1" applyFont="1" applyFill="1" applyBorder="1" applyAlignment="1">
      <alignment horizontal="center"/>
    </xf>
    <xf numFmtId="9" fontId="0" fillId="3" borderId="69" xfId="0" applyNumberFormat="1" applyFont="1" applyFill="1" applyBorder="1" applyAlignment="1">
      <alignment horizontal="center"/>
    </xf>
    <xf numFmtId="6" fontId="0" fillId="3" borderId="81" xfId="0" applyNumberFormat="1" applyFont="1" applyFill="1" applyBorder="1" applyAlignment="1">
      <alignment horizontal="center"/>
    </xf>
    <xf numFmtId="6" fontId="0" fillId="3" borderId="82" xfId="0" applyNumberFormat="1" applyFont="1" applyFill="1" applyBorder="1" applyAlignment="1">
      <alignment horizontal="center"/>
    </xf>
    <xf numFmtId="6" fontId="0" fillId="3" borderId="35" xfId="0" applyNumberFormat="1" applyFont="1" applyFill="1" applyBorder="1" applyAlignment="1">
      <alignment horizontal="center"/>
    </xf>
    <xf numFmtId="6" fontId="0" fillId="3" borderId="69" xfId="0" applyNumberFormat="1" applyFont="1" applyFill="1" applyBorder="1" applyAlignment="1">
      <alignment horizontal="center"/>
    </xf>
    <xf numFmtId="0" fontId="0" fillId="3" borderId="35" xfId="0" applyFont="1" applyFill="1" applyBorder="1" applyAlignment="1">
      <alignment horizontal="center"/>
    </xf>
    <xf numFmtId="0" fontId="0" fillId="3" borderId="69" xfId="0" applyFont="1" applyFill="1" applyBorder="1" applyAlignment="1">
      <alignment horizontal="center"/>
    </xf>
    <xf numFmtId="9" fontId="0" fillId="11" borderId="28" xfId="0" applyNumberFormat="1" applyFont="1" applyFill="1" applyBorder="1" applyAlignment="1">
      <alignment horizontal="center"/>
    </xf>
    <xf numFmtId="0" fontId="4" fillId="16" borderId="162" xfId="4" applyFont="1" applyFill="1" applyBorder="1" applyAlignment="1">
      <alignment horizontal="left" vertical="center"/>
    </xf>
    <xf numFmtId="0" fontId="4" fillId="16" borderId="163" xfId="4" applyFont="1" applyFill="1" applyBorder="1" applyAlignment="1">
      <alignment horizontal="left" vertical="center"/>
    </xf>
    <xf numFmtId="0" fontId="4" fillId="16" borderId="164" xfId="4" applyFont="1" applyFill="1" applyBorder="1" applyAlignment="1">
      <alignment horizontal="left" vertical="center"/>
    </xf>
    <xf numFmtId="0" fontId="11" fillId="2" borderId="174" xfId="4" applyFont="1" applyFill="1" applyBorder="1" applyAlignment="1">
      <alignment horizontal="right" shrinkToFit="1"/>
    </xf>
    <xf numFmtId="0" fontId="11" fillId="2" borderId="91" xfId="4" applyFont="1" applyFill="1" applyBorder="1" applyAlignment="1">
      <alignment horizontal="right" shrinkToFit="1"/>
    </xf>
    <xf numFmtId="0" fontId="39" fillId="5" borderId="90" xfId="0" applyFont="1" applyFill="1" applyBorder="1" applyAlignment="1">
      <alignment horizontal="left" vertical="center"/>
    </xf>
    <xf numFmtId="0" fontId="39" fillId="5" borderId="175" xfId="0" applyFont="1" applyFill="1" applyBorder="1" applyAlignment="1">
      <alignment horizontal="left" vertical="center"/>
    </xf>
    <xf numFmtId="3" fontId="8" fillId="2" borderId="166" xfId="0" applyNumberFormat="1" applyFont="1" applyFill="1" applyBorder="1" applyAlignment="1">
      <alignment horizontal="center" vertical="center"/>
    </xf>
    <xf numFmtId="3" fontId="8" fillId="2" borderId="168" xfId="0" applyNumberFormat="1" applyFont="1" applyFill="1" applyBorder="1" applyAlignment="1">
      <alignment horizontal="center" vertical="center"/>
    </xf>
    <xf numFmtId="3" fontId="8" fillId="2" borderId="170" xfId="0" applyNumberFormat="1" applyFont="1" applyFill="1" applyBorder="1" applyAlignment="1">
      <alignment horizontal="center" vertical="center"/>
    </xf>
    <xf numFmtId="3" fontId="8" fillId="2" borderId="173" xfId="0" applyNumberFormat="1" applyFont="1" applyFill="1" applyBorder="1" applyAlignment="1">
      <alignment horizontal="center" vertical="center"/>
    </xf>
    <xf numFmtId="164" fontId="8" fillId="0" borderId="165" xfId="0" applyNumberFormat="1" applyFont="1" applyFill="1" applyBorder="1" applyAlignment="1">
      <alignment horizontal="center" vertical="center"/>
    </xf>
    <xf numFmtId="164" fontId="8" fillId="0" borderId="167" xfId="0" applyNumberFormat="1" applyFont="1" applyFill="1" applyBorder="1" applyAlignment="1">
      <alignment horizontal="center" vertical="center"/>
    </xf>
    <xf numFmtId="164" fontId="8" fillId="0" borderId="169" xfId="0" applyNumberFormat="1" applyFont="1" applyFill="1" applyBorder="1" applyAlignment="1">
      <alignment horizontal="center" vertical="center"/>
    </xf>
    <xf numFmtId="164" fontId="8" fillId="0" borderId="171" xfId="0" applyNumberFormat="1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/>
    </xf>
  </cellXfs>
  <cellStyles count="15">
    <cellStyle name="Comma" xfId="1" builtinId="3"/>
    <cellStyle name="Comma 2" xfId="9"/>
    <cellStyle name="Currency 2" xfId="3"/>
    <cellStyle name="Followed Hyperlink" xfId="13" builtinId="9" hidden="1"/>
    <cellStyle name="Followed Hyperlink" xfId="14" builtinId="9" hidden="1"/>
    <cellStyle name="Hyperlink" xfId="8" builtinId="8"/>
    <cellStyle name="Normal" xfId="0" builtinId="0"/>
    <cellStyle name="Normal 2" xfId="4"/>
    <cellStyle name="Normal 2 3" xfId="11"/>
    <cellStyle name="Normal 26" xfId="5"/>
    <cellStyle name="Normal 3" xfId="7"/>
    <cellStyle name="Normal 6" xfId="6"/>
    <cellStyle name="Percent" xfId="2" builtinId="5"/>
    <cellStyle name="Percent 2" xfId="10"/>
    <cellStyle name="Percent 2 2" xfId="12"/>
  </cellStyles>
  <dxfs count="41">
    <dxf>
      <fill>
        <patternFill>
          <bgColor theme="3" tint="0.7999816888943144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</dxfs>
  <tableStyles count="0" defaultTableStyle="TableStyleMedium2" defaultPivotStyle="PivotStyleLight16"/>
  <colors>
    <mruColors>
      <color rgb="FFD5D4D9"/>
      <color rgb="FF374049"/>
      <color rgb="FF00C9E7"/>
      <color rgb="FFEEECE1"/>
      <color rgb="FFC5D9F1"/>
      <color rgb="FFD5E1EF"/>
      <color rgb="FFDFDCC7"/>
      <color rgb="FFBFBFBF"/>
      <color rgb="FF366092"/>
      <color rgb="FF8CAD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externalLink" Target="externalLinks/externalLink3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~%20MASTER/1%20-%20SOLD%20Prep%20Files/~%20WORKING%20FOLDERS/ProCure%20Life%20Sciences%20Inc/080117/Quote/Proposal%20Support/UW%2051+%20Rating%20tool%20ver%2064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laborate.wellpoint.com/Documents%20and%20Settings/ab81201/My%20Documents/new%20quotes/Bank%20of%20KY/2014-01/UW%20LG%20rating%20tool%20ver%2035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asdpapnas001a/Dept/~%20MASTER/1%20-%20SOLD%20Prep%20Files/~%20WORKING%20FOLDERS/ProCure%20Life%20Sciences%20Inc/080117/Quote/Proposal%20Support/UW%2051+%20Rating%20tool%20ver%2064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ensusSummary"/>
      <sheetName val="ss"/>
      <sheetName val="Documentation"/>
      <sheetName val="log"/>
      <sheetName val="Scrub"/>
      <sheetName val="Census data"/>
      <sheetName val="UW LG Rating"/>
      <sheetName val="Experience"/>
      <sheetName val="Create PDF"/>
      <sheetName val="Dental Proposal"/>
      <sheetName val="Benefit Summary"/>
      <sheetName val="Standard Alternatives"/>
      <sheetName val="CO Renewal Letter"/>
      <sheetName val="Experience Rating Detail"/>
      <sheetName val="Data"/>
      <sheetName val="Calculation"/>
      <sheetName val="Internal Report"/>
      <sheetName val="Retention"/>
      <sheetName val="Marketing Page"/>
      <sheetName val="To do list"/>
      <sheetName val="by State ZIP3"/>
      <sheetName val="by State ZIP3_statedep"/>
      <sheetName val="Table6 XPO"/>
      <sheetName val="WaitingPer BenCat"/>
      <sheetName val="Coinsurance"/>
      <sheetName val="Edits"/>
      <sheetName val="NY Service Area"/>
      <sheetName val="by State"/>
      <sheetName val="SIC code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Empire Logo Criter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Y2">
            <v>8</v>
          </cell>
          <cell r="AU2">
            <v>2</v>
          </cell>
          <cell r="BE2">
            <v>1</v>
          </cell>
          <cell r="BG2">
            <v>2</v>
          </cell>
          <cell r="CO2">
            <v>6</v>
          </cell>
          <cell r="CZ2">
            <v>1</v>
          </cell>
          <cell r="DF2">
            <v>2</v>
          </cell>
          <cell r="DO2">
            <v>3</v>
          </cell>
          <cell r="DV2">
            <v>1</v>
          </cell>
          <cell r="EP2">
            <v>2</v>
          </cell>
          <cell r="FE2">
            <v>2</v>
          </cell>
          <cell r="FJ2">
            <v>1</v>
          </cell>
          <cell r="FX2">
            <v>1</v>
          </cell>
          <cell r="HW2">
            <v>1</v>
          </cell>
          <cell r="HZ2">
            <v>2</v>
          </cell>
          <cell r="IF2">
            <v>5</v>
          </cell>
          <cell r="IM2">
            <v>1</v>
          </cell>
          <cell r="IT2">
            <v>1</v>
          </cell>
          <cell r="IX2">
            <v>1</v>
          </cell>
          <cell r="JE2">
            <v>2</v>
          </cell>
          <cell r="JS2">
            <v>2</v>
          </cell>
          <cell r="JW2">
            <v>2</v>
          </cell>
          <cell r="KA2">
            <v>2</v>
          </cell>
          <cell r="KH2">
            <v>1</v>
          </cell>
          <cell r="KS2">
            <v>1</v>
          </cell>
        </row>
        <row r="3">
          <cell r="DY3">
            <v>1</v>
          </cell>
          <cell r="EG3">
            <v>3</v>
          </cell>
          <cell r="EL3">
            <v>9</v>
          </cell>
          <cell r="FM3">
            <v>1</v>
          </cell>
          <cell r="FT3">
            <v>1</v>
          </cell>
          <cell r="GN3">
            <v>10</v>
          </cell>
          <cell r="GR3">
            <v>3</v>
          </cell>
          <cell r="HI3">
            <v>7</v>
          </cell>
          <cell r="LN3" t="str">
            <v>SpecialDiscountRange_CA</v>
          </cell>
        </row>
        <row r="4">
          <cell r="DY4">
            <v>1</v>
          </cell>
          <cell r="EG4">
            <v>3</v>
          </cell>
          <cell r="EL4">
            <v>3</v>
          </cell>
          <cell r="FT4">
            <v>1</v>
          </cell>
          <cell r="GN4">
            <v>1</v>
          </cell>
          <cell r="GR4">
            <v>3</v>
          </cell>
          <cell r="HI4">
            <v>7</v>
          </cell>
        </row>
        <row r="6">
          <cell r="EG6">
            <v>3</v>
          </cell>
          <cell r="EL6">
            <v>9</v>
          </cell>
          <cell r="FM6">
            <v>1</v>
          </cell>
        </row>
        <row r="7">
          <cell r="EG7">
            <v>3</v>
          </cell>
          <cell r="EL7">
            <v>3</v>
          </cell>
        </row>
        <row r="9">
          <cell r="EG9">
            <v>3</v>
          </cell>
          <cell r="EL9">
            <v>9</v>
          </cell>
          <cell r="FM9">
            <v>1</v>
          </cell>
        </row>
        <row r="10">
          <cell r="EG10">
            <v>3</v>
          </cell>
          <cell r="EL10">
            <v>3</v>
          </cell>
        </row>
        <row r="12">
          <cell r="EG12">
            <v>3</v>
          </cell>
          <cell r="FM12">
            <v>1</v>
          </cell>
        </row>
        <row r="13">
          <cell r="EG13">
            <v>3</v>
          </cell>
        </row>
        <row r="21">
          <cell r="AU21" t="str">
            <v>Please Select One</v>
          </cell>
          <cell r="BG21" t="str">
            <v>Please Select One</v>
          </cell>
          <cell r="CO21" t="str">
            <v>Please Select One</v>
          </cell>
          <cell r="DH21" t="str">
            <v>Please Select One</v>
          </cell>
          <cell r="DO21" t="str">
            <v>Please Select One</v>
          </cell>
          <cell r="DT21" t="str">
            <v>Calendar Year</v>
          </cell>
          <cell r="DV21" t="str">
            <v>Classic Dental Plan - Passive Design</v>
          </cell>
          <cell r="DZ21" t="str">
            <v>100%</v>
          </cell>
          <cell r="EP21" t="str">
            <v>Please Select One</v>
          </cell>
          <cell r="FE21" t="str">
            <v>Please Select One</v>
          </cell>
          <cell r="FM21" t="str">
            <v>N/A</v>
          </cell>
          <cell r="FU21" t="str">
            <v>$0</v>
          </cell>
          <cell r="GO21" t="str">
            <v>Please Select One</v>
          </cell>
          <cell r="GS21" t="str">
            <v>Please Select One</v>
          </cell>
          <cell r="HF21" t="str">
            <v>Yes</v>
          </cell>
          <cell r="HQ21" t="str">
            <v>Please Select One</v>
          </cell>
          <cell r="HZ21" t="str">
            <v>Please Select One</v>
          </cell>
          <cell r="IF21" t="str">
            <v>Please Select One</v>
          </cell>
          <cell r="IT21" t="str">
            <v>Standard - Covered as Diagnostic &amp; Preventive</v>
          </cell>
          <cell r="IX21" t="str">
            <v>Standard - Coverage Every 5 Years</v>
          </cell>
          <cell r="JS21" t="str">
            <v>Standard - Covered as Composites</v>
          </cell>
          <cell r="JW21" t="str">
            <v>Standard - Covered</v>
          </cell>
          <cell r="KA21" t="str">
            <v>Standard - Covered</v>
          </cell>
          <cell r="KH21" t="str">
            <v>Standard - Covered</v>
          </cell>
        </row>
        <row r="22">
          <cell r="AU22" t="str">
            <v>With Prior Coverage</v>
          </cell>
          <cell r="BG22" t="str">
            <v>N/A</v>
          </cell>
          <cell r="CO22" t="str">
            <v>&lt; 60% of Net Eligibles (voluntary)</v>
          </cell>
          <cell r="DH22" t="str">
            <v>12 Months</v>
          </cell>
          <cell r="DO22" t="str">
            <v>Prime</v>
          </cell>
          <cell r="DT22" t="str">
            <v>Contract Year</v>
          </cell>
          <cell r="DV22" t="str">
            <v>Classic Dental Plan - Active Design</v>
          </cell>
          <cell r="DZ22" t="str">
            <v>95%</v>
          </cell>
          <cell r="EP22" t="str">
            <v>No Waiting Period</v>
          </cell>
          <cell r="FE22" t="str">
            <v>None</v>
          </cell>
          <cell r="FM22" t="str">
            <v>Basic</v>
          </cell>
          <cell r="GO22" t="str">
            <v>$0</v>
          </cell>
          <cell r="GS22" t="str">
            <v>2X Individual</v>
          </cell>
          <cell r="HF22" t="str">
            <v>No</v>
          </cell>
          <cell r="HQ22" t="str">
            <v>$500</v>
          </cell>
          <cell r="HZ22" t="str">
            <v>No</v>
          </cell>
          <cell r="IF22" t="str">
            <v>50th percentile</v>
          </cell>
          <cell r="IT22" t="str">
            <v>Covered as Basic Services</v>
          </cell>
          <cell r="IX22" t="str">
            <v>Coverage Every 3 Years</v>
          </cell>
          <cell r="JS22" t="str">
            <v>Alternated to Amalgam Benefit</v>
          </cell>
          <cell r="JW22" t="str">
            <v>Not Covered</v>
          </cell>
          <cell r="KA22" t="str">
            <v>Not Covered</v>
          </cell>
          <cell r="KH22" t="str">
            <v>Not Covered</v>
          </cell>
        </row>
        <row r="23">
          <cell r="AU23" t="str">
            <v>Without Prior Coverage</v>
          </cell>
          <cell r="BG23" t="str">
            <v>Anthem Health Marketplace (Bloom)</v>
          </cell>
          <cell r="CO23" t="str">
            <v>60% of Net Eligibles</v>
          </cell>
          <cell r="DH23" t="str">
            <v>13 Months</v>
          </cell>
          <cell r="DO23" t="str">
            <v>Complete</v>
          </cell>
          <cell r="DV23" t="str">
            <v>Voluntary Dental Plan - Passive Design</v>
          </cell>
          <cell r="DZ23" t="str">
            <v>90%</v>
          </cell>
          <cell r="EP23" t="str">
            <v>0 Month Basic/6 Month Major</v>
          </cell>
          <cell r="FE23" t="str">
            <v>Dependent Children Only</v>
          </cell>
          <cell r="FM23" t="str">
            <v>Major</v>
          </cell>
          <cell r="GO23" t="str">
            <v>$15</v>
          </cell>
          <cell r="GS23" t="str">
            <v>3X Individual</v>
          </cell>
          <cell r="HQ23" t="str">
            <v>$750</v>
          </cell>
          <cell r="HZ23" t="str">
            <v>Yes</v>
          </cell>
          <cell r="IF23" t="str">
            <v>60th percentile</v>
          </cell>
        </row>
        <row r="24">
          <cell r="BG24" t="str">
            <v>Mercer</v>
          </cell>
          <cell r="CO24" t="str">
            <v>65% of Net Eligibles</v>
          </cell>
          <cell r="CZ24" t="str">
            <v>N/A</v>
          </cell>
          <cell r="DH24" t="str">
            <v>14 Months</v>
          </cell>
          <cell r="DV24" t="str">
            <v>Voluntary Dental Plan - Active Design</v>
          </cell>
          <cell r="DZ24" t="str">
            <v>85%</v>
          </cell>
          <cell r="EP24" t="str">
            <v>0 Month Basic/12 Month Major</v>
          </cell>
          <cell r="FE24" t="str">
            <v>Adults &amp; Dependent Children</v>
          </cell>
          <cell r="GO24" t="str">
            <v>$20</v>
          </cell>
          <cell r="GS24" t="str">
            <v>No Limit</v>
          </cell>
          <cell r="HQ24" t="str">
            <v>$1,000</v>
          </cell>
          <cell r="IF24" t="str">
            <v>70th percentile</v>
          </cell>
        </row>
        <row r="25">
          <cell r="BG25" t="str">
            <v>Alliant</v>
          </cell>
          <cell r="CO25" t="str">
            <v>70% of Net Eligibles</v>
          </cell>
          <cell r="DH25" t="str">
            <v>15 Months</v>
          </cell>
          <cell r="DV25" t="str">
            <v>Enhanced Dental Plan - Passive Design</v>
          </cell>
          <cell r="DZ25" t="str">
            <v>80%</v>
          </cell>
          <cell r="EP25" t="str">
            <v>0 Month Basic/18 Month Major</v>
          </cell>
          <cell r="GO25" t="str">
            <v>$25</v>
          </cell>
          <cell r="HQ25" t="str">
            <v>$1,200</v>
          </cell>
          <cell r="IF25" t="str">
            <v>80th percentile</v>
          </cell>
        </row>
        <row r="26">
          <cell r="BG26" t="str">
            <v>Liazon</v>
          </cell>
          <cell r="CO26" t="str">
            <v>75% of Net Eligibles</v>
          </cell>
          <cell r="DH26" t="str">
            <v>16 Months</v>
          </cell>
          <cell r="DV26" t="str">
            <v>Enhanced Dental Plan - Active Design</v>
          </cell>
          <cell r="DZ26" t="str">
            <v>75%</v>
          </cell>
          <cell r="EP26" t="str">
            <v>0 Month Basic/24 Month Major</v>
          </cell>
          <cell r="FX26" t="str">
            <v>N/A</v>
          </cell>
          <cell r="GO26" t="str">
            <v>$30</v>
          </cell>
          <cell r="HQ26" t="str">
            <v>$1,250</v>
          </cell>
          <cell r="IF26" t="str">
            <v>90th percentile</v>
          </cell>
          <cell r="KS26" t="str">
            <v>Standard - 24 Month Waiting Period applies</v>
          </cell>
        </row>
        <row r="27">
          <cell r="BE27" t="str">
            <v>Fully Insured</v>
          </cell>
          <cell r="CO27" t="str">
            <v>80% of Net Eligibles</v>
          </cell>
          <cell r="DH27" t="str">
            <v>17 Months</v>
          </cell>
          <cell r="DV27" t="str">
            <v>Value Dental Plan - Passive Design</v>
          </cell>
          <cell r="DZ27" t="str">
            <v>70%</v>
          </cell>
          <cell r="EP27" t="str">
            <v>6 Month Basic/6 Month Major</v>
          </cell>
          <cell r="GO27" t="str">
            <v>$35</v>
          </cell>
          <cell r="HQ27" t="str">
            <v>$1,500</v>
          </cell>
          <cell r="HW27" t="str">
            <v>N/A</v>
          </cell>
          <cell r="IF27" t="str">
            <v>95th percentile</v>
          </cell>
        </row>
        <row r="28">
          <cell r="CO28" t="str">
            <v>85% of Net Eligibles</v>
          </cell>
          <cell r="DH28" t="str">
            <v>18 Months</v>
          </cell>
          <cell r="DV28" t="str">
            <v>Value Dental Plan - Active Design</v>
          </cell>
          <cell r="DZ28" t="str">
            <v>65%</v>
          </cell>
          <cell r="EP28" t="str">
            <v>6 Month Basic/12 Month Major</v>
          </cell>
          <cell r="GO28" t="str">
            <v>$40</v>
          </cell>
          <cell r="HQ28" t="str">
            <v>$1,750</v>
          </cell>
          <cell r="IF28" t="str">
            <v>Prime (MAC)</v>
          </cell>
        </row>
        <row r="29">
          <cell r="CO29" t="str">
            <v>90% of Net Eligibles</v>
          </cell>
          <cell r="DH29" t="str">
            <v>19 Months</v>
          </cell>
          <cell r="DZ29" t="str">
            <v>60%</v>
          </cell>
          <cell r="EP29" t="str">
            <v>6 Month Basic/18 Month Major</v>
          </cell>
          <cell r="GO29" t="str">
            <v>$45</v>
          </cell>
          <cell r="HQ29" t="str">
            <v>$2,000</v>
          </cell>
        </row>
        <row r="30">
          <cell r="CO30" t="str">
            <v>95% of Net Eligibles</v>
          </cell>
          <cell r="DH30" t="str">
            <v>20 Months</v>
          </cell>
          <cell r="DZ30" t="str">
            <v>55%</v>
          </cell>
          <cell r="EP30" t="str">
            <v>6 Month Basic/24 Month Major</v>
          </cell>
          <cell r="GO30" t="str">
            <v>$50</v>
          </cell>
          <cell r="HQ30" t="str">
            <v>$2,250</v>
          </cell>
        </row>
        <row r="31">
          <cell r="CO31" t="str">
            <v>100% of Net Eligibles</v>
          </cell>
          <cell r="DH31" t="str">
            <v>21 Months</v>
          </cell>
          <cell r="DZ31" t="str">
            <v>50%</v>
          </cell>
          <cell r="EP31" t="str">
            <v>12 Month Basic/12 Month Major</v>
          </cell>
          <cell r="GO31" t="str">
            <v>$55</v>
          </cell>
          <cell r="HQ31" t="str">
            <v>$2,500</v>
          </cell>
        </row>
        <row r="32">
          <cell r="DH32" t="str">
            <v>22 Months</v>
          </cell>
          <cell r="EP32" t="str">
            <v>12 Month Basic/18 Month Major</v>
          </cell>
          <cell r="GO32" t="str">
            <v>$60</v>
          </cell>
          <cell r="HQ32" t="str">
            <v>$2,750</v>
          </cell>
        </row>
        <row r="33">
          <cell r="DH33" t="str">
            <v>23 Months</v>
          </cell>
          <cell r="EP33" t="str">
            <v>12 Month Basic/24 Month Major</v>
          </cell>
          <cell r="FJ33" t="str">
            <v>0%</v>
          </cell>
          <cell r="GO33" t="str">
            <v>$65</v>
          </cell>
          <cell r="HQ33" t="str">
            <v>$3,000</v>
          </cell>
        </row>
        <row r="34">
          <cell r="DH34" t="str">
            <v>24 Months</v>
          </cell>
          <cell r="EP34" t="str">
            <v>18 Month Basic/18 Month Major</v>
          </cell>
          <cell r="GO34" t="str">
            <v>$70</v>
          </cell>
          <cell r="HQ34" t="str">
            <v>$4,000</v>
          </cell>
          <cell r="JE34" t="str">
            <v>Standard - 1X per 12mnths &lt;18Y/O; 1X per 24mnths &gt;=18Y/O</v>
          </cell>
        </row>
        <row r="35">
          <cell r="EP35" t="str">
            <v>18 Month Basic/24 Month Major</v>
          </cell>
          <cell r="GO35" t="str">
            <v>$75</v>
          </cell>
          <cell r="HQ35" t="str">
            <v>$5,000</v>
          </cell>
          <cell r="IM35" t="str">
            <v>Children to Age 26</v>
          </cell>
          <cell r="JE35" t="str">
            <v>1X per 12mnths for all ages</v>
          </cell>
        </row>
        <row r="36">
          <cell r="EP36" t="str">
            <v>24 Month Basic/24 Month Major</v>
          </cell>
          <cell r="GO36" t="str">
            <v>$80</v>
          </cell>
          <cell r="JE36" t="str">
            <v xml:space="preserve">2X every 12mnths for all ages </v>
          </cell>
        </row>
        <row r="37">
          <cell r="EH37" t="str">
            <v>100%</v>
          </cell>
          <cell r="GO37" t="str">
            <v>$85</v>
          </cell>
          <cell r="JE37" t="str">
            <v>1X every calendar year for all ages</v>
          </cell>
        </row>
        <row r="38">
          <cell r="EH38" t="str">
            <v>95%</v>
          </cell>
          <cell r="GO38" t="str">
            <v>$90</v>
          </cell>
        </row>
        <row r="39">
          <cell r="EH39" t="str">
            <v>90%</v>
          </cell>
          <cell r="GO39" t="str">
            <v>$95</v>
          </cell>
        </row>
        <row r="40">
          <cell r="EH40" t="str">
            <v>85%</v>
          </cell>
          <cell r="GO40" t="str">
            <v>$100</v>
          </cell>
        </row>
        <row r="41">
          <cell r="EH41" t="str">
            <v>80%</v>
          </cell>
          <cell r="GO41" t="str">
            <v>$100 lifetime per person</v>
          </cell>
        </row>
        <row r="42">
          <cell r="Y42" t="str">
            <v>Please Select One</v>
          </cell>
          <cell r="EH42" t="str">
            <v>75%</v>
          </cell>
        </row>
        <row r="43">
          <cell r="Y43">
            <v>42767</v>
          </cell>
          <cell r="EH43" t="str">
            <v>70%</v>
          </cell>
        </row>
        <row r="44">
          <cell r="Y44">
            <v>42795</v>
          </cell>
          <cell r="EH44" t="str">
            <v>65%</v>
          </cell>
        </row>
        <row r="45">
          <cell r="Y45">
            <v>42826</v>
          </cell>
          <cell r="EH45" t="str">
            <v>60%</v>
          </cell>
        </row>
        <row r="46">
          <cell r="Y46">
            <v>42856</v>
          </cell>
          <cell r="EH46" t="str">
            <v>55%</v>
          </cell>
        </row>
        <row r="47">
          <cell r="Y47">
            <v>42887</v>
          </cell>
          <cell r="EH47" t="str">
            <v>50%</v>
          </cell>
        </row>
        <row r="48">
          <cell r="Y48">
            <v>42917</v>
          </cell>
          <cell r="EH48" t="str">
            <v>45%</v>
          </cell>
        </row>
        <row r="49">
          <cell r="Y49">
            <v>42948</v>
          </cell>
          <cell r="EH49" t="str">
            <v>40%</v>
          </cell>
        </row>
        <row r="50">
          <cell r="Y50">
            <v>42979</v>
          </cell>
          <cell r="EH50" t="str">
            <v>35%</v>
          </cell>
        </row>
        <row r="51">
          <cell r="Y51">
            <v>43009</v>
          </cell>
          <cell r="EH51" t="str">
            <v>30%</v>
          </cell>
        </row>
        <row r="52">
          <cell r="Y52">
            <v>43040</v>
          </cell>
          <cell r="EH52" t="str">
            <v>25%</v>
          </cell>
        </row>
        <row r="53">
          <cell r="Y53">
            <v>43070</v>
          </cell>
          <cell r="EH53" t="str">
            <v>20%</v>
          </cell>
        </row>
        <row r="54">
          <cell r="Y54">
            <v>43101</v>
          </cell>
          <cell r="EH54" t="str">
            <v>15%</v>
          </cell>
        </row>
        <row r="55">
          <cell r="Y55">
            <v>43132</v>
          </cell>
          <cell r="EH55" t="str">
            <v>10%</v>
          </cell>
        </row>
        <row r="56">
          <cell r="Y56">
            <v>43160</v>
          </cell>
          <cell r="EH56" t="str">
            <v>5%</v>
          </cell>
        </row>
        <row r="57">
          <cell r="EH57" t="str">
            <v>0%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5">
          <cell r="A5">
            <v>111</v>
          </cell>
        </row>
        <row r="6">
          <cell r="A6">
            <v>112</v>
          </cell>
        </row>
        <row r="7">
          <cell r="A7">
            <v>115</v>
          </cell>
        </row>
        <row r="8">
          <cell r="A8">
            <v>116</v>
          </cell>
        </row>
        <row r="9">
          <cell r="A9">
            <v>119</v>
          </cell>
        </row>
        <row r="10">
          <cell r="A10">
            <v>131</v>
          </cell>
        </row>
        <row r="11">
          <cell r="A11">
            <v>132</v>
          </cell>
        </row>
        <row r="12">
          <cell r="A12">
            <v>133</v>
          </cell>
        </row>
        <row r="13">
          <cell r="A13">
            <v>134</v>
          </cell>
        </row>
        <row r="14">
          <cell r="A14">
            <v>139</v>
          </cell>
        </row>
        <row r="15">
          <cell r="A15">
            <v>161</v>
          </cell>
        </row>
        <row r="16">
          <cell r="A16">
            <v>171</v>
          </cell>
        </row>
        <row r="17">
          <cell r="A17">
            <v>172</v>
          </cell>
        </row>
        <row r="18">
          <cell r="A18">
            <v>173</v>
          </cell>
        </row>
        <row r="19">
          <cell r="A19">
            <v>174</v>
          </cell>
        </row>
        <row r="20">
          <cell r="A20">
            <v>175</v>
          </cell>
        </row>
        <row r="21">
          <cell r="A21">
            <v>179</v>
          </cell>
        </row>
        <row r="22">
          <cell r="A22">
            <v>181</v>
          </cell>
        </row>
        <row r="23">
          <cell r="A23">
            <v>182</v>
          </cell>
        </row>
        <row r="24">
          <cell r="A24">
            <v>191</v>
          </cell>
        </row>
        <row r="25">
          <cell r="A25">
            <v>211</v>
          </cell>
        </row>
        <row r="26">
          <cell r="A26">
            <v>212</v>
          </cell>
        </row>
        <row r="27">
          <cell r="A27">
            <v>213</v>
          </cell>
        </row>
        <row r="28">
          <cell r="A28">
            <v>214</v>
          </cell>
        </row>
        <row r="29">
          <cell r="A29">
            <v>219</v>
          </cell>
        </row>
        <row r="30">
          <cell r="A30">
            <v>241</v>
          </cell>
        </row>
        <row r="31">
          <cell r="A31">
            <v>251</v>
          </cell>
        </row>
        <row r="32">
          <cell r="A32">
            <v>252</v>
          </cell>
        </row>
        <row r="33">
          <cell r="A33">
            <v>253</v>
          </cell>
        </row>
        <row r="34">
          <cell r="A34">
            <v>254</v>
          </cell>
        </row>
        <row r="35">
          <cell r="A35">
            <v>259</v>
          </cell>
        </row>
        <row r="36">
          <cell r="A36">
            <v>271</v>
          </cell>
        </row>
        <row r="37">
          <cell r="A37">
            <v>272</v>
          </cell>
        </row>
        <row r="38">
          <cell r="A38">
            <v>273</v>
          </cell>
        </row>
        <row r="39">
          <cell r="A39">
            <v>279</v>
          </cell>
        </row>
        <row r="40">
          <cell r="A40">
            <v>291</v>
          </cell>
        </row>
        <row r="41">
          <cell r="A41">
            <v>711</v>
          </cell>
        </row>
        <row r="42">
          <cell r="A42">
            <v>721</v>
          </cell>
        </row>
        <row r="43">
          <cell r="A43">
            <v>722</v>
          </cell>
        </row>
        <row r="44">
          <cell r="A44">
            <v>723</v>
          </cell>
        </row>
        <row r="45">
          <cell r="A45">
            <v>724</v>
          </cell>
        </row>
        <row r="46">
          <cell r="A46">
            <v>741</v>
          </cell>
        </row>
        <row r="47">
          <cell r="A47">
            <v>742</v>
          </cell>
        </row>
        <row r="48">
          <cell r="A48">
            <v>751</v>
          </cell>
        </row>
        <row r="49">
          <cell r="A49">
            <v>752</v>
          </cell>
        </row>
        <row r="50">
          <cell r="A50">
            <v>761</v>
          </cell>
        </row>
        <row r="51">
          <cell r="A51">
            <v>762</v>
          </cell>
        </row>
        <row r="52">
          <cell r="A52">
            <v>781</v>
          </cell>
        </row>
        <row r="53">
          <cell r="A53">
            <v>782</v>
          </cell>
        </row>
        <row r="54">
          <cell r="A54">
            <v>783</v>
          </cell>
        </row>
        <row r="55">
          <cell r="A55">
            <v>811</v>
          </cell>
        </row>
        <row r="56">
          <cell r="A56">
            <v>831</v>
          </cell>
        </row>
        <row r="57">
          <cell r="A57">
            <v>851</v>
          </cell>
        </row>
        <row r="58">
          <cell r="A58">
            <v>912</v>
          </cell>
        </row>
        <row r="59">
          <cell r="A59">
            <v>913</v>
          </cell>
        </row>
        <row r="60">
          <cell r="A60">
            <v>919</v>
          </cell>
        </row>
        <row r="61">
          <cell r="A61">
            <v>921</v>
          </cell>
        </row>
        <row r="62">
          <cell r="A62">
            <v>971</v>
          </cell>
        </row>
        <row r="63">
          <cell r="A63">
            <v>1011</v>
          </cell>
        </row>
        <row r="64">
          <cell r="A64">
            <v>1021</v>
          </cell>
        </row>
        <row r="65">
          <cell r="A65">
            <v>1031</v>
          </cell>
        </row>
        <row r="66">
          <cell r="A66">
            <v>1041</v>
          </cell>
        </row>
        <row r="67">
          <cell r="A67">
            <v>1044</v>
          </cell>
        </row>
        <row r="68">
          <cell r="A68">
            <v>1061</v>
          </cell>
        </row>
        <row r="69">
          <cell r="A69">
            <v>1081</v>
          </cell>
        </row>
        <row r="70">
          <cell r="A70">
            <v>1094</v>
          </cell>
        </row>
        <row r="71">
          <cell r="A71">
            <v>1099</v>
          </cell>
        </row>
        <row r="72">
          <cell r="A72">
            <v>1221</v>
          </cell>
        </row>
        <row r="73">
          <cell r="A73">
            <v>1222</v>
          </cell>
        </row>
        <row r="74">
          <cell r="A74">
            <v>1231</v>
          </cell>
        </row>
        <row r="75">
          <cell r="A75">
            <v>1241</v>
          </cell>
        </row>
        <row r="76">
          <cell r="A76">
            <v>1311</v>
          </cell>
        </row>
        <row r="77">
          <cell r="A77">
            <v>1321</v>
          </cell>
        </row>
        <row r="78">
          <cell r="A78">
            <v>1381</v>
          </cell>
        </row>
        <row r="79">
          <cell r="A79">
            <v>1382</v>
          </cell>
        </row>
        <row r="80">
          <cell r="A80">
            <v>1389</v>
          </cell>
        </row>
        <row r="81">
          <cell r="A81">
            <v>1411</v>
          </cell>
        </row>
        <row r="82">
          <cell r="A82">
            <v>1422</v>
          </cell>
        </row>
        <row r="83">
          <cell r="A83">
            <v>1423</v>
          </cell>
        </row>
        <row r="84">
          <cell r="A84">
            <v>1429</v>
          </cell>
        </row>
        <row r="85">
          <cell r="A85">
            <v>1442</v>
          </cell>
        </row>
        <row r="86">
          <cell r="A86">
            <v>1446</v>
          </cell>
        </row>
        <row r="87">
          <cell r="A87">
            <v>1455</v>
          </cell>
        </row>
        <row r="88">
          <cell r="A88">
            <v>1459</v>
          </cell>
        </row>
        <row r="89">
          <cell r="A89">
            <v>1474</v>
          </cell>
        </row>
        <row r="90">
          <cell r="A90">
            <v>1475</v>
          </cell>
        </row>
        <row r="91">
          <cell r="A91">
            <v>1479</v>
          </cell>
        </row>
        <row r="92">
          <cell r="A92">
            <v>1481</v>
          </cell>
        </row>
        <row r="93">
          <cell r="A93">
            <v>1499</v>
          </cell>
        </row>
        <row r="94">
          <cell r="A94">
            <v>1521</v>
          </cell>
        </row>
        <row r="95">
          <cell r="A95">
            <v>1522</v>
          </cell>
        </row>
        <row r="96">
          <cell r="A96">
            <v>1531</v>
          </cell>
        </row>
        <row r="97">
          <cell r="A97">
            <v>1541</v>
          </cell>
        </row>
        <row r="98">
          <cell r="A98">
            <v>1542</v>
          </cell>
        </row>
        <row r="99">
          <cell r="A99">
            <v>1611</v>
          </cell>
        </row>
        <row r="100">
          <cell r="A100">
            <v>1622</v>
          </cell>
        </row>
        <row r="101">
          <cell r="A101">
            <v>1623</v>
          </cell>
        </row>
        <row r="102">
          <cell r="A102">
            <v>1629</v>
          </cell>
        </row>
        <row r="103">
          <cell r="A103">
            <v>1711</v>
          </cell>
        </row>
        <row r="104">
          <cell r="A104">
            <v>1721</v>
          </cell>
        </row>
        <row r="105">
          <cell r="A105">
            <v>1731</v>
          </cell>
        </row>
        <row r="106">
          <cell r="A106">
            <v>1741</v>
          </cell>
        </row>
        <row r="107">
          <cell r="A107">
            <v>1742</v>
          </cell>
        </row>
        <row r="108">
          <cell r="A108">
            <v>1743</v>
          </cell>
        </row>
        <row r="109">
          <cell r="A109">
            <v>1751</v>
          </cell>
        </row>
        <row r="110">
          <cell r="A110">
            <v>1752</v>
          </cell>
        </row>
        <row r="111">
          <cell r="A111">
            <v>1761</v>
          </cell>
        </row>
        <row r="112">
          <cell r="A112">
            <v>1771</v>
          </cell>
        </row>
        <row r="113">
          <cell r="A113">
            <v>1781</v>
          </cell>
        </row>
        <row r="114">
          <cell r="A114">
            <v>1791</v>
          </cell>
        </row>
        <row r="115">
          <cell r="A115">
            <v>1793</v>
          </cell>
        </row>
        <row r="116">
          <cell r="A116">
            <v>1794</v>
          </cell>
        </row>
        <row r="117">
          <cell r="A117">
            <v>1795</v>
          </cell>
        </row>
        <row r="118">
          <cell r="A118">
            <v>1796</v>
          </cell>
        </row>
        <row r="119">
          <cell r="A119">
            <v>1799</v>
          </cell>
        </row>
        <row r="120">
          <cell r="A120">
            <v>2011</v>
          </cell>
        </row>
        <row r="121">
          <cell r="A121">
            <v>2013</v>
          </cell>
        </row>
        <row r="122">
          <cell r="A122">
            <v>2015</v>
          </cell>
        </row>
        <row r="123">
          <cell r="A123">
            <v>2021</v>
          </cell>
        </row>
        <row r="124">
          <cell r="A124">
            <v>2022</v>
          </cell>
        </row>
        <row r="125">
          <cell r="A125">
            <v>2023</v>
          </cell>
        </row>
        <row r="126">
          <cell r="A126">
            <v>2024</v>
          </cell>
        </row>
        <row r="127">
          <cell r="A127">
            <v>2026</v>
          </cell>
        </row>
        <row r="128">
          <cell r="A128">
            <v>2032</v>
          </cell>
        </row>
        <row r="129">
          <cell r="A129">
            <v>2033</v>
          </cell>
        </row>
        <row r="130">
          <cell r="A130">
            <v>2034</v>
          </cell>
        </row>
        <row r="131">
          <cell r="A131">
            <v>2035</v>
          </cell>
        </row>
        <row r="132">
          <cell r="A132">
            <v>2037</v>
          </cell>
        </row>
        <row r="133">
          <cell r="A133">
            <v>2038</v>
          </cell>
        </row>
        <row r="134">
          <cell r="A134">
            <v>2041</v>
          </cell>
        </row>
        <row r="135">
          <cell r="A135">
            <v>2043</v>
          </cell>
        </row>
        <row r="136">
          <cell r="A136">
            <v>2044</v>
          </cell>
        </row>
        <row r="137">
          <cell r="A137">
            <v>2045</v>
          </cell>
        </row>
        <row r="138">
          <cell r="A138">
            <v>2046</v>
          </cell>
        </row>
        <row r="139">
          <cell r="A139">
            <v>2047</v>
          </cell>
        </row>
        <row r="140">
          <cell r="A140">
            <v>2048</v>
          </cell>
        </row>
        <row r="141">
          <cell r="A141">
            <v>2051</v>
          </cell>
        </row>
        <row r="142">
          <cell r="A142">
            <v>2052</v>
          </cell>
        </row>
        <row r="143">
          <cell r="A143">
            <v>2053</v>
          </cell>
        </row>
        <row r="144">
          <cell r="A144">
            <v>2061</v>
          </cell>
        </row>
        <row r="145">
          <cell r="A145">
            <v>2062</v>
          </cell>
        </row>
        <row r="146">
          <cell r="A146">
            <v>2063</v>
          </cell>
        </row>
        <row r="147">
          <cell r="A147">
            <v>2064</v>
          </cell>
        </row>
        <row r="148">
          <cell r="A148">
            <v>2066</v>
          </cell>
        </row>
        <row r="149">
          <cell r="A149">
            <v>2067</v>
          </cell>
        </row>
        <row r="150">
          <cell r="A150">
            <v>2068</v>
          </cell>
        </row>
        <row r="151">
          <cell r="A151">
            <v>2074</v>
          </cell>
        </row>
        <row r="152">
          <cell r="A152">
            <v>2075</v>
          </cell>
        </row>
        <row r="153">
          <cell r="A153">
            <v>2076</v>
          </cell>
        </row>
        <row r="154">
          <cell r="A154">
            <v>2077</v>
          </cell>
        </row>
        <row r="155">
          <cell r="A155">
            <v>2079</v>
          </cell>
        </row>
        <row r="156">
          <cell r="A156">
            <v>2082</v>
          </cell>
        </row>
        <row r="157">
          <cell r="A157">
            <v>2083</v>
          </cell>
        </row>
        <row r="158">
          <cell r="A158">
            <v>2084</v>
          </cell>
        </row>
        <row r="159">
          <cell r="A159">
            <v>2085</v>
          </cell>
        </row>
        <row r="160">
          <cell r="A160">
            <v>2086</v>
          </cell>
        </row>
        <row r="161">
          <cell r="A161">
            <v>2087</v>
          </cell>
        </row>
        <row r="162">
          <cell r="A162">
            <v>2091</v>
          </cell>
        </row>
        <row r="163">
          <cell r="A163">
            <v>2092</v>
          </cell>
        </row>
        <row r="164">
          <cell r="A164">
            <v>2095</v>
          </cell>
        </row>
        <row r="165">
          <cell r="A165">
            <v>2096</v>
          </cell>
        </row>
        <row r="166">
          <cell r="A166">
            <v>2097</v>
          </cell>
        </row>
        <row r="167">
          <cell r="A167">
            <v>2098</v>
          </cell>
        </row>
        <row r="168">
          <cell r="A168">
            <v>2099</v>
          </cell>
        </row>
        <row r="169">
          <cell r="A169">
            <v>2111</v>
          </cell>
        </row>
        <row r="170">
          <cell r="A170">
            <v>2121</v>
          </cell>
        </row>
        <row r="171">
          <cell r="A171">
            <v>2131</v>
          </cell>
        </row>
        <row r="172">
          <cell r="A172">
            <v>2141</v>
          </cell>
        </row>
        <row r="173">
          <cell r="A173">
            <v>2211</v>
          </cell>
        </row>
        <row r="174">
          <cell r="A174">
            <v>2221</v>
          </cell>
        </row>
        <row r="175">
          <cell r="A175">
            <v>2231</v>
          </cell>
        </row>
        <row r="176">
          <cell r="A176">
            <v>2241</v>
          </cell>
        </row>
        <row r="177">
          <cell r="A177">
            <v>2251</v>
          </cell>
        </row>
        <row r="178">
          <cell r="A178">
            <v>2252</v>
          </cell>
        </row>
        <row r="179">
          <cell r="A179">
            <v>2253</v>
          </cell>
        </row>
        <row r="180">
          <cell r="A180">
            <v>2254</v>
          </cell>
        </row>
        <row r="181">
          <cell r="A181">
            <v>2257</v>
          </cell>
        </row>
        <row r="182">
          <cell r="A182">
            <v>2258</v>
          </cell>
        </row>
        <row r="183">
          <cell r="A183">
            <v>2259</v>
          </cell>
        </row>
        <row r="184">
          <cell r="A184">
            <v>2261</v>
          </cell>
        </row>
        <row r="185">
          <cell r="A185">
            <v>2262</v>
          </cell>
        </row>
        <row r="186">
          <cell r="A186">
            <v>2269</v>
          </cell>
        </row>
        <row r="187">
          <cell r="A187">
            <v>2273</v>
          </cell>
        </row>
        <row r="188">
          <cell r="A188">
            <v>2281</v>
          </cell>
        </row>
        <row r="189">
          <cell r="A189">
            <v>2282</v>
          </cell>
        </row>
        <row r="190">
          <cell r="A190">
            <v>2284</v>
          </cell>
        </row>
        <row r="191">
          <cell r="A191">
            <v>2295</v>
          </cell>
        </row>
        <row r="192">
          <cell r="A192">
            <v>2296</v>
          </cell>
        </row>
        <row r="193">
          <cell r="A193">
            <v>2297</v>
          </cell>
        </row>
        <row r="194">
          <cell r="A194">
            <v>2298</v>
          </cell>
        </row>
        <row r="195">
          <cell r="A195">
            <v>2299</v>
          </cell>
        </row>
        <row r="196">
          <cell r="A196">
            <v>2311</v>
          </cell>
        </row>
        <row r="197">
          <cell r="A197">
            <v>2321</v>
          </cell>
        </row>
        <row r="198">
          <cell r="A198">
            <v>2322</v>
          </cell>
        </row>
        <row r="199">
          <cell r="A199">
            <v>2323</v>
          </cell>
        </row>
        <row r="200">
          <cell r="A200">
            <v>2325</v>
          </cell>
        </row>
        <row r="201">
          <cell r="A201">
            <v>2326</v>
          </cell>
        </row>
        <row r="202">
          <cell r="A202">
            <v>2329</v>
          </cell>
        </row>
        <row r="203">
          <cell r="A203">
            <v>2331</v>
          </cell>
        </row>
        <row r="204">
          <cell r="A204">
            <v>2335</v>
          </cell>
        </row>
        <row r="205">
          <cell r="A205">
            <v>2337</v>
          </cell>
        </row>
        <row r="206">
          <cell r="A206">
            <v>2339</v>
          </cell>
        </row>
        <row r="207">
          <cell r="A207">
            <v>2341</v>
          </cell>
        </row>
        <row r="208">
          <cell r="A208">
            <v>2342</v>
          </cell>
        </row>
        <row r="209">
          <cell r="A209">
            <v>2353</v>
          </cell>
        </row>
        <row r="210">
          <cell r="A210">
            <v>2361</v>
          </cell>
        </row>
        <row r="211">
          <cell r="A211">
            <v>2369</v>
          </cell>
        </row>
        <row r="212">
          <cell r="A212">
            <v>2371</v>
          </cell>
        </row>
        <row r="213">
          <cell r="A213">
            <v>2381</v>
          </cell>
        </row>
        <row r="214">
          <cell r="A214">
            <v>2384</v>
          </cell>
        </row>
        <row r="215">
          <cell r="A215">
            <v>2385</v>
          </cell>
        </row>
        <row r="216">
          <cell r="A216">
            <v>2386</v>
          </cell>
        </row>
        <row r="217">
          <cell r="A217">
            <v>2387</v>
          </cell>
        </row>
        <row r="218">
          <cell r="A218">
            <v>2389</v>
          </cell>
        </row>
        <row r="219">
          <cell r="A219">
            <v>2391</v>
          </cell>
        </row>
        <row r="220">
          <cell r="A220">
            <v>2392</v>
          </cell>
        </row>
        <row r="221">
          <cell r="A221">
            <v>2393</v>
          </cell>
        </row>
        <row r="222">
          <cell r="A222">
            <v>2394</v>
          </cell>
        </row>
        <row r="223">
          <cell r="A223">
            <v>2395</v>
          </cell>
        </row>
        <row r="224">
          <cell r="A224">
            <v>2396</v>
          </cell>
        </row>
        <row r="225">
          <cell r="A225">
            <v>2397</v>
          </cell>
        </row>
        <row r="226">
          <cell r="A226">
            <v>2399</v>
          </cell>
        </row>
        <row r="227">
          <cell r="A227">
            <v>2411</v>
          </cell>
        </row>
        <row r="228">
          <cell r="A228">
            <v>2421</v>
          </cell>
        </row>
        <row r="229">
          <cell r="A229">
            <v>2426</v>
          </cell>
        </row>
        <row r="230">
          <cell r="A230">
            <v>2429</v>
          </cell>
        </row>
        <row r="231">
          <cell r="A231">
            <v>2431</v>
          </cell>
        </row>
        <row r="232">
          <cell r="A232">
            <v>2434</v>
          </cell>
        </row>
        <row r="233">
          <cell r="A233">
            <v>2435</v>
          </cell>
        </row>
        <row r="234">
          <cell r="A234">
            <v>2436</v>
          </cell>
        </row>
        <row r="235">
          <cell r="A235">
            <v>2439</v>
          </cell>
        </row>
        <row r="236">
          <cell r="A236">
            <v>2441</v>
          </cell>
        </row>
        <row r="237">
          <cell r="A237">
            <v>2448</v>
          </cell>
        </row>
        <row r="238">
          <cell r="A238">
            <v>2449</v>
          </cell>
        </row>
        <row r="239">
          <cell r="A239">
            <v>2451</v>
          </cell>
        </row>
        <row r="240">
          <cell r="A240">
            <v>2452</v>
          </cell>
        </row>
        <row r="241">
          <cell r="A241">
            <v>2491</v>
          </cell>
        </row>
        <row r="242">
          <cell r="A242">
            <v>2493</v>
          </cell>
        </row>
        <row r="243">
          <cell r="A243">
            <v>2499</v>
          </cell>
        </row>
        <row r="244">
          <cell r="A244">
            <v>2511</v>
          </cell>
        </row>
        <row r="245">
          <cell r="A245">
            <v>2512</v>
          </cell>
        </row>
        <row r="246">
          <cell r="A246">
            <v>2514</v>
          </cell>
        </row>
        <row r="247">
          <cell r="A247">
            <v>2515</v>
          </cell>
        </row>
        <row r="248">
          <cell r="A248">
            <v>2517</v>
          </cell>
        </row>
        <row r="249">
          <cell r="A249">
            <v>2519</v>
          </cell>
        </row>
        <row r="250">
          <cell r="A250">
            <v>2521</v>
          </cell>
        </row>
        <row r="251">
          <cell r="A251">
            <v>2522</v>
          </cell>
        </row>
        <row r="252">
          <cell r="A252">
            <v>2531</v>
          </cell>
        </row>
        <row r="253">
          <cell r="A253">
            <v>2541</v>
          </cell>
        </row>
        <row r="254">
          <cell r="A254">
            <v>2542</v>
          </cell>
        </row>
        <row r="255">
          <cell r="A255">
            <v>2591</v>
          </cell>
        </row>
        <row r="256">
          <cell r="A256">
            <v>2599</v>
          </cell>
        </row>
        <row r="257">
          <cell r="A257">
            <v>2611</v>
          </cell>
        </row>
        <row r="258">
          <cell r="A258">
            <v>2621</v>
          </cell>
        </row>
        <row r="259">
          <cell r="A259">
            <v>2631</v>
          </cell>
        </row>
        <row r="260">
          <cell r="A260">
            <v>2652</v>
          </cell>
        </row>
        <row r="261">
          <cell r="A261">
            <v>2653</v>
          </cell>
        </row>
        <row r="262">
          <cell r="A262">
            <v>2655</v>
          </cell>
        </row>
        <row r="263">
          <cell r="A263">
            <v>2656</v>
          </cell>
        </row>
        <row r="264">
          <cell r="A264">
            <v>2657</v>
          </cell>
        </row>
        <row r="265">
          <cell r="A265">
            <v>2671</v>
          </cell>
        </row>
        <row r="266">
          <cell r="A266">
            <v>2672</v>
          </cell>
        </row>
        <row r="267">
          <cell r="A267">
            <v>2673</v>
          </cell>
        </row>
        <row r="268">
          <cell r="A268">
            <v>2674</v>
          </cell>
        </row>
        <row r="269">
          <cell r="A269">
            <v>2675</v>
          </cell>
        </row>
        <row r="270">
          <cell r="A270">
            <v>2676</v>
          </cell>
        </row>
        <row r="271">
          <cell r="A271">
            <v>2677</v>
          </cell>
        </row>
        <row r="272">
          <cell r="A272">
            <v>2678</v>
          </cell>
        </row>
        <row r="273">
          <cell r="A273">
            <v>2679</v>
          </cell>
        </row>
        <row r="274">
          <cell r="A274">
            <v>2711</v>
          </cell>
        </row>
        <row r="275">
          <cell r="A275">
            <v>2721</v>
          </cell>
        </row>
        <row r="276">
          <cell r="A276">
            <v>2731</v>
          </cell>
        </row>
        <row r="277">
          <cell r="A277">
            <v>2732</v>
          </cell>
        </row>
        <row r="278">
          <cell r="A278">
            <v>2741</v>
          </cell>
        </row>
        <row r="279">
          <cell r="A279">
            <v>2752</v>
          </cell>
        </row>
        <row r="280">
          <cell r="A280">
            <v>2754</v>
          </cell>
        </row>
        <row r="281">
          <cell r="A281">
            <v>2759</v>
          </cell>
        </row>
        <row r="282">
          <cell r="A282">
            <v>2761</v>
          </cell>
        </row>
        <row r="283">
          <cell r="A283">
            <v>2771</v>
          </cell>
        </row>
        <row r="284">
          <cell r="A284">
            <v>2782</v>
          </cell>
        </row>
        <row r="285">
          <cell r="A285">
            <v>2789</v>
          </cell>
        </row>
        <row r="286">
          <cell r="A286">
            <v>2791</v>
          </cell>
        </row>
        <row r="287">
          <cell r="A287">
            <v>2796</v>
          </cell>
        </row>
        <row r="288">
          <cell r="A288">
            <v>2812</v>
          </cell>
        </row>
        <row r="289">
          <cell r="A289">
            <v>2813</v>
          </cell>
        </row>
        <row r="290">
          <cell r="A290">
            <v>2816</v>
          </cell>
        </row>
        <row r="291">
          <cell r="A291">
            <v>2819</v>
          </cell>
        </row>
        <row r="292">
          <cell r="A292">
            <v>2821</v>
          </cell>
        </row>
        <row r="293">
          <cell r="A293">
            <v>2822</v>
          </cell>
        </row>
        <row r="294">
          <cell r="A294">
            <v>2823</v>
          </cell>
        </row>
        <row r="295">
          <cell r="A295">
            <v>2824</v>
          </cell>
        </row>
        <row r="296">
          <cell r="A296">
            <v>2833</v>
          </cell>
        </row>
        <row r="297">
          <cell r="A297">
            <v>2834</v>
          </cell>
        </row>
        <row r="298">
          <cell r="A298">
            <v>2835</v>
          </cell>
        </row>
        <row r="299">
          <cell r="A299">
            <v>2836</v>
          </cell>
        </row>
        <row r="300">
          <cell r="A300">
            <v>2841</v>
          </cell>
        </row>
        <row r="301">
          <cell r="A301">
            <v>2842</v>
          </cell>
        </row>
        <row r="302">
          <cell r="A302">
            <v>2843</v>
          </cell>
        </row>
        <row r="303">
          <cell r="A303">
            <v>2844</v>
          </cell>
        </row>
        <row r="304">
          <cell r="A304">
            <v>2851</v>
          </cell>
        </row>
        <row r="305">
          <cell r="A305">
            <v>2861</v>
          </cell>
        </row>
        <row r="306">
          <cell r="A306">
            <v>2865</v>
          </cell>
        </row>
        <row r="307">
          <cell r="A307">
            <v>2869</v>
          </cell>
        </row>
        <row r="308">
          <cell r="A308">
            <v>2873</v>
          </cell>
        </row>
        <row r="309">
          <cell r="A309">
            <v>2874</v>
          </cell>
        </row>
        <row r="310">
          <cell r="A310">
            <v>2875</v>
          </cell>
        </row>
        <row r="311">
          <cell r="A311">
            <v>2879</v>
          </cell>
        </row>
        <row r="312">
          <cell r="A312">
            <v>2891</v>
          </cell>
        </row>
        <row r="313">
          <cell r="A313">
            <v>2892</v>
          </cell>
        </row>
        <row r="314">
          <cell r="A314">
            <v>2893</v>
          </cell>
        </row>
        <row r="315">
          <cell r="A315">
            <v>2895</v>
          </cell>
        </row>
        <row r="316">
          <cell r="A316">
            <v>2899</v>
          </cell>
        </row>
        <row r="317">
          <cell r="A317">
            <v>2911</v>
          </cell>
        </row>
        <row r="318">
          <cell r="A318">
            <v>2951</v>
          </cell>
        </row>
        <row r="319">
          <cell r="A319">
            <v>2952</v>
          </cell>
        </row>
        <row r="320">
          <cell r="A320">
            <v>2992</v>
          </cell>
        </row>
        <row r="321">
          <cell r="A321">
            <v>2999</v>
          </cell>
        </row>
        <row r="322">
          <cell r="A322">
            <v>3011</v>
          </cell>
        </row>
        <row r="323">
          <cell r="A323">
            <v>3021</v>
          </cell>
        </row>
        <row r="324">
          <cell r="A324">
            <v>3052</v>
          </cell>
        </row>
        <row r="325">
          <cell r="A325">
            <v>3053</v>
          </cell>
        </row>
        <row r="326">
          <cell r="A326">
            <v>3061</v>
          </cell>
        </row>
        <row r="327">
          <cell r="A327">
            <v>3069</v>
          </cell>
        </row>
        <row r="328">
          <cell r="A328">
            <v>3081</v>
          </cell>
        </row>
        <row r="329">
          <cell r="A329">
            <v>3082</v>
          </cell>
        </row>
        <row r="330">
          <cell r="A330">
            <v>3083</v>
          </cell>
        </row>
        <row r="331">
          <cell r="A331">
            <v>3084</v>
          </cell>
        </row>
        <row r="332">
          <cell r="A332">
            <v>3085</v>
          </cell>
        </row>
        <row r="333">
          <cell r="A333">
            <v>3086</v>
          </cell>
        </row>
        <row r="334">
          <cell r="A334">
            <v>3087</v>
          </cell>
        </row>
        <row r="335">
          <cell r="A335">
            <v>3088</v>
          </cell>
        </row>
        <row r="336">
          <cell r="A336">
            <v>3089</v>
          </cell>
        </row>
        <row r="337">
          <cell r="A337">
            <v>3111</v>
          </cell>
        </row>
        <row r="338">
          <cell r="A338">
            <v>3131</v>
          </cell>
        </row>
        <row r="339">
          <cell r="A339">
            <v>3142</v>
          </cell>
        </row>
        <row r="340">
          <cell r="A340">
            <v>3143</v>
          </cell>
        </row>
        <row r="341">
          <cell r="A341">
            <v>3144</v>
          </cell>
        </row>
        <row r="342">
          <cell r="A342">
            <v>3149</v>
          </cell>
        </row>
        <row r="343">
          <cell r="A343">
            <v>3151</v>
          </cell>
        </row>
        <row r="344">
          <cell r="A344">
            <v>3161</v>
          </cell>
        </row>
        <row r="345">
          <cell r="A345">
            <v>3171</v>
          </cell>
        </row>
        <row r="346">
          <cell r="A346">
            <v>3172</v>
          </cell>
        </row>
        <row r="347">
          <cell r="A347">
            <v>3199</v>
          </cell>
        </row>
        <row r="348">
          <cell r="A348">
            <v>3211</v>
          </cell>
        </row>
        <row r="349">
          <cell r="A349">
            <v>3221</v>
          </cell>
        </row>
        <row r="350">
          <cell r="A350">
            <v>3229</v>
          </cell>
        </row>
        <row r="351">
          <cell r="A351">
            <v>3231</v>
          </cell>
        </row>
        <row r="352">
          <cell r="A352">
            <v>3241</v>
          </cell>
        </row>
        <row r="353">
          <cell r="A353">
            <v>3251</v>
          </cell>
        </row>
        <row r="354">
          <cell r="A354">
            <v>3253</v>
          </cell>
        </row>
        <row r="355">
          <cell r="A355">
            <v>3255</v>
          </cell>
        </row>
        <row r="356">
          <cell r="A356">
            <v>3259</v>
          </cell>
        </row>
        <row r="357">
          <cell r="A357">
            <v>3261</v>
          </cell>
        </row>
        <row r="358">
          <cell r="A358">
            <v>3262</v>
          </cell>
        </row>
        <row r="359">
          <cell r="A359">
            <v>3263</v>
          </cell>
        </row>
        <row r="360">
          <cell r="A360">
            <v>3264</v>
          </cell>
        </row>
        <row r="361">
          <cell r="A361">
            <v>3269</v>
          </cell>
        </row>
        <row r="362">
          <cell r="A362">
            <v>3271</v>
          </cell>
        </row>
        <row r="363">
          <cell r="A363">
            <v>3272</v>
          </cell>
        </row>
        <row r="364">
          <cell r="A364">
            <v>3273</v>
          </cell>
        </row>
        <row r="365">
          <cell r="A365">
            <v>3274</v>
          </cell>
        </row>
        <row r="366">
          <cell r="A366">
            <v>3275</v>
          </cell>
        </row>
        <row r="367">
          <cell r="A367">
            <v>3281</v>
          </cell>
        </row>
        <row r="368">
          <cell r="A368">
            <v>3291</v>
          </cell>
        </row>
        <row r="369">
          <cell r="A369">
            <v>3292</v>
          </cell>
        </row>
        <row r="370">
          <cell r="A370">
            <v>3295</v>
          </cell>
        </row>
        <row r="371">
          <cell r="A371">
            <v>3296</v>
          </cell>
        </row>
        <row r="372">
          <cell r="A372">
            <v>3297</v>
          </cell>
        </row>
        <row r="373">
          <cell r="A373">
            <v>3299</v>
          </cell>
        </row>
        <row r="374">
          <cell r="A374">
            <v>3312</v>
          </cell>
        </row>
        <row r="375">
          <cell r="A375">
            <v>3313</v>
          </cell>
        </row>
        <row r="376">
          <cell r="A376">
            <v>3315</v>
          </cell>
        </row>
        <row r="377">
          <cell r="A377">
            <v>3316</v>
          </cell>
        </row>
        <row r="378">
          <cell r="A378">
            <v>3317</v>
          </cell>
        </row>
        <row r="379">
          <cell r="A379">
            <v>3321</v>
          </cell>
        </row>
        <row r="380">
          <cell r="A380">
            <v>3322</v>
          </cell>
        </row>
        <row r="381">
          <cell r="A381">
            <v>3324</v>
          </cell>
        </row>
        <row r="382">
          <cell r="A382">
            <v>3325</v>
          </cell>
        </row>
        <row r="383">
          <cell r="A383">
            <v>3331</v>
          </cell>
        </row>
        <row r="384">
          <cell r="A384">
            <v>3334</v>
          </cell>
        </row>
        <row r="385">
          <cell r="A385">
            <v>3339</v>
          </cell>
        </row>
        <row r="386">
          <cell r="A386">
            <v>3341</v>
          </cell>
        </row>
        <row r="387">
          <cell r="A387">
            <v>3351</v>
          </cell>
        </row>
        <row r="388">
          <cell r="A388">
            <v>3353</v>
          </cell>
        </row>
        <row r="389">
          <cell r="A389">
            <v>3354</v>
          </cell>
        </row>
        <row r="390">
          <cell r="A390">
            <v>3355</v>
          </cell>
        </row>
        <row r="391">
          <cell r="A391">
            <v>3356</v>
          </cell>
        </row>
        <row r="392">
          <cell r="A392">
            <v>3357</v>
          </cell>
        </row>
        <row r="393">
          <cell r="A393">
            <v>3363</v>
          </cell>
        </row>
        <row r="394">
          <cell r="A394">
            <v>3364</v>
          </cell>
        </row>
        <row r="395">
          <cell r="A395">
            <v>3365</v>
          </cell>
        </row>
        <row r="396">
          <cell r="A396">
            <v>3366</v>
          </cell>
        </row>
        <row r="397">
          <cell r="A397">
            <v>3369</v>
          </cell>
        </row>
        <row r="398">
          <cell r="A398">
            <v>3398</v>
          </cell>
        </row>
        <row r="399">
          <cell r="A399">
            <v>3399</v>
          </cell>
        </row>
        <row r="400">
          <cell r="A400">
            <v>3411</v>
          </cell>
        </row>
        <row r="401">
          <cell r="A401">
            <v>3412</v>
          </cell>
        </row>
        <row r="402">
          <cell r="A402">
            <v>3421</v>
          </cell>
        </row>
        <row r="403">
          <cell r="A403">
            <v>3423</v>
          </cell>
        </row>
        <row r="404">
          <cell r="A404">
            <v>3425</v>
          </cell>
        </row>
        <row r="405">
          <cell r="A405">
            <v>3429</v>
          </cell>
        </row>
        <row r="406">
          <cell r="A406">
            <v>3431</v>
          </cell>
        </row>
        <row r="407">
          <cell r="A407">
            <v>3432</v>
          </cell>
        </row>
        <row r="408">
          <cell r="A408">
            <v>3433</v>
          </cell>
        </row>
        <row r="409">
          <cell r="A409">
            <v>3441</v>
          </cell>
        </row>
        <row r="410">
          <cell r="A410">
            <v>3442</v>
          </cell>
        </row>
        <row r="411">
          <cell r="A411">
            <v>3443</v>
          </cell>
        </row>
        <row r="412">
          <cell r="A412">
            <v>3444</v>
          </cell>
        </row>
        <row r="413">
          <cell r="A413">
            <v>3446</v>
          </cell>
        </row>
        <row r="414">
          <cell r="A414">
            <v>3448</v>
          </cell>
        </row>
        <row r="415">
          <cell r="A415">
            <v>3449</v>
          </cell>
        </row>
        <row r="416">
          <cell r="A416">
            <v>3451</v>
          </cell>
        </row>
        <row r="417">
          <cell r="A417">
            <v>3452</v>
          </cell>
        </row>
        <row r="418">
          <cell r="A418">
            <v>3462</v>
          </cell>
        </row>
        <row r="419">
          <cell r="A419">
            <v>3463</v>
          </cell>
        </row>
        <row r="420">
          <cell r="A420">
            <v>3465</v>
          </cell>
        </row>
        <row r="421">
          <cell r="A421">
            <v>3466</v>
          </cell>
        </row>
        <row r="422">
          <cell r="A422">
            <v>3469</v>
          </cell>
        </row>
        <row r="423">
          <cell r="A423">
            <v>3471</v>
          </cell>
        </row>
        <row r="424">
          <cell r="A424">
            <v>3479</v>
          </cell>
        </row>
        <row r="425">
          <cell r="A425">
            <v>3482</v>
          </cell>
        </row>
        <row r="426">
          <cell r="A426">
            <v>3483</v>
          </cell>
        </row>
        <row r="427">
          <cell r="A427">
            <v>3484</v>
          </cell>
        </row>
        <row r="428">
          <cell r="A428">
            <v>3489</v>
          </cell>
        </row>
        <row r="429">
          <cell r="A429">
            <v>3491</v>
          </cell>
        </row>
        <row r="430">
          <cell r="A430">
            <v>3492</v>
          </cell>
        </row>
        <row r="431">
          <cell r="A431">
            <v>3493</v>
          </cell>
        </row>
        <row r="432">
          <cell r="A432">
            <v>3494</v>
          </cell>
        </row>
        <row r="433">
          <cell r="A433">
            <v>3495</v>
          </cell>
        </row>
        <row r="434">
          <cell r="A434">
            <v>3496</v>
          </cell>
        </row>
        <row r="435">
          <cell r="A435">
            <v>3497</v>
          </cell>
        </row>
        <row r="436">
          <cell r="A436">
            <v>3498</v>
          </cell>
        </row>
        <row r="437">
          <cell r="A437">
            <v>3499</v>
          </cell>
        </row>
        <row r="438">
          <cell r="A438">
            <v>3511</v>
          </cell>
        </row>
        <row r="439">
          <cell r="A439">
            <v>3519</v>
          </cell>
        </row>
        <row r="440">
          <cell r="A440">
            <v>3523</v>
          </cell>
        </row>
        <row r="441">
          <cell r="A441">
            <v>3524</v>
          </cell>
        </row>
        <row r="442">
          <cell r="A442">
            <v>3531</v>
          </cell>
        </row>
        <row r="443">
          <cell r="A443">
            <v>3532</v>
          </cell>
        </row>
        <row r="444">
          <cell r="A444">
            <v>3533</v>
          </cell>
        </row>
        <row r="445">
          <cell r="A445">
            <v>3534</v>
          </cell>
        </row>
        <row r="446">
          <cell r="A446">
            <v>3535</v>
          </cell>
        </row>
        <row r="447">
          <cell r="A447">
            <v>3536</v>
          </cell>
        </row>
        <row r="448">
          <cell r="A448">
            <v>3537</v>
          </cell>
        </row>
        <row r="449">
          <cell r="A449">
            <v>3541</v>
          </cell>
        </row>
        <row r="450">
          <cell r="A450">
            <v>3542</v>
          </cell>
        </row>
        <row r="451">
          <cell r="A451">
            <v>3543</v>
          </cell>
        </row>
        <row r="452">
          <cell r="A452">
            <v>3544</v>
          </cell>
        </row>
        <row r="453">
          <cell r="A453">
            <v>3545</v>
          </cell>
        </row>
        <row r="454">
          <cell r="A454">
            <v>3546</v>
          </cell>
        </row>
        <row r="455">
          <cell r="A455">
            <v>3547</v>
          </cell>
        </row>
        <row r="456">
          <cell r="A456">
            <v>3548</v>
          </cell>
        </row>
        <row r="457">
          <cell r="A457">
            <v>3549</v>
          </cell>
        </row>
        <row r="458">
          <cell r="A458">
            <v>3552</v>
          </cell>
        </row>
        <row r="459">
          <cell r="A459">
            <v>3553</v>
          </cell>
        </row>
        <row r="460">
          <cell r="A460">
            <v>3554</v>
          </cell>
        </row>
        <row r="461">
          <cell r="A461">
            <v>3555</v>
          </cell>
        </row>
        <row r="462">
          <cell r="A462">
            <v>3556</v>
          </cell>
        </row>
        <row r="463">
          <cell r="A463">
            <v>3559</v>
          </cell>
        </row>
        <row r="464">
          <cell r="A464">
            <v>3561</v>
          </cell>
        </row>
        <row r="465">
          <cell r="A465">
            <v>3562</v>
          </cell>
        </row>
        <row r="466">
          <cell r="A466">
            <v>3563</v>
          </cell>
        </row>
        <row r="467">
          <cell r="A467">
            <v>3564</v>
          </cell>
        </row>
        <row r="468">
          <cell r="A468">
            <v>3565</v>
          </cell>
        </row>
        <row r="469">
          <cell r="A469">
            <v>3566</v>
          </cell>
        </row>
        <row r="470">
          <cell r="A470">
            <v>3567</v>
          </cell>
        </row>
        <row r="471">
          <cell r="A471">
            <v>3568</v>
          </cell>
        </row>
        <row r="472">
          <cell r="A472">
            <v>3569</v>
          </cell>
        </row>
        <row r="473">
          <cell r="A473">
            <v>3571</v>
          </cell>
        </row>
        <row r="474">
          <cell r="A474">
            <v>3572</v>
          </cell>
        </row>
        <row r="475">
          <cell r="A475">
            <v>3575</v>
          </cell>
        </row>
        <row r="476">
          <cell r="A476">
            <v>3577</v>
          </cell>
        </row>
        <row r="477">
          <cell r="A477">
            <v>3578</v>
          </cell>
        </row>
        <row r="478">
          <cell r="A478">
            <v>3579</v>
          </cell>
        </row>
        <row r="479">
          <cell r="A479">
            <v>3581</v>
          </cell>
        </row>
        <row r="480">
          <cell r="A480">
            <v>3582</v>
          </cell>
        </row>
        <row r="481">
          <cell r="A481">
            <v>3585</v>
          </cell>
        </row>
        <row r="482">
          <cell r="A482">
            <v>3586</v>
          </cell>
        </row>
        <row r="483">
          <cell r="A483">
            <v>3589</v>
          </cell>
        </row>
        <row r="484">
          <cell r="A484">
            <v>3592</v>
          </cell>
        </row>
        <row r="485">
          <cell r="A485">
            <v>3593</v>
          </cell>
        </row>
        <row r="486">
          <cell r="A486">
            <v>3594</v>
          </cell>
        </row>
        <row r="487">
          <cell r="A487">
            <v>3596</v>
          </cell>
        </row>
        <row r="488">
          <cell r="A488">
            <v>3599</v>
          </cell>
        </row>
        <row r="489">
          <cell r="A489">
            <v>3612</v>
          </cell>
        </row>
        <row r="490">
          <cell r="A490">
            <v>3613</v>
          </cell>
        </row>
        <row r="491">
          <cell r="A491">
            <v>3621</v>
          </cell>
        </row>
        <row r="492">
          <cell r="A492">
            <v>3624</v>
          </cell>
        </row>
        <row r="493">
          <cell r="A493">
            <v>3625</v>
          </cell>
        </row>
        <row r="494">
          <cell r="A494">
            <v>3629</v>
          </cell>
        </row>
        <row r="495">
          <cell r="A495">
            <v>3631</v>
          </cell>
        </row>
        <row r="496">
          <cell r="A496">
            <v>3632</v>
          </cell>
        </row>
        <row r="497">
          <cell r="A497">
            <v>3633</v>
          </cell>
        </row>
        <row r="498">
          <cell r="A498">
            <v>3634</v>
          </cell>
        </row>
        <row r="499">
          <cell r="A499">
            <v>3635</v>
          </cell>
        </row>
        <row r="500">
          <cell r="A500">
            <v>3639</v>
          </cell>
        </row>
        <row r="501">
          <cell r="A501">
            <v>3641</v>
          </cell>
        </row>
        <row r="502">
          <cell r="A502">
            <v>3643</v>
          </cell>
        </row>
        <row r="503">
          <cell r="A503">
            <v>3644</v>
          </cell>
        </row>
        <row r="504">
          <cell r="A504">
            <v>3645</v>
          </cell>
        </row>
        <row r="505">
          <cell r="A505">
            <v>3646</v>
          </cell>
        </row>
        <row r="506">
          <cell r="A506">
            <v>3647</v>
          </cell>
        </row>
        <row r="507">
          <cell r="A507">
            <v>3648</v>
          </cell>
        </row>
        <row r="508">
          <cell r="A508">
            <v>3651</v>
          </cell>
        </row>
        <row r="509">
          <cell r="A509">
            <v>3652</v>
          </cell>
        </row>
        <row r="510">
          <cell r="A510">
            <v>3661</v>
          </cell>
        </row>
        <row r="511">
          <cell r="A511">
            <v>3663</v>
          </cell>
        </row>
        <row r="512">
          <cell r="A512">
            <v>3669</v>
          </cell>
        </row>
        <row r="513">
          <cell r="A513">
            <v>3671</v>
          </cell>
        </row>
        <row r="514">
          <cell r="A514">
            <v>3672</v>
          </cell>
        </row>
        <row r="515">
          <cell r="A515">
            <v>3674</v>
          </cell>
        </row>
        <row r="516">
          <cell r="A516">
            <v>3675</v>
          </cell>
        </row>
        <row r="517">
          <cell r="A517">
            <v>3676</v>
          </cell>
        </row>
        <row r="518">
          <cell r="A518">
            <v>3677</v>
          </cell>
        </row>
        <row r="519">
          <cell r="A519">
            <v>3678</v>
          </cell>
        </row>
        <row r="520">
          <cell r="A520">
            <v>3679</v>
          </cell>
        </row>
        <row r="521">
          <cell r="A521">
            <v>3691</v>
          </cell>
        </row>
        <row r="522">
          <cell r="A522">
            <v>3692</v>
          </cell>
        </row>
        <row r="523">
          <cell r="A523">
            <v>3694</v>
          </cell>
        </row>
        <row r="524">
          <cell r="A524">
            <v>3695</v>
          </cell>
        </row>
        <row r="525">
          <cell r="A525">
            <v>3699</v>
          </cell>
        </row>
        <row r="526">
          <cell r="A526">
            <v>3711</v>
          </cell>
        </row>
        <row r="527">
          <cell r="A527">
            <v>3713</v>
          </cell>
        </row>
        <row r="528">
          <cell r="A528">
            <v>3714</v>
          </cell>
        </row>
        <row r="529">
          <cell r="A529">
            <v>3715</v>
          </cell>
        </row>
        <row r="530">
          <cell r="A530">
            <v>3716</v>
          </cell>
        </row>
        <row r="531">
          <cell r="A531">
            <v>3721</v>
          </cell>
        </row>
        <row r="532">
          <cell r="A532">
            <v>3724</v>
          </cell>
        </row>
        <row r="533">
          <cell r="A533">
            <v>3728</v>
          </cell>
        </row>
        <row r="534">
          <cell r="A534">
            <v>3731</v>
          </cell>
        </row>
        <row r="535">
          <cell r="A535">
            <v>3732</v>
          </cell>
        </row>
        <row r="536">
          <cell r="A536">
            <v>3743</v>
          </cell>
        </row>
        <row r="537">
          <cell r="A537">
            <v>3751</v>
          </cell>
        </row>
        <row r="538">
          <cell r="A538">
            <v>3761</v>
          </cell>
        </row>
        <row r="539">
          <cell r="A539">
            <v>3764</v>
          </cell>
        </row>
        <row r="540">
          <cell r="A540">
            <v>3769</v>
          </cell>
        </row>
        <row r="541">
          <cell r="A541">
            <v>3792</v>
          </cell>
        </row>
        <row r="542">
          <cell r="A542">
            <v>3795</v>
          </cell>
        </row>
        <row r="543">
          <cell r="A543">
            <v>3799</v>
          </cell>
        </row>
        <row r="544">
          <cell r="A544">
            <v>3812</v>
          </cell>
        </row>
        <row r="545">
          <cell r="A545">
            <v>3821</v>
          </cell>
        </row>
        <row r="546">
          <cell r="A546">
            <v>3822</v>
          </cell>
        </row>
        <row r="547">
          <cell r="A547">
            <v>3823</v>
          </cell>
        </row>
        <row r="548">
          <cell r="A548">
            <v>3824</v>
          </cell>
        </row>
        <row r="549">
          <cell r="A549">
            <v>3825</v>
          </cell>
        </row>
        <row r="550">
          <cell r="A550">
            <v>3826</v>
          </cell>
        </row>
        <row r="551">
          <cell r="A551">
            <v>3827</v>
          </cell>
        </row>
        <row r="552">
          <cell r="A552">
            <v>3829</v>
          </cell>
        </row>
        <row r="553">
          <cell r="A553">
            <v>3841</v>
          </cell>
        </row>
        <row r="554">
          <cell r="A554">
            <v>3842</v>
          </cell>
        </row>
        <row r="555">
          <cell r="A555">
            <v>3843</v>
          </cell>
        </row>
        <row r="556">
          <cell r="A556">
            <v>3844</v>
          </cell>
        </row>
        <row r="557">
          <cell r="A557">
            <v>3845</v>
          </cell>
        </row>
        <row r="558">
          <cell r="A558">
            <v>3851</v>
          </cell>
        </row>
        <row r="559">
          <cell r="A559">
            <v>3861</v>
          </cell>
        </row>
        <row r="560">
          <cell r="A560">
            <v>3873</v>
          </cell>
        </row>
        <row r="561">
          <cell r="A561">
            <v>3911</v>
          </cell>
        </row>
        <row r="562">
          <cell r="A562">
            <v>3914</v>
          </cell>
        </row>
        <row r="563">
          <cell r="A563">
            <v>3915</v>
          </cell>
        </row>
        <row r="564">
          <cell r="A564">
            <v>3931</v>
          </cell>
        </row>
        <row r="565">
          <cell r="A565">
            <v>3942</v>
          </cell>
        </row>
        <row r="566">
          <cell r="A566">
            <v>3944</v>
          </cell>
        </row>
        <row r="567">
          <cell r="A567">
            <v>3949</v>
          </cell>
        </row>
        <row r="568">
          <cell r="A568">
            <v>3951</v>
          </cell>
        </row>
        <row r="569">
          <cell r="A569">
            <v>3952</v>
          </cell>
        </row>
        <row r="570">
          <cell r="A570">
            <v>3953</v>
          </cell>
        </row>
        <row r="571">
          <cell r="A571">
            <v>3955</v>
          </cell>
        </row>
        <row r="572">
          <cell r="A572">
            <v>3961</v>
          </cell>
        </row>
        <row r="573">
          <cell r="A573">
            <v>3965</v>
          </cell>
        </row>
        <row r="574">
          <cell r="A574">
            <v>3991</v>
          </cell>
        </row>
        <row r="575">
          <cell r="A575">
            <v>3993</v>
          </cell>
        </row>
        <row r="576">
          <cell r="A576">
            <v>3995</v>
          </cell>
        </row>
        <row r="577">
          <cell r="A577">
            <v>3996</v>
          </cell>
        </row>
        <row r="578">
          <cell r="A578">
            <v>3999</v>
          </cell>
        </row>
        <row r="579">
          <cell r="A579">
            <v>4011</v>
          </cell>
        </row>
        <row r="580">
          <cell r="A580">
            <v>4013</v>
          </cell>
        </row>
        <row r="581">
          <cell r="A581">
            <v>4111</v>
          </cell>
        </row>
        <row r="582">
          <cell r="A582">
            <v>4119</v>
          </cell>
        </row>
        <row r="583">
          <cell r="A583">
            <v>4121</v>
          </cell>
        </row>
        <row r="584">
          <cell r="A584">
            <v>4131</v>
          </cell>
        </row>
        <row r="585">
          <cell r="A585">
            <v>4141</v>
          </cell>
        </row>
        <row r="586">
          <cell r="A586">
            <v>4142</v>
          </cell>
        </row>
        <row r="587">
          <cell r="A587">
            <v>4151</v>
          </cell>
        </row>
        <row r="588">
          <cell r="A588">
            <v>4173</v>
          </cell>
        </row>
        <row r="589">
          <cell r="A589">
            <v>4212</v>
          </cell>
        </row>
        <row r="590">
          <cell r="A590">
            <v>4213</v>
          </cell>
        </row>
        <row r="591">
          <cell r="A591">
            <v>4214</v>
          </cell>
        </row>
        <row r="592">
          <cell r="A592">
            <v>4215</v>
          </cell>
        </row>
        <row r="593">
          <cell r="A593">
            <v>4221</v>
          </cell>
        </row>
        <row r="594">
          <cell r="A594">
            <v>4222</v>
          </cell>
        </row>
        <row r="595">
          <cell r="A595">
            <v>4225</v>
          </cell>
        </row>
        <row r="596">
          <cell r="A596">
            <v>4226</v>
          </cell>
        </row>
        <row r="597">
          <cell r="A597">
            <v>4231</v>
          </cell>
        </row>
        <row r="598">
          <cell r="A598">
            <v>4311</v>
          </cell>
        </row>
        <row r="599">
          <cell r="A599">
            <v>4412</v>
          </cell>
        </row>
        <row r="600">
          <cell r="A600">
            <v>4424</v>
          </cell>
        </row>
        <row r="601">
          <cell r="A601">
            <v>4432</v>
          </cell>
        </row>
        <row r="602">
          <cell r="A602">
            <v>4449</v>
          </cell>
        </row>
        <row r="603">
          <cell r="A603">
            <v>4481</v>
          </cell>
        </row>
        <row r="604">
          <cell r="A604">
            <v>4482</v>
          </cell>
        </row>
        <row r="605">
          <cell r="A605">
            <v>4489</v>
          </cell>
        </row>
        <row r="606">
          <cell r="A606">
            <v>4491</v>
          </cell>
        </row>
        <row r="607">
          <cell r="A607">
            <v>4492</v>
          </cell>
        </row>
        <row r="608">
          <cell r="A608">
            <v>4493</v>
          </cell>
        </row>
        <row r="609">
          <cell r="A609">
            <v>4499</v>
          </cell>
        </row>
        <row r="610">
          <cell r="A610">
            <v>4512</v>
          </cell>
        </row>
        <row r="611">
          <cell r="A611">
            <v>4513</v>
          </cell>
        </row>
        <row r="612">
          <cell r="A612">
            <v>4522</v>
          </cell>
        </row>
        <row r="613">
          <cell r="A613">
            <v>4581</v>
          </cell>
        </row>
        <row r="614">
          <cell r="A614">
            <v>4612</v>
          </cell>
        </row>
        <row r="615">
          <cell r="A615">
            <v>4613</v>
          </cell>
        </row>
        <row r="616">
          <cell r="A616">
            <v>4619</v>
          </cell>
        </row>
        <row r="617">
          <cell r="A617">
            <v>4724</v>
          </cell>
        </row>
        <row r="618">
          <cell r="A618">
            <v>4725</v>
          </cell>
        </row>
        <row r="619">
          <cell r="A619">
            <v>4729</v>
          </cell>
        </row>
        <row r="620">
          <cell r="A620">
            <v>4731</v>
          </cell>
        </row>
        <row r="621">
          <cell r="A621">
            <v>4741</v>
          </cell>
        </row>
        <row r="622">
          <cell r="A622">
            <v>4783</v>
          </cell>
        </row>
        <row r="623">
          <cell r="A623">
            <v>4785</v>
          </cell>
        </row>
        <row r="624">
          <cell r="A624">
            <v>4789</v>
          </cell>
        </row>
        <row r="625">
          <cell r="A625">
            <v>4812</v>
          </cell>
        </row>
        <row r="626">
          <cell r="A626">
            <v>4813</v>
          </cell>
        </row>
        <row r="627">
          <cell r="A627">
            <v>4822</v>
          </cell>
        </row>
        <row r="628">
          <cell r="A628">
            <v>4832</v>
          </cell>
        </row>
        <row r="629">
          <cell r="A629">
            <v>4833</v>
          </cell>
        </row>
        <row r="630">
          <cell r="A630">
            <v>4841</v>
          </cell>
        </row>
        <row r="631">
          <cell r="A631">
            <v>4899</v>
          </cell>
        </row>
        <row r="632">
          <cell r="A632">
            <v>4911</v>
          </cell>
        </row>
        <row r="633">
          <cell r="A633">
            <v>4922</v>
          </cell>
        </row>
        <row r="634">
          <cell r="A634">
            <v>4923</v>
          </cell>
        </row>
        <row r="635">
          <cell r="A635">
            <v>4924</v>
          </cell>
        </row>
        <row r="636">
          <cell r="A636">
            <v>4925</v>
          </cell>
        </row>
        <row r="637">
          <cell r="A637">
            <v>4931</v>
          </cell>
        </row>
        <row r="638">
          <cell r="A638">
            <v>4932</v>
          </cell>
        </row>
        <row r="639">
          <cell r="A639">
            <v>4939</v>
          </cell>
        </row>
        <row r="640">
          <cell r="A640">
            <v>4941</v>
          </cell>
        </row>
        <row r="641">
          <cell r="A641">
            <v>4952</v>
          </cell>
        </row>
        <row r="642">
          <cell r="A642">
            <v>4953</v>
          </cell>
        </row>
        <row r="643">
          <cell r="A643">
            <v>4959</v>
          </cell>
        </row>
        <row r="644">
          <cell r="A644">
            <v>4961</v>
          </cell>
        </row>
        <row r="645">
          <cell r="A645">
            <v>4971</v>
          </cell>
        </row>
        <row r="646">
          <cell r="A646">
            <v>5012</v>
          </cell>
        </row>
        <row r="647">
          <cell r="A647">
            <v>5013</v>
          </cell>
        </row>
        <row r="648">
          <cell r="A648">
            <v>5014</v>
          </cell>
        </row>
        <row r="649">
          <cell r="A649">
            <v>5015</v>
          </cell>
        </row>
        <row r="650">
          <cell r="A650">
            <v>5021</v>
          </cell>
        </row>
        <row r="651">
          <cell r="A651">
            <v>5023</v>
          </cell>
        </row>
        <row r="652">
          <cell r="A652">
            <v>5031</v>
          </cell>
        </row>
        <row r="653">
          <cell r="A653">
            <v>5032</v>
          </cell>
        </row>
        <row r="654">
          <cell r="A654">
            <v>5033</v>
          </cell>
        </row>
        <row r="655">
          <cell r="A655">
            <v>5039</v>
          </cell>
        </row>
        <row r="656">
          <cell r="A656">
            <v>5043</v>
          </cell>
        </row>
        <row r="657">
          <cell r="A657">
            <v>5044</v>
          </cell>
        </row>
        <row r="658">
          <cell r="A658">
            <v>5045</v>
          </cell>
        </row>
        <row r="659">
          <cell r="A659">
            <v>5046</v>
          </cell>
        </row>
        <row r="660">
          <cell r="A660">
            <v>5047</v>
          </cell>
        </row>
        <row r="661">
          <cell r="A661">
            <v>5048</v>
          </cell>
        </row>
        <row r="662">
          <cell r="A662">
            <v>5049</v>
          </cell>
        </row>
        <row r="663">
          <cell r="A663">
            <v>5051</v>
          </cell>
        </row>
        <row r="664">
          <cell r="A664">
            <v>5052</v>
          </cell>
        </row>
        <row r="665">
          <cell r="A665">
            <v>5063</v>
          </cell>
        </row>
        <row r="666">
          <cell r="A666">
            <v>5064</v>
          </cell>
        </row>
        <row r="667">
          <cell r="A667">
            <v>5065</v>
          </cell>
        </row>
        <row r="668">
          <cell r="A668">
            <v>5072</v>
          </cell>
        </row>
        <row r="669">
          <cell r="A669">
            <v>5074</v>
          </cell>
        </row>
        <row r="670">
          <cell r="A670">
            <v>5075</v>
          </cell>
        </row>
        <row r="671">
          <cell r="A671">
            <v>5078</v>
          </cell>
        </row>
        <row r="672">
          <cell r="A672">
            <v>5082</v>
          </cell>
        </row>
        <row r="673">
          <cell r="A673">
            <v>5083</v>
          </cell>
        </row>
        <row r="674">
          <cell r="A674">
            <v>5084</v>
          </cell>
        </row>
        <row r="675">
          <cell r="A675">
            <v>5085</v>
          </cell>
        </row>
        <row r="676">
          <cell r="A676">
            <v>5087</v>
          </cell>
        </row>
        <row r="677">
          <cell r="A677">
            <v>5088</v>
          </cell>
        </row>
        <row r="678">
          <cell r="A678">
            <v>5091</v>
          </cell>
        </row>
        <row r="679">
          <cell r="A679">
            <v>5092</v>
          </cell>
        </row>
        <row r="680">
          <cell r="A680">
            <v>5093</v>
          </cell>
        </row>
        <row r="681">
          <cell r="A681">
            <v>5094</v>
          </cell>
        </row>
        <row r="682">
          <cell r="A682">
            <v>5099</v>
          </cell>
        </row>
        <row r="683">
          <cell r="A683">
            <v>5111</v>
          </cell>
        </row>
        <row r="684">
          <cell r="A684">
            <v>5112</v>
          </cell>
        </row>
        <row r="685">
          <cell r="A685">
            <v>5113</v>
          </cell>
        </row>
        <row r="686">
          <cell r="A686">
            <v>5122</v>
          </cell>
        </row>
        <row r="687">
          <cell r="A687">
            <v>5131</v>
          </cell>
        </row>
        <row r="688">
          <cell r="A688">
            <v>5136</v>
          </cell>
        </row>
        <row r="689">
          <cell r="A689">
            <v>5137</v>
          </cell>
        </row>
        <row r="690">
          <cell r="A690">
            <v>5139</v>
          </cell>
        </row>
        <row r="691">
          <cell r="A691">
            <v>5141</v>
          </cell>
        </row>
        <row r="692">
          <cell r="A692">
            <v>5142</v>
          </cell>
        </row>
        <row r="693">
          <cell r="A693">
            <v>5143</v>
          </cell>
        </row>
        <row r="694">
          <cell r="A694">
            <v>5144</v>
          </cell>
        </row>
        <row r="695">
          <cell r="A695">
            <v>5145</v>
          </cell>
        </row>
        <row r="696">
          <cell r="A696">
            <v>5146</v>
          </cell>
        </row>
        <row r="697">
          <cell r="A697">
            <v>5147</v>
          </cell>
        </row>
        <row r="698">
          <cell r="A698">
            <v>5148</v>
          </cell>
        </row>
        <row r="699">
          <cell r="A699">
            <v>5149</v>
          </cell>
        </row>
        <row r="700">
          <cell r="A700">
            <v>5153</v>
          </cell>
        </row>
        <row r="701">
          <cell r="A701">
            <v>5154</v>
          </cell>
        </row>
        <row r="702">
          <cell r="A702">
            <v>5159</v>
          </cell>
        </row>
        <row r="703">
          <cell r="A703">
            <v>5162</v>
          </cell>
        </row>
        <row r="704">
          <cell r="A704">
            <v>5169</v>
          </cell>
        </row>
        <row r="705">
          <cell r="A705">
            <v>5171</v>
          </cell>
        </row>
        <row r="706">
          <cell r="A706">
            <v>5172</v>
          </cell>
        </row>
        <row r="707">
          <cell r="A707">
            <v>5181</v>
          </cell>
        </row>
        <row r="708">
          <cell r="A708">
            <v>5182</v>
          </cell>
        </row>
        <row r="709">
          <cell r="A709">
            <v>5191</v>
          </cell>
        </row>
        <row r="710">
          <cell r="A710">
            <v>5192</v>
          </cell>
        </row>
        <row r="711">
          <cell r="A711">
            <v>5193</v>
          </cell>
        </row>
        <row r="712">
          <cell r="A712">
            <v>5194</v>
          </cell>
        </row>
        <row r="713">
          <cell r="A713">
            <v>5198</v>
          </cell>
        </row>
        <row r="714">
          <cell r="A714">
            <v>5199</v>
          </cell>
        </row>
        <row r="715">
          <cell r="A715">
            <v>5211</v>
          </cell>
        </row>
        <row r="716">
          <cell r="A716">
            <v>5231</v>
          </cell>
        </row>
        <row r="717">
          <cell r="A717">
            <v>5251</v>
          </cell>
        </row>
        <row r="718">
          <cell r="A718">
            <v>5261</v>
          </cell>
        </row>
        <row r="719">
          <cell r="A719">
            <v>5271</v>
          </cell>
        </row>
        <row r="720">
          <cell r="A720">
            <v>5311</v>
          </cell>
        </row>
        <row r="721">
          <cell r="A721">
            <v>5331</v>
          </cell>
        </row>
        <row r="722">
          <cell r="A722">
            <v>5399</v>
          </cell>
        </row>
        <row r="723">
          <cell r="A723">
            <v>5411</v>
          </cell>
        </row>
        <row r="724">
          <cell r="A724">
            <v>5421</v>
          </cell>
        </row>
        <row r="725">
          <cell r="A725">
            <v>5431</v>
          </cell>
        </row>
        <row r="726">
          <cell r="A726">
            <v>5441</v>
          </cell>
        </row>
        <row r="727">
          <cell r="A727">
            <v>5451</v>
          </cell>
        </row>
        <row r="728">
          <cell r="A728">
            <v>5461</v>
          </cell>
        </row>
        <row r="729">
          <cell r="A729">
            <v>5499</v>
          </cell>
        </row>
        <row r="730">
          <cell r="A730">
            <v>5511</v>
          </cell>
        </row>
        <row r="731">
          <cell r="A731">
            <v>5521</v>
          </cell>
        </row>
        <row r="732">
          <cell r="A732">
            <v>5531</v>
          </cell>
        </row>
        <row r="733">
          <cell r="A733">
            <v>5541</v>
          </cell>
        </row>
        <row r="734">
          <cell r="A734">
            <v>5551</v>
          </cell>
        </row>
        <row r="735">
          <cell r="A735">
            <v>5561</v>
          </cell>
        </row>
        <row r="736">
          <cell r="A736">
            <v>5571</v>
          </cell>
        </row>
        <row r="737">
          <cell r="A737">
            <v>5599</v>
          </cell>
        </row>
        <row r="738">
          <cell r="A738">
            <v>5611</v>
          </cell>
        </row>
        <row r="739">
          <cell r="A739">
            <v>5621</v>
          </cell>
        </row>
        <row r="740">
          <cell r="A740">
            <v>5632</v>
          </cell>
        </row>
        <row r="741">
          <cell r="A741">
            <v>5641</v>
          </cell>
        </row>
        <row r="742">
          <cell r="A742">
            <v>5651</v>
          </cell>
        </row>
        <row r="743">
          <cell r="A743">
            <v>5661</v>
          </cell>
        </row>
        <row r="744">
          <cell r="A744">
            <v>5699</v>
          </cell>
        </row>
        <row r="745">
          <cell r="A745">
            <v>5712</v>
          </cell>
        </row>
        <row r="746">
          <cell r="A746">
            <v>5713</v>
          </cell>
        </row>
        <row r="747">
          <cell r="A747">
            <v>5714</v>
          </cell>
        </row>
        <row r="748">
          <cell r="A748">
            <v>5719</v>
          </cell>
        </row>
        <row r="749">
          <cell r="A749">
            <v>5722</v>
          </cell>
        </row>
        <row r="750">
          <cell r="A750">
            <v>5731</v>
          </cell>
        </row>
        <row r="751">
          <cell r="A751">
            <v>5734</v>
          </cell>
        </row>
        <row r="752">
          <cell r="A752">
            <v>5735</v>
          </cell>
        </row>
        <row r="753">
          <cell r="A753">
            <v>5736</v>
          </cell>
        </row>
        <row r="754">
          <cell r="A754">
            <v>5812</v>
          </cell>
        </row>
        <row r="755">
          <cell r="A755">
            <v>5813</v>
          </cell>
        </row>
        <row r="756">
          <cell r="A756">
            <v>5912</v>
          </cell>
        </row>
        <row r="757">
          <cell r="A757">
            <v>5921</v>
          </cell>
        </row>
        <row r="758">
          <cell r="A758">
            <v>5932</v>
          </cell>
        </row>
        <row r="759">
          <cell r="A759">
            <v>5941</v>
          </cell>
        </row>
        <row r="760">
          <cell r="A760">
            <v>5942</v>
          </cell>
        </row>
        <row r="761">
          <cell r="A761">
            <v>5943</v>
          </cell>
        </row>
        <row r="762">
          <cell r="A762">
            <v>5944</v>
          </cell>
        </row>
        <row r="763">
          <cell r="A763">
            <v>5945</v>
          </cell>
        </row>
        <row r="764">
          <cell r="A764">
            <v>5946</v>
          </cell>
        </row>
        <row r="765">
          <cell r="A765">
            <v>5947</v>
          </cell>
        </row>
        <row r="766">
          <cell r="A766">
            <v>5948</v>
          </cell>
        </row>
        <row r="767">
          <cell r="A767">
            <v>5949</v>
          </cell>
        </row>
        <row r="768">
          <cell r="A768">
            <v>5961</v>
          </cell>
        </row>
        <row r="769">
          <cell r="A769">
            <v>5962</v>
          </cell>
        </row>
        <row r="770">
          <cell r="A770">
            <v>5963</v>
          </cell>
        </row>
        <row r="771">
          <cell r="A771">
            <v>5983</v>
          </cell>
        </row>
        <row r="772">
          <cell r="A772">
            <v>5984</v>
          </cell>
        </row>
        <row r="773">
          <cell r="A773">
            <v>5989</v>
          </cell>
        </row>
        <row r="774">
          <cell r="A774">
            <v>5992</v>
          </cell>
        </row>
        <row r="775">
          <cell r="A775">
            <v>5993</v>
          </cell>
        </row>
        <row r="776">
          <cell r="A776">
            <v>5994</v>
          </cell>
        </row>
        <row r="777">
          <cell r="A777">
            <v>5995</v>
          </cell>
        </row>
        <row r="778">
          <cell r="A778">
            <v>5999</v>
          </cell>
        </row>
        <row r="779">
          <cell r="A779">
            <v>6011</v>
          </cell>
        </row>
        <row r="780">
          <cell r="A780">
            <v>6019</v>
          </cell>
        </row>
        <row r="781">
          <cell r="A781">
            <v>6021</v>
          </cell>
        </row>
        <row r="782">
          <cell r="A782">
            <v>6022</v>
          </cell>
        </row>
        <row r="783">
          <cell r="A783">
            <v>6029</v>
          </cell>
        </row>
        <row r="784">
          <cell r="A784">
            <v>6035</v>
          </cell>
        </row>
        <row r="785">
          <cell r="A785">
            <v>6036</v>
          </cell>
        </row>
        <row r="786">
          <cell r="A786">
            <v>6061</v>
          </cell>
        </row>
        <row r="787">
          <cell r="A787">
            <v>6062</v>
          </cell>
        </row>
        <row r="788">
          <cell r="A788">
            <v>6081</v>
          </cell>
        </row>
        <row r="789">
          <cell r="A789">
            <v>6082</v>
          </cell>
        </row>
        <row r="790">
          <cell r="A790">
            <v>6091</v>
          </cell>
        </row>
        <row r="791">
          <cell r="A791">
            <v>6099</v>
          </cell>
        </row>
        <row r="792">
          <cell r="A792">
            <v>6111</v>
          </cell>
        </row>
        <row r="793">
          <cell r="A793">
            <v>6141</v>
          </cell>
        </row>
        <row r="794">
          <cell r="A794">
            <v>6153</v>
          </cell>
        </row>
        <row r="795">
          <cell r="A795">
            <v>6159</v>
          </cell>
        </row>
        <row r="796">
          <cell r="A796">
            <v>6162</v>
          </cell>
        </row>
        <row r="797">
          <cell r="A797">
            <v>6163</v>
          </cell>
        </row>
        <row r="798">
          <cell r="A798">
            <v>6211</v>
          </cell>
        </row>
        <row r="799">
          <cell r="A799">
            <v>6221</v>
          </cell>
        </row>
        <row r="800">
          <cell r="A800">
            <v>6231</v>
          </cell>
        </row>
        <row r="801">
          <cell r="A801">
            <v>6282</v>
          </cell>
        </row>
        <row r="802">
          <cell r="A802">
            <v>6289</v>
          </cell>
        </row>
        <row r="803">
          <cell r="A803">
            <v>6311</v>
          </cell>
        </row>
        <row r="804">
          <cell r="A804">
            <v>6321</v>
          </cell>
        </row>
        <row r="805">
          <cell r="A805">
            <v>6324</v>
          </cell>
        </row>
        <row r="806">
          <cell r="A806">
            <v>6331</v>
          </cell>
        </row>
        <row r="807">
          <cell r="A807">
            <v>6351</v>
          </cell>
        </row>
        <row r="808">
          <cell r="A808">
            <v>6361</v>
          </cell>
        </row>
        <row r="809">
          <cell r="A809">
            <v>6371</v>
          </cell>
        </row>
        <row r="810">
          <cell r="A810">
            <v>6399</v>
          </cell>
        </row>
        <row r="811">
          <cell r="A811">
            <v>6411</v>
          </cell>
        </row>
        <row r="812">
          <cell r="A812">
            <v>6512</v>
          </cell>
        </row>
        <row r="813">
          <cell r="A813">
            <v>6513</v>
          </cell>
        </row>
        <row r="814">
          <cell r="A814">
            <v>6514</v>
          </cell>
        </row>
        <row r="815">
          <cell r="A815">
            <v>6515</v>
          </cell>
        </row>
        <row r="816">
          <cell r="A816">
            <v>6517</v>
          </cell>
        </row>
        <row r="817">
          <cell r="A817">
            <v>6519</v>
          </cell>
        </row>
        <row r="818">
          <cell r="A818">
            <v>6531</v>
          </cell>
        </row>
        <row r="819">
          <cell r="A819">
            <v>6541</v>
          </cell>
        </row>
        <row r="820">
          <cell r="A820">
            <v>6552</v>
          </cell>
        </row>
        <row r="821">
          <cell r="A821">
            <v>6553</v>
          </cell>
        </row>
        <row r="822">
          <cell r="A822">
            <v>6712</v>
          </cell>
        </row>
        <row r="823">
          <cell r="A823">
            <v>6719</v>
          </cell>
        </row>
        <row r="824">
          <cell r="A824">
            <v>6722</v>
          </cell>
        </row>
        <row r="825">
          <cell r="A825">
            <v>6726</v>
          </cell>
        </row>
        <row r="826">
          <cell r="A826">
            <v>6732</v>
          </cell>
        </row>
        <row r="827">
          <cell r="A827">
            <v>6733</v>
          </cell>
        </row>
        <row r="828">
          <cell r="A828">
            <v>6792</v>
          </cell>
        </row>
        <row r="829">
          <cell r="A829">
            <v>6794</v>
          </cell>
        </row>
        <row r="830">
          <cell r="A830">
            <v>6798</v>
          </cell>
        </row>
        <row r="831">
          <cell r="A831">
            <v>6799</v>
          </cell>
        </row>
        <row r="832">
          <cell r="A832">
            <v>7011</v>
          </cell>
        </row>
        <row r="833">
          <cell r="A833">
            <v>7021</v>
          </cell>
        </row>
        <row r="834">
          <cell r="A834">
            <v>7032</v>
          </cell>
        </row>
        <row r="835">
          <cell r="A835">
            <v>7033</v>
          </cell>
        </row>
        <row r="836">
          <cell r="A836">
            <v>7041</v>
          </cell>
        </row>
        <row r="837">
          <cell r="A837">
            <v>7211</v>
          </cell>
        </row>
        <row r="838">
          <cell r="A838">
            <v>7212</v>
          </cell>
        </row>
        <row r="839">
          <cell r="A839">
            <v>7213</v>
          </cell>
        </row>
        <row r="840">
          <cell r="A840">
            <v>7215</v>
          </cell>
        </row>
        <row r="841">
          <cell r="A841">
            <v>7216</v>
          </cell>
        </row>
        <row r="842">
          <cell r="A842">
            <v>7217</v>
          </cell>
        </row>
        <row r="843">
          <cell r="A843">
            <v>7218</v>
          </cell>
        </row>
        <row r="844">
          <cell r="A844">
            <v>7219</v>
          </cell>
        </row>
        <row r="845">
          <cell r="A845">
            <v>7221</v>
          </cell>
        </row>
        <row r="846">
          <cell r="A846">
            <v>7231</v>
          </cell>
        </row>
        <row r="847">
          <cell r="A847">
            <v>7241</v>
          </cell>
        </row>
        <row r="848">
          <cell r="A848">
            <v>7251</v>
          </cell>
        </row>
        <row r="849">
          <cell r="A849">
            <v>7261</v>
          </cell>
        </row>
        <row r="850">
          <cell r="A850">
            <v>7291</v>
          </cell>
        </row>
        <row r="851">
          <cell r="A851">
            <v>7299</v>
          </cell>
        </row>
        <row r="852">
          <cell r="A852">
            <v>7311</v>
          </cell>
        </row>
        <row r="853">
          <cell r="A853">
            <v>7312</v>
          </cell>
        </row>
        <row r="854">
          <cell r="A854">
            <v>7313</v>
          </cell>
        </row>
        <row r="855">
          <cell r="A855">
            <v>7319</v>
          </cell>
        </row>
        <row r="856">
          <cell r="A856">
            <v>7322</v>
          </cell>
        </row>
        <row r="857">
          <cell r="A857">
            <v>7323</v>
          </cell>
        </row>
        <row r="858">
          <cell r="A858">
            <v>7331</v>
          </cell>
        </row>
        <row r="859">
          <cell r="A859">
            <v>7334</v>
          </cell>
        </row>
        <row r="860">
          <cell r="A860">
            <v>7335</v>
          </cell>
        </row>
        <row r="861">
          <cell r="A861">
            <v>7336</v>
          </cell>
        </row>
        <row r="862">
          <cell r="A862">
            <v>7338</v>
          </cell>
        </row>
        <row r="863">
          <cell r="A863">
            <v>7342</v>
          </cell>
        </row>
        <row r="864">
          <cell r="A864">
            <v>7349</v>
          </cell>
        </row>
        <row r="865">
          <cell r="A865">
            <v>7352</v>
          </cell>
        </row>
        <row r="866">
          <cell r="A866">
            <v>7353</v>
          </cell>
        </row>
        <row r="867">
          <cell r="A867">
            <v>7359</v>
          </cell>
        </row>
        <row r="868">
          <cell r="A868">
            <v>7361</v>
          </cell>
        </row>
        <row r="869">
          <cell r="A869">
            <v>7363</v>
          </cell>
        </row>
        <row r="870">
          <cell r="A870">
            <v>7371</v>
          </cell>
        </row>
        <row r="871">
          <cell r="A871">
            <v>7372</v>
          </cell>
        </row>
        <row r="872">
          <cell r="A872">
            <v>7373</v>
          </cell>
        </row>
        <row r="873">
          <cell r="A873">
            <v>7374</v>
          </cell>
        </row>
        <row r="874">
          <cell r="A874">
            <v>7375</v>
          </cell>
        </row>
        <row r="875">
          <cell r="A875">
            <v>7376</v>
          </cell>
        </row>
        <row r="876">
          <cell r="A876">
            <v>7377</v>
          </cell>
        </row>
        <row r="877">
          <cell r="A877">
            <v>7378</v>
          </cell>
        </row>
        <row r="878">
          <cell r="A878">
            <v>7379</v>
          </cell>
        </row>
        <row r="879">
          <cell r="A879">
            <v>7381</v>
          </cell>
        </row>
        <row r="880">
          <cell r="A880">
            <v>7382</v>
          </cell>
        </row>
        <row r="881">
          <cell r="A881">
            <v>7383</v>
          </cell>
        </row>
        <row r="882">
          <cell r="A882">
            <v>7384</v>
          </cell>
        </row>
        <row r="883">
          <cell r="A883">
            <v>7389</v>
          </cell>
        </row>
        <row r="884">
          <cell r="A884">
            <v>7513</v>
          </cell>
        </row>
        <row r="885">
          <cell r="A885">
            <v>7514</v>
          </cell>
        </row>
        <row r="886">
          <cell r="A886">
            <v>7515</v>
          </cell>
        </row>
        <row r="887">
          <cell r="A887">
            <v>7519</v>
          </cell>
        </row>
        <row r="888">
          <cell r="A888">
            <v>7521</v>
          </cell>
        </row>
        <row r="889">
          <cell r="A889">
            <v>7532</v>
          </cell>
        </row>
        <row r="890">
          <cell r="A890">
            <v>7533</v>
          </cell>
        </row>
        <row r="891">
          <cell r="A891">
            <v>7534</v>
          </cell>
        </row>
        <row r="892">
          <cell r="A892">
            <v>7536</v>
          </cell>
        </row>
        <row r="893">
          <cell r="A893">
            <v>7537</v>
          </cell>
        </row>
        <row r="894">
          <cell r="A894">
            <v>7538</v>
          </cell>
        </row>
        <row r="895">
          <cell r="A895">
            <v>7539</v>
          </cell>
        </row>
        <row r="896">
          <cell r="A896">
            <v>7542</v>
          </cell>
        </row>
        <row r="897">
          <cell r="A897">
            <v>7549</v>
          </cell>
        </row>
        <row r="898">
          <cell r="A898">
            <v>7622</v>
          </cell>
        </row>
        <row r="899">
          <cell r="A899">
            <v>7623</v>
          </cell>
        </row>
        <row r="900">
          <cell r="A900">
            <v>7629</v>
          </cell>
        </row>
        <row r="901">
          <cell r="A901">
            <v>7631</v>
          </cell>
        </row>
        <row r="902">
          <cell r="A902">
            <v>7641</v>
          </cell>
        </row>
        <row r="903">
          <cell r="A903">
            <v>7692</v>
          </cell>
        </row>
        <row r="904">
          <cell r="A904">
            <v>7694</v>
          </cell>
        </row>
        <row r="905">
          <cell r="A905">
            <v>7699</v>
          </cell>
        </row>
        <row r="906">
          <cell r="A906">
            <v>7812</v>
          </cell>
        </row>
        <row r="907">
          <cell r="A907">
            <v>7819</v>
          </cell>
        </row>
        <row r="908">
          <cell r="A908">
            <v>7822</v>
          </cell>
        </row>
        <row r="909">
          <cell r="A909">
            <v>7829</v>
          </cell>
        </row>
        <row r="910">
          <cell r="A910">
            <v>7832</v>
          </cell>
        </row>
        <row r="911">
          <cell r="A911">
            <v>7833</v>
          </cell>
        </row>
        <row r="912">
          <cell r="A912">
            <v>7841</v>
          </cell>
        </row>
        <row r="913">
          <cell r="A913">
            <v>7911</v>
          </cell>
        </row>
        <row r="914">
          <cell r="A914">
            <v>7922</v>
          </cell>
        </row>
        <row r="915">
          <cell r="A915">
            <v>7929</v>
          </cell>
        </row>
        <row r="916">
          <cell r="A916">
            <v>7933</v>
          </cell>
        </row>
        <row r="917">
          <cell r="A917">
            <v>7941</v>
          </cell>
        </row>
        <row r="918">
          <cell r="A918">
            <v>7948</v>
          </cell>
        </row>
        <row r="919">
          <cell r="A919">
            <v>7991</v>
          </cell>
        </row>
        <row r="920">
          <cell r="A920">
            <v>7992</v>
          </cell>
        </row>
        <row r="921">
          <cell r="A921">
            <v>7993</v>
          </cell>
        </row>
        <row r="922">
          <cell r="A922">
            <v>7996</v>
          </cell>
        </row>
        <row r="923">
          <cell r="A923">
            <v>7997</v>
          </cell>
        </row>
        <row r="924">
          <cell r="A924">
            <v>7999</v>
          </cell>
        </row>
        <row r="925">
          <cell r="A925">
            <v>8011</v>
          </cell>
        </row>
        <row r="926">
          <cell r="A926">
            <v>8021</v>
          </cell>
        </row>
        <row r="927">
          <cell r="A927">
            <v>8031</v>
          </cell>
        </row>
        <row r="928">
          <cell r="A928">
            <v>8041</v>
          </cell>
        </row>
        <row r="929">
          <cell r="A929">
            <v>8042</v>
          </cell>
        </row>
        <row r="930">
          <cell r="A930">
            <v>8043</v>
          </cell>
        </row>
        <row r="931">
          <cell r="A931">
            <v>8049</v>
          </cell>
        </row>
        <row r="932">
          <cell r="A932">
            <v>8051</v>
          </cell>
        </row>
        <row r="933">
          <cell r="A933">
            <v>8052</v>
          </cell>
        </row>
        <row r="934">
          <cell r="A934">
            <v>8059</v>
          </cell>
        </row>
        <row r="935">
          <cell r="A935">
            <v>8062</v>
          </cell>
        </row>
        <row r="936">
          <cell r="A936">
            <v>8063</v>
          </cell>
        </row>
        <row r="937">
          <cell r="A937">
            <v>8069</v>
          </cell>
        </row>
        <row r="938">
          <cell r="A938">
            <v>8071</v>
          </cell>
        </row>
        <row r="939">
          <cell r="A939">
            <v>8072</v>
          </cell>
        </row>
        <row r="940">
          <cell r="A940">
            <v>8082</v>
          </cell>
        </row>
        <row r="941">
          <cell r="A941">
            <v>8092</v>
          </cell>
        </row>
        <row r="942">
          <cell r="A942">
            <v>8093</v>
          </cell>
        </row>
        <row r="943">
          <cell r="A943">
            <v>8099</v>
          </cell>
        </row>
        <row r="944">
          <cell r="A944">
            <v>8111</v>
          </cell>
        </row>
        <row r="945">
          <cell r="A945">
            <v>8211</v>
          </cell>
        </row>
        <row r="946">
          <cell r="A946">
            <v>8221</v>
          </cell>
        </row>
        <row r="947">
          <cell r="A947">
            <v>8222</v>
          </cell>
        </row>
        <row r="948">
          <cell r="A948">
            <v>8231</v>
          </cell>
        </row>
        <row r="949">
          <cell r="A949">
            <v>8243</v>
          </cell>
        </row>
        <row r="950">
          <cell r="A950">
            <v>8244</v>
          </cell>
        </row>
        <row r="951">
          <cell r="A951">
            <v>8249</v>
          </cell>
        </row>
        <row r="952">
          <cell r="A952">
            <v>8299</v>
          </cell>
        </row>
        <row r="953">
          <cell r="A953">
            <v>8322</v>
          </cell>
        </row>
        <row r="954">
          <cell r="A954">
            <v>8331</v>
          </cell>
        </row>
        <row r="955">
          <cell r="A955">
            <v>8351</v>
          </cell>
        </row>
        <row r="956">
          <cell r="A956">
            <v>8361</v>
          </cell>
        </row>
        <row r="957">
          <cell r="A957">
            <v>8399</v>
          </cell>
        </row>
        <row r="958">
          <cell r="A958">
            <v>8412</v>
          </cell>
        </row>
        <row r="959">
          <cell r="A959">
            <v>8422</v>
          </cell>
        </row>
        <row r="960">
          <cell r="A960">
            <v>8611</v>
          </cell>
        </row>
        <row r="961">
          <cell r="A961">
            <v>8621</v>
          </cell>
        </row>
        <row r="962">
          <cell r="A962">
            <v>8631</v>
          </cell>
        </row>
        <row r="963">
          <cell r="A963">
            <v>8641</v>
          </cell>
        </row>
        <row r="964">
          <cell r="A964">
            <v>8651</v>
          </cell>
        </row>
        <row r="965">
          <cell r="A965">
            <v>8661</v>
          </cell>
        </row>
        <row r="966">
          <cell r="A966">
            <v>8699</v>
          </cell>
        </row>
        <row r="967">
          <cell r="A967">
            <v>8711</v>
          </cell>
        </row>
        <row r="968">
          <cell r="A968">
            <v>8712</v>
          </cell>
        </row>
        <row r="969">
          <cell r="A969">
            <v>8713</v>
          </cell>
        </row>
        <row r="970">
          <cell r="A970">
            <v>8721</v>
          </cell>
        </row>
        <row r="971">
          <cell r="A971">
            <v>8731</v>
          </cell>
        </row>
        <row r="972">
          <cell r="A972">
            <v>8732</v>
          </cell>
        </row>
        <row r="973">
          <cell r="A973">
            <v>8733</v>
          </cell>
        </row>
        <row r="974">
          <cell r="A974">
            <v>8734</v>
          </cell>
        </row>
        <row r="975">
          <cell r="A975">
            <v>8741</v>
          </cell>
        </row>
        <row r="976">
          <cell r="A976">
            <v>8742</v>
          </cell>
        </row>
        <row r="977">
          <cell r="A977">
            <v>8743</v>
          </cell>
        </row>
        <row r="978">
          <cell r="A978">
            <v>8744</v>
          </cell>
        </row>
        <row r="979">
          <cell r="A979">
            <v>8748</v>
          </cell>
        </row>
        <row r="980">
          <cell r="A980">
            <v>8811</v>
          </cell>
        </row>
        <row r="981">
          <cell r="A981">
            <v>8999</v>
          </cell>
        </row>
        <row r="982">
          <cell r="A982">
            <v>9111</v>
          </cell>
        </row>
        <row r="983">
          <cell r="A983">
            <v>9121</v>
          </cell>
        </row>
        <row r="984">
          <cell r="A984">
            <v>9131</v>
          </cell>
        </row>
        <row r="985">
          <cell r="A985">
            <v>9199</v>
          </cell>
        </row>
        <row r="986">
          <cell r="A986">
            <v>9211</v>
          </cell>
        </row>
        <row r="987">
          <cell r="A987">
            <v>9221</v>
          </cell>
        </row>
        <row r="988">
          <cell r="A988">
            <v>9222</v>
          </cell>
        </row>
        <row r="989">
          <cell r="A989">
            <v>9223</v>
          </cell>
        </row>
        <row r="990">
          <cell r="A990">
            <v>9224</v>
          </cell>
        </row>
        <row r="991">
          <cell r="A991">
            <v>9229</v>
          </cell>
        </row>
        <row r="992">
          <cell r="A992">
            <v>9311</v>
          </cell>
        </row>
        <row r="993">
          <cell r="A993">
            <v>9411</v>
          </cell>
        </row>
        <row r="994">
          <cell r="A994">
            <v>9431</v>
          </cell>
        </row>
        <row r="995">
          <cell r="A995">
            <v>9441</v>
          </cell>
        </row>
        <row r="996">
          <cell r="A996">
            <v>9451</v>
          </cell>
        </row>
        <row r="997">
          <cell r="A997">
            <v>9511</v>
          </cell>
        </row>
        <row r="998">
          <cell r="A998">
            <v>9512</v>
          </cell>
        </row>
        <row r="999">
          <cell r="A999">
            <v>9531</v>
          </cell>
        </row>
        <row r="1000">
          <cell r="A1000">
            <v>9532</v>
          </cell>
        </row>
        <row r="1001">
          <cell r="A1001">
            <v>9611</v>
          </cell>
        </row>
        <row r="1002">
          <cell r="A1002">
            <v>9621</v>
          </cell>
        </row>
        <row r="1003">
          <cell r="A1003">
            <v>9631</v>
          </cell>
        </row>
        <row r="1004">
          <cell r="A1004">
            <v>9641</v>
          </cell>
        </row>
        <row r="1005">
          <cell r="A1005">
            <v>9651</v>
          </cell>
        </row>
        <row r="1006">
          <cell r="A1006">
            <v>9661</v>
          </cell>
        </row>
        <row r="1007">
          <cell r="A1007">
            <v>9711</v>
          </cell>
        </row>
        <row r="1008">
          <cell r="A1008">
            <v>9721</v>
          </cell>
        </row>
        <row r="1009">
          <cell r="A1009">
            <v>9999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"/>
      <sheetName val="log"/>
      <sheetName val="Scrub"/>
      <sheetName val="Census data"/>
      <sheetName val="UW LG Rating"/>
      <sheetName val="Data"/>
      <sheetName val="Edits"/>
      <sheetName val="Experience"/>
      <sheetName val="Create PDF"/>
      <sheetName val="CO Renewal Letter"/>
      <sheetName val="Dental Proposal"/>
      <sheetName val="Dual Option Calc"/>
      <sheetName val="Trad Discount Calc"/>
      <sheetName val="Benefit Summary"/>
      <sheetName val="Standard Alternatives"/>
      <sheetName val="Experience Rating Detail"/>
      <sheetName val="Internal Report"/>
      <sheetName val="Retention"/>
      <sheetName val="Marketing Page"/>
      <sheetName val="To do list"/>
      <sheetName val="by State ZIP3"/>
      <sheetName val="by State"/>
      <sheetName val="SIC code"/>
      <sheetName val="Calculation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Coinsurance"/>
      <sheetName val="Empire Logo Criteria"/>
      <sheetName val="DropDown Names"/>
    </sheetNames>
    <sheetDataSet>
      <sheetData sheetId="0"/>
      <sheetData sheetId="1"/>
      <sheetData sheetId="2"/>
      <sheetData sheetId="3"/>
      <sheetData sheetId="4"/>
      <sheetData sheetId="5">
        <row r="3">
          <cell r="HL3" t="str">
            <v>2X per 12 months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ensusSummary"/>
      <sheetName val="ss"/>
      <sheetName val="Documentation"/>
      <sheetName val="log"/>
      <sheetName val="Scrub"/>
      <sheetName val="Census data"/>
      <sheetName val="UW LG Rating"/>
      <sheetName val="Experience"/>
      <sheetName val="Create PDF"/>
      <sheetName val="Dental Proposal"/>
      <sheetName val="Benefit Summary"/>
      <sheetName val="Standard Alternatives"/>
      <sheetName val="CO Renewal Letter"/>
      <sheetName val="Experience Rating Detail"/>
      <sheetName val="Data"/>
      <sheetName val="Calculation"/>
      <sheetName val="Internal Report"/>
      <sheetName val="Retention"/>
      <sheetName val="Marketing Page"/>
      <sheetName val="To do list"/>
      <sheetName val="by State ZIP3"/>
      <sheetName val="by State ZIP3_statedep"/>
      <sheetName val="Table6 XPO"/>
      <sheetName val="WaitingPer BenCat"/>
      <sheetName val="Coinsurance"/>
      <sheetName val="Edits"/>
      <sheetName val="NY Service Area"/>
      <sheetName val="by State"/>
      <sheetName val="SIC code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Empire Logo Criteria"/>
      <sheetName val="CONTAC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Y2">
            <v>8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5">
          <cell r="A5">
            <v>111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shawn.tharayil+dev@benrevo.com" TargetMode="External"/><Relationship Id="rId2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3"/>
  <sheetViews>
    <sheetView workbookViewId="0"/>
  </sheetViews>
  <sheetFormatPr baseColWidth="10" defaultRowHeight="15" x14ac:dyDescent="0.2"/>
  <cols>
    <col min="1" max="1" width="20.5" customWidth="1"/>
    <col min="2" max="2" width="19.83203125" customWidth="1"/>
  </cols>
  <sheetData>
    <row r="1" spans="1:3" x14ac:dyDescent="0.2">
      <c r="A1" t="s">
        <v>143</v>
      </c>
    </row>
    <row r="2" spans="1:3" x14ac:dyDescent="0.2">
      <c r="A2" t="s">
        <v>144</v>
      </c>
    </row>
    <row r="9" spans="1:3" x14ac:dyDescent="0.2">
      <c r="A9" s="157" t="s">
        <v>175</v>
      </c>
      <c r="B9" s="157"/>
      <c r="C9" s="157"/>
    </row>
    <row r="10" spans="1:3" x14ac:dyDescent="0.2">
      <c r="A10" t="s">
        <v>171</v>
      </c>
      <c r="B10" t="s">
        <v>157</v>
      </c>
      <c r="C10" t="s">
        <v>172</v>
      </c>
    </row>
    <row r="11" spans="1:3" x14ac:dyDescent="0.2">
      <c r="A11" s="110" t="s">
        <v>145</v>
      </c>
      <c r="B11" s="110" t="s">
        <v>158</v>
      </c>
      <c r="C11" t="s">
        <v>173</v>
      </c>
    </row>
    <row r="12" spans="1:3" x14ac:dyDescent="0.2">
      <c r="A12" s="110" t="s">
        <v>146</v>
      </c>
      <c r="B12" s="110" t="s">
        <v>160</v>
      </c>
      <c r="C12" t="s">
        <v>156</v>
      </c>
    </row>
    <row r="13" spans="1:3" x14ac:dyDescent="0.2">
      <c r="A13" s="110" t="s">
        <v>147</v>
      </c>
      <c r="B13" s="110" t="s">
        <v>159</v>
      </c>
      <c r="C13" t="s">
        <v>155</v>
      </c>
    </row>
    <row r="14" spans="1:3" x14ac:dyDescent="0.2">
      <c r="A14" s="110" t="s">
        <v>148</v>
      </c>
      <c r="B14" s="110" t="s">
        <v>162</v>
      </c>
    </row>
    <row r="15" spans="1:3" x14ac:dyDescent="0.2">
      <c r="A15" s="110" t="s">
        <v>149</v>
      </c>
      <c r="B15" s="110" t="s">
        <v>161</v>
      </c>
    </row>
    <row r="16" spans="1:3" x14ac:dyDescent="0.2">
      <c r="A16" s="110" t="s">
        <v>150</v>
      </c>
      <c r="B16" s="110" t="s">
        <v>167</v>
      </c>
    </row>
    <row r="17" spans="1:2" x14ac:dyDescent="0.2">
      <c r="A17" s="110" t="s">
        <v>151</v>
      </c>
      <c r="B17" s="110" t="s">
        <v>163</v>
      </c>
    </row>
    <row r="18" spans="1:2" x14ac:dyDescent="0.2">
      <c r="A18" s="110" t="s">
        <v>152</v>
      </c>
      <c r="B18" s="110" t="s">
        <v>164</v>
      </c>
    </row>
    <row r="19" spans="1:2" x14ac:dyDescent="0.2">
      <c r="A19" s="110" t="s">
        <v>153</v>
      </c>
      <c r="B19" s="110" t="s">
        <v>165</v>
      </c>
    </row>
    <row r="20" spans="1:2" x14ac:dyDescent="0.2">
      <c r="A20" s="110" t="s">
        <v>154</v>
      </c>
      <c r="B20" s="110" t="s">
        <v>166</v>
      </c>
    </row>
    <row r="21" spans="1:2" x14ac:dyDescent="0.2">
      <c r="B21" s="110" t="s">
        <v>169</v>
      </c>
    </row>
    <row r="22" spans="1:2" x14ac:dyDescent="0.2">
      <c r="A22" s="110"/>
      <c r="B22" s="110" t="s">
        <v>170</v>
      </c>
    </row>
    <row r="23" spans="1:2" x14ac:dyDescent="0.2">
      <c r="A23" s="110"/>
    </row>
  </sheetData>
  <mergeCells count="1">
    <mergeCell ref="A9:C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72"/>
  <sheetViews>
    <sheetView showGridLines="0" tabSelected="1" workbookViewId="0">
      <selection activeCell="E6" sqref="E6:H6"/>
    </sheetView>
  </sheetViews>
  <sheetFormatPr baseColWidth="10" defaultColWidth="8.83203125" defaultRowHeight="15" x14ac:dyDescent="0.2"/>
  <cols>
    <col min="1" max="1" width="2.33203125" style="2" customWidth="1"/>
    <col min="2" max="2" width="13" style="2" customWidth="1"/>
    <col min="3" max="3" width="6.33203125" style="2" customWidth="1"/>
    <col min="4" max="4" width="8.33203125" style="2" customWidth="1"/>
    <col min="5" max="5" width="11.5" style="2" customWidth="1"/>
    <col min="6" max="7" width="5.83203125" style="2" customWidth="1"/>
    <col min="8" max="8" width="7.33203125" style="2" customWidth="1"/>
    <col min="9" max="9" width="9.33203125" style="2" customWidth="1"/>
    <col min="10" max="10" width="10.83203125" style="2" customWidth="1"/>
    <col min="11" max="11" width="9.33203125" style="2" customWidth="1"/>
    <col min="12" max="12" width="10.33203125" style="2" customWidth="1"/>
    <col min="13" max="13" width="7.5" style="4" customWidth="1"/>
    <col min="14" max="15" width="9.6640625" style="2" customWidth="1"/>
    <col min="16" max="17" width="8.83203125" style="2"/>
    <col min="18" max="18" width="13.83203125" style="2" customWidth="1"/>
    <col min="19" max="16384" width="8.83203125" style="2"/>
  </cols>
  <sheetData>
    <row r="1" spans="1:18" s="1" customFormat="1" ht="40.25" customHeight="1" thickTop="1" x14ac:dyDescent="0.2">
      <c r="A1" s="74"/>
      <c r="B1" s="75" t="s">
        <v>176</v>
      </c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104"/>
      <c r="Q1" s="25"/>
      <c r="R1" s="26"/>
    </row>
    <row r="2" spans="1:18" s="22" customFormat="1" ht="21" x14ac:dyDescent="0.2">
      <c r="A2" s="76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8"/>
      <c r="O2" s="105"/>
    </row>
    <row r="3" spans="1:18" s="22" customFormat="1" ht="17" thickBot="1" x14ac:dyDescent="0.2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106"/>
    </row>
    <row r="4" spans="1:18" ht="17" thickBot="1" x14ac:dyDescent="0.25">
      <c r="A4" s="79"/>
      <c r="B4" s="162" t="s">
        <v>0</v>
      </c>
      <c r="C4" s="163"/>
      <c r="D4" s="163"/>
      <c r="E4" s="163"/>
      <c r="F4" s="163"/>
      <c r="G4" s="163"/>
      <c r="H4" s="163"/>
      <c r="I4" s="163"/>
      <c r="J4" s="164"/>
      <c r="K4" s="80"/>
      <c r="L4" s="77"/>
      <c r="M4" s="77"/>
      <c r="N4" s="77"/>
      <c r="O4" s="106"/>
    </row>
    <row r="5" spans="1:18" ht="16" thickBot="1" x14ac:dyDescent="0.25">
      <c r="A5" s="79"/>
      <c r="B5" s="165" t="s">
        <v>1</v>
      </c>
      <c r="C5" s="166"/>
      <c r="D5" s="167"/>
      <c r="E5" s="168" t="s">
        <v>179</v>
      </c>
      <c r="F5" s="168"/>
      <c r="G5" s="168"/>
      <c r="H5" s="169"/>
      <c r="I5" s="73" t="s">
        <v>141</v>
      </c>
      <c r="J5" s="71">
        <v>7371</v>
      </c>
      <c r="K5" s="82"/>
      <c r="L5" s="172" t="s">
        <v>142</v>
      </c>
      <c r="M5" s="173"/>
      <c r="N5" s="160">
        <v>102</v>
      </c>
      <c r="O5" s="161"/>
    </row>
    <row r="6" spans="1:18" ht="17" thickBot="1" x14ac:dyDescent="0.25">
      <c r="A6" s="79"/>
      <c r="B6" s="165" t="s">
        <v>3</v>
      </c>
      <c r="C6" s="166"/>
      <c r="D6" s="167"/>
      <c r="E6" s="170"/>
      <c r="F6" s="170"/>
      <c r="G6" s="170"/>
      <c r="H6" s="171"/>
      <c r="I6" s="83"/>
      <c r="J6" s="83"/>
      <c r="K6" s="83"/>
      <c r="L6" s="176" t="s">
        <v>178</v>
      </c>
      <c r="M6" s="177"/>
      <c r="N6" s="158">
        <v>80</v>
      </c>
      <c r="O6" s="159"/>
    </row>
    <row r="7" spans="1:18" ht="16" x14ac:dyDescent="0.2">
      <c r="A7" s="79"/>
      <c r="B7" s="165" t="s">
        <v>4</v>
      </c>
      <c r="C7" s="166"/>
      <c r="D7" s="167"/>
      <c r="E7" s="174">
        <v>43344</v>
      </c>
      <c r="F7" s="174"/>
      <c r="G7" s="174"/>
      <c r="H7" s="175"/>
      <c r="I7" s="113" t="s">
        <v>168</v>
      </c>
      <c r="J7" s="83"/>
      <c r="K7" s="83"/>
      <c r="L7" s="77"/>
      <c r="M7" s="77"/>
      <c r="N7" s="77"/>
      <c r="O7" s="106"/>
    </row>
    <row r="8" spans="1:18" ht="15" customHeight="1" x14ac:dyDescent="0.2">
      <c r="A8" s="79"/>
      <c r="B8" s="165" t="s">
        <v>5</v>
      </c>
      <c r="C8" s="166"/>
      <c r="D8" s="167"/>
      <c r="E8" s="170" t="s">
        <v>187</v>
      </c>
      <c r="F8" s="170"/>
      <c r="G8" s="170"/>
      <c r="H8" s="170"/>
      <c r="I8" s="149" t="s">
        <v>177</v>
      </c>
      <c r="J8" s="83"/>
      <c r="K8" s="83"/>
      <c r="L8" s="77"/>
      <c r="M8" s="77"/>
      <c r="N8" s="77"/>
      <c r="O8" s="106"/>
    </row>
    <row r="9" spans="1:18" ht="15" customHeight="1" x14ac:dyDescent="0.2">
      <c r="A9" s="79"/>
      <c r="B9" s="165" t="s">
        <v>6</v>
      </c>
      <c r="C9" s="166"/>
      <c r="D9" s="167"/>
      <c r="E9" s="170" t="s">
        <v>188</v>
      </c>
      <c r="F9" s="170"/>
      <c r="G9" s="170"/>
      <c r="H9" s="170"/>
      <c r="I9" s="150"/>
      <c r="J9" s="83"/>
      <c r="K9" s="83"/>
      <c r="L9" s="77"/>
      <c r="M9" s="77"/>
      <c r="N9" s="77"/>
      <c r="O9" s="106"/>
    </row>
    <row r="10" spans="1:18" ht="15" customHeight="1" x14ac:dyDescent="0.2">
      <c r="A10" s="79"/>
      <c r="B10" s="165" t="s">
        <v>7</v>
      </c>
      <c r="C10" s="166"/>
      <c r="D10" s="167"/>
      <c r="E10" s="168"/>
      <c r="F10" s="168"/>
      <c r="G10" s="168"/>
      <c r="H10" s="169"/>
      <c r="I10" s="83"/>
      <c r="J10" s="83"/>
      <c r="K10" s="83"/>
      <c r="L10" s="77"/>
      <c r="M10" s="77"/>
      <c r="N10" s="77"/>
      <c r="O10" s="106"/>
    </row>
    <row r="11" spans="1:18" ht="16.25" customHeight="1" x14ac:dyDescent="0.2">
      <c r="A11" s="79"/>
      <c r="B11" s="165" t="s">
        <v>8</v>
      </c>
      <c r="C11" s="166"/>
      <c r="D11" s="167"/>
      <c r="E11" s="187" t="s">
        <v>185</v>
      </c>
      <c r="F11" s="187"/>
      <c r="G11" s="187"/>
      <c r="H11" s="188"/>
      <c r="I11" s="83"/>
      <c r="J11" s="83"/>
      <c r="K11" s="83"/>
      <c r="L11" s="77"/>
      <c r="M11" s="77"/>
      <c r="N11" s="77"/>
      <c r="O11" s="106"/>
    </row>
    <row r="12" spans="1:18" ht="16.25" customHeight="1" thickBot="1" x14ac:dyDescent="0.25">
      <c r="A12" s="79"/>
      <c r="B12" s="189" t="s">
        <v>115</v>
      </c>
      <c r="C12" s="190"/>
      <c r="D12" s="191"/>
      <c r="E12" s="192"/>
      <c r="F12" s="192"/>
      <c r="G12" s="192"/>
      <c r="H12" s="193"/>
      <c r="I12" s="83"/>
      <c r="J12" s="83"/>
      <c r="K12" s="83"/>
      <c r="L12" s="77"/>
      <c r="M12" s="77"/>
      <c r="N12" s="77"/>
      <c r="O12" s="106"/>
    </row>
    <row r="13" spans="1:18" ht="6.5" customHeight="1" thickBot="1" x14ac:dyDescent="0.25">
      <c r="A13" s="79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106"/>
    </row>
    <row r="14" spans="1:18" ht="16" x14ac:dyDescent="0.2">
      <c r="A14" s="79"/>
      <c r="B14" s="239" t="s">
        <v>84</v>
      </c>
      <c r="C14" s="240"/>
      <c r="D14" s="240"/>
      <c r="E14" s="240"/>
      <c r="F14" s="240"/>
      <c r="G14" s="240"/>
      <c r="H14" s="240"/>
      <c r="I14" s="240"/>
      <c r="J14" s="240"/>
      <c r="K14" s="240"/>
      <c r="L14" s="240"/>
      <c r="M14" s="241"/>
      <c r="N14" s="103"/>
      <c r="O14" s="107"/>
    </row>
    <row r="15" spans="1:18" ht="27" customHeight="1" x14ac:dyDescent="0.2">
      <c r="A15" s="79"/>
      <c r="B15" s="198" t="s">
        <v>117</v>
      </c>
      <c r="C15" s="199"/>
      <c r="D15" s="196">
        <v>2</v>
      </c>
      <c r="E15" s="197"/>
      <c r="F15" s="200" t="s">
        <v>9</v>
      </c>
      <c r="G15" s="201"/>
      <c r="H15" s="204" t="s">
        <v>116</v>
      </c>
      <c r="I15" s="205"/>
      <c r="J15" s="205"/>
      <c r="K15" s="206"/>
      <c r="L15" s="111">
        <v>4</v>
      </c>
      <c r="M15" s="112"/>
      <c r="N15" s="82"/>
      <c r="O15" s="108"/>
    </row>
    <row r="16" spans="1:18" ht="29" customHeight="1" x14ac:dyDescent="0.2">
      <c r="A16" s="79"/>
      <c r="B16" s="96" t="s">
        <v>11</v>
      </c>
      <c r="C16" s="15" t="s">
        <v>82</v>
      </c>
      <c r="D16" s="202" t="s">
        <v>12</v>
      </c>
      <c r="E16" s="203"/>
      <c r="F16" s="6" t="s">
        <v>13</v>
      </c>
      <c r="G16" s="7" t="s">
        <v>14</v>
      </c>
      <c r="H16" s="27" t="s">
        <v>10</v>
      </c>
      <c r="I16" s="72" t="s">
        <v>13</v>
      </c>
      <c r="J16" s="72" t="str">
        <f>IF(L15=2,"EF",IF(L15=3,"EE+1","ES"))</f>
        <v>ES</v>
      </c>
      <c r="K16" s="72" t="str">
        <f>IF(L15=2,"N/A",IF(L15=3,"EE+2","EC"))</f>
        <v>EC</v>
      </c>
      <c r="L16" s="72" t="str">
        <f>IF(L15=2,"N/A",IF(L15=3,"N/A","EF"))</f>
        <v>EF</v>
      </c>
      <c r="M16" s="97" t="s">
        <v>15</v>
      </c>
      <c r="N16" s="82"/>
      <c r="O16" s="108"/>
    </row>
    <row r="17" spans="1:15" ht="14.5" customHeight="1" x14ac:dyDescent="0.2">
      <c r="A17" s="79"/>
      <c r="B17" s="178" t="s">
        <v>180</v>
      </c>
      <c r="C17" s="194" t="s">
        <v>181</v>
      </c>
      <c r="D17" s="179" t="s">
        <v>184</v>
      </c>
      <c r="E17" s="180"/>
      <c r="F17" s="181">
        <v>0.9</v>
      </c>
      <c r="G17" s="183">
        <v>0.5</v>
      </c>
      <c r="H17" s="10" t="s">
        <v>118</v>
      </c>
      <c r="I17" s="64">
        <v>0</v>
      </c>
      <c r="J17" s="64">
        <v>0</v>
      </c>
      <c r="K17" s="65">
        <v>0</v>
      </c>
      <c r="L17" s="65">
        <v>0</v>
      </c>
      <c r="M17" s="185">
        <f>SUM(I18:L18)</f>
        <v>68</v>
      </c>
      <c r="N17" s="82"/>
      <c r="O17" s="108"/>
    </row>
    <row r="18" spans="1:15" x14ac:dyDescent="0.2">
      <c r="A18" s="79"/>
      <c r="B18" s="178"/>
      <c r="C18" s="195"/>
      <c r="D18" s="179"/>
      <c r="E18" s="180"/>
      <c r="F18" s="182"/>
      <c r="G18" s="184"/>
      <c r="H18" s="9" t="s">
        <v>119</v>
      </c>
      <c r="I18" s="66">
        <v>54</v>
      </c>
      <c r="J18" s="66">
        <v>4</v>
      </c>
      <c r="K18" s="66">
        <v>3</v>
      </c>
      <c r="L18" s="66">
        <v>7</v>
      </c>
      <c r="M18" s="186"/>
      <c r="N18" s="82"/>
      <c r="O18" s="108"/>
    </row>
    <row r="19" spans="1:15" ht="14.5" customHeight="1" x14ac:dyDescent="0.2">
      <c r="A19" s="79"/>
      <c r="B19" s="178" t="s">
        <v>180</v>
      </c>
      <c r="C19" s="194" t="s">
        <v>182</v>
      </c>
      <c r="D19" s="179" t="s">
        <v>183</v>
      </c>
      <c r="E19" s="180"/>
      <c r="F19" s="181">
        <v>0.9</v>
      </c>
      <c r="G19" s="183">
        <v>0.5</v>
      </c>
      <c r="H19" s="10" t="s">
        <v>118</v>
      </c>
      <c r="I19" s="64">
        <v>0</v>
      </c>
      <c r="J19" s="64">
        <v>0</v>
      </c>
      <c r="K19" s="65">
        <v>0</v>
      </c>
      <c r="L19" s="65">
        <v>0</v>
      </c>
      <c r="M19" s="185">
        <f>SUM(I20:L20)</f>
        <v>12</v>
      </c>
      <c r="N19" s="82"/>
      <c r="O19" s="108"/>
    </row>
    <row r="20" spans="1:15" x14ac:dyDescent="0.2">
      <c r="A20" s="79"/>
      <c r="B20" s="178"/>
      <c r="C20" s="195"/>
      <c r="D20" s="179"/>
      <c r="E20" s="180"/>
      <c r="F20" s="182"/>
      <c r="G20" s="184"/>
      <c r="H20" s="9" t="s">
        <v>119</v>
      </c>
      <c r="I20" s="66">
        <v>11</v>
      </c>
      <c r="J20" s="66">
        <v>1</v>
      </c>
      <c r="K20" s="66">
        <v>0</v>
      </c>
      <c r="L20" s="66">
        <v>0</v>
      </c>
      <c r="M20" s="186"/>
      <c r="N20" s="82"/>
      <c r="O20" s="108"/>
    </row>
    <row r="21" spans="1:15" ht="14.5" hidden="1" customHeight="1" x14ac:dyDescent="0.2">
      <c r="A21" s="79"/>
      <c r="B21" s="178"/>
      <c r="C21" s="194"/>
      <c r="D21" s="179"/>
      <c r="E21" s="180"/>
      <c r="F21" s="181"/>
      <c r="G21" s="183"/>
      <c r="H21" s="10" t="s">
        <v>118</v>
      </c>
      <c r="I21" s="64"/>
      <c r="J21" s="64"/>
      <c r="K21" s="65"/>
      <c r="L21" s="65"/>
      <c r="M21" s="185">
        <f>SUM(I22:L22)</f>
        <v>0</v>
      </c>
      <c r="N21" s="82"/>
      <c r="O21" s="108"/>
    </row>
    <row r="22" spans="1:15" ht="16" hidden="1" thickBot="1" x14ac:dyDescent="0.25">
      <c r="A22" s="79"/>
      <c r="B22" s="178"/>
      <c r="C22" s="243"/>
      <c r="D22" s="237"/>
      <c r="E22" s="238"/>
      <c r="F22" s="182"/>
      <c r="G22" s="184"/>
      <c r="H22" s="98" t="s">
        <v>119</v>
      </c>
      <c r="I22" s="99"/>
      <c r="J22" s="99"/>
      <c r="K22" s="99"/>
      <c r="L22" s="99"/>
      <c r="M22" s="242"/>
      <c r="N22" s="82"/>
      <c r="O22" s="108"/>
    </row>
    <row r="23" spans="1:15" ht="14.5" hidden="1" customHeight="1" x14ac:dyDescent="0.2">
      <c r="A23" s="79"/>
      <c r="B23" s="178"/>
      <c r="C23" s="253"/>
      <c r="D23" s="250"/>
      <c r="E23" s="251"/>
      <c r="F23" s="181"/>
      <c r="G23" s="183"/>
      <c r="H23" s="151" t="s">
        <v>118</v>
      </c>
      <c r="I23" s="152"/>
      <c r="J23" s="152"/>
      <c r="K23" s="153"/>
      <c r="L23" s="153"/>
      <c r="M23" s="252">
        <f>SUM(I24:L24)</f>
        <v>0</v>
      </c>
      <c r="N23" s="244"/>
      <c r="O23" s="248"/>
    </row>
    <row r="24" spans="1:15" ht="15" hidden="1" customHeight="1" x14ac:dyDescent="0.2">
      <c r="A24" s="79"/>
      <c r="B24" s="178"/>
      <c r="C24" s="195"/>
      <c r="D24" s="179"/>
      <c r="E24" s="180"/>
      <c r="F24" s="182"/>
      <c r="G24" s="184"/>
      <c r="H24" s="154" t="s">
        <v>119</v>
      </c>
      <c r="I24" s="66"/>
      <c r="J24" s="66"/>
      <c r="K24" s="66"/>
      <c r="L24" s="66"/>
      <c r="M24" s="247"/>
      <c r="N24" s="245"/>
      <c r="O24" s="249"/>
    </row>
    <row r="25" spans="1:15" ht="14.5" hidden="1" customHeight="1" x14ac:dyDescent="0.2">
      <c r="A25" s="79"/>
      <c r="B25" s="178"/>
      <c r="C25" s="194"/>
      <c r="D25" s="179"/>
      <c r="E25" s="180"/>
      <c r="F25" s="181"/>
      <c r="G25" s="183"/>
      <c r="H25" s="155" t="s">
        <v>118</v>
      </c>
      <c r="I25" s="64"/>
      <c r="J25" s="64"/>
      <c r="K25" s="65"/>
      <c r="L25" s="65"/>
      <c r="M25" s="246">
        <f>SUM(I26:L26)</f>
        <v>0</v>
      </c>
      <c r="N25" s="244"/>
      <c r="O25" s="248"/>
    </row>
    <row r="26" spans="1:15" ht="14.5" hidden="1" customHeight="1" x14ac:dyDescent="0.2">
      <c r="A26" s="79"/>
      <c r="B26" s="178"/>
      <c r="C26" s="195"/>
      <c r="D26" s="179"/>
      <c r="E26" s="180"/>
      <c r="F26" s="182"/>
      <c r="G26" s="184"/>
      <c r="H26" s="154" t="s">
        <v>119</v>
      </c>
      <c r="I26" s="66"/>
      <c r="J26" s="66"/>
      <c r="K26" s="66"/>
      <c r="L26" s="66"/>
      <c r="M26" s="247"/>
      <c r="N26" s="245"/>
      <c r="O26" s="249"/>
    </row>
    <row r="27" spans="1:15" ht="14.5" hidden="1" customHeight="1" x14ac:dyDescent="0.2">
      <c r="A27" s="79"/>
      <c r="B27" s="178"/>
      <c r="C27" s="194"/>
      <c r="D27" s="179"/>
      <c r="E27" s="180"/>
      <c r="F27" s="181"/>
      <c r="G27" s="183"/>
      <c r="H27" s="155" t="s">
        <v>118</v>
      </c>
      <c r="I27" s="64"/>
      <c r="J27" s="64"/>
      <c r="K27" s="65"/>
      <c r="L27" s="65"/>
      <c r="M27" s="246">
        <f>SUM(I28:L28)</f>
        <v>0</v>
      </c>
      <c r="N27" s="244"/>
      <c r="O27" s="248"/>
    </row>
    <row r="28" spans="1:15" ht="14.5" hidden="1" customHeight="1" x14ac:dyDescent="0.2">
      <c r="A28" s="79"/>
      <c r="B28" s="178"/>
      <c r="C28" s="195"/>
      <c r="D28" s="179"/>
      <c r="E28" s="180"/>
      <c r="F28" s="182"/>
      <c r="G28" s="184"/>
      <c r="H28" s="154" t="s">
        <v>119</v>
      </c>
      <c r="I28" s="66"/>
      <c r="J28" s="66"/>
      <c r="K28" s="66"/>
      <c r="L28" s="66"/>
      <c r="M28" s="247"/>
      <c r="N28" s="245"/>
      <c r="O28" s="249"/>
    </row>
    <row r="29" spans="1:15" ht="14.5" hidden="1" customHeight="1" x14ac:dyDescent="0.2">
      <c r="A29" s="79"/>
      <c r="B29" s="254"/>
      <c r="C29" s="194"/>
      <c r="D29" s="179"/>
      <c r="E29" s="180"/>
      <c r="F29" s="181"/>
      <c r="G29" s="183"/>
      <c r="H29" s="155" t="s">
        <v>118</v>
      </c>
      <c r="I29" s="64"/>
      <c r="J29" s="64"/>
      <c r="K29" s="65"/>
      <c r="L29" s="65"/>
      <c r="M29" s="246">
        <f>SUM(I30:L30)</f>
        <v>0</v>
      </c>
      <c r="N29" s="244"/>
      <c r="O29" s="248"/>
    </row>
    <row r="30" spans="1:15" ht="14.5" hidden="1" customHeight="1" x14ac:dyDescent="0.2">
      <c r="A30" s="79"/>
      <c r="B30" s="254"/>
      <c r="C30" s="195"/>
      <c r="D30" s="179"/>
      <c r="E30" s="180"/>
      <c r="F30" s="182"/>
      <c r="G30" s="184"/>
      <c r="H30" s="154" t="s">
        <v>119</v>
      </c>
      <c r="I30" s="66"/>
      <c r="J30" s="66"/>
      <c r="K30" s="66"/>
      <c r="L30" s="66"/>
      <c r="M30" s="247"/>
      <c r="N30" s="245"/>
      <c r="O30" s="249"/>
    </row>
    <row r="31" spans="1:15" ht="14.5" hidden="1" customHeight="1" x14ac:dyDescent="0.2">
      <c r="A31" s="79"/>
      <c r="B31" s="254"/>
      <c r="C31" s="194"/>
      <c r="D31" s="179"/>
      <c r="E31" s="180"/>
      <c r="F31" s="181"/>
      <c r="G31" s="183"/>
      <c r="H31" s="155" t="s">
        <v>118</v>
      </c>
      <c r="I31" s="64"/>
      <c r="J31" s="64"/>
      <c r="K31" s="65"/>
      <c r="L31" s="65"/>
      <c r="M31" s="246">
        <f>SUM(I32:L32)</f>
        <v>0</v>
      </c>
      <c r="N31" s="244"/>
      <c r="O31" s="248"/>
    </row>
    <row r="32" spans="1:15" ht="14.5" hidden="1" customHeight="1" x14ac:dyDescent="0.2">
      <c r="A32" s="79"/>
      <c r="B32" s="254"/>
      <c r="C32" s="195"/>
      <c r="D32" s="179"/>
      <c r="E32" s="180"/>
      <c r="F32" s="182"/>
      <c r="G32" s="184"/>
      <c r="H32" s="154" t="s">
        <v>119</v>
      </c>
      <c r="I32" s="66"/>
      <c r="J32" s="66"/>
      <c r="K32" s="66"/>
      <c r="L32" s="66"/>
      <c r="M32" s="247"/>
      <c r="N32" s="245"/>
      <c r="O32" s="249"/>
    </row>
    <row r="33" spans="1:15" ht="14.5" hidden="1" customHeight="1" x14ac:dyDescent="0.2">
      <c r="A33" s="79"/>
      <c r="B33" s="254"/>
      <c r="C33" s="194"/>
      <c r="D33" s="179"/>
      <c r="E33" s="180"/>
      <c r="F33" s="181"/>
      <c r="G33" s="183"/>
      <c r="H33" s="155" t="s">
        <v>118</v>
      </c>
      <c r="I33" s="64"/>
      <c r="J33" s="64"/>
      <c r="K33" s="65"/>
      <c r="L33" s="65"/>
      <c r="M33" s="246">
        <f>SUM(I34:L34)</f>
        <v>0</v>
      </c>
      <c r="N33" s="244"/>
      <c r="O33" s="248"/>
    </row>
    <row r="34" spans="1:15" ht="14.5" hidden="1" customHeight="1" x14ac:dyDescent="0.2">
      <c r="A34" s="79"/>
      <c r="B34" s="254"/>
      <c r="C34" s="195"/>
      <c r="D34" s="179"/>
      <c r="E34" s="180"/>
      <c r="F34" s="182"/>
      <c r="G34" s="184"/>
      <c r="H34" s="154" t="s">
        <v>119</v>
      </c>
      <c r="I34" s="66"/>
      <c r="J34" s="66"/>
      <c r="K34" s="66"/>
      <c r="L34" s="66"/>
      <c r="M34" s="247"/>
      <c r="N34" s="245"/>
      <c r="O34" s="249"/>
    </row>
    <row r="35" spans="1:15" ht="14.5" hidden="1" customHeight="1" x14ac:dyDescent="0.2">
      <c r="A35" s="79"/>
      <c r="B35" s="254"/>
      <c r="C35" s="194"/>
      <c r="D35" s="179"/>
      <c r="E35" s="180"/>
      <c r="F35" s="287"/>
      <c r="G35" s="287"/>
      <c r="H35" s="155" t="s">
        <v>118</v>
      </c>
      <c r="I35" s="64"/>
      <c r="J35" s="64"/>
      <c r="K35" s="65"/>
      <c r="L35" s="65"/>
      <c r="M35" s="246">
        <f>SUM(I36:L36)</f>
        <v>0</v>
      </c>
      <c r="N35" s="285"/>
      <c r="O35" s="248"/>
    </row>
    <row r="36" spans="1:15" ht="14.5" hidden="1" customHeight="1" thickBot="1" x14ac:dyDescent="0.25">
      <c r="A36" s="84"/>
      <c r="B36" s="255"/>
      <c r="C36" s="195"/>
      <c r="D36" s="179"/>
      <c r="E36" s="180"/>
      <c r="F36" s="287"/>
      <c r="G36" s="287"/>
      <c r="H36" s="154" t="s">
        <v>119</v>
      </c>
      <c r="I36" s="66"/>
      <c r="J36" s="66"/>
      <c r="K36" s="156"/>
      <c r="L36" s="156"/>
      <c r="M36" s="283"/>
      <c r="N36" s="286"/>
      <c r="O36" s="284"/>
    </row>
    <row r="37" spans="1:15" x14ac:dyDescent="0.2">
      <c r="A37" s="79"/>
      <c r="B37" s="85"/>
      <c r="C37" s="85"/>
      <c r="D37" s="85"/>
      <c r="E37" s="85"/>
      <c r="F37" s="86"/>
      <c r="G37" s="86"/>
      <c r="H37" s="86"/>
      <c r="I37" s="86"/>
      <c r="J37" s="86"/>
      <c r="K37" s="100"/>
      <c r="L37" s="101" t="s">
        <v>16</v>
      </c>
      <c r="M37" s="102">
        <f>SUM(M17:M36)</f>
        <v>80</v>
      </c>
      <c r="N37" s="82"/>
      <c r="O37" s="108"/>
    </row>
    <row r="38" spans="1:15" ht="16" thickBot="1" x14ac:dyDescent="0.25">
      <c r="A38" s="79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2"/>
      <c r="N38" s="80"/>
      <c r="O38" s="81"/>
    </row>
    <row r="39" spans="1:15" ht="16" x14ac:dyDescent="0.2">
      <c r="A39" s="79"/>
      <c r="B39" s="224" t="s">
        <v>174</v>
      </c>
      <c r="C39" s="225"/>
      <c r="D39" s="226"/>
      <c r="E39" s="226"/>
      <c r="F39" s="226"/>
      <c r="G39" s="226"/>
      <c r="H39" s="226"/>
      <c r="I39" s="226"/>
      <c r="J39" s="226"/>
      <c r="K39" s="226"/>
      <c r="L39" s="227"/>
      <c r="M39" s="82"/>
      <c r="N39" s="82"/>
      <c r="O39" s="108"/>
    </row>
    <row r="40" spans="1:15" ht="15.5" customHeight="1" x14ac:dyDescent="0.2">
      <c r="A40" s="79"/>
      <c r="B40" s="278" t="s">
        <v>17</v>
      </c>
      <c r="C40" s="262"/>
      <c r="D40" s="279"/>
      <c r="E40" s="257">
        <v>0.05</v>
      </c>
      <c r="F40" s="258"/>
      <c r="G40" s="258"/>
      <c r="H40" s="259"/>
      <c r="I40" s="24"/>
      <c r="J40" s="24"/>
      <c r="K40" s="24"/>
      <c r="L40" s="91"/>
      <c r="M40" s="82"/>
      <c r="N40" s="82"/>
      <c r="O40" s="108"/>
    </row>
    <row r="41" spans="1:15" x14ac:dyDescent="0.2">
      <c r="A41" s="79"/>
      <c r="B41" s="278" t="s">
        <v>109</v>
      </c>
      <c r="C41" s="262"/>
      <c r="D41" s="279"/>
      <c r="E41" s="280" t="s">
        <v>140</v>
      </c>
      <c r="F41" s="281"/>
      <c r="G41" s="281"/>
      <c r="H41" s="282"/>
      <c r="I41" s="272"/>
      <c r="J41" s="272"/>
      <c r="K41" s="3"/>
      <c r="L41" s="92"/>
      <c r="M41" s="82"/>
      <c r="N41" s="82"/>
      <c r="O41" s="108"/>
    </row>
    <row r="42" spans="1:15" x14ac:dyDescent="0.2">
      <c r="A42" s="79"/>
      <c r="B42" s="260" t="s">
        <v>110</v>
      </c>
      <c r="C42" s="261"/>
      <c r="D42" s="262"/>
      <c r="E42" s="266" t="s">
        <v>101</v>
      </c>
      <c r="F42" s="267"/>
      <c r="G42" s="267"/>
      <c r="H42" s="268"/>
      <c r="I42" s="273" t="s">
        <v>127</v>
      </c>
      <c r="J42" s="261"/>
      <c r="K42" s="261"/>
      <c r="L42" s="274"/>
      <c r="M42" s="82"/>
      <c r="N42" s="82"/>
      <c r="O42" s="108"/>
    </row>
    <row r="43" spans="1:15" ht="16" thickBot="1" x14ac:dyDescent="0.25">
      <c r="A43" s="79"/>
      <c r="B43" s="263" t="s">
        <v>114</v>
      </c>
      <c r="C43" s="264"/>
      <c r="D43" s="265"/>
      <c r="E43" s="269" t="s">
        <v>24</v>
      </c>
      <c r="F43" s="270"/>
      <c r="G43" s="270"/>
      <c r="H43" s="271"/>
      <c r="I43" s="275" t="s">
        <v>186</v>
      </c>
      <c r="J43" s="276"/>
      <c r="K43" s="276"/>
      <c r="L43" s="277"/>
      <c r="M43" s="82"/>
      <c r="N43" s="82"/>
      <c r="O43" s="108"/>
    </row>
    <row r="44" spans="1:15" ht="15" customHeight="1" x14ac:dyDescent="0.2">
      <c r="A44" s="79"/>
      <c r="B44" s="256"/>
      <c r="C44" s="256"/>
      <c r="D44" s="256"/>
      <c r="E44" s="256"/>
      <c r="F44" s="256"/>
      <c r="G44" s="256"/>
      <c r="H44" s="256"/>
      <c r="I44" s="256"/>
      <c r="J44" s="256"/>
      <c r="K44" s="256"/>
      <c r="L44" s="256"/>
      <c r="M44" s="82"/>
      <c r="N44" s="82"/>
      <c r="O44" s="108"/>
    </row>
    <row r="45" spans="1:15" x14ac:dyDescent="0.2">
      <c r="A45" s="79"/>
      <c r="B45" s="82"/>
      <c r="C45" s="82"/>
      <c r="D45" s="82"/>
      <c r="E45" s="82"/>
      <c r="F45" s="82"/>
      <c r="G45" s="82"/>
      <c r="H45" s="82"/>
      <c r="I45" s="82"/>
      <c r="J45" s="82"/>
      <c r="K45" s="82"/>
      <c r="L45" s="80"/>
      <c r="M45" s="82"/>
      <c r="N45" s="82"/>
      <c r="O45" s="108"/>
    </row>
    <row r="46" spans="1:15" x14ac:dyDescent="0.2">
      <c r="A46" s="79"/>
      <c r="B46" s="82"/>
      <c r="C46" s="82"/>
      <c r="D46" s="82"/>
      <c r="E46" s="82"/>
      <c r="F46" s="82"/>
      <c r="G46" s="82"/>
      <c r="H46" s="82"/>
      <c r="I46" s="82"/>
      <c r="J46" s="82"/>
      <c r="K46" s="82"/>
      <c r="L46" s="80"/>
      <c r="M46" s="82"/>
      <c r="N46" s="82"/>
      <c r="O46" s="108"/>
    </row>
    <row r="47" spans="1:15" x14ac:dyDescent="0.2">
      <c r="A47" s="79"/>
      <c r="B47" s="82"/>
      <c r="C47" s="82"/>
      <c r="D47" s="82"/>
      <c r="E47" s="82"/>
      <c r="F47" s="82"/>
      <c r="G47" s="82"/>
      <c r="H47" s="82"/>
      <c r="I47" s="82"/>
      <c r="J47" s="82"/>
      <c r="K47" s="82"/>
      <c r="L47" s="80"/>
      <c r="M47" s="82"/>
      <c r="N47" s="82"/>
      <c r="O47" s="108"/>
    </row>
    <row r="48" spans="1:15" x14ac:dyDescent="0.2">
      <c r="A48" s="79"/>
      <c r="B48" s="82"/>
      <c r="C48" s="82"/>
      <c r="D48" s="82"/>
      <c r="E48" s="82"/>
      <c r="F48" s="82"/>
      <c r="G48" s="82"/>
      <c r="H48" s="82"/>
      <c r="I48" s="82"/>
      <c r="J48" s="82"/>
      <c r="K48" s="82"/>
      <c r="L48" s="80"/>
      <c r="M48" s="82"/>
      <c r="N48" s="82"/>
      <c r="O48" s="108"/>
    </row>
    <row r="49" spans="1:17" x14ac:dyDescent="0.2">
      <c r="A49" s="79"/>
      <c r="B49" s="82"/>
      <c r="C49" s="82"/>
      <c r="D49" s="82"/>
      <c r="E49" s="82"/>
      <c r="F49" s="82"/>
      <c r="G49" s="82"/>
      <c r="H49" s="82"/>
      <c r="I49" s="82"/>
      <c r="J49" s="82"/>
      <c r="K49" s="82"/>
      <c r="L49" s="80"/>
      <c r="M49" s="82"/>
      <c r="N49" s="82"/>
      <c r="O49" s="108"/>
    </row>
    <row r="50" spans="1:17" ht="19.25" customHeight="1" thickBot="1" x14ac:dyDescent="0.25">
      <c r="A50" s="79"/>
      <c r="B50" s="114"/>
      <c r="C50" s="87"/>
      <c r="D50" s="80"/>
      <c r="E50" s="80"/>
      <c r="F50" s="80"/>
      <c r="G50" s="80"/>
      <c r="H50" s="80"/>
      <c r="I50" s="80"/>
      <c r="J50" s="80"/>
      <c r="K50" s="80"/>
      <c r="L50" s="80"/>
      <c r="M50" s="82"/>
      <c r="N50" s="82"/>
      <c r="O50" s="108"/>
    </row>
    <row r="51" spans="1:17" ht="16" x14ac:dyDescent="0.2">
      <c r="A51" s="79"/>
      <c r="B51" s="224" t="s">
        <v>85</v>
      </c>
      <c r="C51" s="225"/>
      <c r="D51" s="226"/>
      <c r="E51" s="226"/>
      <c r="F51" s="226"/>
      <c r="G51" s="226"/>
      <c r="H51" s="226"/>
      <c r="I51" s="226"/>
      <c r="J51" s="226"/>
      <c r="K51" s="226"/>
      <c r="L51" s="227"/>
      <c r="M51" s="82"/>
      <c r="N51" s="82"/>
      <c r="O51" s="108"/>
    </row>
    <row r="52" spans="1:17" x14ac:dyDescent="0.2">
      <c r="A52" s="79"/>
      <c r="B52" s="228" t="s">
        <v>18</v>
      </c>
      <c r="C52" s="207" t="s">
        <v>19</v>
      </c>
      <c r="D52" s="208"/>
      <c r="E52" s="209"/>
      <c r="F52" s="229" t="s">
        <v>9</v>
      </c>
      <c r="G52" s="229"/>
      <c r="H52" s="230" t="s">
        <v>20</v>
      </c>
      <c r="I52" s="230"/>
      <c r="J52" s="207" t="s">
        <v>83</v>
      </c>
      <c r="K52" s="208"/>
      <c r="L52" s="222"/>
      <c r="M52" s="82"/>
      <c r="N52" s="82"/>
      <c r="O52" s="108"/>
    </row>
    <row r="53" spans="1:17" x14ac:dyDescent="0.2">
      <c r="A53" s="79"/>
      <c r="B53" s="228"/>
      <c r="C53" s="210"/>
      <c r="D53" s="211"/>
      <c r="E53" s="212"/>
      <c r="F53" s="5" t="s">
        <v>13</v>
      </c>
      <c r="G53" s="8" t="s">
        <v>14</v>
      </c>
      <c r="H53" s="230"/>
      <c r="I53" s="230"/>
      <c r="J53" s="210"/>
      <c r="K53" s="211"/>
      <c r="L53" s="223"/>
      <c r="M53" s="82"/>
      <c r="N53" s="82"/>
      <c r="O53" s="108"/>
    </row>
    <row r="54" spans="1:17" x14ac:dyDescent="0.2">
      <c r="A54" s="79"/>
      <c r="B54" s="93" t="s">
        <v>21</v>
      </c>
      <c r="C54" s="213"/>
      <c r="D54" s="214"/>
      <c r="E54" s="215"/>
      <c r="F54" s="67"/>
      <c r="G54" s="67"/>
      <c r="H54" s="231"/>
      <c r="I54" s="231"/>
      <c r="J54" s="219"/>
      <c r="K54" s="220"/>
      <c r="L54" s="221"/>
      <c r="M54" s="82"/>
      <c r="N54" s="82"/>
      <c r="O54" s="108"/>
    </row>
    <row r="55" spans="1:17" ht="16" thickBot="1" x14ac:dyDescent="0.25">
      <c r="A55" s="79"/>
      <c r="B55" s="93" t="s">
        <v>22</v>
      </c>
      <c r="C55" s="213"/>
      <c r="D55" s="214"/>
      <c r="E55" s="215"/>
      <c r="F55" s="67"/>
      <c r="G55" s="67"/>
      <c r="H55" s="231"/>
      <c r="I55" s="231"/>
      <c r="J55" s="219"/>
      <c r="K55" s="220"/>
      <c r="L55" s="221"/>
      <c r="M55" s="82"/>
      <c r="N55" s="82"/>
      <c r="O55" s="108"/>
    </row>
    <row r="56" spans="1:17" ht="16" thickBot="1" x14ac:dyDescent="0.25">
      <c r="A56" s="79"/>
      <c r="B56" s="94" t="s">
        <v>23</v>
      </c>
      <c r="C56" s="216"/>
      <c r="D56" s="217"/>
      <c r="E56" s="218"/>
      <c r="F56" s="95"/>
      <c r="G56" s="95"/>
      <c r="H56" s="232"/>
      <c r="I56" s="233"/>
      <c r="J56" s="234" t="s">
        <v>19</v>
      </c>
      <c r="K56" s="235"/>
      <c r="L56" s="236"/>
      <c r="M56" s="82"/>
      <c r="N56" s="82"/>
      <c r="O56" s="108"/>
      <c r="Q56" s="23"/>
    </row>
    <row r="57" spans="1:17" x14ac:dyDescent="0.2">
      <c r="A57" s="79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2"/>
      <c r="N57" s="82"/>
      <c r="O57" s="108"/>
      <c r="Q57" s="23"/>
    </row>
    <row r="58" spans="1:17" x14ac:dyDescent="0.2">
      <c r="A58" s="79"/>
      <c r="B58" s="82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108"/>
    </row>
    <row r="59" spans="1:17" x14ac:dyDescent="0.2">
      <c r="A59" s="79"/>
      <c r="B59" s="82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108"/>
    </row>
    <row r="60" spans="1:17" x14ac:dyDescent="0.2">
      <c r="A60" s="79"/>
      <c r="B60" s="82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108"/>
    </row>
    <row r="61" spans="1:17" ht="15.5" customHeight="1" x14ac:dyDescent="0.2">
      <c r="A61" s="79"/>
      <c r="B61" s="82"/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108"/>
    </row>
    <row r="62" spans="1:17" x14ac:dyDescent="0.2">
      <c r="A62" s="79"/>
      <c r="B62" s="82"/>
      <c r="C62" s="82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108"/>
    </row>
    <row r="63" spans="1:17" x14ac:dyDescent="0.2">
      <c r="A63" s="79"/>
      <c r="B63" s="82"/>
      <c r="C63" s="82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108"/>
    </row>
    <row r="64" spans="1:17" x14ac:dyDescent="0.2">
      <c r="A64" s="79"/>
      <c r="B64" s="82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108"/>
    </row>
    <row r="65" spans="1:15" x14ac:dyDescent="0.2">
      <c r="A65" s="79"/>
      <c r="B65" s="82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108"/>
    </row>
    <row r="66" spans="1:15" x14ac:dyDescent="0.2">
      <c r="A66" s="79"/>
      <c r="B66" s="82"/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108"/>
    </row>
    <row r="67" spans="1:15" x14ac:dyDescent="0.2">
      <c r="A67" s="79"/>
      <c r="B67" s="82"/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108"/>
    </row>
    <row r="68" spans="1:15" x14ac:dyDescent="0.2">
      <c r="A68" s="79"/>
      <c r="B68" s="82"/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108"/>
    </row>
    <row r="69" spans="1:15" x14ac:dyDescent="0.2">
      <c r="A69" s="79"/>
      <c r="B69" s="82"/>
      <c r="C69" s="82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108"/>
    </row>
    <row r="70" spans="1:15" x14ac:dyDescent="0.2">
      <c r="A70" s="79"/>
      <c r="B70" s="82"/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108"/>
    </row>
    <row r="71" spans="1:15" ht="16" thickBot="1" x14ac:dyDescent="0.25">
      <c r="A71" s="88"/>
      <c r="B71" s="89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90"/>
      <c r="N71" s="90"/>
      <c r="O71" s="109"/>
    </row>
    <row r="72" spans="1:15" ht="16" thickTop="1" x14ac:dyDescent="0.2"/>
  </sheetData>
  <mergeCells count="129">
    <mergeCell ref="M35:M36"/>
    <mergeCell ref="C35:C36"/>
    <mergeCell ref="N27:N28"/>
    <mergeCell ref="N31:N32"/>
    <mergeCell ref="O35:O36"/>
    <mergeCell ref="N35:N36"/>
    <mergeCell ref="N33:N34"/>
    <mergeCell ref="O33:O34"/>
    <mergeCell ref="O31:O32"/>
    <mergeCell ref="F35:F36"/>
    <mergeCell ref="G35:G36"/>
    <mergeCell ref="N29:N30"/>
    <mergeCell ref="O29:O30"/>
    <mergeCell ref="B33:B34"/>
    <mergeCell ref="D33:E34"/>
    <mergeCell ref="F33:F34"/>
    <mergeCell ref="G33:G34"/>
    <mergeCell ref="B44:L44"/>
    <mergeCell ref="E40:H40"/>
    <mergeCell ref="B42:D42"/>
    <mergeCell ref="B43:D43"/>
    <mergeCell ref="E42:H42"/>
    <mergeCell ref="E43:H43"/>
    <mergeCell ref="I41:J41"/>
    <mergeCell ref="I42:L42"/>
    <mergeCell ref="I43:L43"/>
    <mergeCell ref="B41:D41"/>
    <mergeCell ref="B40:D40"/>
    <mergeCell ref="E41:H41"/>
    <mergeCell ref="B29:B30"/>
    <mergeCell ref="D29:E30"/>
    <mergeCell ref="F29:F30"/>
    <mergeCell ref="G29:G30"/>
    <mergeCell ref="M29:M30"/>
    <mergeCell ref="O25:O26"/>
    <mergeCell ref="B39:L39"/>
    <mergeCell ref="B35:B36"/>
    <mergeCell ref="D35:E36"/>
    <mergeCell ref="M33:M34"/>
    <mergeCell ref="B27:B28"/>
    <mergeCell ref="D27:E28"/>
    <mergeCell ref="F27:F28"/>
    <mergeCell ref="G27:G28"/>
    <mergeCell ref="M27:M28"/>
    <mergeCell ref="C27:C28"/>
    <mergeCell ref="C29:C30"/>
    <mergeCell ref="B31:B32"/>
    <mergeCell ref="D31:E32"/>
    <mergeCell ref="F31:F32"/>
    <mergeCell ref="G31:G32"/>
    <mergeCell ref="M31:M32"/>
    <mergeCell ref="C31:C32"/>
    <mergeCell ref="C33:C34"/>
    <mergeCell ref="C25:C26"/>
    <mergeCell ref="N23:N24"/>
    <mergeCell ref="N25:N26"/>
    <mergeCell ref="B25:B26"/>
    <mergeCell ref="D25:E26"/>
    <mergeCell ref="F25:F26"/>
    <mergeCell ref="G25:G26"/>
    <mergeCell ref="M25:M26"/>
    <mergeCell ref="O27:O28"/>
    <mergeCell ref="O23:O24"/>
    <mergeCell ref="B23:B24"/>
    <mergeCell ref="D23:E24"/>
    <mergeCell ref="F23:F24"/>
    <mergeCell ref="G23:G24"/>
    <mergeCell ref="M23:M24"/>
    <mergeCell ref="C23:C24"/>
    <mergeCell ref="D21:E22"/>
    <mergeCell ref="F21:F22"/>
    <mergeCell ref="G21:G22"/>
    <mergeCell ref="B14:M14"/>
    <mergeCell ref="M21:M22"/>
    <mergeCell ref="B19:B20"/>
    <mergeCell ref="D19:E20"/>
    <mergeCell ref="F19:F20"/>
    <mergeCell ref="G19:G20"/>
    <mergeCell ref="M19:M20"/>
    <mergeCell ref="C19:C20"/>
    <mergeCell ref="B21:B22"/>
    <mergeCell ref="C21:C22"/>
    <mergeCell ref="C52:E53"/>
    <mergeCell ref="C54:E54"/>
    <mergeCell ref="C55:E55"/>
    <mergeCell ref="C56:E56"/>
    <mergeCell ref="J54:L54"/>
    <mergeCell ref="J55:L55"/>
    <mergeCell ref="J52:L53"/>
    <mergeCell ref="B51:L51"/>
    <mergeCell ref="B52:B53"/>
    <mergeCell ref="F52:G52"/>
    <mergeCell ref="H52:I53"/>
    <mergeCell ref="H54:I54"/>
    <mergeCell ref="H55:I55"/>
    <mergeCell ref="H56:I56"/>
    <mergeCell ref="J56:L56"/>
    <mergeCell ref="B9:D9"/>
    <mergeCell ref="E9:H9"/>
    <mergeCell ref="B10:D10"/>
    <mergeCell ref="E10:H10"/>
    <mergeCell ref="B17:B18"/>
    <mergeCell ref="D17:E18"/>
    <mergeCell ref="F17:F18"/>
    <mergeCell ref="G17:G18"/>
    <mergeCell ref="M17:M18"/>
    <mergeCell ref="B11:D11"/>
    <mergeCell ref="E11:H11"/>
    <mergeCell ref="B12:D12"/>
    <mergeCell ref="E12:H12"/>
    <mergeCell ref="C17:C18"/>
    <mergeCell ref="D15:E15"/>
    <mergeCell ref="B15:C15"/>
    <mergeCell ref="F15:G15"/>
    <mergeCell ref="D16:E16"/>
    <mergeCell ref="H15:K15"/>
    <mergeCell ref="N6:O6"/>
    <mergeCell ref="N5:O5"/>
    <mergeCell ref="B4:J4"/>
    <mergeCell ref="B5:D5"/>
    <mergeCell ref="E5:H5"/>
    <mergeCell ref="B8:D8"/>
    <mergeCell ref="E8:H8"/>
    <mergeCell ref="B6:D6"/>
    <mergeCell ref="E6:H6"/>
    <mergeCell ref="L5:M5"/>
    <mergeCell ref="B7:D7"/>
    <mergeCell ref="E7:H7"/>
    <mergeCell ref="L6:M6"/>
  </mergeCells>
  <conditionalFormatting sqref="L24">
    <cfRule type="expression" dxfId="40" priority="101">
      <formula>$L$16="N/A"</formula>
    </cfRule>
  </conditionalFormatting>
  <conditionalFormatting sqref="L21">
    <cfRule type="expression" dxfId="39" priority="91">
      <formula>$L$16="N/A"</formula>
    </cfRule>
  </conditionalFormatting>
  <conditionalFormatting sqref="L23">
    <cfRule type="expression" dxfId="38" priority="90">
      <formula>$L$16="N/A"</formula>
    </cfRule>
  </conditionalFormatting>
  <conditionalFormatting sqref="K24">
    <cfRule type="expression" dxfId="37" priority="60">
      <formula>$K$16="N/A"</formula>
    </cfRule>
  </conditionalFormatting>
  <conditionalFormatting sqref="K21">
    <cfRule type="expression" dxfId="36" priority="50">
      <formula>$K$16="N/A"</formula>
    </cfRule>
  </conditionalFormatting>
  <conditionalFormatting sqref="K23">
    <cfRule type="expression" dxfId="35" priority="49">
      <formula>$K$16="N/A"</formula>
    </cfRule>
  </conditionalFormatting>
  <conditionalFormatting sqref="L17">
    <cfRule type="expression" dxfId="34" priority="38">
      <formula>$L$16="N/A"</formula>
    </cfRule>
  </conditionalFormatting>
  <conditionalFormatting sqref="L19">
    <cfRule type="expression" dxfId="33" priority="37">
      <formula>$L$16="N/A"</formula>
    </cfRule>
  </conditionalFormatting>
  <conditionalFormatting sqref="K17">
    <cfRule type="expression" dxfId="32" priority="34">
      <formula>$K$16="N/A"</formula>
    </cfRule>
  </conditionalFormatting>
  <conditionalFormatting sqref="K19">
    <cfRule type="expression" dxfId="31" priority="33">
      <formula>$K$16="N/A"</formula>
    </cfRule>
  </conditionalFormatting>
  <conditionalFormatting sqref="L22">
    <cfRule type="expression" dxfId="30" priority="32">
      <formula>$L$16="N/A"</formula>
    </cfRule>
  </conditionalFormatting>
  <conditionalFormatting sqref="K22">
    <cfRule type="expression" dxfId="29" priority="31">
      <formula>$K$16="N/A"</formula>
    </cfRule>
  </conditionalFormatting>
  <conditionalFormatting sqref="L20">
    <cfRule type="expression" dxfId="28" priority="30">
      <formula>$L$16="N/A"</formula>
    </cfRule>
  </conditionalFormatting>
  <conditionalFormatting sqref="K20">
    <cfRule type="expression" dxfId="27" priority="29">
      <formula>$K$16="N/A"</formula>
    </cfRule>
  </conditionalFormatting>
  <conditionalFormatting sqref="L26">
    <cfRule type="expression" dxfId="26" priority="26">
      <formula>$L$16="N/A"</formula>
    </cfRule>
  </conditionalFormatting>
  <conditionalFormatting sqref="L25">
    <cfRule type="expression" dxfId="25" priority="25">
      <formula>$L$16="N/A"</formula>
    </cfRule>
  </conditionalFormatting>
  <conditionalFormatting sqref="K26">
    <cfRule type="expression" dxfId="24" priority="24">
      <formula>$K$16="N/A"</formula>
    </cfRule>
  </conditionalFormatting>
  <conditionalFormatting sqref="K25">
    <cfRule type="expression" dxfId="23" priority="23">
      <formula>$K$16="N/A"</formula>
    </cfRule>
  </conditionalFormatting>
  <conditionalFormatting sqref="L28">
    <cfRule type="expression" dxfId="22" priority="22">
      <formula>$L$16="N/A"</formula>
    </cfRule>
  </conditionalFormatting>
  <conditionalFormatting sqref="L27">
    <cfRule type="expression" dxfId="21" priority="21">
      <formula>$L$16="N/A"</formula>
    </cfRule>
  </conditionalFormatting>
  <conditionalFormatting sqref="K28">
    <cfRule type="expression" dxfId="20" priority="20">
      <formula>$K$16="N/A"</formula>
    </cfRule>
  </conditionalFormatting>
  <conditionalFormatting sqref="K27">
    <cfRule type="expression" dxfId="19" priority="19">
      <formula>$K$16="N/A"</formula>
    </cfRule>
  </conditionalFormatting>
  <conditionalFormatting sqref="L30">
    <cfRule type="expression" dxfId="18" priority="18">
      <formula>$L$16="N/A"</formula>
    </cfRule>
  </conditionalFormatting>
  <conditionalFormatting sqref="L29">
    <cfRule type="expression" dxfId="17" priority="17">
      <formula>$L$16="N/A"</formula>
    </cfRule>
  </conditionalFormatting>
  <conditionalFormatting sqref="K30">
    <cfRule type="expression" dxfId="16" priority="16">
      <formula>$K$16="N/A"</formula>
    </cfRule>
  </conditionalFormatting>
  <conditionalFormatting sqref="K29">
    <cfRule type="expression" dxfId="15" priority="15">
      <formula>$K$16="N/A"</formula>
    </cfRule>
  </conditionalFormatting>
  <conditionalFormatting sqref="L32">
    <cfRule type="expression" dxfId="14" priority="14">
      <formula>$L$16="N/A"</formula>
    </cfRule>
  </conditionalFormatting>
  <conditionalFormatting sqref="L31">
    <cfRule type="expression" dxfId="13" priority="13">
      <formula>$L$16="N/A"</formula>
    </cfRule>
  </conditionalFormatting>
  <conditionalFormatting sqref="K32">
    <cfRule type="expression" dxfId="12" priority="12">
      <formula>$K$16="N/A"</formula>
    </cfRule>
  </conditionalFormatting>
  <conditionalFormatting sqref="K31">
    <cfRule type="expression" dxfId="11" priority="11">
      <formula>$K$16="N/A"</formula>
    </cfRule>
  </conditionalFormatting>
  <conditionalFormatting sqref="L34">
    <cfRule type="expression" dxfId="10" priority="10">
      <formula>$L$16="N/A"</formula>
    </cfRule>
  </conditionalFormatting>
  <conditionalFormatting sqref="L33">
    <cfRule type="expression" dxfId="9" priority="9">
      <formula>$L$16="N/A"</formula>
    </cfRule>
  </conditionalFormatting>
  <conditionalFormatting sqref="K34">
    <cfRule type="expression" dxfId="8" priority="8">
      <formula>$K$16="N/A"</formula>
    </cfRule>
  </conditionalFormatting>
  <conditionalFormatting sqref="K33">
    <cfRule type="expression" dxfId="7" priority="7">
      <formula>$K$16="N/A"</formula>
    </cfRule>
  </conditionalFormatting>
  <conditionalFormatting sqref="L36">
    <cfRule type="expression" dxfId="6" priority="6">
      <formula>$L$16="N/A"</formula>
    </cfRule>
  </conditionalFormatting>
  <conditionalFormatting sqref="L35">
    <cfRule type="expression" dxfId="5" priority="5">
      <formula>$L$16="N/A"</formula>
    </cfRule>
  </conditionalFormatting>
  <conditionalFormatting sqref="K36">
    <cfRule type="expression" dxfId="4" priority="4">
      <formula>$K$16="N/A"</formula>
    </cfRule>
  </conditionalFormatting>
  <conditionalFormatting sqref="K35">
    <cfRule type="expression" dxfId="3" priority="3">
      <formula>$K$16="N/A"</formula>
    </cfRule>
  </conditionalFormatting>
  <conditionalFormatting sqref="L18">
    <cfRule type="expression" dxfId="2" priority="2">
      <formula>$L$16="N/A"</formula>
    </cfRule>
  </conditionalFormatting>
  <conditionalFormatting sqref="K18">
    <cfRule type="expression" dxfId="1" priority="1">
      <formula>$K$16="N/A"</formula>
    </cfRule>
  </conditionalFormatting>
  <dataValidations count="18">
    <dataValidation type="list" allowBlank="1" showInputMessage="1" showErrorMessage="1" sqref="C56 J11">
      <formula1>"Yes,No"</formula1>
    </dataValidation>
    <dataValidation type="list" allowBlank="1" showInputMessage="1" showErrorMessage="1" sqref="E41">
      <formula1>"Select One, All Quote Options,Selected Options Only"</formula1>
    </dataValidation>
    <dataValidation type="list" allowBlank="1" showInputMessage="1" sqref="N11">
      <formula1>"Select One, No,Yes-See Section 6"</formula1>
    </dataValidation>
    <dataValidation type="list" allowBlank="1" showInputMessage="1" sqref="E67:H67">
      <formula1>"Life-SEE RFP,Disability-SEE RFP,L&amp;D - SEE RFP"</formula1>
    </dataValidation>
    <dataValidation type="list" allowBlank="1" showInputMessage="1" showErrorMessage="1" sqref="D15:E15">
      <formula1>MedDropDowns</formula1>
    </dataValidation>
    <dataValidation type="list" allowBlank="1" showInputMessage="1" showErrorMessage="1" sqref="L15">
      <formula1>"Select One,,2,3,4"</formula1>
    </dataValidation>
    <dataValidation type="list" allowBlank="1" showInputMessage="1" showErrorMessage="1" sqref="E42">
      <formula1>"Select One,N/A,Alongside Kaiser,Alongside SIMNSA,Alongside Kaiser/SIMNSA,Total Takeover,Alongside and Total Takeover"</formula1>
    </dataValidation>
    <dataValidation type="list" allowBlank="1" showInputMessage="1" showErrorMessage="1" sqref="J54:L55">
      <formula1>"Contributory,Voluntary, Contrib &amp; Voluntary"</formula1>
    </dataValidation>
    <dataValidation type="list" allowBlank="1" showInputMessage="1" showErrorMessage="1" sqref="E43:H43">
      <formula1>"Select One,Yes,No"</formula1>
    </dataValidation>
    <dataValidation type="list" allowBlank="1" showInputMessage="1" showErrorMessage="1" sqref="C23:C36">
      <formula1>"HMO,KAISER,PPO,CDHP"</formula1>
    </dataValidation>
    <dataValidation type="list" allowBlank="1" showInputMessage="1" sqref="N12">
      <formula1>"Select One, No,Yes"</formula1>
    </dataValidation>
    <dataValidation type="list" allowBlank="1" showInputMessage="1" showErrorMessage="1" sqref="L9:M9">
      <formula1>"Select One,Number of FTEs:,N/A-No FTEs:"</formula1>
    </dataValidation>
    <dataValidation type="list" allowBlank="1" showInputMessage="1" sqref="L2">
      <formula1>"Select One, No,Yes,N/A-101+ FT EE's"</formula1>
    </dataValidation>
    <dataValidation type="list" allowBlank="1" showInputMessage="1" showErrorMessage="1" sqref="J56:L56">
      <formula1>"Select One,3 Tier Vision,SEE COMMENTS Dental Intake"</formula1>
    </dataValidation>
    <dataValidation type="list" allowBlank="1" showInputMessage="1" showErrorMessage="1" sqref="I8">
      <formula1>"Select One,No GA,LISI, Warner Pacific"</formula1>
    </dataValidation>
    <dataValidation type="list" allowBlank="1" showInputMessage="1" showErrorMessage="1" sqref="C17:C22">
      <formula1>"HMO,KAISER,PPO,CDHP"</formula1>
    </dataValidation>
    <dataValidation type="list" allowBlank="1" showInputMessage="1" showErrorMessage="1" sqref="C55:E55">
      <formula1>"N/A,Vision"</formula1>
    </dataValidation>
    <dataValidation type="list" allowBlank="1" showInputMessage="1" showErrorMessage="1" sqref="C54:E54">
      <formula1>"N/A,DHMO, DPPO, DHMO &amp; DPPO"</formula1>
    </dataValidation>
  </dataValidations>
  <hyperlinks>
    <hyperlink ref="I43" r:id="rId1"/>
  </hyperlinks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'UHC Instructions'!$C$11:$C$13</xm:f>
          </x14:formula1>
          <xm:sqref>E10:H10</xm:sqref>
        </x14:dataValidation>
        <x14:dataValidation type="list" allowBlank="1" showInputMessage="1" showErrorMessage="1">
          <x14:formula1>
            <xm:f>[3]CONTACTS!#REF!</xm:f>
          </x14:formula1>
          <xm:sqref>E8:H9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X144"/>
  <sheetViews>
    <sheetView showGridLines="0" zoomScale="85" zoomScaleNormal="85" workbookViewId="0">
      <selection activeCell="C25" sqref="C25"/>
    </sheetView>
  </sheetViews>
  <sheetFormatPr baseColWidth="10" defaultColWidth="9.1640625" defaultRowHeight="14.25" customHeight="1" x14ac:dyDescent="0.2"/>
  <cols>
    <col min="1" max="1" width="2.6640625" style="12" customWidth="1"/>
    <col min="2" max="2" width="31.33203125" style="12" customWidth="1"/>
    <col min="3" max="3" width="20.5" style="12" customWidth="1"/>
    <col min="4" max="4" width="6.5" style="12" hidden="1" customWidth="1"/>
    <col min="5" max="6" width="10.6640625" style="12" customWidth="1"/>
    <col min="7" max="11" width="14.5" style="12" customWidth="1"/>
    <col min="12" max="12" width="11.83203125" style="12" customWidth="1"/>
    <col min="13" max="13" width="9.6640625" style="12" customWidth="1"/>
    <col min="14" max="19" width="10.6640625" style="12" customWidth="1"/>
    <col min="20" max="20" width="25.33203125" style="12" hidden="1" customWidth="1"/>
    <col min="21" max="22" width="8.6640625" style="12" customWidth="1"/>
    <col min="23" max="23" width="12.33203125" style="12" customWidth="1"/>
    <col min="24" max="32" width="22.5" style="12" customWidth="1"/>
    <col min="33" max="33" width="6.5" style="12" customWidth="1"/>
    <col min="34" max="35" width="20.83203125" style="12" customWidth="1"/>
    <col min="36" max="43" width="18.5" style="12" customWidth="1"/>
    <col min="44" max="16384" width="9.1640625" style="12"/>
  </cols>
  <sheetData>
    <row r="1" spans="1:24" ht="24" thickBot="1" x14ac:dyDescent="0.25">
      <c r="A1" s="125"/>
      <c r="B1" s="126" t="s">
        <v>137</v>
      </c>
      <c r="C1" s="127"/>
      <c r="D1" s="127"/>
      <c r="E1" s="125"/>
      <c r="F1" s="127"/>
      <c r="G1" s="127"/>
      <c r="H1" s="127"/>
      <c r="I1" s="125"/>
      <c r="J1" s="125"/>
      <c r="K1" s="125"/>
      <c r="L1" s="125"/>
      <c r="M1" s="125"/>
      <c r="N1" s="13"/>
      <c r="O1" s="13"/>
      <c r="P1" s="13"/>
      <c r="Q1" s="13"/>
      <c r="R1" s="13"/>
      <c r="S1" s="13"/>
      <c r="T1" s="14" t="s">
        <v>41</v>
      </c>
      <c r="U1" s="13"/>
      <c r="V1" s="13"/>
      <c r="W1" s="13"/>
    </row>
    <row r="2" spans="1:24" ht="17" customHeight="1" thickBot="1" x14ac:dyDescent="0.25">
      <c r="A2" s="125"/>
      <c r="B2" s="20" t="s">
        <v>138</v>
      </c>
      <c r="C2" s="21"/>
      <c r="D2" s="21"/>
      <c r="E2" s="63"/>
      <c r="F2" s="519" t="s">
        <v>124</v>
      </c>
      <c r="G2" s="520"/>
      <c r="H2" s="520"/>
      <c r="I2" s="520"/>
      <c r="J2" s="520"/>
      <c r="K2" s="520"/>
      <c r="L2" s="521"/>
      <c r="M2" s="125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</row>
    <row r="3" spans="1:24" ht="14.25" customHeight="1" thickTop="1" thickBot="1" x14ac:dyDescent="0.25">
      <c r="A3" s="125"/>
      <c r="B3" s="131"/>
      <c r="C3" s="129"/>
      <c r="D3" s="17"/>
      <c r="E3" s="125"/>
      <c r="F3" s="133" t="s">
        <v>12</v>
      </c>
      <c r="G3" s="27" t="s">
        <v>135</v>
      </c>
      <c r="H3" s="72" t="s">
        <v>13</v>
      </c>
      <c r="I3" s="72" t="str">
        <f>IF(B30=3,"EE+1","ES")</f>
        <v>ES</v>
      </c>
      <c r="J3" s="72" t="str">
        <f>IF(B30=3,"EE+2","EC")</f>
        <v>EC</v>
      </c>
      <c r="K3" s="72" t="str">
        <f>IF(K2=3,"N/A","EF")</f>
        <v>EF</v>
      </c>
      <c r="L3" s="97" t="s">
        <v>15</v>
      </c>
      <c r="M3" s="125"/>
      <c r="N3" s="13"/>
      <c r="O3" s="13"/>
      <c r="P3" s="13"/>
      <c r="Q3" s="13"/>
      <c r="R3" s="13"/>
      <c r="S3" s="13"/>
      <c r="T3" s="14" t="s">
        <v>44</v>
      </c>
      <c r="U3" s="13"/>
      <c r="V3" s="13"/>
      <c r="W3" s="13"/>
    </row>
    <row r="4" spans="1:24" s="13" customFormat="1" ht="14.25" customHeight="1" thickTop="1" x14ac:dyDescent="0.2">
      <c r="A4" s="125"/>
      <c r="B4" s="503" t="s">
        <v>98</v>
      </c>
      <c r="C4" s="504"/>
      <c r="D4" s="42"/>
      <c r="E4" s="125"/>
      <c r="F4" s="530" t="s">
        <v>121</v>
      </c>
      <c r="G4" s="10" t="s">
        <v>132</v>
      </c>
      <c r="H4" s="64"/>
      <c r="I4" s="64"/>
      <c r="J4" s="64"/>
      <c r="K4" s="64"/>
      <c r="L4" s="526">
        <f>SUM(H5:K5)</f>
        <v>0</v>
      </c>
      <c r="M4" s="125"/>
      <c r="T4" s="14" t="s">
        <v>46</v>
      </c>
    </row>
    <row r="5" spans="1:24" s="13" customFormat="1" ht="14.25" customHeight="1" x14ac:dyDescent="0.2">
      <c r="A5" s="125"/>
      <c r="B5" s="115" t="s">
        <v>26</v>
      </c>
      <c r="C5" s="143" t="str">
        <f>INTAKE!E5</f>
        <v>GoGuardian</v>
      </c>
      <c r="D5" s="43"/>
      <c r="E5" s="130"/>
      <c r="F5" s="531"/>
      <c r="G5" s="57" t="s">
        <v>119</v>
      </c>
      <c r="H5" s="68"/>
      <c r="I5" s="68"/>
      <c r="J5" s="68"/>
      <c r="K5" s="68"/>
      <c r="L5" s="527"/>
      <c r="M5" s="125"/>
      <c r="T5" s="14" t="s">
        <v>48</v>
      </c>
    </row>
    <row r="6" spans="1:24" s="13" customFormat="1" ht="14.25" customHeight="1" x14ac:dyDescent="0.2">
      <c r="A6" s="125"/>
      <c r="B6" s="115" t="s">
        <v>88</v>
      </c>
      <c r="C6" s="144" t="str">
        <f>INTAKE!E8</f>
        <v>DEVSALE_FIRST_NAME DEVSALE_LAST_NAME</v>
      </c>
      <c r="D6" s="44"/>
      <c r="E6" s="130"/>
      <c r="F6" s="532"/>
      <c r="G6" s="58" t="s">
        <v>128</v>
      </c>
      <c r="H6" s="60"/>
      <c r="I6" s="60"/>
      <c r="J6" s="60"/>
      <c r="K6" s="60"/>
      <c r="L6" s="528"/>
      <c r="M6" s="125"/>
      <c r="T6" s="14" t="s">
        <v>50</v>
      </c>
    </row>
    <row r="7" spans="1:24" s="13" customFormat="1" ht="14.25" customHeight="1" x14ac:dyDescent="0.2">
      <c r="A7" s="125"/>
      <c r="B7" s="115" t="s">
        <v>86</v>
      </c>
      <c r="C7" s="143">
        <f>INTAKE!E10</f>
        <v>0</v>
      </c>
      <c r="D7" s="43"/>
      <c r="E7" s="130"/>
      <c r="F7" s="530" t="s">
        <v>122</v>
      </c>
      <c r="G7" s="10" t="s">
        <v>132</v>
      </c>
      <c r="H7" s="56"/>
      <c r="I7" s="56"/>
      <c r="J7" s="56"/>
      <c r="K7" s="56"/>
      <c r="L7" s="526">
        <f>SUM(H8:K8)</f>
        <v>0</v>
      </c>
      <c r="M7" s="125"/>
      <c r="T7" s="14" t="s">
        <v>51</v>
      </c>
    </row>
    <row r="8" spans="1:24" s="13" customFormat="1" ht="14.25" customHeight="1" x14ac:dyDescent="0.2">
      <c r="A8" s="125"/>
      <c r="B8" s="115" t="s">
        <v>89</v>
      </c>
      <c r="C8" s="144">
        <f>INTAKE!J5</f>
        <v>7371</v>
      </c>
      <c r="D8" s="44"/>
      <c r="E8" s="130"/>
      <c r="F8" s="531"/>
      <c r="G8" s="57" t="s">
        <v>119</v>
      </c>
      <c r="H8" s="61"/>
      <c r="I8" s="61"/>
      <c r="J8" s="61"/>
      <c r="K8" s="61"/>
      <c r="L8" s="527"/>
      <c r="M8" s="125"/>
      <c r="T8" s="14" t="s">
        <v>53</v>
      </c>
    </row>
    <row r="9" spans="1:24" s="13" customFormat="1" ht="14.25" customHeight="1" x14ac:dyDescent="0.2">
      <c r="A9" s="125"/>
      <c r="B9" s="115" t="s">
        <v>28</v>
      </c>
      <c r="C9" s="145">
        <f>INTAKE!N5</f>
        <v>102</v>
      </c>
      <c r="D9" s="45"/>
      <c r="E9" s="130"/>
      <c r="F9" s="532"/>
      <c r="G9" s="58" t="s">
        <v>128</v>
      </c>
      <c r="H9" s="60"/>
      <c r="I9" s="60"/>
      <c r="J9" s="60"/>
      <c r="K9" s="60"/>
      <c r="L9" s="528"/>
      <c r="M9" s="125"/>
      <c r="T9" s="14" t="s">
        <v>55</v>
      </c>
    </row>
    <row r="10" spans="1:24" s="13" customFormat="1" ht="17.25" customHeight="1" x14ac:dyDescent="0.2">
      <c r="A10" s="125"/>
      <c r="B10" s="115" t="s">
        <v>87</v>
      </c>
      <c r="C10" s="146">
        <f>INTAKE!E7</f>
        <v>43344</v>
      </c>
      <c r="D10" s="46"/>
      <c r="E10" s="125"/>
      <c r="F10" s="530" t="s">
        <v>123</v>
      </c>
      <c r="G10" s="10" t="s">
        <v>132</v>
      </c>
      <c r="H10" s="64"/>
      <c r="I10" s="64"/>
      <c r="J10" s="64"/>
      <c r="K10" s="64"/>
      <c r="L10" s="526">
        <f>SUM(H11:K11)</f>
        <v>0</v>
      </c>
      <c r="M10" s="125"/>
      <c r="T10" s="14" t="s">
        <v>57</v>
      </c>
    </row>
    <row r="11" spans="1:24" s="13" customFormat="1" ht="14.25" customHeight="1" x14ac:dyDescent="0.2">
      <c r="A11" s="125"/>
      <c r="B11" s="115" t="s">
        <v>33</v>
      </c>
      <c r="C11" s="147">
        <f>INTAKE!H54</f>
        <v>0</v>
      </c>
      <c r="D11" s="47"/>
      <c r="E11" s="125"/>
      <c r="F11" s="531"/>
      <c r="G11" s="57" t="s">
        <v>119</v>
      </c>
      <c r="H11" s="68"/>
      <c r="I11" s="68"/>
      <c r="J11" s="68"/>
      <c r="K11" s="68"/>
      <c r="L11" s="527"/>
      <c r="M11" s="125"/>
      <c r="T11" s="14" t="s">
        <v>59</v>
      </c>
    </row>
    <row r="12" spans="1:24" s="13" customFormat="1" ht="14.25" customHeight="1" thickBot="1" x14ac:dyDescent="0.25">
      <c r="A12" s="125"/>
      <c r="B12" s="115" t="s">
        <v>2</v>
      </c>
      <c r="C12" s="146" t="e">
        <f>INTAKE!#REF!</f>
        <v>#REF!</v>
      </c>
      <c r="D12" s="46"/>
      <c r="E12" s="130"/>
      <c r="F12" s="533"/>
      <c r="G12" s="134" t="s">
        <v>128</v>
      </c>
      <c r="H12" s="135"/>
      <c r="I12" s="135"/>
      <c r="J12" s="135"/>
      <c r="K12" s="135"/>
      <c r="L12" s="529"/>
      <c r="M12" s="125"/>
      <c r="T12" s="14" t="s">
        <v>62</v>
      </c>
    </row>
    <row r="13" spans="1:24" s="13" customFormat="1" ht="14.25" customHeight="1" thickBot="1" x14ac:dyDescent="0.25">
      <c r="A13" s="125"/>
      <c r="B13" s="116" t="s">
        <v>30</v>
      </c>
      <c r="C13" s="148" t="s">
        <v>120</v>
      </c>
      <c r="D13" s="48"/>
      <c r="E13" s="125"/>
      <c r="F13" s="16"/>
      <c r="G13" s="16"/>
      <c r="H13" s="16"/>
      <c r="I13" s="16"/>
      <c r="J13" s="16"/>
      <c r="K13" s="16"/>
      <c r="L13" s="16"/>
      <c r="M13" s="125"/>
      <c r="T13" s="14" t="s">
        <v>63</v>
      </c>
    </row>
    <row r="14" spans="1:24" s="13" customFormat="1" ht="14.25" customHeight="1" thickTop="1" thickBot="1" x14ac:dyDescent="0.25">
      <c r="A14" s="125"/>
      <c r="B14" s="132"/>
      <c r="C14" s="132"/>
      <c r="D14" s="49"/>
      <c r="E14" s="130"/>
      <c r="F14" s="519" t="s">
        <v>125</v>
      </c>
      <c r="G14" s="520"/>
      <c r="H14" s="520"/>
      <c r="I14" s="520"/>
      <c r="J14" s="520"/>
      <c r="K14" s="520"/>
      <c r="L14" s="521"/>
      <c r="M14" s="125"/>
    </row>
    <row r="15" spans="1:24" s="13" customFormat="1" ht="14.25" customHeight="1" thickTop="1" x14ac:dyDescent="0.2">
      <c r="A15" s="125"/>
      <c r="B15" s="117" t="s">
        <v>29</v>
      </c>
      <c r="C15" s="118"/>
      <c r="D15" s="50"/>
      <c r="E15" s="130"/>
      <c r="F15" s="133" t="s">
        <v>12</v>
      </c>
      <c r="G15" s="27" t="s">
        <v>136</v>
      </c>
      <c r="H15" s="72" t="s">
        <v>13</v>
      </c>
      <c r="I15" s="72" t="str">
        <f>IF(B42=3,"EE+1","ES")</f>
        <v>ES</v>
      </c>
      <c r="J15" s="72" t="str">
        <f>IF(B42=3,"EE+2","EC")</f>
        <v>EC</v>
      </c>
      <c r="K15" s="72" t="str">
        <f>IF(K14=3,"N/A","EF")</f>
        <v>EF</v>
      </c>
      <c r="L15" s="97" t="s">
        <v>15</v>
      </c>
      <c r="M15" s="125"/>
    </row>
    <row r="16" spans="1:24" s="13" customFormat="1" ht="14.25" customHeight="1" x14ac:dyDescent="0.2">
      <c r="A16" s="125"/>
      <c r="B16" s="115" t="s">
        <v>31</v>
      </c>
      <c r="C16" s="119">
        <v>4</v>
      </c>
      <c r="D16" s="51"/>
      <c r="E16" s="130"/>
      <c r="F16" s="136" t="s">
        <v>121</v>
      </c>
      <c r="G16" s="10" t="s">
        <v>134</v>
      </c>
      <c r="H16" s="11"/>
      <c r="I16" s="11"/>
      <c r="J16" s="11"/>
      <c r="K16" s="11"/>
      <c r="L16" s="137">
        <f>SUM(H17:K17)</f>
        <v>0</v>
      </c>
      <c r="M16" s="125"/>
    </row>
    <row r="17" spans="1:13" s="13" customFormat="1" ht="14.25" customHeight="1" x14ac:dyDescent="0.2">
      <c r="A17" s="125"/>
      <c r="B17" s="115" t="s">
        <v>32</v>
      </c>
      <c r="C17" s="120" t="s">
        <v>139</v>
      </c>
      <c r="D17" s="52"/>
      <c r="E17" s="125"/>
      <c r="F17" s="136" t="s">
        <v>122</v>
      </c>
      <c r="G17" s="10" t="s">
        <v>134</v>
      </c>
      <c r="H17" s="11"/>
      <c r="I17" s="11"/>
      <c r="J17" s="11"/>
      <c r="K17" s="11"/>
      <c r="L17" s="137">
        <f>SUM(H18:K18)</f>
        <v>0</v>
      </c>
      <c r="M17" s="125"/>
    </row>
    <row r="18" spans="1:13" s="13" customFormat="1" ht="14.25" customHeight="1" thickBot="1" x14ac:dyDescent="0.25">
      <c r="A18" s="125"/>
      <c r="B18" s="121" t="s">
        <v>106</v>
      </c>
      <c r="C18" s="122">
        <v>1</v>
      </c>
      <c r="D18" s="53"/>
      <c r="E18" s="125"/>
      <c r="F18" s="138" t="s">
        <v>123</v>
      </c>
      <c r="G18" s="139" t="s">
        <v>134</v>
      </c>
      <c r="H18" s="140"/>
      <c r="I18" s="140"/>
      <c r="J18" s="140"/>
      <c r="K18" s="140"/>
      <c r="L18" s="141">
        <f>SUM(H19:K19)</f>
        <v>0</v>
      </c>
      <c r="M18" s="125"/>
    </row>
    <row r="19" spans="1:13" s="13" customFormat="1" ht="14.25" customHeight="1" thickBot="1" x14ac:dyDescent="0.25">
      <c r="A19" s="125"/>
      <c r="B19" s="123" t="s">
        <v>105</v>
      </c>
      <c r="C19" s="124" t="s">
        <v>126</v>
      </c>
      <c r="D19" s="54"/>
      <c r="E19" s="130"/>
      <c r="F19" s="16"/>
      <c r="G19" s="16"/>
      <c r="H19" s="16"/>
      <c r="I19" s="16"/>
      <c r="J19" s="16"/>
      <c r="K19" s="16"/>
      <c r="L19" s="16"/>
      <c r="M19" s="125"/>
    </row>
    <row r="20" spans="1:13" s="13" customFormat="1" ht="14.25" customHeight="1" thickTop="1" thickBot="1" x14ac:dyDescent="0.25">
      <c r="A20" s="125"/>
      <c r="B20" s="129"/>
      <c r="C20" s="129"/>
      <c r="D20" s="17"/>
      <c r="E20" s="130"/>
      <c r="F20" s="519" t="s">
        <v>129</v>
      </c>
      <c r="G20" s="520"/>
      <c r="H20" s="520"/>
      <c r="I20" s="520"/>
      <c r="J20" s="520"/>
      <c r="K20" s="520"/>
      <c r="L20" s="521"/>
      <c r="M20" s="125"/>
    </row>
    <row r="21" spans="1:13" s="13" customFormat="1" ht="14.25" customHeight="1" thickTop="1" x14ac:dyDescent="0.2">
      <c r="A21" s="125"/>
      <c r="B21" s="125"/>
      <c r="C21" s="125"/>
      <c r="D21" s="42"/>
      <c r="E21" s="130"/>
      <c r="F21" s="522" t="s">
        <v>130</v>
      </c>
      <c r="G21" s="523"/>
      <c r="H21" s="524"/>
      <c r="I21" s="524"/>
      <c r="J21" s="524"/>
      <c r="K21" s="524"/>
      <c r="L21" s="525"/>
      <c r="M21" s="125"/>
    </row>
    <row r="22" spans="1:13" s="13" customFormat="1" ht="14.25" customHeight="1" x14ac:dyDescent="0.2">
      <c r="A22" s="125"/>
      <c r="B22" s="125"/>
      <c r="C22" s="125"/>
      <c r="D22" s="55"/>
      <c r="E22" s="130"/>
      <c r="F22" s="133" t="s">
        <v>12</v>
      </c>
      <c r="G22" s="27" t="s">
        <v>135</v>
      </c>
      <c r="H22" s="72" t="s">
        <v>13</v>
      </c>
      <c r="I22" s="72" t="str">
        <f>IF(B49=3,"EE+1","ES")</f>
        <v>ES</v>
      </c>
      <c r="J22" s="72" t="str">
        <f>IF(B49=3,"EE+2","EC")</f>
        <v>EC</v>
      </c>
      <c r="K22" s="72" t="str">
        <f>IF(K21=3,"N/A","EF")</f>
        <v>EF</v>
      </c>
      <c r="L22" s="97" t="s">
        <v>15</v>
      </c>
      <c r="M22" s="125"/>
    </row>
    <row r="23" spans="1:13" s="13" customFormat="1" ht="14.25" customHeight="1" x14ac:dyDescent="0.2">
      <c r="A23" s="125"/>
      <c r="B23" s="125"/>
      <c r="C23" s="125"/>
      <c r="D23" s="55"/>
      <c r="E23" s="130"/>
      <c r="F23" s="530" t="s">
        <v>131</v>
      </c>
      <c r="G23" s="10" t="s">
        <v>132</v>
      </c>
      <c r="H23" s="70"/>
      <c r="I23" s="70"/>
      <c r="J23" s="70"/>
      <c r="K23" s="70"/>
      <c r="L23" s="526">
        <f>SUM(H24:K24)</f>
        <v>0</v>
      </c>
      <c r="M23" s="125"/>
    </row>
    <row r="24" spans="1:13" s="13" customFormat="1" ht="14.25" customHeight="1" x14ac:dyDescent="0.2">
      <c r="A24" s="125"/>
      <c r="B24" s="125"/>
      <c r="C24" s="125"/>
      <c r="D24" s="55"/>
      <c r="E24" s="125"/>
      <c r="F24" s="531"/>
      <c r="G24" s="57" t="s">
        <v>133</v>
      </c>
      <c r="H24" s="69"/>
      <c r="I24" s="69"/>
      <c r="J24" s="69"/>
      <c r="K24" s="69"/>
      <c r="L24" s="527"/>
      <c r="M24" s="125"/>
    </row>
    <row r="25" spans="1:13" s="13" customFormat="1" ht="14.25" customHeight="1" x14ac:dyDescent="0.2">
      <c r="A25" s="125"/>
      <c r="B25" s="125"/>
      <c r="C25" s="125"/>
      <c r="D25" s="55"/>
      <c r="E25" s="125"/>
      <c r="F25" s="531"/>
      <c r="G25" s="59" t="s">
        <v>128</v>
      </c>
      <c r="H25" s="62"/>
      <c r="I25" s="62"/>
      <c r="J25" s="62"/>
      <c r="K25" s="62"/>
      <c r="L25" s="527"/>
      <c r="M25" s="125"/>
    </row>
    <row r="26" spans="1:13" s="13" customFormat="1" ht="14.25" customHeight="1" thickBot="1" x14ac:dyDescent="0.25">
      <c r="A26" s="125"/>
      <c r="B26" s="129"/>
      <c r="C26" s="129"/>
      <c r="D26" s="17"/>
      <c r="E26" s="125"/>
      <c r="F26" s="533"/>
      <c r="G26" s="134" t="s">
        <v>134</v>
      </c>
      <c r="H26" s="142"/>
      <c r="I26" s="142"/>
      <c r="J26" s="142"/>
      <c r="K26" s="142"/>
      <c r="L26" s="529"/>
      <c r="M26" s="125"/>
    </row>
    <row r="27" spans="1:13" s="13" customFormat="1" ht="14.25" customHeight="1" x14ac:dyDescent="0.2">
      <c r="A27" s="125"/>
      <c r="B27" s="125"/>
      <c r="C27" s="125"/>
      <c r="D27" s="125"/>
      <c r="E27" s="125"/>
      <c r="F27" s="125"/>
      <c r="G27" s="125"/>
      <c r="H27" s="125"/>
      <c r="I27" s="125"/>
      <c r="J27" s="125"/>
      <c r="K27" s="125"/>
      <c r="L27" s="125"/>
      <c r="M27" s="125"/>
    </row>
    <row r="28" spans="1:13" s="13" customFormat="1" ht="23" x14ac:dyDescent="0.2">
      <c r="A28" s="125"/>
      <c r="B28" s="125"/>
      <c r="C28" s="125"/>
      <c r="D28" s="125"/>
      <c r="E28" s="125"/>
      <c r="F28" s="125"/>
      <c r="G28" s="125"/>
      <c r="H28" s="125"/>
      <c r="I28" s="125"/>
      <c r="J28" s="125"/>
      <c r="K28" s="125"/>
      <c r="L28" s="125"/>
      <c r="M28" s="125"/>
    </row>
    <row r="29" spans="1:13" s="13" customFormat="1" ht="14.25" customHeight="1" x14ac:dyDescent="0.2">
      <c r="A29" s="125"/>
      <c r="B29" s="125"/>
      <c r="C29" s="125"/>
      <c r="D29" s="125"/>
      <c r="E29" s="125"/>
      <c r="F29" s="125"/>
      <c r="G29" s="125"/>
      <c r="H29" s="125"/>
      <c r="I29" s="125"/>
      <c r="J29" s="125"/>
      <c r="K29" s="125"/>
      <c r="L29" s="125"/>
      <c r="M29" s="125"/>
    </row>
    <row r="30" spans="1:13" s="13" customFormat="1" ht="14.25" customHeight="1" x14ac:dyDescent="0.2">
      <c r="A30" s="125"/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</row>
    <row r="31" spans="1:13" s="13" customFormat="1" ht="14.25" customHeight="1" x14ac:dyDescent="0.2">
      <c r="A31" s="125"/>
      <c r="B31" s="125"/>
      <c r="C31" s="125"/>
      <c r="D31" s="125"/>
      <c r="E31" s="125"/>
      <c r="F31" s="125"/>
      <c r="G31" s="125"/>
      <c r="H31" s="125"/>
      <c r="I31" s="125"/>
      <c r="J31" s="125"/>
      <c r="K31" s="125"/>
      <c r="L31" s="125"/>
      <c r="M31" s="125"/>
    </row>
    <row r="32" spans="1:13" s="13" customFormat="1" ht="14.25" customHeight="1" x14ac:dyDescent="0.2">
      <c r="A32" s="125"/>
      <c r="B32" s="125"/>
      <c r="C32" s="125"/>
      <c r="D32" s="125"/>
      <c r="E32" s="125"/>
      <c r="F32" s="125"/>
      <c r="G32" s="125"/>
      <c r="H32" s="125"/>
      <c r="I32" s="125"/>
      <c r="J32" s="125"/>
      <c r="K32" s="125"/>
      <c r="L32" s="125"/>
      <c r="M32" s="125"/>
    </row>
    <row r="33" spans="1:13" s="13" customFormat="1" ht="14.25" customHeight="1" x14ac:dyDescent="0.2">
      <c r="A33" s="125"/>
      <c r="B33" s="125"/>
      <c r="C33" s="125"/>
      <c r="D33" s="125"/>
      <c r="E33" s="125"/>
      <c r="F33" s="125"/>
      <c r="G33" s="125"/>
      <c r="H33" s="125"/>
      <c r="I33" s="125"/>
      <c r="J33" s="125"/>
      <c r="K33" s="125"/>
      <c r="L33" s="125"/>
      <c r="M33" s="125"/>
    </row>
    <row r="34" spans="1:13" s="13" customFormat="1" ht="14.25" customHeight="1" x14ac:dyDescent="0.2">
      <c r="A34" s="125"/>
      <c r="B34" s="125"/>
      <c r="C34" s="125"/>
      <c r="D34" s="125"/>
      <c r="E34" s="125"/>
      <c r="F34" s="125"/>
      <c r="G34" s="125"/>
      <c r="H34" s="125"/>
      <c r="I34" s="125"/>
      <c r="J34" s="125"/>
      <c r="K34" s="125"/>
      <c r="L34" s="125"/>
      <c r="M34" s="125"/>
    </row>
    <row r="35" spans="1:13" s="13" customFormat="1" ht="14.25" customHeight="1" x14ac:dyDescent="0.2">
      <c r="A35" s="125"/>
      <c r="B35" s="125"/>
      <c r="C35" s="125"/>
      <c r="D35" s="125"/>
      <c r="E35" s="125"/>
      <c r="F35" s="125"/>
      <c r="G35" s="125"/>
      <c r="H35" s="125"/>
      <c r="I35" s="125"/>
      <c r="J35" s="125"/>
      <c r="K35" s="125"/>
      <c r="L35" s="125"/>
      <c r="M35" s="125"/>
    </row>
    <row r="36" spans="1:13" s="13" customFormat="1" ht="14.25" customHeight="1" x14ac:dyDescent="0.2">
      <c r="A36" s="125"/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</row>
    <row r="37" spans="1:13" s="13" customFormat="1" ht="14.25" customHeight="1" x14ac:dyDescent="0.2">
      <c r="A37" s="125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</row>
    <row r="38" spans="1:13" s="13" customFormat="1" ht="14.25" customHeight="1" x14ac:dyDescent="0.2">
      <c r="A38" s="125"/>
      <c r="B38" s="125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</row>
    <row r="39" spans="1:13" s="13" customFormat="1" ht="14.25" customHeight="1" x14ac:dyDescent="0.2">
      <c r="A39" s="125"/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3" s="13" customFormat="1" ht="14.25" customHeight="1" x14ac:dyDescent="0.2">
      <c r="A40" s="125"/>
      <c r="B40" s="125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</row>
    <row r="41" spans="1:13" s="13" customFormat="1" ht="14.25" customHeight="1" x14ac:dyDescent="0.2">
      <c r="A41" s="125"/>
      <c r="B41" s="125"/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</row>
    <row r="42" spans="1:13" s="13" customFormat="1" ht="14.25" customHeight="1" x14ac:dyDescent="0.2">
      <c r="A42" s="125"/>
      <c r="B42" s="125"/>
      <c r="C42" s="125"/>
      <c r="D42" s="125"/>
      <c r="E42" s="125"/>
      <c r="F42" s="125"/>
      <c r="G42" s="125"/>
      <c r="H42" s="125"/>
      <c r="I42" s="125"/>
      <c r="J42" s="125"/>
      <c r="K42" s="125"/>
      <c r="L42" s="125"/>
      <c r="M42" s="125"/>
    </row>
    <row r="43" spans="1:13" s="13" customFormat="1" ht="14.25" customHeight="1" x14ac:dyDescent="0.2">
      <c r="A43" s="125"/>
      <c r="B43" s="125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</row>
    <row r="44" spans="1:13" s="13" customFormat="1" ht="14.25" customHeight="1" x14ac:dyDescent="0.2">
      <c r="A44" s="125"/>
      <c r="B44" s="125"/>
      <c r="C44" s="125"/>
      <c r="D44" s="125"/>
      <c r="E44" s="125"/>
      <c r="F44" s="125"/>
      <c r="G44" s="125"/>
      <c r="H44" s="125"/>
      <c r="I44" s="125"/>
      <c r="J44" s="125"/>
      <c r="K44" s="125"/>
      <c r="L44" s="125"/>
      <c r="M44" s="125"/>
    </row>
    <row r="45" spans="1:13" s="13" customFormat="1" ht="14.25" customHeight="1" x14ac:dyDescent="0.2">
      <c r="A45" s="125"/>
      <c r="B45" s="125"/>
      <c r="C45" s="125"/>
      <c r="D45" s="125"/>
      <c r="E45" s="125"/>
      <c r="F45" s="125"/>
      <c r="G45" s="125"/>
      <c r="H45" s="125"/>
      <c r="I45" s="125"/>
      <c r="J45" s="125"/>
      <c r="K45" s="125"/>
      <c r="L45" s="125"/>
      <c r="M45" s="125"/>
    </row>
    <row r="46" spans="1:13" s="13" customFormat="1" ht="14.25" customHeight="1" x14ac:dyDescent="0.2">
      <c r="A46" s="125"/>
      <c r="B46" s="125"/>
      <c r="C46" s="125"/>
      <c r="D46" s="125"/>
      <c r="E46" s="125"/>
      <c r="F46" s="125"/>
      <c r="G46" s="125"/>
      <c r="H46" s="125"/>
      <c r="I46" s="125"/>
      <c r="J46" s="125"/>
      <c r="K46" s="125"/>
      <c r="L46" s="125"/>
      <c r="M46" s="125"/>
    </row>
    <row r="47" spans="1:13" s="13" customFormat="1" ht="14.25" customHeight="1" x14ac:dyDescent="0.2">
      <c r="A47" s="125"/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</row>
    <row r="48" spans="1:13" s="13" customFormat="1" ht="14.25" customHeight="1" x14ac:dyDescent="0.2">
      <c r="A48" s="128"/>
      <c r="B48" s="125"/>
      <c r="C48" s="125"/>
      <c r="D48" s="125"/>
      <c r="E48" s="125"/>
      <c r="F48" s="125"/>
      <c r="G48" s="125"/>
      <c r="H48" s="125"/>
      <c r="I48" s="125"/>
      <c r="J48" s="125"/>
      <c r="K48" s="125"/>
      <c r="L48" s="125"/>
      <c r="M48" s="125"/>
    </row>
    <row r="49" spans="1:13" s="13" customFormat="1" ht="14.25" customHeight="1" x14ac:dyDescent="0.2">
      <c r="A49" s="128"/>
      <c r="B49" s="125"/>
      <c r="C49" s="125"/>
      <c r="D49" s="125"/>
      <c r="E49" s="125"/>
      <c r="F49" s="125"/>
      <c r="G49" s="125"/>
      <c r="H49" s="125"/>
      <c r="I49" s="125"/>
      <c r="J49" s="125"/>
      <c r="K49" s="125"/>
      <c r="L49" s="125"/>
      <c r="M49" s="125"/>
    </row>
    <row r="50" spans="1:13" s="13" customFormat="1" ht="14.25" customHeight="1" x14ac:dyDescent="0.2">
      <c r="A50" s="128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</row>
    <row r="51" spans="1:13" s="13" customFormat="1" ht="14.25" customHeight="1" x14ac:dyDescent="0.2">
      <c r="A51" s="128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</row>
    <row r="52" spans="1:13" ht="14.25" customHeight="1" x14ac:dyDescent="0.2">
      <c r="A52" s="128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</row>
    <row r="53" spans="1:13" ht="14.25" customHeight="1" x14ac:dyDescent="0.2">
      <c r="A53" s="128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</row>
    <row r="54" spans="1:13" ht="14.25" customHeight="1" x14ac:dyDescent="0.2">
      <c r="A54" s="128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</row>
    <row r="55" spans="1:13" ht="14.25" customHeight="1" x14ac:dyDescent="0.2">
      <c r="A55" s="128"/>
      <c r="B55" s="125"/>
      <c r="C55" s="125"/>
      <c r="D55" s="125"/>
      <c r="E55" s="125"/>
      <c r="F55" s="125"/>
      <c r="G55" s="125"/>
      <c r="H55" s="125"/>
      <c r="I55" s="125"/>
      <c r="J55" s="125"/>
      <c r="K55" s="125"/>
      <c r="L55" s="125"/>
      <c r="M55" s="125"/>
    </row>
    <row r="56" spans="1:13" ht="14.25" customHeight="1" x14ac:dyDescent="0.2">
      <c r="A56" s="128"/>
      <c r="B56" s="125"/>
      <c r="C56" s="125"/>
      <c r="D56" s="125"/>
      <c r="E56" s="125"/>
      <c r="F56" s="125"/>
      <c r="G56" s="125"/>
      <c r="H56" s="125"/>
      <c r="I56" s="125"/>
      <c r="J56" s="125"/>
      <c r="K56" s="125"/>
      <c r="L56" s="125"/>
      <c r="M56" s="125"/>
    </row>
    <row r="57" spans="1:13" ht="14.25" customHeight="1" x14ac:dyDescent="0.2">
      <c r="A57" s="128"/>
      <c r="B57" s="125"/>
      <c r="C57" s="125"/>
      <c r="D57" s="125"/>
      <c r="E57" s="125"/>
      <c r="F57" s="125"/>
      <c r="G57" s="125"/>
      <c r="H57" s="125"/>
      <c r="I57" s="125"/>
      <c r="J57" s="125"/>
      <c r="K57" s="125"/>
      <c r="L57" s="125"/>
      <c r="M57" s="125"/>
    </row>
    <row r="58" spans="1:13" ht="14.25" customHeight="1" x14ac:dyDescent="0.2">
      <c r="A58" s="128"/>
      <c r="B58" s="125"/>
      <c r="C58" s="125"/>
      <c r="D58" s="125"/>
      <c r="E58" s="125"/>
      <c r="F58" s="125"/>
      <c r="G58" s="125"/>
      <c r="H58" s="125"/>
      <c r="I58" s="125"/>
      <c r="J58" s="125"/>
      <c r="K58" s="125"/>
      <c r="L58" s="125"/>
      <c r="M58" s="125"/>
    </row>
    <row r="59" spans="1:13" ht="14.25" customHeight="1" x14ac:dyDescent="0.2">
      <c r="A59" s="128"/>
      <c r="B59" s="125"/>
      <c r="C59" s="125"/>
      <c r="D59" s="125"/>
      <c r="E59" s="125"/>
      <c r="F59" s="125"/>
      <c r="G59" s="125"/>
      <c r="H59" s="125"/>
      <c r="I59" s="125"/>
      <c r="J59" s="125"/>
      <c r="K59" s="125"/>
      <c r="L59" s="125"/>
      <c r="M59" s="125"/>
    </row>
    <row r="60" spans="1:13" ht="14.25" customHeight="1" x14ac:dyDescent="0.2">
      <c r="A60" s="128"/>
      <c r="B60" s="125"/>
      <c r="C60" s="125"/>
      <c r="D60" s="125"/>
      <c r="E60" s="125"/>
      <c r="F60" s="125"/>
      <c r="G60" s="125"/>
      <c r="H60" s="125"/>
      <c r="I60" s="125"/>
      <c r="J60" s="125"/>
      <c r="K60" s="125"/>
      <c r="L60" s="125"/>
      <c r="M60" s="125"/>
    </row>
    <row r="61" spans="1:13" ht="14.25" customHeight="1" x14ac:dyDescent="0.2">
      <c r="A61" s="128"/>
      <c r="B61" s="125"/>
      <c r="C61" s="125"/>
      <c r="D61" s="125"/>
      <c r="E61" s="125"/>
      <c r="F61" s="125"/>
      <c r="G61" s="125"/>
      <c r="H61" s="125"/>
      <c r="I61" s="125"/>
      <c r="J61" s="125"/>
      <c r="K61" s="125"/>
      <c r="L61" s="125"/>
      <c r="M61" s="125"/>
    </row>
    <row r="62" spans="1:13" ht="14.25" customHeight="1" x14ac:dyDescent="0.2">
      <c r="A62" s="128"/>
      <c r="B62" s="125"/>
      <c r="C62" s="125"/>
      <c r="D62" s="125"/>
      <c r="E62" s="125"/>
      <c r="F62" s="125"/>
      <c r="G62" s="125"/>
      <c r="H62" s="125"/>
      <c r="I62" s="125"/>
      <c r="J62" s="125"/>
      <c r="K62" s="125"/>
      <c r="L62" s="125"/>
      <c r="M62" s="125"/>
    </row>
    <row r="63" spans="1:13" ht="14.25" customHeight="1" x14ac:dyDescent="0.2">
      <c r="A63" s="128"/>
      <c r="B63" s="125"/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</row>
    <row r="64" spans="1:13" ht="14.25" customHeight="1" x14ac:dyDescent="0.2">
      <c r="A64" s="128"/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</row>
    <row r="65" spans="1:13" ht="14.25" customHeight="1" x14ac:dyDescent="0.2">
      <c r="A65" s="128"/>
      <c r="B65" s="128"/>
      <c r="C65" s="128"/>
      <c r="D65" s="128"/>
      <c r="E65" s="128"/>
      <c r="F65" s="128"/>
      <c r="G65" s="128"/>
      <c r="H65" s="128"/>
      <c r="I65" s="129"/>
      <c r="J65" s="129"/>
      <c r="K65" s="125"/>
      <c r="L65" s="125"/>
      <c r="M65" s="125"/>
    </row>
    <row r="66" spans="1:13" ht="28.25" hidden="1" customHeight="1" thickTop="1" x14ac:dyDescent="0.2">
      <c r="A66" s="19"/>
      <c r="B66" s="484" t="s">
        <v>100</v>
      </c>
      <c r="C66" s="485"/>
      <c r="D66" s="485"/>
      <c r="E66" s="485"/>
      <c r="F66" s="485"/>
      <c r="G66" s="485"/>
      <c r="H66" s="485"/>
      <c r="I66" s="485"/>
      <c r="J66" s="486"/>
      <c r="K66" s="16"/>
      <c r="L66" s="16"/>
      <c r="M66" s="16"/>
    </row>
    <row r="67" spans="1:13" ht="14.25" hidden="1" customHeight="1" x14ac:dyDescent="0.2">
      <c r="A67" s="19"/>
      <c r="B67" s="28" t="s">
        <v>97</v>
      </c>
      <c r="C67" s="388" t="s">
        <v>111</v>
      </c>
      <c r="D67" s="388"/>
      <c r="E67" s="388"/>
      <c r="F67" s="490"/>
      <c r="G67" s="387"/>
      <c r="H67" s="388"/>
      <c r="I67" s="388"/>
      <c r="J67" s="389"/>
      <c r="K67" s="16"/>
      <c r="L67" s="16"/>
      <c r="M67" s="16"/>
    </row>
    <row r="68" spans="1:13" ht="14.25" hidden="1" customHeight="1" x14ac:dyDescent="0.2">
      <c r="A68" s="19"/>
      <c r="B68" s="28" t="s">
        <v>90</v>
      </c>
      <c r="C68" s="456" t="s">
        <v>34</v>
      </c>
      <c r="D68" s="456"/>
      <c r="E68" s="456"/>
      <c r="F68" s="534"/>
      <c r="G68" s="455"/>
      <c r="H68" s="456"/>
      <c r="I68" s="456"/>
      <c r="J68" s="457"/>
      <c r="K68" s="16"/>
      <c r="L68" s="16"/>
      <c r="M68" s="16"/>
    </row>
    <row r="69" spans="1:13" ht="14.25" hidden="1" customHeight="1" x14ac:dyDescent="0.2">
      <c r="A69" s="19"/>
      <c r="B69" s="28" t="s">
        <v>91</v>
      </c>
      <c r="C69" s="456" t="s">
        <v>35</v>
      </c>
      <c r="D69" s="456"/>
      <c r="E69" s="456"/>
      <c r="F69" s="534"/>
      <c r="G69" s="455"/>
      <c r="H69" s="456"/>
      <c r="I69" s="456"/>
      <c r="J69" s="457"/>
      <c r="K69" s="16"/>
      <c r="L69" s="16"/>
      <c r="M69" s="16"/>
    </row>
    <row r="70" spans="1:13" ht="14.25" hidden="1" customHeight="1" thickBot="1" x14ac:dyDescent="0.25">
      <c r="A70" s="19"/>
      <c r="B70" s="29" t="s">
        <v>36</v>
      </c>
      <c r="C70" s="456" t="s">
        <v>107</v>
      </c>
      <c r="D70" s="456"/>
      <c r="E70" s="456"/>
      <c r="F70" s="534"/>
      <c r="G70" s="455"/>
      <c r="H70" s="456"/>
      <c r="I70" s="456"/>
      <c r="J70" s="457"/>
      <c r="K70" s="16"/>
      <c r="L70" s="16"/>
      <c r="M70" s="16"/>
    </row>
    <row r="71" spans="1:13" ht="14.25" hidden="1" customHeight="1" thickBot="1" x14ac:dyDescent="0.25">
      <c r="A71" s="19"/>
      <c r="B71" s="30"/>
      <c r="C71" s="487" t="s">
        <v>94</v>
      </c>
      <c r="D71" s="488"/>
      <c r="E71" s="488"/>
      <c r="F71" s="489"/>
      <c r="G71" s="326" t="s">
        <v>95</v>
      </c>
      <c r="H71" s="327"/>
      <c r="I71" s="327"/>
      <c r="J71" s="328"/>
      <c r="K71" s="16"/>
      <c r="L71" s="16"/>
      <c r="M71" s="16"/>
    </row>
    <row r="72" spans="1:13" ht="14.25" hidden="1" customHeight="1" thickBot="1" x14ac:dyDescent="0.25">
      <c r="A72" s="19"/>
      <c r="B72" s="31"/>
      <c r="C72" s="301" t="s">
        <v>37</v>
      </c>
      <c r="D72" s="303"/>
      <c r="E72" s="301" t="s">
        <v>96</v>
      </c>
      <c r="F72" s="302"/>
      <c r="G72" s="301" t="s">
        <v>37</v>
      </c>
      <c r="H72" s="303"/>
      <c r="I72" s="301" t="s">
        <v>96</v>
      </c>
      <c r="J72" s="302"/>
      <c r="K72" s="16"/>
      <c r="L72" s="16"/>
      <c r="M72" s="16"/>
    </row>
    <row r="73" spans="1:13" ht="14.25" hidden="1" customHeight="1" thickBot="1" x14ac:dyDescent="0.25">
      <c r="A73" s="19"/>
      <c r="B73" s="32" t="s">
        <v>38</v>
      </c>
      <c r="C73" s="472">
        <v>1</v>
      </c>
      <c r="D73" s="473"/>
      <c r="E73" s="472">
        <v>1</v>
      </c>
      <c r="F73" s="495"/>
      <c r="G73" s="518"/>
      <c r="H73" s="458"/>
      <c r="I73" s="458"/>
      <c r="J73" s="459"/>
      <c r="K73" s="16"/>
      <c r="L73" s="16"/>
      <c r="M73" s="16"/>
    </row>
    <row r="74" spans="1:13" ht="14.25" hidden="1" customHeight="1" x14ac:dyDescent="0.2">
      <c r="A74" s="19"/>
      <c r="B74" s="33" t="s">
        <v>39</v>
      </c>
      <c r="C74" s="474">
        <v>0.8</v>
      </c>
      <c r="D74" s="324"/>
      <c r="E74" s="474">
        <v>0.8</v>
      </c>
      <c r="F74" s="496"/>
      <c r="G74" s="324"/>
      <c r="H74" s="325"/>
      <c r="I74" s="325"/>
      <c r="J74" s="460"/>
      <c r="K74" s="16"/>
      <c r="L74" s="16"/>
      <c r="M74" s="16"/>
    </row>
    <row r="75" spans="1:13" ht="14.25" hidden="1" customHeight="1" x14ac:dyDescent="0.2">
      <c r="A75" s="19"/>
      <c r="B75" s="34" t="s">
        <v>40</v>
      </c>
      <c r="C75" s="295">
        <v>0.8</v>
      </c>
      <c r="D75" s="336"/>
      <c r="E75" s="295">
        <v>0.8</v>
      </c>
      <c r="F75" s="296"/>
      <c r="G75" s="336"/>
      <c r="H75" s="461"/>
      <c r="I75" s="461"/>
      <c r="J75" s="462"/>
      <c r="K75" s="16"/>
      <c r="L75" s="16"/>
      <c r="M75" s="16"/>
    </row>
    <row r="76" spans="1:13" ht="14.25" hidden="1" customHeight="1" x14ac:dyDescent="0.2">
      <c r="A76" s="19"/>
      <c r="B76" s="34" t="s">
        <v>42</v>
      </c>
      <c r="C76" s="295">
        <v>0.8</v>
      </c>
      <c r="D76" s="336"/>
      <c r="E76" s="295">
        <v>0.8</v>
      </c>
      <c r="F76" s="296"/>
      <c r="G76" s="336"/>
      <c r="H76" s="461"/>
      <c r="I76" s="461"/>
      <c r="J76" s="462"/>
      <c r="K76" s="16"/>
      <c r="L76" s="16"/>
      <c r="M76" s="16"/>
    </row>
    <row r="77" spans="1:13" ht="14.25" hidden="1" customHeight="1" thickBot="1" x14ac:dyDescent="0.25">
      <c r="A77" s="19"/>
      <c r="B77" s="35" t="s">
        <v>43</v>
      </c>
      <c r="C77" s="297">
        <v>0.8</v>
      </c>
      <c r="D77" s="337"/>
      <c r="E77" s="297">
        <v>0.8</v>
      </c>
      <c r="F77" s="298"/>
      <c r="G77" s="483"/>
      <c r="H77" s="463"/>
      <c r="I77" s="463"/>
      <c r="J77" s="464"/>
      <c r="K77" s="16"/>
      <c r="L77" s="16"/>
      <c r="M77" s="16"/>
    </row>
    <row r="78" spans="1:13" ht="14.25" hidden="1" customHeight="1" x14ac:dyDescent="0.2">
      <c r="A78" s="19"/>
      <c r="B78" s="36" t="s">
        <v>45</v>
      </c>
      <c r="C78" s="299">
        <v>0.5</v>
      </c>
      <c r="D78" s="338"/>
      <c r="E78" s="299">
        <v>0.5</v>
      </c>
      <c r="F78" s="300"/>
      <c r="G78" s="338"/>
      <c r="H78" s="465"/>
      <c r="I78" s="465"/>
      <c r="J78" s="466"/>
      <c r="K78" s="16"/>
      <c r="L78" s="16"/>
      <c r="M78" s="16"/>
    </row>
    <row r="79" spans="1:13" ht="14.25" hidden="1" customHeight="1" x14ac:dyDescent="0.2">
      <c r="A79" s="19"/>
      <c r="B79" s="37" t="s">
        <v>47</v>
      </c>
      <c r="C79" s="339">
        <v>0.5</v>
      </c>
      <c r="D79" s="340"/>
      <c r="E79" s="339">
        <v>0.5</v>
      </c>
      <c r="F79" s="482"/>
      <c r="G79" s="340"/>
      <c r="H79" s="393"/>
      <c r="I79" s="393"/>
      <c r="J79" s="467"/>
      <c r="K79" s="16"/>
      <c r="L79" s="16"/>
      <c r="M79" s="16"/>
    </row>
    <row r="80" spans="1:13" ht="14.25" hidden="1" customHeight="1" thickBot="1" x14ac:dyDescent="0.25">
      <c r="A80" s="19"/>
      <c r="B80" s="38" t="s">
        <v>49</v>
      </c>
      <c r="C80" s="341">
        <v>0.5</v>
      </c>
      <c r="D80" s="342"/>
      <c r="E80" s="341">
        <v>0.5</v>
      </c>
      <c r="F80" s="491"/>
      <c r="G80" s="394"/>
      <c r="H80" s="395"/>
      <c r="I80" s="395"/>
      <c r="J80" s="468"/>
      <c r="K80" s="16"/>
      <c r="L80" s="16"/>
      <c r="M80" s="16"/>
    </row>
    <row r="81" spans="1:13" ht="14.25" hidden="1" customHeight="1" x14ac:dyDescent="0.2">
      <c r="A81" s="19"/>
      <c r="B81" s="39" t="s">
        <v>52</v>
      </c>
      <c r="C81" s="475" t="s">
        <v>41</v>
      </c>
      <c r="D81" s="476"/>
      <c r="E81" s="476"/>
      <c r="F81" s="477"/>
      <c r="G81" s="312"/>
      <c r="H81" s="313"/>
      <c r="I81" s="313"/>
      <c r="J81" s="314"/>
      <c r="K81" s="16"/>
      <c r="L81" s="16"/>
      <c r="M81" s="16"/>
    </row>
    <row r="82" spans="1:13" ht="14.25" hidden="1" customHeight="1" thickBot="1" x14ac:dyDescent="0.25">
      <c r="A82" s="19"/>
      <c r="B82" s="35" t="s">
        <v>54</v>
      </c>
      <c r="C82" s="355" t="s">
        <v>101</v>
      </c>
      <c r="D82" s="356"/>
      <c r="E82" s="356"/>
      <c r="F82" s="357"/>
      <c r="G82" s="309"/>
      <c r="H82" s="310"/>
      <c r="I82" s="310"/>
      <c r="J82" s="311"/>
      <c r="K82" s="16"/>
      <c r="L82" s="16"/>
      <c r="M82" s="16"/>
    </row>
    <row r="83" spans="1:13" ht="14.25" hidden="1" customHeight="1" x14ac:dyDescent="0.2">
      <c r="A83" s="19"/>
      <c r="B83" s="36" t="s">
        <v>56</v>
      </c>
      <c r="C83" s="475" t="s">
        <v>108</v>
      </c>
      <c r="D83" s="476"/>
      <c r="E83" s="476"/>
      <c r="F83" s="477"/>
      <c r="G83" s="312"/>
      <c r="H83" s="313"/>
      <c r="I83" s="313"/>
      <c r="J83" s="314"/>
      <c r="K83" s="16"/>
      <c r="L83" s="16"/>
      <c r="M83" s="16"/>
    </row>
    <row r="84" spans="1:13" ht="14.25" hidden="1" customHeight="1" x14ac:dyDescent="0.2">
      <c r="A84" s="19"/>
      <c r="B84" s="37" t="s">
        <v>58</v>
      </c>
      <c r="C84" s="478">
        <v>0.5</v>
      </c>
      <c r="D84" s="479"/>
      <c r="E84" s="479"/>
      <c r="F84" s="480"/>
      <c r="G84" s="315"/>
      <c r="H84" s="316"/>
      <c r="I84" s="316"/>
      <c r="J84" s="317"/>
      <c r="K84" s="16"/>
      <c r="L84" s="16"/>
      <c r="M84" s="16"/>
    </row>
    <row r="85" spans="1:13" ht="14.25" hidden="1" customHeight="1" x14ac:dyDescent="0.2">
      <c r="A85" s="19"/>
      <c r="B85" s="37" t="s">
        <v>60</v>
      </c>
      <c r="C85" s="332">
        <v>1500</v>
      </c>
      <c r="D85" s="318"/>
      <c r="E85" s="332">
        <v>1500</v>
      </c>
      <c r="F85" s="481"/>
      <c r="G85" s="318"/>
      <c r="H85" s="319"/>
      <c r="I85" s="319"/>
      <c r="J85" s="320"/>
      <c r="K85" s="16"/>
      <c r="L85" s="16"/>
      <c r="M85" s="16"/>
    </row>
    <row r="86" spans="1:13" ht="14.25" hidden="1" customHeight="1" x14ac:dyDescent="0.2">
      <c r="A86" s="19"/>
      <c r="B86" s="37" t="s">
        <v>61</v>
      </c>
      <c r="C86" s="352" t="s">
        <v>41</v>
      </c>
      <c r="D86" s="353"/>
      <c r="E86" s="353"/>
      <c r="F86" s="354"/>
      <c r="G86" s="387"/>
      <c r="H86" s="388"/>
      <c r="I86" s="388"/>
      <c r="J86" s="389"/>
      <c r="K86" s="16"/>
      <c r="L86" s="16"/>
      <c r="M86" s="16"/>
    </row>
    <row r="87" spans="1:13" ht="14.25" hidden="1" customHeight="1" thickBot="1" x14ac:dyDescent="0.25">
      <c r="A87" s="19"/>
      <c r="B87" s="38" t="s">
        <v>54</v>
      </c>
      <c r="C87" s="355" t="s">
        <v>101</v>
      </c>
      <c r="D87" s="356"/>
      <c r="E87" s="356"/>
      <c r="F87" s="357"/>
      <c r="G87" s="309"/>
      <c r="H87" s="310"/>
      <c r="I87" s="310"/>
      <c r="J87" s="311"/>
      <c r="K87" s="16"/>
      <c r="L87" s="16"/>
      <c r="M87" s="16"/>
    </row>
    <row r="88" spans="1:13" ht="14.25" hidden="1" customHeight="1" x14ac:dyDescent="0.2">
      <c r="A88" s="19"/>
      <c r="B88" s="39" t="s">
        <v>64</v>
      </c>
      <c r="C88" s="333">
        <v>50</v>
      </c>
      <c r="D88" s="334"/>
      <c r="E88" s="333">
        <v>50</v>
      </c>
      <c r="F88" s="358"/>
      <c r="G88" s="334"/>
      <c r="H88" s="390"/>
      <c r="I88" s="390"/>
      <c r="J88" s="391"/>
      <c r="K88" s="16"/>
      <c r="L88" s="16"/>
      <c r="M88" s="16"/>
    </row>
    <row r="89" spans="1:13" ht="14.25" hidden="1" customHeight="1" x14ac:dyDescent="0.2">
      <c r="A89" s="19"/>
      <c r="B89" s="34" t="s">
        <v>65</v>
      </c>
      <c r="C89" s="335" t="s">
        <v>102</v>
      </c>
      <c r="D89" s="307"/>
      <c r="E89" s="335" t="s">
        <v>102</v>
      </c>
      <c r="F89" s="359"/>
      <c r="G89" s="307"/>
      <c r="H89" s="308"/>
      <c r="I89" s="308"/>
      <c r="J89" s="392"/>
      <c r="K89" s="16"/>
      <c r="L89" s="16"/>
      <c r="M89" s="16"/>
    </row>
    <row r="90" spans="1:13" ht="14.25" hidden="1" customHeight="1" thickBot="1" x14ac:dyDescent="0.25">
      <c r="A90" s="19"/>
      <c r="B90" s="35" t="s">
        <v>66</v>
      </c>
      <c r="C90" s="349" t="s">
        <v>24</v>
      </c>
      <c r="D90" s="350"/>
      <c r="E90" s="349" t="s">
        <v>24</v>
      </c>
      <c r="F90" s="360"/>
      <c r="G90" s="379"/>
      <c r="H90" s="380"/>
      <c r="I90" s="380"/>
      <c r="J90" s="381"/>
      <c r="K90" s="16"/>
      <c r="L90" s="16"/>
      <c r="M90" s="16"/>
    </row>
    <row r="91" spans="1:13" ht="14.25" hidden="1" customHeight="1" x14ac:dyDescent="0.2">
      <c r="A91" s="19"/>
      <c r="B91" s="36" t="s">
        <v>67</v>
      </c>
      <c r="C91" s="290">
        <v>1500</v>
      </c>
      <c r="D91" s="351"/>
      <c r="E91" s="290">
        <v>1500</v>
      </c>
      <c r="F91" s="291"/>
      <c r="G91" s="351"/>
      <c r="H91" s="382"/>
      <c r="I91" s="382"/>
      <c r="J91" s="383"/>
      <c r="K91" s="16"/>
      <c r="L91" s="16"/>
      <c r="M91" s="16"/>
    </row>
    <row r="92" spans="1:13" ht="14.25" hidden="1" customHeight="1" thickBot="1" x14ac:dyDescent="0.25">
      <c r="A92" s="19"/>
      <c r="B92" s="38" t="s">
        <v>68</v>
      </c>
      <c r="C92" s="292" t="s">
        <v>25</v>
      </c>
      <c r="D92" s="293"/>
      <c r="E92" s="293"/>
      <c r="F92" s="294"/>
      <c r="G92" s="384"/>
      <c r="H92" s="385"/>
      <c r="I92" s="385"/>
      <c r="J92" s="386"/>
      <c r="K92" s="16"/>
      <c r="L92" s="16"/>
      <c r="M92" s="16"/>
    </row>
    <row r="93" spans="1:13" ht="14.25" hidden="1" customHeight="1" thickBot="1" x14ac:dyDescent="0.25">
      <c r="A93" s="19"/>
      <c r="B93" s="30" t="s">
        <v>69</v>
      </c>
      <c r="C93" s="361" t="s">
        <v>112</v>
      </c>
      <c r="D93" s="362"/>
      <c r="E93" s="362"/>
      <c r="F93" s="363"/>
      <c r="G93" s="373"/>
      <c r="H93" s="374"/>
      <c r="I93" s="374"/>
      <c r="J93" s="375"/>
      <c r="K93" s="16"/>
      <c r="L93" s="16"/>
      <c r="M93" s="16"/>
    </row>
    <row r="94" spans="1:13" ht="14.25" hidden="1" customHeight="1" thickBot="1" x14ac:dyDescent="0.25">
      <c r="A94" s="19"/>
      <c r="B94" s="40" t="s">
        <v>70</v>
      </c>
      <c r="C94" s="364" t="s">
        <v>103</v>
      </c>
      <c r="D94" s="365"/>
      <c r="E94" s="365"/>
      <c r="F94" s="366"/>
      <c r="G94" s="367"/>
      <c r="H94" s="368"/>
      <c r="I94" s="368"/>
      <c r="J94" s="369"/>
      <c r="K94" s="16"/>
      <c r="L94" s="16"/>
      <c r="M94" s="16"/>
    </row>
    <row r="95" spans="1:13" ht="14.25" hidden="1" customHeight="1" x14ac:dyDescent="0.2">
      <c r="A95" s="19"/>
      <c r="B95" s="39" t="s">
        <v>71</v>
      </c>
      <c r="C95" s="321" t="s">
        <v>72</v>
      </c>
      <c r="D95" s="322"/>
      <c r="E95" s="322"/>
      <c r="F95" s="323"/>
      <c r="G95" s="376"/>
      <c r="H95" s="377"/>
      <c r="I95" s="377"/>
      <c r="J95" s="378"/>
      <c r="K95" s="16"/>
      <c r="L95" s="16"/>
      <c r="M95" s="16"/>
    </row>
    <row r="96" spans="1:13" ht="14.25" hidden="1" customHeight="1" x14ac:dyDescent="0.2">
      <c r="A96" s="19"/>
      <c r="B96" s="34" t="s">
        <v>73</v>
      </c>
      <c r="C96" s="469" t="s">
        <v>27</v>
      </c>
      <c r="D96" s="470"/>
      <c r="E96" s="470"/>
      <c r="F96" s="471"/>
      <c r="G96" s="329"/>
      <c r="H96" s="330"/>
      <c r="I96" s="330"/>
      <c r="J96" s="331"/>
      <c r="K96" s="16"/>
      <c r="L96" s="16"/>
      <c r="M96" s="16"/>
    </row>
    <row r="97" spans="1:13" ht="14.25" hidden="1" customHeight="1" x14ac:dyDescent="0.2">
      <c r="A97" s="19"/>
      <c r="B97" s="34" t="s">
        <v>74</v>
      </c>
      <c r="C97" s="469" t="s">
        <v>104</v>
      </c>
      <c r="D97" s="470"/>
      <c r="E97" s="470"/>
      <c r="F97" s="471"/>
      <c r="G97" s="329"/>
      <c r="H97" s="330"/>
      <c r="I97" s="330"/>
      <c r="J97" s="331"/>
      <c r="K97" s="16"/>
      <c r="L97" s="16"/>
      <c r="M97" s="16"/>
    </row>
    <row r="98" spans="1:13" ht="14.25" hidden="1" customHeight="1" x14ac:dyDescent="0.2">
      <c r="A98" s="19"/>
      <c r="B98" s="34" t="s">
        <v>75</v>
      </c>
      <c r="C98" s="469" t="s">
        <v>104</v>
      </c>
      <c r="D98" s="470"/>
      <c r="E98" s="470"/>
      <c r="F98" s="471"/>
      <c r="G98" s="329"/>
      <c r="H98" s="330"/>
      <c r="I98" s="330"/>
      <c r="J98" s="331"/>
      <c r="K98" s="16"/>
      <c r="L98" s="16"/>
      <c r="M98" s="16"/>
    </row>
    <row r="99" spans="1:13" ht="14.25" hidden="1" customHeight="1" x14ac:dyDescent="0.2">
      <c r="A99" s="19"/>
      <c r="B99" s="34" t="s">
        <v>76</v>
      </c>
      <c r="C99" s="469" t="s">
        <v>93</v>
      </c>
      <c r="D99" s="470"/>
      <c r="E99" s="470"/>
      <c r="F99" s="471"/>
      <c r="G99" s="329"/>
      <c r="H99" s="330"/>
      <c r="I99" s="330"/>
      <c r="J99" s="331"/>
      <c r="K99" s="16"/>
      <c r="L99" s="16"/>
      <c r="M99" s="16"/>
    </row>
    <row r="100" spans="1:13" ht="14.25" hidden="1" customHeight="1" x14ac:dyDescent="0.2">
      <c r="A100" s="19"/>
      <c r="B100" s="34" t="s">
        <v>77</v>
      </c>
      <c r="C100" s="469" t="s">
        <v>78</v>
      </c>
      <c r="D100" s="470"/>
      <c r="E100" s="470"/>
      <c r="F100" s="471"/>
      <c r="G100" s="329"/>
      <c r="H100" s="330"/>
      <c r="I100" s="330"/>
      <c r="J100" s="331"/>
      <c r="K100" s="16"/>
      <c r="L100" s="16"/>
      <c r="M100" s="16"/>
    </row>
    <row r="101" spans="1:13" ht="14.25" hidden="1" customHeight="1" x14ac:dyDescent="0.2">
      <c r="A101" s="19"/>
      <c r="B101" s="34" t="s">
        <v>79</v>
      </c>
      <c r="C101" s="343" t="s">
        <v>92</v>
      </c>
      <c r="D101" s="344"/>
      <c r="E101" s="344"/>
      <c r="F101" s="345"/>
      <c r="G101" s="370"/>
      <c r="H101" s="371"/>
      <c r="I101" s="371"/>
      <c r="J101" s="372"/>
      <c r="K101" s="16"/>
      <c r="L101" s="16"/>
      <c r="M101" s="16"/>
    </row>
    <row r="102" spans="1:13" ht="14.25" hidden="1" customHeight="1" thickBot="1" x14ac:dyDescent="0.25">
      <c r="A102" s="19"/>
      <c r="B102" s="41" t="s">
        <v>80</v>
      </c>
      <c r="C102" s="346" t="s">
        <v>81</v>
      </c>
      <c r="D102" s="347"/>
      <c r="E102" s="347"/>
      <c r="F102" s="348"/>
      <c r="G102" s="304"/>
      <c r="H102" s="305"/>
      <c r="I102" s="305"/>
      <c r="J102" s="306"/>
      <c r="K102" s="16"/>
      <c r="L102" s="16"/>
      <c r="M102" s="16"/>
    </row>
    <row r="103" spans="1:13" ht="14.25" hidden="1" customHeight="1" thickTop="1" thickBot="1" x14ac:dyDescent="0.25">
      <c r="A103" s="19"/>
      <c r="B103" s="19"/>
      <c r="C103" s="19"/>
      <c r="D103" s="19"/>
      <c r="E103" s="19"/>
      <c r="F103" s="19"/>
      <c r="G103" s="19"/>
      <c r="H103" s="19"/>
      <c r="I103" s="17"/>
      <c r="J103" s="17"/>
      <c r="K103" s="16"/>
      <c r="L103" s="16"/>
      <c r="M103" s="16"/>
    </row>
    <row r="104" spans="1:13" ht="18.5" hidden="1" customHeight="1" thickTop="1" thickBot="1" x14ac:dyDescent="0.25">
      <c r="A104" s="19"/>
      <c r="B104" s="430" t="s">
        <v>99</v>
      </c>
      <c r="C104" s="431"/>
      <c r="D104" s="431"/>
      <c r="E104" s="431"/>
      <c r="F104" s="431"/>
      <c r="G104" s="431"/>
      <c r="H104" s="431"/>
      <c r="I104" s="431"/>
      <c r="J104" s="432"/>
      <c r="K104" s="16"/>
      <c r="L104" s="16"/>
      <c r="M104" s="16"/>
    </row>
    <row r="105" spans="1:13" ht="14.25" hidden="1" customHeight="1" x14ac:dyDescent="0.2">
      <c r="A105" s="19"/>
      <c r="B105" s="28" t="s">
        <v>97</v>
      </c>
      <c r="C105" s="475" t="s">
        <v>111</v>
      </c>
      <c r="D105" s="476"/>
      <c r="E105" s="476"/>
      <c r="F105" s="477"/>
      <c r="G105" s="433"/>
      <c r="H105" s="433"/>
      <c r="I105" s="433"/>
      <c r="J105" s="434"/>
      <c r="K105" s="16"/>
      <c r="L105" s="16"/>
      <c r="M105" s="16"/>
    </row>
    <row r="106" spans="1:13" ht="14.25" hidden="1" customHeight="1" x14ac:dyDescent="0.2">
      <c r="A106" s="19"/>
      <c r="B106" s="28" t="s">
        <v>90</v>
      </c>
      <c r="C106" s="500" t="s">
        <v>34</v>
      </c>
      <c r="D106" s="501"/>
      <c r="E106" s="501"/>
      <c r="F106" s="502"/>
      <c r="G106" s="418"/>
      <c r="H106" s="418"/>
      <c r="I106" s="418"/>
      <c r="J106" s="419"/>
      <c r="K106" s="16"/>
      <c r="L106" s="16"/>
      <c r="M106" s="16"/>
    </row>
    <row r="107" spans="1:13" ht="14.25" hidden="1" customHeight="1" x14ac:dyDescent="0.2">
      <c r="A107" s="19"/>
      <c r="B107" s="28" t="s">
        <v>91</v>
      </c>
      <c r="C107" s="500" t="s">
        <v>35</v>
      </c>
      <c r="D107" s="501"/>
      <c r="E107" s="501"/>
      <c r="F107" s="502"/>
      <c r="G107" s="418"/>
      <c r="H107" s="418"/>
      <c r="I107" s="418"/>
      <c r="J107" s="419"/>
      <c r="K107" s="16"/>
      <c r="L107" s="16"/>
      <c r="M107" s="16"/>
    </row>
    <row r="108" spans="1:13" ht="14.25" hidden="1" customHeight="1" thickBot="1" x14ac:dyDescent="0.25">
      <c r="A108" s="19"/>
      <c r="B108" s="28" t="s">
        <v>36</v>
      </c>
      <c r="C108" s="492" t="s">
        <v>113</v>
      </c>
      <c r="D108" s="493"/>
      <c r="E108" s="493"/>
      <c r="F108" s="494"/>
      <c r="G108" s="420"/>
      <c r="H108" s="420"/>
      <c r="I108" s="420"/>
      <c r="J108" s="421"/>
      <c r="K108" s="16"/>
      <c r="L108" s="16"/>
      <c r="M108" s="16"/>
    </row>
    <row r="109" spans="1:13" ht="14.25" hidden="1" customHeight="1" thickBot="1" x14ac:dyDescent="0.25">
      <c r="A109" s="19"/>
      <c r="B109" s="30"/>
      <c r="C109" s="497" t="s">
        <v>94</v>
      </c>
      <c r="D109" s="498"/>
      <c r="E109" s="498"/>
      <c r="F109" s="499"/>
      <c r="G109" s="326" t="s">
        <v>95</v>
      </c>
      <c r="H109" s="327"/>
      <c r="I109" s="327"/>
      <c r="J109" s="328"/>
      <c r="K109" s="16"/>
      <c r="L109" s="16"/>
      <c r="M109" s="16"/>
    </row>
    <row r="110" spans="1:13" ht="14.25" hidden="1" customHeight="1" thickBot="1" x14ac:dyDescent="0.25">
      <c r="A110" s="19"/>
      <c r="B110" s="31"/>
      <c r="C110" s="301" t="s">
        <v>37</v>
      </c>
      <c r="D110" s="303"/>
      <c r="E110" s="301" t="s">
        <v>96</v>
      </c>
      <c r="F110" s="302"/>
      <c r="G110" s="301" t="s">
        <v>37</v>
      </c>
      <c r="H110" s="303"/>
      <c r="I110" s="301" t="s">
        <v>96</v>
      </c>
      <c r="J110" s="302"/>
      <c r="K110" s="16"/>
      <c r="L110" s="16"/>
      <c r="M110" s="16"/>
    </row>
    <row r="111" spans="1:13" ht="14.25" hidden="1" customHeight="1" thickBot="1" x14ac:dyDescent="0.25">
      <c r="A111" s="19"/>
      <c r="B111" s="32" t="s">
        <v>38</v>
      </c>
      <c r="C111" s="472">
        <v>1</v>
      </c>
      <c r="D111" s="473"/>
      <c r="E111" s="472">
        <v>1</v>
      </c>
      <c r="F111" s="495"/>
      <c r="G111" s="410"/>
      <c r="H111" s="411"/>
      <c r="I111" s="408"/>
      <c r="J111" s="409"/>
      <c r="K111" s="16"/>
      <c r="L111" s="16"/>
      <c r="M111" s="16"/>
    </row>
    <row r="112" spans="1:13" ht="14.25" hidden="1" customHeight="1" x14ac:dyDescent="0.2">
      <c r="A112" s="19"/>
      <c r="B112" s="33" t="s">
        <v>39</v>
      </c>
      <c r="C112" s="474">
        <v>0.9</v>
      </c>
      <c r="D112" s="324"/>
      <c r="E112" s="474">
        <v>0.8</v>
      </c>
      <c r="F112" s="496"/>
      <c r="G112" s="412"/>
      <c r="H112" s="413"/>
      <c r="I112" s="406"/>
      <c r="J112" s="407"/>
      <c r="K112" s="16"/>
      <c r="L112" s="16"/>
      <c r="M112" s="16"/>
    </row>
    <row r="113" spans="1:13" ht="14.25" hidden="1" customHeight="1" x14ac:dyDescent="0.2">
      <c r="A113" s="19"/>
      <c r="B113" s="34" t="s">
        <v>40</v>
      </c>
      <c r="C113" s="295">
        <v>0.9</v>
      </c>
      <c r="D113" s="336"/>
      <c r="E113" s="295">
        <v>0.8</v>
      </c>
      <c r="F113" s="296"/>
      <c r="G113" s="414"/>
      <c r="H113" s="415"/>
      <c r="I113" s="404"/>
      <c r="J113" s="405"/>
      <c r="K113" s="16"/>
      <c r="L113" s="16"/>
      <c r="M113" s="16"/>
    </row>
    <row r="114" spans="1:13" ht="14.25" hidden="1" customHeight="1" x14ac:dyDescent="0.2">
      <c r="A114" s="19"/>
      <c r="B114" s="34" t="s">
        <v>42</v>
      </c>
      <c r="C114" s="295">
        <v>0.9</v>
      </c>
      <c r="D114" s="336"/>
      <c r="E114" s="295">
        <v>0.8</v>
      </c>
      <c r="F114" s="296"/>
      <c r="G114" s="414"/>
      <c r="H114" s="415"/>
      <c r="I114" s="404"/>
      <c r="J114" s="405"/>
      <c r="K114" s="16"/>
      <c r="L114" s="16"/>
      <c r="M114" s="16"/>
    </row>
    <row r="115" spans="1:13" ht="14.25" hidden="1" customHeight="1" thickBot="1" x14ac:dyDescent="0.25">
      <c r="A115" s="19"/>
      <c r="B115" s="35" t="s">
        <v>43</v>
      </c>
      <c r="C115" s="297">
        <v>0.9</v>
      </c>
      <c r="D115" s="337"/>
      <c r="E115" s="297">
        <v>0.8</v>
      </c>
      <c r="F115" s="298"/>
      <c r="G115" s="416"/>
      <c r="H115" s="417"/>
      <c r="I115" s="402"/>
      <c r="J115" s="403"/>
      <c r="K115" s="16"/>
      <c r="L115" s="16"/>
      <c r="M115" s="16"/>
    </row>
    <row r="116" spans="1:13" ht="14.25" hidden="1" customHeight="1" x14ac:dyDescent="0.2">
      <c r="A116" s="19"/>
      <c r="B116" s="36" t="s">
        <v>45</v>
      </c>
      <c r="C116" s="299">
        <v>0.6</v>
      </c>
      <c r="D116" s="338"/>
      <c r="E116" s="299">
        <v>0.5</v>
      </c>
      <c r="F116" s="300"/>
      <c r="G116" s="422"/>
      <c r="H116" s="423"/>
      <c r="I116" s="288"/>
      <c r="J116" s="289"/>
      <c r="K116" s="16"/>
      <c r="L116" s="16"/>
      <c r="M116" s="16"/>
    </row>
    <row r="117" spans="1:13" ht="14.25" hidden="1" customHeight="1" x14ac:dyDescent="0.2">
      <c r="A117" s="19"/>
      <c r="B117" s="37" t="s">
        <v>47</v>
      </c>
      <c r="C117" s="339">
        <v>0.6</v>
      </c>
      <c r="D117" s="340"/>
      <c r="E117" s="339">
        <v>0.5</v>
      </c>
      <c r="F117" s="482"/>
      <c r="G117" s="424"/>
      <c r="H117" s="425"/>
      <c r="I117" s="400"/>
      <c r="J117" s="401"/>
      <c r="K117" s="16"/>
      <c r="L117" s="16"/>
      <c r="M117" s="16"/>
    </row>
    <row r="118" spans="1:13" ht="14.25" hidden="1" customHeight="1" thickBot="1" x14ac:dyDescent="0.25">
      <c r="A118" s="19"/>
      <c r="B118" s="38" t="s">
        <v>49</v>
      </c>
      <c r="C118" s="341">
        <v>0.6</v>
      </c>
      <c r="D118" s="342"/>
      <c r="E118" s="341">
        <v>0.5</v>
      </c>
      <c r="F118" s="491"/>
      <c r="G118" s="426"/>
      <c r="H118" s="427"/>
      <c r="I118" s="398"/>
      <c r="J118" s="399"/>
      <c r="K118" s="16"/>
      <c r="L118" s="16"/>
      <c r="M118" s="16"/>
    </row>
    <row r="119" spans="1:13" ht="14.25" hidden="1" customHeight="1" x14ac:dyDescent="0.2">
      <c r="A119" s="19"/>
      <c r="B119" s="39" t="s">
        <v>52</v>
      </c>
      <c r="C119" s="475" t="s">
        <v>41</v>
      </c>
      <c r="D119" s="476"/>
      <c r="E119" s="476"/>
      <c r="F119" s="477"/>
      <c r="G119" s="428"/>
      <c r="H119" s="428"/>
      <c r="I119" s="428"/>
      <c r="J119" s="429"/>
      <c r="K119" s="16"/>
      <c r="L119" s="16"/>
      <c r="M119" s="16"/>
    </row>
    <row r="120" spans="1:13" ht="14.25" hidden="1" customHeight="1" thickBot="1" x14ac:dyDescent="0.25">
      <c r="A120" s="19"/>
      <c r="B120" s="35" t="s">
        <v>54</v>
      </c>
      <c r="C120" s="355" t="s">
        <v>101</v>
      </c>
      <c r="D120" s="356"/>
      <c r="E120" s="356"/>
      <c r="F120" s="357"/>
      <c r="G120" s="396"/>
      <c r="H120" s="396"/>
      <c r="I120" s="396"/>
      <c r="J120" s="397"/>
      <c r="K120" s="16"/>
      <c r="L120" s="16"/>
      <c r="M120" s="16"/>
    </row>
    <row r="121" spans="1:13" ht="14.25" hidden="1" customHeight="1" x14ac:dyDescent="0.2">
      <c r="A121" s="19"/>
      <c r="B121" s="36" t="s">
        <v>56</v>
      </c>
      <c r="C121" s="475" t="s">
        <v>108</v>
      </c>
      <c r="D121" s="476"/>
      <c r="E121" s="476"/>
      <c r="F121" s="477"/>
      <c r="G121" s="428"/>
      <c r="H121" s="428"/>
      <c r="I121" s="428"/>
      <c r="J121" s="429"/>
      <c r="K121" s="16"/>
      <c r="L121" s="16"/>
      <c r="M121" s="16"/>
    </row>
    <row r="122" spans="1:13" ht="14.25" hidden="1" customHeight="1" x14ac:dyDescent="0.2">
      <c r="A122" s="19"/>
      <c r="B122" s="37" t="s">
        <v>58</v>
      </c>
      <c r="C122" s="478">
        <v>0.5</v>
      </c>
      <c r="D122" s="479"/>
      <c r="E122" s="479"/>
      <c r="F122" s="480"/>
      <c r="G122" s="510"/>
      <c r="H122" s="510"/>
      <c r="I122" s="510"/>
      <c r="J122" s="511"/>
      <c r="K122" s="16"/>
      <c r="L122" s="16"/>
      <c r="M122" s="16"/>
    </row>
    <row r="123" spans="1:13" ht="14.25" hidden="1" customHeight="1" x14ac:dyDescent="0.2">
      <c r="A123" s="19"/>
      <c r="B123" s="37" t="s">
        <v>60</v>
      </c>
      <c r="C123" s="332">
        <v>1500</v>
      </c>
      <c r="D123" s="318"/>
      <c r="E123" s="332">
        <v>1500</v>
      </c>
      <c r="F123" s="481"/>
      <c r="G123" s="512"/>
      <c r="H123" s="513"/>
      <c r="I123" s="514"/>
      <c r="J123" s="515"/>
      <c r="K123" s="16"/>
      <c r="L123" s="16"/>
      <c r="M123" s="16"/>
    </row>
    <row r="124" spans="1:13" ht="14.25" hidden="1" customHeight="1" x14ac:dyDescent="0.2">
      <c r="A124" s="19"/>
      <c r="B124" s="37" t="s">
        <v>61</v>
      </c>
      <c r="C124" s="352" t="s">
        <v>41</v>
      </c>
      <c r="D124" s="353"/>
      <c r="E124" s="353"/>
      <c r="F124" s="354"/>
      <c r="G124" s="516"/>
      <c r="H124" s="516"/>
      <c r="I124" s="516"/>
      <c r="J124" s="517"/>
      <c r="K124" s="16"/>
      <c r="L124" s="16"/>
      <c r="M124" s="16"/>
    </row>
    <row r="125" spans="1:13" ht="14.25" hidden="1" customHeight="1" thickBot="1" x14ac:dyDescent="0.25">
      <c r="A125" s="19"/>
      <c r="B125" s="38" t="s">
        <v>54</v>
      </c>
      <c r="C125" s="355" t="s">
        <v>101</v>
      </c>
      <c r="D125" s="356"/>
      <c r="E125" s="356"/>
      <c r="F125" s="357"/>
      <c r="G125" s="396"/>
      <c r="H125" s="396"/>
      <c r="I125" s="396"/>
      <c r="J125" s="397"/>
      <c r="K125" s="16"/>
      <c r="L125" s="16"/>
      <c r="M125" s="16"/>
    </row>
    <row r="126" spans="1:13" ht="14.25" hidden="1" customHeight="1" x14ac:dyDescent="0.2">
      <c r="A126" s="19"/>
      <c r="B126" s="39" t="s">
        <v>64</v>
      </c>
      <c r="C126" s="333">
        <v>50</v>
      </c>
      <c r="D126" s="334"/>
      <c r="E126" s="333">
        <v>50</v>
      </c>
      <c r="F126" s="358"/>
      <c r="G126" s="447"/>
      <c r="H126" s="447"/>
      <c r="I126" s="447"/>
      <c r="J126" s="448"/>
      <c r="K126" s="16"/>
      <c r="L126" s="16"/>
      <c r="M126" s="16"/>
    </row>
    <row r="127" spans="1:13" ht="14.25" hidden="1" customHeight="1" x14ac:dyDescent="0.2">
      <c r="A127" s="19"/>
      <c r="B127" s="34" t="s">
        <v>65</v>
      </c>
      <c r="C127" s="335" t="s">
        <v>102</v>
      </c>
      <c r="D127" s="307"/>
      <c r="E127" s="335" t="s">
        <v>102</v>
      </c>
      <c r="F127" s="359"/>
      <c r="G127" s="449"/>
      <c r="H127" s="449"/>
      <c r="I127" s="449"/>
      <c r="J127" s="450"/>
      <c r="K127" s="16"/>
      <c r="L127" s="16"/>
      <c r="M127" s="16"/>
    </row>
    <row r="128" spans="1:13" ht="14.25" hidden="1" customHeight="1" thickBot="1" x14ac:dyDescent="0.25">
      <c r="A128" s="19"/>
      <c r="B128" s="35" t="s">
        <v>66</v>
      </c>
      <c r="C128" s="349" t="s">
        <v>24</v>
      </c>
      <c r="D128" s="350"/>
      <c r="E128" s="349" t="s">
        <v>24</v>
      </c>
      <c r="F128" s="360"/>
      <c r="G128" s="451"/>
      <c r="H128" s="451"/>
      <c r="I128" s="451"/>
      <c r="J128" s="452"/>
      <c r="K128" s="16"/>
      <c r="L128" s="16"/>
      <c r="M128" s="16"/>
    </row>
    <row r="129" spans="1:13" ht="14.25" hidden="1" customHeight="1" x14ac:dyDescent="0.2">
      <c r="A129" s="19"/>
      <c r="B129" s="36" t="s">
        <v>67</v>
      </c>
      <c r="C129" s="290">
        <v>1500</v>
      </c>
      <c r="D129" s="351"/>
      <c r="E129" s="290">
        <v>1500</v>
      </c>
      <c r="F129" s="291"/>
      <c r="G129" s="437"/>
      <c r="H129" s="438"/>
      <c r="I129" s="439"/>
      <c r="J129" s="440"/>
      <c r="K129" s="16"/>
      <c r="L129" s="16"/>
      <c r="M129" s="16"/>
    </row>
    <row r="130" spans="1:13" ht="14.25" hidden="1" customHeight="1" thickBot="1" x14ac:dyDescent="0.25">
      <c r="A130" s="19"/>
      <c r="B130" s="38" t="s">
        <v>68</v>
      </c>
      <c r="C130" s="292" t="s">
        <v>25</v>
      </c>
      <c r="D130" s="293"/>
      <c r="E130" s="293"/>
      <c r="F130" s="294"/>
      <c r="G130" s="441"/>
      <c r="H130" s="441"/>
      <c r="I130" s="441"/>
      <c r="J130" s="442"/>
      <c r="K130" s="16"/>
      <c r="L130" s="16"/>
      <c r="M130" s="16"/>
    </row>
    <row r="131" spans="1:13" ht="14.25" hidden="1" customHeight="1" thickBot="1" x14ac:dyDescent="0.25">
      <c r="A131" s="19"/>
      <c r="B131" s="30" t="s">
        <v>69</v>
      </c>
      <c r="C131" s="361" t="s">
        <v>112</v>
      </c>
      <c r="D131" s="362"/>
      <c r="E131" s="362"/>
      <c r="F131" s="363"/>
      <c r="G131" s="443"/>
      <c r="H131" s="443"/>
      <c r="I131" s="443"/>
      <c r="J131" s="444"/>
      <c r="K131" s="16"/>
      <c r="L131" s="16"/>
      <c r="M131" s="16"/>
    </row>
    <row r="132" spans="1:13" ht="14.25" hidden="1" customHeight="1" thickBot="1" x14ac:dyDescent="0.25">
      <c r="A132" s="19"/>
      <c r="B132" s="40" t="s">
        <v>70</v>
      </c>
      <c r="C132" s="364" t="s">
        <v>103</v>
      </c>
      <c r="D132" s="365"/>
      <c r="E132" s="365"/>
      <c r="F132" s="366"/>
      <c r="G132" s="445"/>
      <c r="H132" s="445"/>
      <c r="I132" s="445"/>
      <c r="J132" s="446"/>
      <c r="K132" s="16"/>
      <c r="L132" s="16"/>
      <c r="M132" s="16"/>
    </row>
    <row r="133" spans="1:13" ht="14.25" hidden="1" customHeight="1" x14ac:dyDescent="0.2">
      <c r="A133" s="19"/>
      <c r="B133" s="39" t="s">
        <v>71</v>
      </c>
      <c r="C133" s="321" t="s">
        <v>72</v>
      </c>
      <c r="D133" s="322"/>
      <c r="E133" s="322"/>
      <c r="F133" s="323"/>
      <c r="G133" s="453"/>
      <c r="H133" s="453"/>
      <c r="I133" s="453"/>
      <c r="J133" s="454"/>
      <c r="K133" s="16"/>
      <c r="L133" s="16"/>
      <c r="M133" s="16"/>
    </row>
    <row r="134" spans="1:13" ht="14.25" hidden="1" customHeight="1" x14ac:dyDescent="0.2">
      <c r="A134" s="19"/>
      <c r="B134" s="34" t="s">
        <v>73</v>
      </c>
      <c r="C134" s="469" t="s">
        <v>27</v>
      </c>
      <c r="D134" s="470"/>
      <c r="E134" s="470"/>
      <c r="F134" s="471"/>
      <c r="G134" s="435"/>
      <c r="H134" s="435"/>
      <c r="I134" s="435"/>
      <c r="J134" s="436"/>
      <c r="K134" s="16"/>
      <c r="L134" s="16"/>
      <c r="M134" s="16"/>
    </row>
    <row r="135" spans="1:13" ht="14.25" hidden="1" customHeight="1" x14ac:dyDescent="0.2">
      <c r="A135" s="19"/>
      <c r="B135" s="34" t="s">
        <v>74</v>
      </c>
      <c r="C135" s="469" t="s">
        <v>104</v>
      </c>
      <c r="D135" s="470"/>
      <c r="E135" s="470"/>
      <c r="F135" s="471"/>
      <c r="G135" s="435"/>
      <c r="H135" s="435"/>
      <c r="I135" s="435"/>
      <c r="J135" s="436"/>
      <c r="K135" s="16"/>
      <c r="L135" s="16"/>
      <c r="M135" s="16"/>
    </row>
    <row r="136" spans="1:13" ht="14.25" hidden="1" customHeight="1" x14ac:dyDescent="0.2">
      <c r="A136" s="19"/>
      <c r="B136" s="34" t="s">
        <v>75</v>
      </c>
      <c r="C136" s="469" t="s">
        <v>104</v>
      </c>
      <c r="D136" s="470"/>
      <c r="E136" s="470"/>
      <c r="F136" s="471"/>
      <c r="G136" s="435"/>
      <c r="H136" s="435"/>
      <c r="I136" s="435"/>
      <c r="J136" s="436"/>
      <c r="K136" s="16"/>
      <c r="L136" s="16"/>
      <c r="M136" s="16"/>
    </row>
    <row r="137" spans="1:13" ht="14.25" hidden="1" customHeight="1" x14ac:dyDescent="0.2">
      <c r="A137" s="19"/>
      <c r="B137" s="34" t="s">
        <v>76</v>
      </c>
      <c r="C137" s="469" t="s">
        <v>93</v>
      </c>
      <c r="D137" s="470"/>
      <c r="E137" s="470"/>
      <c r="F137" s="471"/>
      <c r="G137" s="435"/>
      <c r="H137" s="435"/>
      <c r="I137" s="435"/>
      <c r="J137" s="436"/>
      <c r="K137" s="16"/>
      <c r="L137" s="16"/>
      <c r="M137" s="16"/>
    </row>
    <row r="138" spans="1:13" ht="14.25" hidden="1" customHeight="1" x14ac:dyDescent="0.2">
      <c r="A138" s="19"/>
      <c r="B138" s="34" t="s">
        <v>77</v>
      </c>
      <c r="C138" s="469" t="s">
        <v>78</v>
      </c>
      <c r="D138" s="470"/>
      <c r="E138" s="470"/>
      <c r="F138" s="471"/>
      <c r="G138" s="435"/>
      <c r="H138" s="435"/>
      <c r="I138" s="435"/>
      <c r="J138" s="436"/>
      <c r="K138" s="16"/>
      <c r="L138" s="16"/>
      <c r="M138" s="16"/>
    </row>
    <row r="139" spans="1:13" ht="14.25" hidden="1" customHeight="1" x14ac:dyDescent="0.2">
      <c r="A139" s="19"/>
      <c r="B139" s="34" t="s">
        <v>79</v>
      </c>
      <c r="C139" s="343" t="s">
        <v>92</v>
      </c>
      <c r="D139" s="344"/>
      <c r="E139" s="344"/>
      <c r="F139" s="345"/>
      <c r="G139" s="505"/>
      <c r="H139" s="505"/>
      <c r="I139" s="505"/>
      <c r="J139" s="506"/>
      <c r="K139" s="16"/>
      <c r="L139" s="16"/>
      <c r="M139" s="16"/>
    </row>
    <row r="140" spans="1:13" ht="14.25" hidden="1" customHeight="1" thickBot="1" x14ac:dyDescent="0.25">
      <c r="A140" s="19"/>
      <c r="B140" s="41" t="s">
        <v>80</v>
      </c>
      <c r="C140" s="346" t="s">
        <v>81</v>
      </c>
      <c r="D140" s="347"/>
      <c r="E140" s="347"/>
      <c r="F140" s="348"/>
      <c r="G140" s="507"/>
      <c r="H140" s="508"/>
      <c r="I140" s="508"/>
      <c r="J140" s="509"/>
      <c r="K140" s="16"/>
      <c r="L140" s="16"/>
      <c r="M140" s="16"/>
    </row>
    <row r="141" spans="1:13" ht="14.25" hidden="1" customHeight="1" thickTop="1" x14ac:dyDescent="0.2">
      <c r="A141" s="19"/>
      <c r="B141" s="19"/>
      <c r="C141" s="19"/>
      <c r="D141" s="19"/>
      <c r="E141" s="19"/>
      <c r="F141" s="19"/>
      <c r="G141" s="19"/>
      <c r="H141" s="19"/>
      <c r="I141" s="17"/>
      <c r="J141" s="17"/>
      <c r="K141" s="17"/>
      <c r="L141" s="16"/>
      <c r="M141" s="16"/>
    </row>
    <row r="142" spans="1:13" ht="14.25" customHeight="1" x14ac:dyDescent="0.2">
      <c r="J142" s="18"/>
    </row>
    <row r="143" spans="1:13" ht="14.25" customHeight="1" x14ac:dyDescent="0.2">
      <c r="J143" s="18"/>
    </row>
    <row r="144" spans="1:13" ht="14.25" customHeight="1" x14ac:dyDescent="0.2">
      <c r="J144" s="18"/>
    </row>
  </sheetData>
  <mergeCells count="216">
    <mergeCell ref="F2:L2"/>
    <mergeCell ref="E74:F74"/>
    <mergeCell ref="F21:G21"/>
    <mergeCell ref="H21:L21"/>
    <mergeCell ref="L4:L6"/>
    <mergeCell ref="L7:L9"/>
    <mergeCell ref="L10:L12"/>
    <mergeCell ref="F4:F6"/>
    <mergeCell ref="F7:F9"/>
    <mergeCell ref="F10:F12"/>
    <mergeCell ref="L23:L26"/>
    <mergeCell ref="F23:F26"/>
    <mergeCell ref="C68:F68"/>
    <mergeCell ref="C69:F69"/>
    <mergeCell ref="C70:F70"/>
    <mergeCell ref="F20:L20"/>
    <mergeCell ref="F14:L14"/>
    <mergeCell ref="C72:D72"/>
    <mergeCell ref="C73:D73"/>
    <mergeCell ref="C74:D74"/>
    <mergeCell ref="C110:D110"/>
    <mergeCell ref="B4:C4"/>
    <mergeCell ref="G138:J138"/>
    <mergeCell ref="G139:J139"/>
    <mergeCell ref="G140:J140"/>
    <mergeCell ref="G121:J121"/>
    <mergeCell ref="G122:J122"/>
    <mergeCell ref="G123:H123"/>
    <mergeCell ref="I123:J123"/>
    <mergeCell ref="G124:J124"/>
    <mergeCell ref="G125:J125"/>
    <mergeCell ref="E77:F77"/>
    <mergeCell ref="E78:F78"/>
    <mergeCell ref="G73:H73"/>
    <mergeCell ref="C81:F81"/>
    <mergeCell ref="C82:F82"/>
    <mergeCell ref="C83:F83"/>
    <mergeCell ref="C84:F84"/>
    <mergeCell ref="E85:F85"/>
    <mergeCell ref="E79:F79"/>
    <mergeCell ref="E80:F80"/>
    <mergeCell ref="G75:H75"/>
    <mergeCell ref="E76:F76"/>
    <mergeCell ref="E73:F73"/>
    <mergeCell ref="C132:F132"/>
    <mergeCell ref="E75:F75"/>
    <mergeCell ref="G78:H78"/>
    <mergeCell ref="G76:H76"/>
    <mergeCell ref="G77:H77"/>
    <mergeCell ref="B66:J66"/>
    <mergeCell ref="C71:F71"/>
    <mergeCell ref="E72:F72"/>
    <mergeCell ref="C67:F67"/>
    <mergeCell ref="E118:F118"/>
    <mergeCell ref="C108:F108"/>
    <mergeCell ref="E110:F110"/>
    <mergeCell ref="E111:F111"/>
    <mergeCell ref="E112:F112"/>
    <mergeCell ref="E113:F113"/>
    <mergeCell ref="C96:F96"/>
    <mergeCell ref="C97:F97"/>
    <mergeCell ref="C98:F98"/>
    <mergeCell ref="C99:F99"/>
    <mergeCell ref="C100:F100"/>
    <mergeCell ref="C109:F109"/>
    <mergeCell ref="C106:F106"/>
    <mergeCell ref="C107:F107"/>
    <mergeCell ref="C105:F105"/>
    <mergeCell ref="C129:D129"/>
    <mergeCell ref="C111:D111"/>
    <mergeCell ref="C112:D112"/>
    <mergeCell ref="C113:D113"/>
    <mergeCell ref="C114:D114"/>
    <mergeCell ref="C115:D115"/>
    <mergeCell ref="C116:D116"/>
    <mergeCell ref="C117:D117"/>
    <mergeCell ref="C118:D118"/>
    <mergeCell ref="C124:F124"/>
    <mergeCell ref="C125:F125"/>
    <mergeCell ref="E126:F126"/>
    <mergeCell ref="E127:F127"/>
    <mergeCell ref="E128:F128"/>
    <mergeCell ref="C119:F119"/>
    <mergeCell ref="C120:F120"/>
    <mergeCell ref="C121:F121"/>
    <mergeCell ref="C122:F122"/>
    <mergeCell ref="E123:F123"/>
    <mergeCell ref="C123:D123"/>
    <mergeCell ref="C126:D126"/>
    <mergeCell ref="C127:D127"/>
    <mergeCell ref="C128:D128"/>
    <mergeCell ref="E117:F117"/>
    <mergeCell ref="C139:F139"/>
    <mergeCell ref="C140:F140"/>
    <mergeCell ref="G67:J67"/>
    <mergeCell ref="G68:J68"/>
    <mergeCell ref="G69:J69"/>
    <mergeCell ref="G70:J70"/>
    <mergeCell ref="G71:J71"/>
    <mergeCell ref="I73:J73"/>
    <mergeCell ref="I74:J74"/>
    <mergeCell ref="I75:J75"/>
    <mergeCell ref="I76:J76"/>
    <mergeCell ref="I77:J77"/>
    <mergeCell ref="I78:J78"/>
    <mergeCell ref="I79:J79"/>
    <mergeCell ref="I80:J80"/>
    <mergeCell ref="G81:J81"/>
    <mergeCell ref="C134:F134"/>
    <mergeCell ref="C135:F135"/>
    <mergeCell ref="C136:F136"/>
    <mergeCell ref="C137:F137"/>
    <mergeCell ref="C138:F138"/>
    <mergeCell ref="E129:F129"/>
    <mergeCell ref="C130:F130"/>
    <mergeCell ref="C131:F131"/>
    <mergeCell ref="G116:H116"/>
    <mergeCell ref="G117:H117"/>
    <mergeCell ref="G118:H118"/>
    <mergeCell ref="G119:J119"/>
    <mergeCell ref="B104:J104"/>
    <mergeCell ref="G106:J106"/>
    <mergeCell ref="G105:J105"/>
    <mergeCell ref="G137:J137"/>
    <mergeCell ref="G129:H129"/>
    <mergeCell ref="I129:J129"/>
    <mergeCell ref="G130:J130"/>
    <mergeCell ref="G131:J131"/>
    <mergeCell ref="G132:J132"/>
    <mergeCell ref="G126:H126"/>
    <mergeCell ref="I126:J126"/>
    <mergeCell ref="G127:H127"/>
    <mergeCell ref="I127:J127"/>
    <mergeCell ref="G128:H128"/>
    <mergeCell ref="I128:J128"/>
    <mergeCell ref="G135:J135"/>
    <mergeCell ref="G136:J136"/>
    <mergeCell ref="G133:J133"/>
    <mergeCell ref="G134:J134"/>
    <mergeCell ref="C133:F133"/>
    <mergeCell ref="G86:J86"/>
    <mergeCell ref="G87:J87"/>
    <mergeCell ref="G88:H88"/>
    <mergeCell ref="I88:J88"/>
    <mergeCell ref="I89:J89"/>
    <mergeCell ref="G79:H79"/>
    <mergeCell ref="G80:H80"/>
    <mergeCell ref="G120:J120"/>
    <mergeCell ref="I118:J118"/>
    <mergeCell ref="I117:J117"/>
    <mergeCell ref="G98:J98"/>
    <mergeCell ref="G99:J99"/>
    <mergeCell ref="I115:J115"/>
    <mergeCell ref="I114:J114"/>
    <mergeCell ref="I113:J113"/>
    <mergeCell ref="I112:J112"/>
    <mergeCell ref="I111:J111"/>
    <mergeCell ref="G111:H111"/>
    <mergeCell ref="G112:H112"/>
    <mergeCell ref="G113:H113"/>
    <mergeCell ref="G114:H114"/>
    <mergeCell ref="G115:H115"/>
    <mergeCell ref="G107:J107"/>
    <mergeCell ref="G108:J108"/>
    <mergeCell ref="G94:J94"/>
    <mergeCell ref="G101:J101"/>
    <mergeCell ref="G93:J93"/>
    <mergeCell ref="G95:J95"/>
    <mergeCell ref="G96:J96"/>
    <mergeCell ref="G97:J97"/>
    <mergeCell ref="G90:H90"/>
    <mergeCell ref="I90:J90"/>
    <mergeCell ref="G91:H91"/>
    <mergeCell ref="I91:J91"/>
    <mergeCell ref="G92:J92"/>
    <mergeCell ref="C75:D75"/>
    <mergeCell ref="C76:D76"/>
    <mergeCell ref="C77:D77"/>
    <mergeCell ref="C78:D78"/>
    <mergeCell ref="C79:D79"/>
    <mergeCell ref="C80:D80"/>
    <mergeCell ref="C101:F101"/>
    <mergeCell ref="C102:F102"/>
    <mergeCell ref="C90:D90"/>
    <mergeCell ref="C91:D91"/>
    <mergeCell ref="C86:F86"/>
    <mergeCell ref="C87:F87"/>
    <mergeCell ref="E88:F88"/>
    <mergeCell ref="E89:F89"/>
    <mergeCell ref="E90:F90"/>
    <mergeCell ref="C93:F93"/>
    <mergeCell ref="C94:F94"/>
    <mergeCell ref="I116:J116"/>
    <mergeCell ref="E91:F91"/>
    <mergeCell ref="C92:F92"/>
    <mergeCell ref="E114:F114"/>
    <mergeCell ref="E115:F115"/>
    <mergeCell ref="E116:F116"/>
    <mergeCell ref="I72:J72"/>
    <mergeCell ref="G72:H72"/>
    <mergeCell ref="G102:J102"/>
    <mergeCell ref="G89:H89"/>
    <mergeCell ref="G82:J82"/>
    <mergeCell ref="G83:J83"/>
    <mergeCell ref="G84:J84"/>
    <mergeCell ref="G85:H85"/>
    <mergeCell ref="I85:J85"/>
    <mergeCell ref="C95:F95"/>
    <mergeCell ref="G74:H74"/>
    <mergeCell ref="G109:J109"/>
    <mergeCell ref="G110:H110"/>
    <mergeCell ref="I110:J110"/>
    <mergeCell ref="G100:J100"/>
    <mergeCell ref="C85:D85"/>
    <mergeCell ref="C88:D88"/>
    <mergeCell ref="C89:D89"/>
  </mergeCells>
  <conditionalFormatting sqref="K3:K12 K15:K18 K22:K26">
    <cfRule type="expression" dxfId="0" priority="150">
      <formula>#REF!="N/A"</formula>
    </cfRule>
  </conditionalFormatting>
  <dataValidations count="29">
    <dataValidation type="list" allowBlank="1" showInputMessage="1" showErrorMessage="1" sqref="C16:D16">
      <formula1>"2,3,4"</formula1>
    </dataValidation>
    <dataValidation type="list" allowBlank="1" showInputMessage="1" showErrorMessage="1" sqref="C13:D13">
      <formula1>"Fully Insured"</formula1>
    </dataValidation>
    <dataValidation type="list" allowBlank="1" showInputMessage="1" showErrorMessage="1" sqref="C30:D30 C68:D68 G68 C106:D106 G106 G30">
      <formula1>"Complete, Prime"</formula1>
    </dataValidation>
    <dataValidation type="list" allowBlank="1" showInputMessage="1" showErrorMessage="1" sqref="C69:D69 C31:D31 G69 C107:D107 G107 G31">
      <formula1>"Calendar Year-Std,Contract Year"</formula1>
    </dataValidation>
    <dataValidation type="list" allowBlank="1" showInputMessage="1" showErrorMessage="1" sqref="C17:D17">
      <formula1>"12 months, 24 months, 12 &amp; 24 months"</formula1>
    </dataValidation>
    <dataValidation type="list" allowBlank="1" showInputMessage="1" showErrorMessage="1" sqref="C18:D18">
      <formula1>"1,2,3"</formula1>
    </dataValidation>
    <dataValidation type="list" allowBlank="1" showInputMessage="1" showErrorMessage="1" sqref="G105 C67:D67 G67 C105:D105">
      <formula1>"Select Option Type,Single Option PPO,Dual Option PPO, Dual Option with Dental Net, Voluntary"</formula1>
    </dataValidation>
    <dataValidation type="list" allowBlank="1" showInputMessage="1" showErrorMessage="1" sqref="C19:D19">
      <formula1>"None,ALL PLANS,2000A,2000B,2000C,VOL 2000A,VOL 2000B,VOL 2000C"</formula1>
    </dataValidation>
    <dataValidation type="list" allowBlank="1" showInputMessage="1" showErrorMessage="1" sqref="C46:D46 G46 C84:D84 C122:D122 G84:H84 G122:H122">
      <formula1>"100%,95%,90%,85%,80%,75%,70%,65%,60%,55%,50%,40%,0%"</formula1>
    </dataValidation>
    <dataValidation type="list" allowBlank="1" showInputMessage="1" showErrorMessage="1" sqref="C45:D45 G45 C83:D83 C121:D121 G83:H83 G121:H121">
      <formula1>"None, Dependent Children Only, Adult &amp; Dependent Children"</formula1>
    </dataValidation>
    <dataValidation type="list" allowBlank="1" showInputMessage="1" showErrorMessage="1" sqref="I52 I128 I90 G128 G52 C87:D87 E52 C125:D125 E90 G87:H87 G125:H125 G90 C52 C90 C128 E128">
      <formula1>"Yes, No"</formula1>
    </dataValidation>
    <dataValidation type="list" allowBlank="1" showInputMessage="1" showErrorMessage="1" sqref="I53 I129 E47 I47 G47 G53 E53 E85 E91 E123 I85 G85 G91 I91 I123 G123 G129 C47 C53 C85 C91 C123 C129 E129">
      <formula1>"$500,$750,$1000,$1250,$1500,$1750,$2000,$2250,$2500"</formula1>
    </dataValidation>
    <dataValidation type="list" allowBlank="1" showInputMessage="1" showErrorMessage="1" sqref="I50 I126 G50 E50 E88 G88 I88 G126 C50 C88 C126 E126">
      <formula1>"$0,$15,$20,$25,$30,$35,$40,$45,$50,$55,$60,$65,$70,$75,$80,$85,$90,$95,$100,$100 lifetime per person"</formula1>
    </dataValidation>
    <dataValidation type="list" allowBlank="1" showInputMessage="1" showErrorMessage="1" sqref="I51 I127 G51 E51 E89 G89 I89 G127 C51 C89 C127 E127">
      <formula1>"2x Individual,3x Individual,No Limit"</formula1>
    </dataValidation>
    <dataValidation type="list" allowBlank="1" showInputMessage="1" showErrorMessage="1" sqref="G92 G54 C54:D54 G44 C82:D82 C92:D92 C120:D120 C130:D130 G82:H82 G120:H120 G130:H130">
      <formula1>"No,Yes"</formula1>
    </dataValidation>
    <dataValidation type="list" allowBlank="1" showInputMessage="1" showErrorMessage="1" sqref="G55 C55:D55 C93:D93 C131:D131 G93 G131">
      <formula1>"50th percentile,60th percentile,70th percentile,80th percentile,90th percentile,Prime (MAC)"</formula1>
    </dataValidation>
    <dataValidation type="list" allowBlank="1" showInputMessage="1" showErrorMessage="1" sqref="G56 C56:D56 C94:D94 C132:D132 G94:H94 G132:H132">
      <formula1>"Children to Age 19/23 if FT Student,Children to Age 26,Children to Age 28,Children to Age 30"</formula1>
    </dataValidation>
    <dataValidation type="list" allowBlank="1" showInputMessage="1" showErrorMessage="1" sqref="G57 C57:D57 C95:D95 C133:D133 G95:H95 G133:H133">
      <formula1>"Standard-Covered as Composites,Alternated to Amalgam Benefit"</formula1>
    </dataValidation>
    <dataValidation type="list" allowBlank="1" showInputMessage="1" showErrorMessage="1" sqref="G58:G60 C58:D60 C96:D98 C134:D136 G96:H98 G134:H136">
      <formula1>"Standard-Covered,Not Covered"</formula1>
    </dataValidation>
    <dataValidation type="list" allowBlank="1" showInputMessage="1" showErrorMessage="1" sqref="G61 C61:D61 C99:D99 C137:D137 G99:H99 G137:H137">
      <formula1>"Standard-Covered as Diagnostic &amp; Preventive,Covered as Basic Service"</formula1>
    </dataValidation>
    <dataValidation type="list" allowBlank="1" showInputMessage="1" showErrorMessage="1" sqref="G62 C62:D62 C100:D100 C138:D138 G100:H100 G138:H138">
      <formula1>"Standard-Coverage Every 5 Years,Coverage Every 3 Years"</formula1>
    </dataValidation>
    <dataValidation type="list" allowBlank="1" showInputMessage="1" showErrorMessage="1" sqref="G63 C63:D63 C101:D101 C139:D139 G101:H101 G139:H139">
      <formula1>"Standard-1x per 12 mnths &lt;18Y/O;1X per 24mnths &gt;=18Y/O,1x per 12mnths for all ages,1x per calendar year for all ages,2x every 12 months for all ages"</formula1>
    </dataValidation>
    <dataValidation type="list" allowBlank="1" showInputMessage="1" showErrorMessage="1" sqref="G64 C64:D64 C102:D102 C140:D140 G102:H102 G140:H140">
      <formula1>"Standard- 24 Month Waiting Period applies"</formula1>
    </dataValidation>
    <dataValidation type="list" allowBlank="1" showInputMessage="1" showErrorMessage="1" sqref="I35:I42 I111:I118 G35:G42 E35:E42 E73:E80 G73:G80 I73:I80 G111:G118 C35:C42 C73:C80 C111:C118 E111:E118">
      <formula1>"100%,95%,90%,85%,80%,75%,70%,65%,60%,55%,50%,45%,40%,35%,30%,25%,20%,15%,10%,5%,0%"</formula1>
    </dataValidation>
    <dataValidation type="list" allowBlank="1" showInputMessage="1" showErrorMessage="1" sqref="C32:D32 G32 C70:D70 C108:D108 G70:H70 G108">
      <formula1>"Select One,Active,Passive"</formula1>
    </dataValidation>
    <dataValidation type="list" allowBlank="1" showInputMessage="1" showErrorMessage="1" sqref="C43:D43 G43 C81:D81 C119:D119 G81:H81 G119:H119">
      <formula1>WaitingPeriods</formula1>
    </dataValidation>
    <dataValidation type="list" allowBlank="1" showInputMessage="1" showErrorMessage="1" sqref="C48:D48 G48 C86:D86 C124:D124 G86:H86 G124:H124">
      <formula1>"No Waiting Periods,12 Months"</formula1>
    </dataValidation>
    <dataValidation type="list" allowBlank="1" showInputMessage="1" showErrorMessage="1" sqref="C29:E29 G29">
      <formula1>"Select Option Type, DPPO Only, DPPO/DPPO, DHMO/DPPO, CUSTOM OPTION SEE COMMENTS"</formula1>
    </dataValidation>
    <dataValidation type="list" allowBlank="1" showInputMessage="1" showErrorMessage="1" sqref="C44:F44 C49:J49">
      <formula1>"N/A,No,Yes"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UHC Instructions</vt:lpstr>
      <vt:lpstr>INTAKE</vt:lpstr>
      <vt:lpstr>DENTAL INTAKE</vt:lpstr>
    </vt:vector>
  </TitlesOfParts>
  <Company>WellPoint INC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Ellman, Susan</dc:creator>
  <cp:lastModifiedBy>Microsoft Office User</cp:lastModifiedBy>
  <dcterms:created xsi:type="dcterms:W3CDTF">2017-06-30T22:39:47Z</dcterms:created>
  <dcterms:modified xsi:type="dcterms:W3CDTF">2018-07-12T14:39:59Z</dcterms:modified>
</cp:coreProperties>
</file>