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9005" codeName="{8C4F1C90-05EB-6A55-5F09-09C24B55AC0B}"/>
  <workbookPr updateLinks="never" codeName="ThisWorkbook"/>
  <mc:AlternateContent xmlns:mc="http://schemas.openxmlformats.org/markup-compatibility/2006">
    <mc:Choice Requires="x15">
      <x15ac:absPath xmlns:x15ac="http://schemas.microsoft.com/office/spreadsheetml/2010/11/ac" url="/Users/lemdy/Desktop/Benrevo/benrevo-admin-service/carriers/anthem/data/clients/Anthem/2017/Optimizers/"/>
    </mc:Choice>
  </mc:AlternateContent>
  <workbookProtection workbookAlgorithmName="SHA-512" workbookHashValue="G2QiQyQRV1Hdx7NPelgKEFTWjmrIVBUHsmwa5NhAbBoAJ9X6dp0RXonzAN7tFhgBe3BqS7WXPr4KV2yKtAEVRQ==" workbookSaltValue="iLwGzuswtZ8VS5TNlIMz6g==" workbookSpinCount="100000" lockStructure="1"/>
  <bookViews>
    <workbookView xWindow="0" yWindow="440" windowWidth="28400" windowHeight="14660" tabRatio="620" firstSheet="2" activeTab="3"/>
  </bookViews>
  <sheets>
    <sheet name="UW" sheetId="3" r:id="rId1"/>
    <sheet name="SIC Look Up" sheetId="18" state="hidden" r:id="rId2"/>
    <sheet name="BENREVO" sheetId="25" r:id="rId3"/>
    <sheet name="INTAKE" sheetId="1" r:id="rId4"/>
    <sheet name="FORMULAS" sheetId="23" state="hidden" r:id="rId5"/>
    <sheet name="EXHIBIT" sheetId="4" r:id="rId6"/>
    <sheet name="PLANS" sheetId="5" r:id="rId7"/>
    <sheet name="DENTAL INTAKE" sheetId="6" r:id="rId8"/>
    <sheet name="CALC" sheetId="17" state="hidden" r:id="rId9"/>
    <sheet name="PART ADJ" sheetId="19" state="hidden" r:id="rId10"/>
    <sheet name="PART ADJ 2" sheetId="20" state="hidden" r:id="rId11"/>
    <sheet name="CODE" sheetId="22" state="hidden" r:id="rId12"/>
    <sheet name="ANCILLARY EXHIBIT" sheetId="15" r:id="rId13"/>
    <sheet name="PROPOSAL" sheetId="7" state="hidden" r:id="rId14"/>
    <sheet name="ABF" sheetId="8" r:id="rId15"/>
    <sheet name="AHM" sheetId="9" r:id="rId16"/>
    <sheet name="SOLD PLANS CONFIRMATION" sheetId="24" state="hidden" r:id="rId17"/>
    <sheet name="CONTACTS" sheetId="11" r:id="rId18"/>
    <sheet name="REVISIONS" sheetId="26" state="hidden" r:id="rId19"/>
  </sheets>
  <externalReferences>
    <externalReference r:id="rId20"/>
    <externalReference r:id="rId21"/>
    <externalReference r:id="rId22"/>
    <externalReference r:id="rId23"/>
  </externalReferences>
  <definedNames>
    <definedName name="Ann.Max.Carry.1" localSheetId="12" hidden="1">#REF!</definedName>
    <definedName name="Ann.Max.Carry.1" localSheetId="2" hidden="1">#REF!</definedName>
    <definedName name="Ann.Max.Carry.1" localSheetId="8" hidden="1">#REF!</definedName>
    <definedName name="Ann.Max.Carry.1" hidden="1">#REF!</definedName>
    <definedName name="Ann.Max.Carry11">'DENTAL INTAKE'!$C$54</definedName>
    <definedName name="Ann.Max.Carry12">'DENTAL INTAKE'!$G$54</definedName>
    <definedName name="Ann.Max.Carry21">'DENTAL INTAKE'!$C$92</definedName>
    <definedName name="Ann.Max.Carry22">'DENTAL INTAKE'!$G$92</definedName>
    <definedName name="Ann.Max.Carry31">'DENTAL INTAKE'!$C$130</definedName>
    <definedName name="Ann.Max.Carry32">'DENTAL INTAKE'!$G$130</definedName>
    <definedName name="Ann.Max.In.1" localSheetId="12" hidden="1">#REF!</definedName>
    <definedName name="Ann.Max.In.1" localSheetId="2" hidden="1">#REF!</definedName>
    <definedName name="Ann.Max.In.1" localSheetId="8" hidden="1">#REF!</definedName>
    <definedName name="Ann.Max.In.1" hidden="1">#REF!</definedName>
    <definedName name="Ann.Max.In11">'DENTAL INTAKE'!$C$53</definedName>
    <definedName name="Ann.Max.In12">'DENTAL INTAKE'!$G$53</definedName>
    <definedName name="Ann.Max.In21">'DENTAL INTAKE'!$C$91</definedName>
    <definedName name="Ann.Max.In22">'DENTAL INTAKE'!$G$91</definedName>
    <definedName name="Ann.Max.In31">'DENTAL INTAKE'!$C$129</definedName>
    <definedName name="Ann.Max.In32">'DENTAL INTAKE'!$G$129</definedName>
    <definedName name="Ann.Max.Out.1" localSheetId="12" hidden="1">#REF!</definedName>
    <definedName name="Ann.Max.Out.1" localSheetId="2" hidden="1">#REF!</definedName>
    <definedName name="Ann.Max.Out.1" localSheetId="8" hidden="1">#REF!</definedName>
    <definedName name="Ann.Max.Out.1" hidden="1">#REF!</definedName>
    <definedName name="Ann.Max.Out11">'DENTAL INTAKE'!$E$53</definedName>
    <definedName name="Ann.Max.Out12">'DENTAL INTAKE'!$I$53</definedName>
    <definedName name="Ann.Max.Out21">'DENTAL INTAKE'!$E$91</definedName>
    <definedName name="Ann.Max.Out22">'DENTAL INTAKE'!$I$91</definedName>
    <definedName name="Ann.Max.Out31">'DENTAL INTAKE'!$E$129</definedName>
    <definedName name="Ann.Max.Out32">'DENTAL INTAKE'!$I$129</definedName>
    <definedName name="Annual.Max.Carryover.Range" localSheetId="2" hidden="1">[1]Data!$HZ$21:$HZ$23</definedName>
    <definedName name="Annual.Max.Carryover.Range" hidden="1">[2]Data!$HZ$21:$HZ$23</definedName>
    <definedName name="Annual.Max.Carryover.Selection" localSheetId="2" hidden="1">[1]Data!$HZ$2</definedName>
    <definedName name="Annual.Max.Carryover.Selection" hidden="1">[2]Data!$HZ$2</definedName>
    <definedName name="Annual.Max.DPApplies.Range" localSheetId="2" hidden="1">[1]Data!$HW$27</definedName>
    <definedName name="Annual.Max.DPApplies.Range" hidden="1">[2]Data!$HW$27</definedName>
    <definedName name="Annual.Max.DPApplies.Selection" localSheetId="2" hidden="1">[1]Data!$HW$2</definedName>
    <definedName name="Annual.Max.DPApplies.Selection" hidden="1">[2]Data!$HW$2</definedName>
    <definedName name="Annual.Max.In.Selection" localSheetId="2" hidden="1">[1]Data!$HI$3</definedName>
    <definedName name="Annual.Max.In.Selection" hidden="1">[2]Data!$HI$3</definedName>
    <definedName name="Annual.Max.InOut.Range" localSheetId="2" hidden="1">[1]Data!$HQ$21:$HQ$35</definedName>
    <definedName name="Annual.Max.InOut.Range" hidden="1">[2]Data!$HQ$21:$HQ$35</definedName>
    <definedName name="Annual.Max.Out.Range" localSheetId="2" hidden="1">[1]Data!$HQ$21:$HQ$27</definedName>
    <definedName name="Annual.Max.Out.Range" hidden="1">[2]Data!$HQ$21:$HQ$27</definedName>
    <definedName name="Annual.Max.Out.Selection" localSheetId="2" hidden="1">[1]Data!$HI$4</definedName>
    <definedName name="Annual.Max.Out.Selection" hidden="1">[2]Data!$HI$4</definedName>
    <definedName name="Auto.Fill.1" localSheetId="12" hidden="1">#REF!</definedName>
    <definedName name="Auto.Fill.1" localSheetId="2" hidden="1">#REF!</definedName>
    <definedName name="Auto.Fill.1" localSheetId="8" hidden="1">#REF!</definedName>
    <definedName name="Auto.Fill.1" hidden="1">#REF!</definedName>
    <definedName name="Auto.Fill.2" localSheetId="12" hidden="1">#REF!</definedName>
    <definedName name="Auto.Fill.2" localSheetId="2" hidden="1">#REF!</definedName>
    <definedName name="Auto.Fill.2" localSheetId="8" hidden="1">#REF!</definedName>
    <definedName name="Auto.Fill.2" hidden="1">#REF!</definedName>
    <definedName name="Auto.Fill.3" localSheetId="12" hidden="1">#REF!</definedName>
    <definedName name="Auto.Fill.3" localSheetId="2" hidden="1">#REF!</definedName>
    <definedName name="Auto.Fill.3" localSheetId="8" hidden="1">#REF!</definedName>
    <definedName name="Auto.Fill.3" hidden="1">#REF!</definedName>
    <definedName name="Basic.In" localSheetId="12" hidden="1">#REF!</definedName>
    <definedName name="Basic.In" localSheetId="8" hidden="1">#REF!</definedName>
    <definedName name="Basic.In.1.2" localSheetId="12" hidden="1">#REF!</definedName>
    <definedName name="Basic.In.1.2" localSheetId="2" hidden="1">#REF!</definedName>
    <definedName name="Basic.In.1.2" localSheetId="8" hidden="1">#REF!</definedName>
    <definedName name="Basic.In.1.2" hidden="1">#REF!</definedName>
    <definedName name="Basic.In11">'DENTAL INTAKE'!$C$36:$C$39</definedName>
    <definedName name="Basic.In12">'DENTAL INTAKE'!$G$36</definedName>
    <definedName name="Basic.In21">'DENTAL INTAKE'!$C$74</definedName>
    <definedName name="Basic.In22">'DENTAL INTAKE'!$G$74</definedName>
    <definedName name="Basic.In31">'DENTAL INTAKE'!$C$112</definedName>
    <definedName name="Basic.In32">'DENTAL INTAKE'!$G$112</definedName>
    <definedName name="Basic.Major.Wait.Range" localSheetId="2" hidden="1">[1]Data!$EP$21:$EP$36</definedName>
    <definedName name="Basic.Major.Wait.Range" hidden="1">[2]Data!$EP$21:$EP$36</definedName>
    <definedName name="Basic.Major.Wait.Selection" localSheetId="2" hidden="1">[1]Data!$EP$2</definedName>
    <definedName name="Basic.Major.Wait.Selection" hidden="1">[2]Data!$EP$2</definedName>
    <definedName name="Basic.Out" localSheetId="12" hidden="1">#REF!</definedName>
    <definedName name="Basic.Out" localSheetId="8" hidden="1">#REF!</definedName>
    <definedName name="Basic.Out.1.2" localSheetId="12" hidden="1">#REF!</definedName>
    <definedName name="Basic.Out.1.2" localSheetId="2" hidden="1">#REF!</definedName>
    <definedName name="Basic.Out.1.2" localSheetId="8" hidden="1">#REF!</definedName>
    <definedName name="Basic.Out.1.2" hidden="1">#REF!</definedName>
    <definedName name="Basic.Out11">'DENTAL INTAKE'!$E$36:$E$39</definedName>
    <definedName name="Basic.Out12">'DENTAL INTAKE'!$I$36</definedName>
    <definedName name="Basic.Out21">'DENTAL INTAKE'!$E$74</definedName>
    <definedName name="Basic.Out22">'DENTAL INTAKE'!$I$74</definedName>
    <definedName name="Basic.Out31">'DENTAL INTAKE'!$E$112</definedName>
    <definedName name="Basic.Out32">'DENTAL INTAKE'!$I$112</definedName>
    <definedName name="Basic.Rest.In.Range" localSheetId="2" hidden="1">[1]Data!$EH$37:$EH$57</definedName>
    <definedName name="Basic.Rest.In.Range" hidden="1">[2]Data!$EH$37:$EH$57</definedName>
    <definedName name="Basic.Rest.In.Selection" localSheetId="2" hidden="1">[1]Data!$EG$3</definedName>
    <definedName name="Basic.Rest.In.Selection" hidden="1">[2]Data!$EG$3</definedName>
    <definedName name="Basic.Rest.Out.Range" localSheetId="2" hidden="1">[1]Data!$EH$39:$EH$56</definedName>
    <definedName name="Basic.Rest.Out.Range" hidden="1">[2]Data!$EH$39:$EH$56</definedName>
    <definedName name="Basic.Rest.Out.Selection" localSheetId="2" hidden="1">[1]Data!$EG$4</definedName>
    <definedName name="Basic.Rest.Out.Selection" hidden="1">[2]Data!$EG$4</definedName>
    <definedName name="Basic.Wait.Period.1" localSheetId="12" hidden="1">#REF!</definedName>
    <definedName name="Basic.Wait.Period.1" localSheetId="2" hidden="1">#REF!</definedName>
    <definedName name="Basic.Wait.Period.1" localSheetId="8" hidden="1">#REF!</definedName>
    <definedName name="Basic.Wait.Period.1" hidden="1">#REF!</definedName>
    <definedName name="Basic.Wait.Period.1.2" localSheetId="12" hidden="1">#REF!</definedName>
    <definedName name="Basic.Wait.Period.1.2" localSheetId="2" hidden="1">#REF!</definedName>
    <definedName name="Basic.Wait.Period.1.2" localSheetId="8" hidden="1">#REF!</definedName>
    <definedName name="Basic.Wait.Period.1.2" hidden="1">#REF!</definedName>
    <definedName name="Basic.Wait.Period.2.1" localSheetId="12" hidden="1">#REF!</definedName>
    <definedName name="Basic.Wait.Period.2.1" localSheetId="2" hidden="1">#REF!</definedName>
    <definedName name="Basic.Wait.Period.2.1" localSheetId="8" hidden="1">#REF!</definedName>
    <definedName name="Basic.Wait.Period.2.1" hidden="1">#REF!</definedName>
    <definedName name="Basic.Wait.Period.2.2" localSheetId="12" hidden="1">#REF!</definedName>
    <definedName name="Basic.Wait.Period.2.2" localSheetId="2" hidden="1">#REF!</definedName>
    <definedName name="Basic.Wait.Period.2.2" localSheetId="8" hidden="1">#REF!</definedName>
    <definedName name="Basic.Wait.Period.2.2" hidden="1">#REF!</definedName>
    <definedName name="Basic.Wait.Period.3.1" localSheetId="12" hidden="1">#REF!</definedName>
    <definedName name="Basic.Wait.Period.3.1" localSheetId="2" hidden="1">#REF!</definedName>
    <definedName name="Basic.Wait.Period.3.1" localSheetId="8" hidden="1">#REF!</definedName>
    <definedName name="Basic.Wait.Period.3.1" hidden="1">#REF!</definedName>
    <definedName name="Basic.Wait.Period.3.2" localSheetId="12" hidden="1">#REF!</definedName>
    <definedName name="Basic.Wait.Period.3.2" localSheetId="2" hidden="1">#REF!</definedName>
    <definedName name="Basic.Wait.Period.3.2" localSheetId="8" hidden="1">#REF!</definedName>
    <definedName name="Basic.Wait.Period.3.2" hidden="1">#REF!</definedName>
    <definedName name="Basic.Waive.1" localSheetId="12" hidden="1">#REF!</definedName>
    <definedName name="Basic.Waive.1" localSheetId="2" hidden="1">#REF!</definedName>
    <definedName name="Basic.Waive.1" localSheetId="8" hidden="1">#REF!</definedName>
    <definedName name="Basic.Waive.1" hidden="1">#REF!</definedName>
    <definedName name="Basic.Waive.1.2" localSheetId="12" hidden="1">#REF!</definedName>
    <definedName name="Basic.Waive.1.2" localSheetId="2" hidden="1">#REF!</definedName>
    <definedName name="Basic.Waive.1.2" localSheetId="8" hidden="1">#REF!</definedName>
    <definedName name="Basic.Waive.1.2" hidden="1">#REF!</definedName>
    <definedName name="Basic.Waive.2.1" localSheetId="12" hidden="1">#REF!</definedName>
    <definedName name="Basic.Waive.2.1" localSheetId="2" hidden="1">#REF!</definedName>
    <definedName name="Basic.Waive.2.1" localSheetId="8" hidden="1">#REF!</definedName>
    <definedName name="Basic.Waive.2.1" hidden="1">#REF!</definedName>
    <definedName name="Basic.Waive.2.2" localSheetId="12" hidden="1">#REF!</definedName>
    <definedName name="Basic.Waive.2.2" localSheetId="2" hidden="1">#REF!</definedName>
    <definedName name="Basic.Waive.2.2" localSheetId="8" hidden="1">#REF!</definedName>
    <definedName name="Basic.Waive.2.2" hidden="1">#REF!</definedName>
    <definedName name="Basic.Waive.3.1" localSheetId="12" hidden="1">#REF!</definedName>
    <definedName name="Basic.Waive.3.1" localSheetId="2" hidden="1">#REF!</definedName>
    <definedName name="Basic.Waive.3.1" localSheetId="8" hidden="1">#REF!</definedName>
    <definedName name="Basic.Waive.3.1" hidden="1">#REF!</definedName>
    <definedName name="Basic.Waive.3.2" localSheetId="12" hidden="1">#REF!</definedName>
    <definedName name="Basic.Waive.3.2" localSheetId="2" hidden="1">#REF!</definedName>
    <definedName name="Basic.Waive.3.2" localSheetId="8" hidden="1">#REF!</definedName>
    <definedName name="Basic.Waive.3.2" hidden="1">#REF!</definedName>
    <definedName name="ben.category" localSheetId="2" hidden="1">[1]Data!$FM$21:$FM$23</definedName>
    <definedName name="ben.category" hidden="1">[2]Data!$FM$21:$FM$23</definedName>
    <definedName name="Ben.Category.Endo.Selection" localSheetId="2" hidden="1">[1]Data!$FM$3</definedName>
    <definedName name="Ben.Category.Endo.Selection" hidden="1">[2]Data!$FM$3</definedName>
    <definedName name="Ben.Category.OS.Selection" localSheetId="2" hidden="1">[1]Data!$FM$9</definedName>
    <definedName name="Ben.Category.OS.Selection" hidden="1">[2]Data!$FM$9</definedName>
    <definedName name="Ben.Category.Perio.Selection" localSheetId="2" hidden="1">[1]Data!$FM$6</definedName>
    <definedName name="Ben.Category.Perio.Selection" hidden="1">[2]Data!$FM$6</definedName>
    <definedName name="Ben.Category.ProsRep.Selection" localSheetId="2" hidden="1">[1]Data!$FM$12</definedName>
    <definedName name="Ben.Category.ProsRep.Selection" hidden="1">[2]Data!$FM$12</definedName>
    <definedName name="Bitewing.XRays.Output.Text" hidden="1">[3]Data!$HL$3</definedName>
    <definedName name="Bitewing.XRays.Range" localSheetId="2" hidden="1">[1]Data!$JE$34:$JE$37</definedName>
    <definedName name="Bitewing.XRays.Range" hidden="1">[2]Data!$JE$34:$JE$37</definedName>
    <definedName name="Bitewing.XRays.Selection" localSheetId="2" hidden="1">[1]Data!$JE$2</definedName>
    <definedName name="Bitewing.XRays.Selection" hidden="1">[2]Data!$JE$2</definedName>
    <definedName name="Brush.Biopsy.Range" localSheetId="2" hidden="1">[1]Data!$KA$21:$KA$22</definedName>
    <definedName name="Brush.Biopsy.Range" hidden="1">[2]Data!$KA$21:$KA$22</definedName>
    <definedName name="Brush.Biopsy.Selection" localSheetId="2" hidden="1">[1]Data!$KA$2</definedName>
    <definedName name="Brush.Biopsy.Selection" hidden="1">[2]Data!$KA$2</definedName>
    <definedName name="Coins.1.2" localSheetId="12" hidden="1">#REF!</definedName>
    <definedName name="Coins.1.2" localSheetId="2" hidden="1">#REF!</definedName>
    <definedName name="Coins.1.2" localSheetId="8" hidden="1">#REF!</definedName>
    <definedName name="Coins.1.2" hidden="1">#REF!</definedName>
    <definedName name="Coins1.1" localSheetId="12" hidden="1">#REF!</definedName>
    <definedName name="Coins1.1" localSheetId="2" hidden="1">#REF!</definedName>
    <definedName name="Coins1.1" localSheetId="8" hidden="1">#REF!</definedName>
    <definedName name="Coins1.1" hidden="1">#REF!</definedName>
    <definedName name="Coins2.1" localSheetId="12" hidden="1">#REF!</definedName>
    <definedName name="Coins2.1" localSheetId="2" hidden="1">#REF!</definedName>
    <definedName name="Coins2.1" localSheetId="8" hidden="1">#REF!</definedName>
    <definedName name="Coins2.1" hidden="1">#REF!</definedName>
    <definedName name="Coins2.2" localSheetId="12" hidden="1">#REF!</definedName>
    <definedName name="Coins2.2" localSheetId="2" hidden="1">#REF!</definedName>
    <definedName name="Coins2.2" localSheetId="8" hidden="1">#REF!</definedName>
    <definedName name="Coins2.2" hidden="1">#REF!</definedName>
    <definedName name="Coins3.1" localSheetId="12" hidden="1">#REF!</definedName>
    <definedName name="Coins3.1" localSheetId="2" hidden="1">#REF!</definedName>
    <definedName name="Coins3.1" localSheetId="8" hidden="1">#REF!</definedName>
    <definedName name="Coins3.1" hidden="1">#REF!</definedName>
    <definedName name="Coins3.2" localSheetId="12" hidden="1">#REF!</definedName>
    <definedName name="Coins3.2" localSheetId="2" hidden="1">#REF!</definedName>
    <definedName name="Coins3.2" localSheetId="8" hidden="1">#REF!</definedName>
    <definedName name="Coins3.2" hidden="1">#REF!</definedName>
    <definedName name="Contacts">CONTACTS!$A$13:$F$28</definedName>
    <definedName name="Contract.Length.Range" localSheetId="2" hidden="1">[1]Data!$DH$21:$DH$34</definedName>
    <definedName name="Contract.Length.Range" hidden="1">[2]Data!$DH$21:$DH$34</definedName>
    <definedName name="Contract.Length.Selection" localSheetId="2" hidden="1">[1]Data!$DF$2</definedName>
    <definedName name="Contract.Length.Selection" hidden="1">[2]Data!$DF$2</definedName>
    <definedName name="dd.Exchanges.range" localSheetId="2" hidden="1">[1]Data!$BG$21:$BG$26</definedName>
    <definedName name="dd.Exchanges.range" hidden="1">[2]Data!$BG$21:$BG$26</definedName>
    <definedName name="dd.exchanges.selection" localSheetId="2" hidden="1">[1]Data!$BG$2</definedName>
    <definedName name="dd.exchanges.selection" hidden="1">[2]Data!$BG$2</definedName>
    <definedName name="Ded.Fam.In.1" localSheetId="12" hidden="1">#REF!</definedName>
    <definedName name="Ded.Fam.In.1" localSheetId="2" hidden="1">#REF!</definedName>
    <definedName name="Ded.Fam.In.1" localSheetId="8" hidden="1">#REF!</definedName>
    <definedName name="Ded.Fam.In.1" hidden="1">#REF!</definedName>
    <definedName name="Ded.Fam.In11">'DENTAL INTAKE'!$C$51</definedName>
    <definedName name="Ded.Fam.In12">'DENTAL INTAKE'!$G$51</definedName>
    <definedName name="Ded.Fam.In21">'DENTAL INTAKE'!$C$89</definedName>
    <definedName name="Ded.Fam.In22">'DENTAL INTAKE'!$G$89</definedName>
    <definedName name="Ded.Fam.In31">'DENTAL INTAKE'!$C$127</definedName>
    <definedName name="Ded.Fam.In32">'DENTAL INTAKE'!$G$127</definedName>
    <definedName name="Ded.Fam.Out.1" localSheetId="12" hidden="1">#REF!</definedName>
    <definedName name="Ded.Fam.Out.1" localSheetId="2" hidden="1">#REF!</definedName>
    <definedName name="Ded.Fam.Out.1" localSheetId="8" hidden="1">#REF!</definedName>
    <definedName name="Ded.Fam.Out.1" hidden="1">#REF!</definedName>
    <definedName name="Ded.Fam.Out11">'DENTAL INTAKE'!$E$51</definedName>
    <definedName name="Ded.Fam.Out12">'DENTAL INTAKE'!$I$51</definedName>
    <definedName name="Ded.Fam.Out21">'DENTAL INTAKE'!$E$89</definedName>
    <definedName name="Ded.Fam.Out22">'DENTAL INTAKE'!$I$89</definedName>
    <definedName name="Ded.Fam.Out31">'DENTAL INTAKE'!$E$127</definedName>
    <definedName name="Ded.Fam.Out32">'DENTAL INTAKE'!$I$127</definedName>
    <definedName name="Ded.Ind.In.1" localSheetId="12" hidden="1">#REF!</definedName>
    <definedName name="Ded.Ind.In.1" localSheetId="2" hidden="1">#REF!</definedName>
    <definedName name="Ded.Ind.In.1" localSheetId="8" hidden="1">#REF!</definedName>
    <definedName name="Ded.Ind.In.1" hidden="1">#REF!</definedName>
    <definedName name="Ded.Ind.In11">'DENTAL INTAKE'!$C$50</definedName>
    <definedName name="Ded.Ind.In12">'DENTAL INTAKE'!$G$50</definedName>
    <definedName name="Ded.Ind.In21">'DENTAL INTAKE'!$C$88</definedName>
    <definedName name="Ded.Ind.In22">'DENTAL INTAKE'!$G$88</definedName>
    <definedName name="Ded.Ind.In31">'DENTAL INTAKE'!$C$126</definedName>
    <definedName name="Ded.Ind.In32">'DENTAL INTAKE'!$G$126</definedName>
    <definedName name="Ded.Ind.Out.1" localSheetId="12" hidden="1">#REF!</definedName>
    <definedName name="Ded.Ind.Out.1" localSheetId="2" hidden="1">#REF!</definedName>
    <definedName name="Ded.Ind.Out.1" localSheetId="8" hidden="1">#REF!</definedName>
    <definedName name="Ded.Ind.Out.1" hidden="1">#REF!</definedName>
    <definedName name="Ded.Ind.Out11">'DENTAL INTAKE'!$E$50</definedName>
    <definedName name="Ded.Ind.Out12">'DENTAL INTAKE'!$I$50</definedName>
    <definedName name="Ded.Ind.Out21">'DENTAL INTAKE'!$C$88</definedName>
    <definedName name="Ded.Ind.Out22">'DENTAL INTAKE'!$G$88</definedName>
    <definedName name="Ded.Ind.Out31">'DENTAL INTAKE'!$E$126</definedName>
    <definedName name="Ded.Ind.Out32">'DENTAL INTAKE'!$I$126</definedName>
    <definedName name="Ded.Max1.1" localSheetId="12" hidden="1">#REF!</definedName>
    <definedName name="Ded.Max1.1" localSheetId="2" hidden="1">#REF!</definedName>
    <definedName name="Ded.Max1.1" localSheetId="8" hidden="1">#REF!</definedName>
    <definedName name="Ded.Max1.1" hidden="1">#REF!</definedName>
    <definedName name="Ded.Max1.2" localSheetId="12" hidden="1">#REF!</definedName>
    <definedName name="Ded.Max1.2" localSheetId="2" hidden="1">#REF!</definedName>
    <definedName name="Ded.Max1.2" localSheetId="8" hidden="1">#REF!</definedName>
    <definedName name="Ded.Max1.2" hidden="1">#REF!</definedName>
    <definedName name="Ded.Max2.1" localSheetId="12" hidden="1">#REF!</definedName>
    <definedName name="Ded.Max2.1" localSheetId="2" hidden="1">#REF!</definedName>
    <definedName name="Ded.Max2.1" localSheetId="8" hidden="1">#REF!</definedName>
    <definedName name="Ded.Max2.1" hidden="1">#REF!</definedName>
    <definedName name="Ded.Max2.2" localSheetId="12" hidden="1">#REF!</definedName>
    <definedName name="Ded.Max2.2" localSheetId="2" hidden="1">#REF!</definedName>
    <definedName name="Ded.Max2.2" localSheetId="8" hidden="1">#REF!</definedName>
    <definedName name="Ded.Max2.2" hidden="1">#REF!</definedName>
    <definedName name="Ded.Max3.1" localSheetId="12" hidden="1">#REF!</definedName>
    <definedName name="Ded.Max3.1" localSheetId="2" hidden="1">#REF!</definedName>
    <definedName name="Ded.Max3.1" localSheetId="8" hidden="1">#REF!</definedName>
    <definedName name="Ded.Max3.1" hidden="1">#REF!</definedName>
    <definedName name="Ded.Max3.2" localSheetId="12" hidden="1">#REF!</definedName>
    <definedName name="Ded.Max3.2" localSheetId="2" hidden="1">#REF!</definedName>
    <definedName name="Ded.Max3.2" localSheetId="8" hidden="1">#REF!</definedName>
    <definedName name="Ded.Max3.2" hidden="1">#REF!</definedName>
    <definedName name="Ded.Waive.In.1" localSheetId="12" hidden="1">#REF!</definedName>
    <definedName name="Ded.Waive.In.1" localSheetId="2" hidden="1">#REF!</definedName>
    <definedName name="Ded.Waive.In.1" localSheetId="8" hidden="1">#REF!</definedName>
    <definedName name="Ded.Waive.In.1" hidden="1">#REF!</definedName>
    <definedName name="Ded.Waive.In11">'DENTAL INTAKE'!$C$52</definedName>
    <definedName name="Ded.Waive.In12">'DENTAL INTAKE'!$G$52</definedName>
    <definedName name="Ded.Waive.In21">'DENTAL INTAKE'!$G$52</definedName>
    <definedName name="Ded.Waive.In22">'DENTAL INTAKE'!$G$90</definedName>
    <definedName name="Ded.Waive.In31">'DENTAL INTAKE'!$C$128</definedName>
    <definedName name="Ded.Waive.In32">'DENTAL INTAKE'!$G$128</definedName>
    <definedName name="Ded.Waive.Out.1" localSheetId="12" hidden="1">#REF!</definedName>
    <definedName name="Ded.Waive.Out.1" localSheetId="2" hidden="1">#REF!</definedName>
    <definedName name="Ded.Waive.Out.1" localSheetId="8" hidden="1">#REF!</definedName>
    <definedName name="Ded.Waive.Out.1" hidden="1">#REF!</definedName>
    <definedName name="Ded.Waive.Out11">'DENTAL INTAKE'!$E$52</definedName>
    <definedName name="Ded.Waive.Out12">'DENTAL INTAKE'!$I$52</definedName>
    <definedName name="Ded.Waive.Out21">'DENTAL INTAKE'!$I$52</definedName>
    <definedName name="Ded.Waive.Out22">'DENTAL INTAKE'!$I$90</definedName>
    <definedName name="Ded.Waive.Out31">'DENTAL INTAKE'!$E$128</definedName>
    <definedName name="Ded.Waive.Out32">'DENTAL INTAKE'!$I$128</definedName>
    <definedName name="Deduct.Fam.In.Selection" localSheetId="2" hidden="1">[1]Data!$GR$3</definedName>
    <definedName name="Deduct.Fam.In.Selection" hidden="1">[2]Data!$GR$3</definedName>
    <definedName name="Deduct.Fam.Out.Selection" localSheetId="2" hidden="1">[1]Data!$GR$4</definedName>
    <definedName name="Deduct.Fam.Out.Selection" hidden="1">[2]Data!$GR$4</definedName>
    <definedName name="Deduct.Fam.Range" localSheetId="2" hidden="1">[1]Data!$GS$21:$GS$24</definedName>
    <definedName name="Deduct.Fam.Range" hidden="1">[2]Data!$GS$21:$GS$24</definedName>
    <definedName name="Deduct.Ind.In.Selection" localSheetId="2" hidden="1">[1]Data!$GN$3</definedName>
    <definedName name="Deduct.Ind.In.Selection" hidden="1">[2]Data!$GN$3</definedName>
    <definedName name="Deduct.Ind.Out.Range" localSheetId="2" hidden="1">[1]Data!$GO$30:$GO$41</definedName>
    <definedName name="Deduct.Ind.Out.Range" hidden="1">[2]Data!$GO$30:$GO$41</definedName>
    <definedName name="Deduct.Ind.Out.Selection" localSheetId="2" hidden="1">[1]Data!$GN$4</definedName>
    <definedName name="Deduct.Ind.Out.Selection" hidden="1">[2]Data!$GN$4</definedName>
    <definedName name="Deduct.Ind.Range" localSheetId="2" hidden="1">[1]Data!$GO$21:$GO$41</definedName>
    <definedName name="Deduct.Ind.Range" hidden="1">[2]Data!$GO$21:$GO$41</definedName>
    <definedName name="Deduct.Waive.In.Range" localSheetId="2" hidden="1">[1]Data!$HF$21:$HF$22</definedName>
    <definedName name="Deduct.Waive.In.Range" hidden="1">[2]Data!$HF$21:$HF$22</definedName>
    <definedName name="deduct.waive.out.Range" localSheetId="2" hidden="1">[1]Data!$HF$21:$HF$22</definedName>
    <definedName name="deduct.waive.out.Range" hidden="1">[2]Data!$HF$21:$HF$22</definedName>
    <definedName name="Default.Plan.Design.Range" localSheetId="2" hidden="1">[1]Data!$DV$21:$DV$28</definedName>
    <definedName name="Default.Plan.Design.Range" hidden="1">[2]Data!$DV$21:$DV$28</definedName>
    <definedName name="Default.Plan.Design.Selection" localSheetId="2" hidden="1">[1]Data!$DV$2</definedName>
    <definedName name="Default.Plan.Design.Selection" hidden="1">[2]Data!$DV$2</definedName>
    <definedName name="DentalScenario1">'DENTAL INTAKE'!$A$28:$I$64</definedName>
    <definedName name="DentalScenario2">'DENTAL INTAKE'!$A$66:$I$103</definedName>
    <definedName name="DentalScenario3">'DENTAL INTAKE'!$A$66:$I$141</definedName>
    <definedName name="Dep.Age.Range" localSheetId="2" hidden="1">[1]Data!$IM$35</definedName>
    <definedName name="Dep.Age.Range" hidden="1">[2]Data!$IM$35</definedName>
    <definedName name="Dep.Age.Selection" localSheetId="2" hidden="1">[1]Data!$IM$2</definedName>
    <definedName name="Dep.Age.Selection" hidden="1">[2]Data!$IM$2</definedName>
    <definedName name="DP.In" localSheetId="12" hidden="1">#REF!</definedName>
    <definedName name="DP.In" localSheetId="8" hidden="1">#REF!</definedName>
    <definedName name="DP.In.1.2" localSheetId="12" hidden="1">#REF!</definedName>
    <definedName name="DP.In.1.2" localSheetId="2" hidden="1">#REF!</definedName>
    <definedName name="DP.In.1.2" localSheetId="8" hidden="1">#REF!</definedName>
    <definedName name="DP.In.1.2" hidden="1">#REF!</definedName>
    <definedName name="DP.In.Range" localSheetId="2" hidden="1">[1]Data!$DZ$21:$DZ$31</definedName>
    <definedName name="DP.In.Range" hidden="1">[2]Data!$DZ$21:$DZ$31</definedName>
    <definedName name="DP.In.Selection" localSheetId="2" hidden="1">[1]Data!$DY$3</definedName>
    <definedName name="DP.In.Selection" hidden="1">[2]Data!$DY$3</definedName>
    <definedName name="DP.In11">'DENTAL INTAKE'!$C$35</definedName>
    <definedName name="DP.In12">'DENTAL INTAKE'!$G$35</definedName>
    <definedName name="DP.In21">'DENTAL INTAKE'!$C$73</definedName>
    <definedName name="DP.In22">'DENTAL INTAKE'!$G$73</definedName>
    <definedName name="DP.In31">'DENTAL INTAKE'!$C$111</definedName>
    <definedName name="DP.In32">'DENTAL INTAKE'!$G$111</definedName>
    <definedName name="DP.Out" localSheetId="12" hidden="1">#REF!</definedName>
    <definedName name="DP.Out" localSheetId="8" hidden="1">#REF!</definedName>
    <definedName name="DP.Out.1.2" localSheetId="12" hidden="1">#REF!</definedName>
    <definedName name="DP.Out.1.2" localSheetId="2" hidden="1">#REF!</definedName>
    <definedName name="DP.Out.1.2" localSheetId="8" hidden="1">#REF!</definedName>
    <definedName name="DP.Out.1.2" hidden="1">#REF!</definedName>
    <definedName name="DP.Out.Range" localSheetId="2" hidden="1">[1]Data!$DZ$21:$DZ$31</definedName>
    <definedName name="DP.Out.Range" hidden="1">[2]Data!$DZ$21:$DZ$31</definedName>
    <definedName name="DP.Out.Selection" localSheetId="2" hidden="1">[1]Data!$DY$4</definedName>
    <definedName name="DP.Out.Selection" hidden="1">[2]Data!$DY$4</definedName>
    <definedName name="DP.Out11">'DENTAL INTAKE'!$E$35</definedName>
    <definedName name="DP.Out12">'DENTAL INTAKE'!$I$35</definedName>
    <definedName name="DP.Out21">'DENTAL INTAKE'!$E$73</definedName>
    <definedName name="DP.Out22">'DENTAL INTAKE'!$I$73</definedName>
    <definedName name="DP.Out31">'DENTAL INTAKE'!$E$111</definedName>
    <definedName name="DP.Out32">'DENTAL INTAKE'!$I$111</definedName>
    <definedName name="Dtl_Scenario_2">'DENTAL INTAKE'!$66:$102</definedName>
    <definedName name="Dtl_Scenario_2_and_3">'DENTAL INTAKE'!$66:$132</definedName>
    <definedName name="DualOption.Range" localSheetId="2" hidden="1">[1]Data!$CZ$24</definedName>
    <definedName name="DualOption.Range" hidden="1">[2]Data!$CZ$24</definedName>
    <definedName name="DualOption.Selection" localSheetId="2" hidden="1">[1]Data!$CZ$2</definedName>
    <definedName name="DualOption.Selection" hidden="1">[2]Data!$CZ$2</definedName>
    <definedName name="Effective.Date.Range" localSheetId="2" hidden="1">[1]Data!$Y$42:$Y$56</definedName>
    <definedName name="Effective.Date.Range" hidden="1">[2]Data!$Y$42:$Y$56</definedName>
    <definedName name="Effective.Date.Selection" localSheetId="2" hidden="1">[1]Data!$Y$2</definedName>
    <definedName name="Effective.Date.Selection" hidden="1">[2]Data!$Y$2</definedName>
    <definedName name="End.In" localSheetId="12" hidden="1">#REF!</definedName>
    <definedName name="End.In" localSheetId="2" hidden="1">#REF!</definedName>
    <definedName name="End.In" localSheetId="8" hidden="1">#REF!</definedName>
    <definedName name="End.In" hidden="1">#REF!</definedName>
    <definedName name="End.In.1.2" localSheetId="12" hidden="1">#REF!</definedName>
    <definedName name="End.In.1.2" localSheetId="2" hidden="1">#REF!</definedName>
    <definedName name="End.In.1.2" localSheetId="8" hidden="1">#REF!</definedName>
    <definedName name="End.In.1.2" hidden="1">#REF!</definedName>
    <definedName name="End.In11">'DENTAL INTAKE'!$C$37</definedName>
    <definedName name="End.In12">'DENTAL INTAKE'!$G$37</definedName>
    <definedName name="End.In21">'DENTAL INTAKE'!$C$75</definedName>
    <definedName name="End.In22">'DENTAL INTAKE'!$G$75</definedName>
    <definedName name="End.In31">'DENTAL INTAKE'!$C$113</definedName>
    <definedName name="End.In32">'DENTAL INTAKE'!$G$113</definedName>
    <definedName name="End.Out" localSheetId="12" hidden="1">#REF!</definedName>
    <definedName name="End.Out" localSheetId="2" hidden="1">#REF!</definedName>
    <definedName name="End.Out" localSheetId="8" hidden="1">#REF!</definedName>
    <definedName name="End.Out" hidden="1">#REF!</definedName>
    <definedName name="End.Out.1.2" localSheetId="12" hidden="1">#REF!</definedName>
    <definedName name="End.Out.1.2" localSheetId="2" hidden="1">#REF!</definedName>
    <definedName name="End.Out.1.2" localSheetId="8" hidden="1">#REF!</definedName>
    <definedName name="End.Out.1.2" hidden="1">#REF!</definedName>
    <definedName name="End.Out11">'DENTAL INTAKE'!$E$37</definedName>
    <definedName name="End.Out12">'DENTAL INTAKE'!$I$37</definedName>
    <definedName name="End.Out21">'DENTAL INTAKE'!$E$75</definedName>
    <definedName name="End.Out22">'DENTAL INTAKE'!$I$75</definedName>
    <definedName name="End.Out31">'DENTAL INTAKE'!$E$113</definedName>
    <definedName name="End.Out32">'DENTAL INTAKE'!$I$113</definedName>
    <definedName name="Endo.In.Selection" localSheetId="2" hidden="1">[1]Data!$EG$6</definedName>
    <definedName name="Endo.In.Selection" hidden="1">[2]Data!$EG$6</definedName>
    <definedName name="Endo.Out.Range" localSheetId="2" hidden="1">[1]Data!$EH$39:$EH$56</definedName>
    <definedName name="Endo.Out.Range" hidden="1">[2]Data!$EH$39:$EH$56</definedName>
    <definedName name="Endo.Out.Selection" localSheetId="2" hidden="1">[1]Data!$EG$7</definedName>
    <definedName name="Endo.Out.Selection" hidden="1">[2]Data!$EG$7</definedName>
    <definedName name="ExhibitNoPlans">EXHIBIT!$AC$1</definedName>
    <definedName name="ExhibitPlan1">EXHIBIT!$A$7:$AC$25</definedName>
    <definedName name="ExhibitPlan10">EXHIBIT!$A$26:$AC$196</definedName>
    <definedName name="ExhibitPlan2">EXHIBIT!$A$26:$W$44</definedName>
    <definedName name="ExhibitPlan3">EXHIBIT!$A$26:$AC$63</definedName>
    <definedName name="ExhibitPlan4">EXHIBIT!$A$26:$AC$82</definedName>
    <definedName name="ExhibitPlan5">EXHIBIT!$A$26:$AC$101</definedName>
    <definedName name="ExhibitPlan6">EXHIBIT!$A$26:$AC$120</definedName>
    <definedName name="ExhibitPlan7">EXHIBIT!$A$26:$AC$139</definedName>
    <definedName name="ExhibitPlan8">EXHIBIT!$A$26:$AC$158</definedName>
    <definedName name="ExhibitPlan9">EXHIBIT!$A$26:$AC$177</definedName>
    <definedName name="Full.Mouth.XRays.Range" localSheetId="2" hidden="1">[1]Data!$IX$21:$IX$22</definedName>
    <definedName name="Full.Mouth.XRays.Range" hidden="1">[2]Data!$IX$21:$IX$22</definedName>
    <definedName name="Full.Mouth.XRays.Selection" localSheetId="2" hidden="1">[1]Data!$IX$2</definedName>
    <definedName name="Full.Mouth.XRays.Selection" hidden="1">[2]Data!$IX$2</definedName>
    <definedName name="Funding.Type.Range" localSheetId="2" hidden="1">[1]Data!$BE$27</definedName>
    <definedName name="Funding.Type.Range" hidden="1">[2]Data!$BE$27</definedName>
    <definedName name="Funding.Type.Selection" localSheetId="2" hidden="1">[1]Data!$BE$2</definedName>
    <definedName name="Funding.Type.Selection" hidden="1">[2]Data!$BE$2</definedName>
    <definedName name="Implants.Range" localSheetId="2" hidden="1">[1]Data!$JW$21:$JW$22</definedName>
    <definedName name="Implants.Range" hidden="1">[2]Data!$JW$21:$JW$22</definedName>
    <definedName name="Implants.Selection" localSheetId="2" hidden="1">[1]Data!$JW$2</definedName>
    <definedName name="Implants.Selection" hidden="1">[2]Data!$JW$2</definedName>
    <definedName name="IntakeNoPlans">INTAKE!$D$15</definedName>
    <definedName name="Major.In" localSheetId="12" hidden="1">#REF!</definedName>
    <definedName name="Major.In" localSheetId="8" hidden="1">#REF!</definedName>
    <definedName name="Major.In.1.2" localSheetId="12" hidden="1">#REF!</definedName>
    <definedName name="Major.In.1.2" localSheetId="2" hidden="1">#REF!</definedName>
    <definedName name="Major.In.1.2" localSheetId="8" hidden="1">#REF!</definedName>
    <definedName name="Major.In.1.2" hidden="1">#REF!</definedName>
    <definedName name="Major.In11">'DENTAL INTAKE'!$C$40</definedName>
    <definedName name="Major.In12">'DENTAL INTAKE'!$G$40</definedName>
    <definedName name="Major.In21">'DENTAL INTAKE'!$C$78</definedName>
    <definedName name="Major.In22">'DENTAL INTAKE'!$G$78</definedName>
    <definedName name="Major.In31">'DENTAL INTAKE'!$C$116</definedName>
    <definedName name="Major.In32">'DENTAL INTAKE'!$G$116</definedName>
    <definedName name="Major.Out" localSheetId="12" hidden="1">#REF!</definedName>
    <definedName name="Major.Out" localSheetId="8" hidden="1">#REF!</definedName>
    <definedName name="Major.Out.1.2" localSheetId="12" hidden="1">#REF!</definedName>
    <definedName name="Major.Out.1.2" localSheetId="2" hidden="1">#REF!</definedName>
    <definedName name="Major.Out.1.2" localSheetId="8" hidden="1">#REF!</definedName>
    <definedName name="Major.Out.1.2" hidden="1">#REF!</definedName>
    <definedName name="Major.Out11">'DENTAL INTAKE'!$E$40</definedName>
    <definedName name="Major.Out12">'DENTAL INTAKE'!$I$40</definedName>
    <definedName name="Major.Out21">'DENTAL INTAKE'!$E$78</definedName>
    <definedName name="Major.Out22">'DENTAL INTAKE'!$I$78</definedName>
    <definedName name="Major.Out31">'DENTAL INTAKE'!$E$116</definedName>
    <definedName name="Major.Out32">'DENTAL INTAKE'!$I$116</definedName>
    <definedName name="Major.Rest.In.Range" localSheetId="2" hidden="1">[1]Data!$EH$37:$EH$57</definedName>
    <definedName name="Major.Rest.In.Range" hidden="1">[2]Data!$EH$37:$EH$57</definedName>
    <definedName name="Major.Rest.In.Selection" localSheetId="2" hidden="1">[1]Data!$EL$3</definedName>
    <definedName name="Major.Rest.In.Selection" hidden="1">[2]Data!$EL$3</definedName>
    <definedName name="Major.Rest.Out.Range" localSheetId="2" hidden="1">[1]Data!$EH$45:$EH$56</definedName>
    <definedName name="Major.Rest.Out.Range" hidden="1">[2]Data!$EH$45:$EH$56</definedName>
    <definedName name="Major.Rest.Out.Selection" localSheetId="2" hidden="1">[1]Data!$EL$4</definedName>
    <definedName name="Major.Rest.Out.Selection" hidden="1">[2]Data!$EL$4</definedName>
    <definedName name="MedDropDowns" localSheetId="2">[4]FORMULAS!$A$12:$A$21</definedName>
    <definedName name="MedDropDowns">FORMULAS!$A$12:$A$21</definedName>
    <definedName name="MedPlan1">INTAKE!$B$17:$S$18</definedName>
    <definedName name="MedPlan10">INTAKE!$B$17:$S$36</definedName>
    <definedName name="MedPlan2">INTAKE!$B$17:$S$20</definedName>
    <definedName name="MedPlan3">INTAKE!$B$17:$S$22</definedName>
    <definedName name="MedPlan4">INTAKE!$B$17:$S$24</definedName>
    <definedName name="MedPlan5">INTAKE!$B$17:$S$26</definedName>
    <definedName name="MedPlan6">INTAKE!$B$17:$S$28</definedName>
    <definedName name="MedPlan7">INTAKE!$B$17:$S$30</definedName>
    <definedName name="MedPlan8">INTAKE!$B$17:$S$32</definedName>
    <definedName name="MedPlan9">INTAKE!$B$17:$S$34</definedName>
    <definedName name="MedPlans">EXHIBIT!$M$5</definedName>
    <definedName name="MTC.Range" localSheetId="2" hidden="1">[1]Data!$KS$26</definedName>
    <definedName name="MTC.Range" hidden="1">[2]Data!$KS$26</definedName>
    <definedName name="MTC.selection" localSheetId="2" hidden="1">[1]Data!$KS$2</definedName>
    <definedName name="MTC.selection" hidden="1">[2]Data!$KS$2</definedName>
    <definedName name="Network.Range" localSheetId="2" hidden="1">[1]Data!$DO$21:$DO$23</definedName>
    <definedName name="Network.Range" hidden="1">[2]Data!$DO$21:$DO$23</definedName>
    <definedName name="Network.Selection" localSheetId="2" hidden="1">[1]Data!$DO$2</definedName>
    <definedName name="Network.Selection" hidden="1">[2]Data!$DO$2</definedName>
    <definedName name="Network1Opt2">'DENTAL INTAKE'!$G$30</definedName>
    <definedName name="OON.Reimb.Range" localSheetId="2" hidden="1">[1]Data!$IF$21:$IF$28</definedName>
    <definedName name="OON.Reimb.Range" hidden="1">[2]Data!$IF$21:$IF$28</definedName>
    <definedName name="OON.Reimb.Selection" localSheetId="2" hidden="1">[1]Data!$IF$2</definedName>
    <definedName name="OON.Reimb.Selection" hidden="1">[2]Data!$IF$2</definedName>
    <definedName name="Option1.1" localSheetId="12" hidden="1">#REF!</definedName>
    <definedName name="Option1.1" localSheetId="2" hidden="1">#REF!</definedName>
    <definedName name="Option1.1" localSheetId="8" hidden="1">#REF!</definedName>
    <definedName name="Option1.1" hidden="1">#REF!</definedName>
    <definedName name="Option1.2" localSheetId="12" hidden="1">#REF!</definedName>
    <definedName name="Option1.2" localSheetId="2" hidden="1">#REF!</definedName>
    <definedName name="Option1.2" localSheetId="8" hidden="1">#REF!</definedName>
    <definedName name="Option1.2" hidden="1">#REF!</definedName>
    <definedName name="Option2.1" localSheetId="12" hidden="1">#REF!</definedName>
    <definedName name="Option2.1" localSheetId="2" hidden="1">#REF!</definedName>
    <definedName name="Option2.1" localSheetId="8" hidden="1">#REF!</definedName>
    <definedName name="Option2.1" hidden="1">#REF!</definedName>
    <definedName name="Option2.2" localSheetId="12" hidden="1">#REF!</definedName>
    <definedName name="Option2.2" localSheetId="2" hidden="1">#REF!</definedName>
    <definedName name="Option2.2" localSheetId="8" hidden="1">#REF!</definedName>
    <definedName name="Option2.2" hidden="1">#REF!</definedName>
    <definedName name="Option3.1" localSheetId="12" hidden="1">#REF!</definedName>
    <definedName name="Option3.1" localSheetId="2" hidden="1">#REF!</definedName>
    <definedName name="Option3.1" localSheetId="8" hidden="1">#REF!</definedName>
    <definedName name="Option3.1" hidden="1">#REF!</definedName>
    <definedName name="Option3.2" localSheetId="12" hidden="1">#REF!</definedName>
    <definedName name="Option3.2" localSheetId="2" hidden="1">#REF!</definedName>
    <definedName name="Option3.2" localSheetId="8" hidden="1">#REF!</definedName>
    <definedName name="Option3.2" hidden="1">#REF!</definedName>
    <definedName name="Ortho.Coins.1.1" localSheetId="12" hidden="1">#REF!</definedName>
    <definedName name="Ortho.Coins.1.1" localSheetId="2" hidden="1">#REF!</definedName>
    <definedName name="Ortho.Coins.1.1" localSheetId="8" hidden="1">#REF!</definedName>
    <definedName name="Ortho.Coins.1.1" hidden="1">#REF!</definedName>
    <definedName name="Ortho.Coins.1.2" localSheetId="12" hidden="1">#REF!</definedName>
    <definedName name="Ortho.Coins.1.2" localSheetId="2" hidden="1">#REF!</definedName>
    <definedName name="Ortho.Coins.1.2" localSheetId="8" hidden="1">#REF!</definedName>
    <definedName name="Ortho.Coins.1.2" hidden="1">#REF!</definedName>
    <definedName name="Ortho.Coins.Range" localSheetId="2" hidden="1">[1]Data!$FJ$33</definedName>
    <definedName name="Ortho.Coins.Range" hidden="1">[2]Data!$FJ$33</definedName>
    <definedName name="Ortho.Coins.Selection" localSheetId="2" hidden="1">[1]Data!$FJ$2</definedName>
    <definedName name="Ortho.Coins.Selection" hidden="1">[2]Data!$FJ$2</definedName>
    <definedName name="Ortho.Cov.1.1" localSheetId="12" hidden="1">#REF!</definedName>
    <definedName name="Ortho.Cov.1.1" localSheetId="2" hidden="1">#REF!</definedName>
    <definedName name="Ortho.Cov.1.1" localSheetId="8" hidden="1">#REF!</definedName>
    <definedName name="Ortho.Cov.1.1" hidden="1">#REF!</definedName>
    <definedName name="Ortho.Cov.1.2" localSheetId="12" hidden="1">#REF!</definedName>
    <definedName name="Ortho.Cov.1.2" localSheetId="2" hidden="1">#REF!</definedName>
    <definedName name="Ortho.Cov.1.2" localSheetId="8" hidden="1">#REF!</definedName>
    <definedName name="Ortho.Cov.1.2" hidden="1">#REF!</definedName>
    <definedName name="Ortho.Cov.2.1" localSheetId="12" hidden="1">#REF!</definedName>
    <definedName name="Ortho.Cov.2.1" localSheetId="2" hidden="1">#REF!</definedName>
    <definedName name="Ortho.Cov.2.1" localSheetId="8" hidden="1">#REF!</definedName>
    <definedName name="Ortho.Cov.2.1" hidden="1">#REF!</definedName>
    <definedName name="Ortho.Cov.2.2" localSheetId="12" hidden="1">#REF!</definedName>
    <definedName name="Ortho.Cov.2.2" localSheetId="2" hidden="1">#REF!</definedName>
    <definedName name="Ortho.Cov.2.2" localSheetId="8" hidden="1">#REF!</definedName>
    <definedName name="Ortho.Cov.2.2" hidden="1">#REF!</definedName>
    <definedName name="Ortho.Cov.3.1" localSheetId="12" hidden="1">#REF!</definedName>
    <definedName name="Ortho.Cov.3.1" localSheetId="2" hidden="1">#REF!</definedName>
    <definedName name="Ortho.Cov.3.1" localSheetId="8" hidden="1">#REF!</definedName>
    <definedName name="Ortho.Cov.3.1" hidden="1">#REF!</definedName>
    <definedName name="Ortho.Cov.3.2" localSheetId="12" hidden="1">#REF!</definedName>
    <definedName name="Ortho.Cov.3.2" localSheetId="2" hidden="1">#REF!</definedName>
    <definedName name="Ortho.Cov.3.2" localSheetId="8" hidden="1">#REF!</definedName>
    <definedName name="Ortho.Cov.3.2" hidden="1">#REF!</definedName>
    <definedName name="Ortho.COVERAGE.Range" localSheetId="2" hidden="1">[1]Data!$FE$21:$FE$24</definedName>
    <definedName name="Ortho.COVERAGE.Range" hidden="1">[2]Data!$FE$21:$FE$24</definedName>
    <definedName name="Ortho.Coverage.Selection" localSheetId="2" hidden="1">[1]Data!$FE$2</definedName>
    <definedName name="Ortho.Coverage.Selection" hidden="1">[2]Data!$FE$2</definedName>
    <definedName name="Ortho.Max.In.1.1" localSheetId="12" hidden="1">#REF!</definedName>
    <definedName name="Ortho.Max.In.1.1" localSheetId="2" hidden="1">#REF!</definedName>
    <definedName name="Ortho.Max.In.1.1" localSheetId="8" hidden="1">#REF!</definedName>
    <definedName name="Ortho.Max.In.1.1" hidden="1">#REF!</definedName>
    <definedName name="Ortho.Max.In.1.2" localSheetId="12" hidden="1">#REF!</definedName>
    <definedName name="Ortho.Max.In.1.2" localSheetId="2" hidden="1">#REF!</definedName>
    <definedName name="Ortho.Max.In.1.2" localSheetId="8" hidden="1">#REF!</definedName>
    <definedName name="Ortho.Max.In.1.2" hidden="1">#REF!</definedName>
    <definedName name="Ortho.Max.In.Range" localSheetId="2" hidden="1">[1]Data!$FU$21</definedName>
    <definedName name="Ortho.Max.In.Range" hidden="1">[2]Data!$FU$21</definedName>
    <definedName name="Ortho.Max.In.Selection" localSheetId="2" hidden="1">[1]Data!$FT$3</definedName>
    <definedName name="Ortho.Max.In.Selection" hidden="1">[2]Data!$FT$3</definedName>
    <definedName name="Ortho.Max.Out.1.1" localSheetId="12" hidden="1">#REF!</definedName>
    <definedName name="Ortho.Max.Out.1.1" localSheetId="2" hidden="1">#REF!</definedName>
    <definedName name="Ortho.Max.Out.1.1" localSheetId="8" hidden="1">#REF!</definedName>
    <definedName name="Ortho.Max.Out.1.1" hidden="1">#REF!</definedName>
    <definedName name="Ortho.Max.Out.1.2" localSheetId="12" hidden="1">#REF!</definedName>
    <definedName name="Ortho.Max.Out.1.2" localSheetId="2" hidden="1">#REF!</definedName>
    <definedName name="Ortho.Max.Out.1.2" localSheetId="8" hidden="1">#REF!</definedName>
    <definedName name="Ortho.Max.Out.1.2" hidden="1">#REF!</definedName>
    <definedName name="Ortho.Max.Out.Range" localSheetId="2" hidden="1">[1]Data!$FU$21</definedName>
    <definedName name="Ortho.Max.Out.Range" hidden="1">[2]Data!$FU$21</definedName>
    <definedName name="Ortho.Max.Out.Selection" localSheetId="2" hidden="1">[1]Data!$FT$4</definedName>
    <definedName name="Ortho.Max.Out.Selection" hidden="1">[2]Data!$FT$4</definedName>
    <definedName name="Ortho.Wait.1.1" localSheetId="12" hidden="1">#REF!</definedName>
    <definedName name="Ortho.Wait.1.1" localSheetId="2" hidden="1">#REF!</definedName>
    <definedName name="Ortho.Wait.1.1" localSheetId="8" hidden="1">#REF!</definedName>
    <definedName name="Ortho.Wait.1.1" hidden="1">#REF!</definedName>
    <definedName name="Ortho.Wait.1.2" localSheetId="12" hidden="1">#REF!</definedName>
    <definedName name="Ortho.Wait.1.2" localSheetId="2" hidden="1">#REF!</definedName>
    <definedName name="Ortho.Wait.1.2" localSheetId="8" hidden="1">#REF!</definedName>
    <definedName name="Ortho.Wait.1.2" hidden="1">#REF!</definedName>
    <definedName name="Ortho.Wait.2.1" localSheetId="12" hidden="1">#REF!</definedName>
    <definedName name="Ortho.Wait.2.1" localSheetId="2" hidden="1">#REF!</definedName>
    <definedName name="Ortho.Wait.2.1" localSheetId="8" hidden="1">#REF!</definedName>
    <definedName name="Ortho.Wait.2.1" hidden="1">#REF!</definedName>
    <definedName name="Ortho.Wait.2.2" localSheetId="12" hidden="1">#REF!</definedName>
    <definedName name="Ortho.Wait.2.2" localSheetId="2" hidden="1">#REF!</definedName>
    <definedName name="Ortho.Wait.2.2" localSheetId="8" hidden="1">#REF!</definedName>
    <definedName name="Ortho.Wait.2.2" hidden="1">#REF!</definedName>
    <definedName name="Ortho.Wait.3.1" localSheetId="12" hidden="1">#REF!</definedName>
    <definedName name="Ortho.Wait.3.1" localSheetId="2" hidden="1">#REF!</definedName>
    <definedName name="Ortho.Wait.3.1" localSheetId="8" hidden="1">#REF!</definedName>
    <definedName name="Ortho.Wait.3.1" hidden="1">#REF!</definedName>
    <definedName name="Ortho.Wait.3.2" localSheetId="12" hidden="1">#REF!</definedName>
    <definedName name="Ortho.Wait.3.2" localSheetId="2" hidden="1">#REF!</definedName>
    <definedName name="Ortho.Wait.3.2" localSheetId="8" hidden="1">#REF!</definedName>
    <definedName name="Ortho.Wait.3.2" hidden="1">#REF!</definedName>
    <definedName name="Ortho.Wait.Range" localSheetId="2" hidden="1">[1]Data!$FX$26</definedName>
    <definedName name="Ortho.Wait.Range" hidden="1">[2]Data!$FX$26</definedName>
    <definedName name="Ortho.Wait.Selection" localSheetId="2" hidden="1">[1]Data!$FX$2</definedName>
    <definedName name="Ortho.Wait.Selection" hidden="1">[2]Data!$FX$2</definedName>
    <definedName name="Ortho.waive.1.1" localSheetId="12" hidden="1">#REF!</definedName>
    <definedName name="Ortho.waive.1.1" localSheetId="2" hidden="1">#REF!</definedName>
    <definedName name="Ortho.waive.1.1" localSheetId="8" hidden="1">#REF!</definedName>
    <definedName name="Ortho.waive.1.1" hidden="1">#REF!</definedName>
    <definedName name="Ortho.waive.1.2" localSheetId="12" hidden="1">#REF!</definedName>
    <definedName name="Ortho.waive.1.2" localSheetId="2" hidden="1">#REF!</definedName>
    <definedName name="Ortho.waive.1.2" localSheetId="8" hidden="1">#REF!</definedName>
    <definedName name="Ortho.waive.1.2" hidden="1">#REF!</definedName>
    <definedName name="Ortho.waive.2.1" localSheetId="12" hidden="1">#REF!</definedName>
    <definedName name="Ortho.waive.2.1" localSheetId="2" hidden="1">#REF!</definedName>
    <definedName name="Ortho.waive.2.1" localSheetId="8" hidden="1">#REF!</definedName>
    <definedName name="Ortho.waive.2.1" hidden="1">#REF!</definedName>
    <definedName name="Ortho.waive.2.2" localSheetId="12" hidden="1">#REF!</definedName>
    <definedName name="Ortho.waive.2.2" localSheetId="2" hidden="1">#REF!</definedName>
    <definedName name="Ortho.waive.2.2" localSheetId="8" hidden="1">#REF!</definedName>
    <definedName name="Ortho.waive.2.2" hidden="1">#REF!</definedName>
    <definedName name="Ortho.waive.3.1" localSheetId="12" hidden="1">#REF!</definedName>
    <definedName name="Ortho.waive.3.1" localSheetId="2" hidden="1">#REF!</definedName>
    <definedName name="Ortho.waive.3.1" localSheetId="8" hidden="1">#REF!</definedName>
    <definedName name="Ortho.waive.3.1" hidden="1">#REF!</definedName>
    <definedName name="Ortho.waive.3.2" localSheetId="12" hidden="1">#REF!</definedName>
    <definedName name="Ortho.waive.3.2" localSheetId="2" hidden="1">#REF!</definedName>
    <definedName name="Ortho.waive.3.2" localSheetId="8" hidden="1">#REF!</definedName>
    <definedName name="Ortho.waive.3.2" hidden="1">#REF!</definedName>
    <definedName name="OS.In" localSheetId="12" hidden="1">#REF!</definedName>
    <definedName name="OS.In" localSheetId="2" hidden="1">#REF!</definedName>
    <definedName name="OS.In" localSheetId="8" hidden="1">#REF!</definedName>
    <definedName name="OS.In" hidden="1">#REF!</definedName>
    <definedName name="OS.In.1.2" localSheetId="12" hidden="1">#REF!</definedName>
    <definedName name="OS.In.1.2" localSheetId="2" hidden="1">#REF!</definedName>
    <definedName name="OS.In.1.2" localSheetId="8" hidden="1">#REF!</definedName>
    <definedName name="OS.In.1.2" hidden="1">#REF!</definedName>
    <definedName name="OS.In.Selection" localSheetId="2" hidden="1">[1]Data!$EG$12</definedName>
    <definedName name="OS.In.Selection" hidden="1">[2]Data!$EG$12</definedName>
    <definedName name="OS.In11">'DENTAL INTAKE'!$C$39</definedName>
    <definedName name="OS.In12">'DENTAL INTAKE'!$G$39</definedName>
    <definedName name="OS.In21">'DENTAL INTAKE'!$C$77</definedName>
    <definedName name="OS.In22">'DENTAL INTAKE'!$G$76:$G$77</definedName>
    <definedName name="OS.In31">'DENTAL INTAKE'!$C$115</definedName>
    <definedName name="OS.In32">'DENTAL INTAKE'!$G$115</definedName>
    <definedName name="OS.out" localSheetId="12" hidden="1">#REF!</definedName>
    <definedName name="OS.out" localSheetId="2" hidden="1">#REF!</definedName>
    <definedName name="OS.out" localSheetId="8" hidden="1">#REF!</definedName>
    <definedName name="OS.out" hidden="1">#REF!</definedName>
    <definedName name="OS.Out.1.2" localSheetId="12" hidden="1">#REF!</definedName>
    <definedName name="OS.Out.1.2" localSheetId="2" hidden="1">#REF!</definedName>
    <definedName name="OS.Out.1.2" localSheetId="8" hidden="1">#REF!</definedName>
    <definedName name="OS.Out.1.2" hidden="1">#REF!</definedName>
    <definedName name="OS.Out.Range" localSheetId="2" hidden="1">[1]Data!$EH$39:$EH$56</definedName>
    <definedName name="OS.Out.Range" hidden="1">[2]Data!$EH$39:$EH$56</definedName>
    <definedName name="OS.Out.Selection" localSheetId="2" hidden="1">[1]Data!$EG$13</definedName>
    <definedName name="OS.Out.Selection" hidden="1">[2]Data!$EG$13</definedName>
    <definedName name="OS.Out11">'DENTAL INTAKE'!$E$39</definedName>
    <definedName name="OS.Out12">'DENTAL INTAKE'!$I$39</definedName>
    <definedName name="OS.Out21">'DENTAL INTAKE'!$E$77</definedName>
    <definedName name="OS.Out22">'DENTAL INTAKE'!$I$77</definedName>
    <definedName name="OS.Out31">'DENTAL INTAKE'!$E$115</definedName>
    <definedName name="OS.Out32">'DENTAL INTAKE'!$I$115</definedName>
    <definedName name="Participation.Range" localSheetId="2" hidden="1">[1]Data!$CO$21:$CO$31</definedName>
    <definedName name="Participation.Range" hidden="1">[2]Data!$CO$21:$CO$31</definedName>
    <definedName name="Participation.Selection" localSheetId="2" hidden="1">[1]Data!$CO$2</definedName>
    <definedName name="Participation.Selection" hidden="1">[2]Data!$CO$2</definedName>
    <definedName name="Perio.In" localSheetId="12" hidden="1">#REF!</definedName>
    <definedName name="Perio.In" localSheetId="2" hidden="1">#REF!</definedName>
    <definedName name="Perio.In" localSheetId="8" hidden="1">#REF!</definedName>
    <definedName name="Perio.In" hidden="1">#REF!</definedName>
    <definedName name="Perio.In.1.2" localSheetId="12" hidden="1">#REF!</definedName>
    <definedName name="Perio.In.1.2" localSheetId="2" hidden="1">#REF!</definedName>
    <definedName name="Perio.In.1.2" localSheetId="8" hidden="1">#REF!</definedName>
    <definedName name="Perio.In.1.2" hidden="1">#REF!</definedName>
    <definedName name="Perio.In.Selection" localSheetId="2" hidden="1">[1]Data!$EG$9</definedName>
    <definedName name="Perio.In.Selection" hidden="1">[2]Data!$EG$9</definedName>
    <definedName name="Perio.In11">'DENTAL INTAKE'!$C$38</definedName>
    <definedName name="Perio.In12">'DENTAL INTAKE'!$G$38</definedName>
    <definedName name="Perio.In21">'DENTAL INTAKE'!$C$76</definedName>
    <definedName name="Perio.In22">'DENTAL INTAKE'!$G$76</definedName>
    <definedName name="Perio.In31">'DENTAL INTAKE'!$C$114</definedName>
    <definedName name="Perio.In32">'DENTAL INTAKE'!$G$114</definedName>
    <definedName name="Perio.Out" localSheetId="12" hidden="1">#REF!</definedName>
    <definedName name="Perio.Out" localSheetId="2" hidden="1">#REF!</definedName>
    <definedName name="Perio.Out" localSheetId="8" hidden="1">#REF!</definedName>
    <definedName name="Perio.Out" hidden="1">#REF!</definedName>
    <definedName name="Perio.Out.1.2" localSheetId="12" hidden="1">#REF!</definedName>
    <definedName name="Perio.Out.1.2" localSheetId="2" hidden="1">#REF!</definedName>
    <definedName name="Perio.Out.1.2" localSheetId="8" hidden="1">#REF!</definedName>
    <definedName name="Perio.Out.1.2" hidden="1">#REF!</definedName>
    <definedName name="Perio.Out.Range" localSheetId="2" hidden="1">[1]Data!$EH$39:$EH$56</definedName>
    <definedName name="Perio.Out.Range" hidden="1">[2]Data!$EH$39:$EH$56</definedName>
    <definedName name="Perio.Out.Selection" localSheetId="2" hidden="1">[1]Data!$EG$10</definedName>
    <definedName name="Perio.Out.Selection" hidden="1">[2]Data!$EG$10</definedName>
    <definedName name="Perio.Out11">'DENTAL INTAKE'!$E$38</definedName>
    <definedName name="Perio.Out12">'DENTAL INTAKE'!$I$38</definedName>
    <definedName name="Perio.Out21">'DENTAL INTAKE'!$E$76</definedName>
    <definedName name="Perio.Out22">'DENTAL INTAKE'!$I$76</definedName>
    <definedName name="Perio.Out31">'DENTAL INTAKE'!$E$114</definedName>
    <definedName name="Perio.Out32">'DENTAL INTAKE'!$I$114</definedName>
    <definedName name="PLAN_CODE" localSheetId="2">[4]PLANS!$A$1:$A$89</definedName>
    <definedName name="PLAN_CODE">PLANS!$A$1:$A$95</definedName>
    <definedName name="Plan.Year.Range" localSheetId="2" hidden="1">[1]Data!$DT$21:$DT$22</definedName>
    <definedName name="Plan.Year.Range" hidden="1">[2]Data!$DT$21:$DT$22</definedName>
    <definedName name="Plans">"2017 PLANS'!$A$1:$A$160"</definedName>
    <definedName name="Posterior.Composite.Range" localSheetId="2" hidden="1">[1]Data!$JS$21:$JS$22</definedName>
    <definedName name="Posterior.Composite.Range" hidden="1">[2]Data!$JS$21:$JS$22</definedName>
    <definedName name="Posterior.Composite.Selection" localSheetId="2" hidden="1">[1]Data!$JS$2</definedName>
    <definedName name="Posterior.Composite.Selection" hidden="1">[2]Data!$JS$2</definedName>
    <definedName name="Prefill.Plan" localSheetId="12" hidden="1">#REF!</definedName>
    <definedName name="Prefill.Plan" localSheetId="2" hidden="1">#REF!</definedName>
    <definedName name="Prefill.Plan" localSheetId="8" hidden="1">#REF!</definedName>
    <definedName name="Prefill.Plan" hidden="1">#REF!</definedName>
    <definedName name="PrefillScenario1Opt1">'DENTAL INTAKE'!$C$32</definedName>
    <definedName name="PrefillScenario1Opt2">'DENTAL INTAKE'!$G$32</definedName>
    <definedName name="PrefillScenario2Opt1">'DENTAL INTAKE'!$C$70</definedName>
    <definedName name="PrefillScenario2Opt2">'DENTAL INTAKE'!$G$70</definedName>
    <definedName name="PrefillScenario3Opt1">'DENTAL INTAKE'!$C$108</definedName>
    <definedName name="PrefillScenario3Opt3">'DENTAL INTAKE'!$G$108</definedName>
    <definedName name="Pregnant.Diabetic.Range" localSheetId="2" hidden="1">[1]Data!$KH$21:$KH$22</definedName>
    <definedName name="Pregnant.Diabetic.Range" hidden="1">[2]Data!$KH$21:$KH$22</definedName>
    <definedName name="Pregnant.Diabetic.Selection" localSheetId="2" hidden="1">[1]Data!$KH$2</definedName>
    <definedName name="Pregnant.Diabetic.Selection" hidden="1">[2]Data!$KH$2</definedName>
    <definedName name="Prior.Coverage.Range" localSheetId="2" hidden="1">[1]Data!$AU$21:$AU$23</definedName>
    <definedName name="Prior.Coverage.Range" hidden="1">[2]Data!$AU$21:$AU$23</definedName>
    <definedName name="Prior.Coverage.Selection" localSheetId="2" hidden="1">[1]Data!$AU$2</definedName>
    <definedName name="Prior.Coverage.Selection" hidden="1">[2]Data!$AU$2</definedName>
    <definedName name="Pros.In" localSheetId="12" hidden="1">#REF!</definedName>
    <definedName name="Pros.In" localSheetId="2" hidden="1">#REF!</definedName>
    <definedName name="Pros.In" localSheetId="8" hidden="1">#REF!</definedName>
    <definedName name="Pros.In" hidden="1">#REF!</definedName>
    <definedName name="Pros.In.1.2" localSheetId="12" hidden="1">#REF!</definedName>
    <definedName name="Pros.In.1.2" localSheetId="2" hidden="1">#REF!</definedName>
    <definedName name="Pros.In.1.2" localSheetId="8" hidden="1">#REF!</definedName>
    <definedName name="Pros.In.1.2" hidden="1">#REF!</definedName>
    <definedName name="Pros.In11">'DENTAL INTAKE'!$C$42</definedName>
    <definedName name="Pros.In12">'DENTAL INTAKE'!$G$42</definedName>
    <definedName name="Pros.In21">'DENTAL INTAKE'!$C$80</definedName>
    <definedName name="Pros.In22">'DENTAL INTAKE'!$G$80</definedName>
    <definedName name="Pros.in31">'DENTAL INTAKE'!$C$118</definedName>
    <definedName name="Pros.in32">'DENTAL INTAKE'!$G$118</definedName>
    <definedName name="Pros.Out" localSheetId="12" hidden="1">#REF!</definedName>
    <definedName name="Pros.Out" localSheetId="2" hidden="1">#REF!</definedName>
    <definedName name="Pros.Out" localSheetId="8" hidden="1">#REF!</definedName>
    <definedName name="Pros.Out" hidden="1">#REF!</definedName>
    <definedName name="Pros.Out.1.2" localSheetId="12" hidden="1">#REF!</definedName>
    <definedName name="Pros.Out.1.2" localSheetId="2" hidden="1">#REF!</definedName>
    <definedName name="Pros.Out.1.2" localSheetId="8" hidden="1">#REF!</definedName>
    <definedName name="Pros.Out.1.2" hidden="1">#REF!</definedName>
    <definedName name="Pros.Out11">'DENTAL INTAKE'!$E$42</definedName>
    <definedName name="Pros.Out12">'DENTAL INTAKE'!$I$42</definedName>
    <definedName name="Pros.Out21">'DENTAL INTAKE'!$E$80</definedName>
    <definedName name="Pros.Out22">'DENTAL INTAKE'!$I$80</definedName>
    <definedName name="Pros.Out31">'DENTAL INTAKE'!$E$118</definedName>
    <definedName name="Pros.Out32">'DENTAL INTAKE'!$I$118</definedName>
    <definedName name="Pros.Rep.In" localSheetId="12" hidden="1">#REF!</definedName>
    <definedName name="Pros.Rep.In" localSheetId="2" hidden="1">#REF!</definedName>
    <definedName name="Pros.Rep.In" localSheetId="8" hidden="1">#REF!</definedName>
    <definedName name="Pros.Rep.In" hidden="1">#REF!</definedName>
    <definedName name="Pros.Rep.In.1.2" localSheetId="12" hidden="1">#REF!</definedName>
    <definedName name="Pros.Rep.In.1.2" localSheetId="2" hidden="1">#REF!</definedName>
    <definedName name="Pros.Rep.In.1.2" localSheetId="8" hidden="1">#REF!</definedName>
    <definedName name="Pros.Rep.In.1.2" hidden="1">#REF!</definedName>
    <definedName name="Pros.Rep.Out" localSheetId="12" hidden="1">#REF!</definedName>
    <definedName name="Pros.Rep.Out" localSheetId="2" hidden="1">#REF!</definedName>
    <definedName name="Pros.Rep.Out" localSheetId="8" hidden="1">#REF!</definedName>
    <definedName name="Pros.Rep.Out" hidden="1">#REF!</definedName>
    <definedName name="Pros.Rep.Out.1.2" localSheetId="12" hidden="1">#REF!</definedName>
    <definedName name="Pros.Rep.Out.1.2" localSheetId="2" hidden="1">#REF!</definedName>
    <definedName name="Pros.Rep.Out.1.2" localSheetId="8" hidden="1">#REF!</definedName>
    <definedName name="Pros.Rep.Out.1.2" hidden="1">#REF!</definedName>
    <definedName name="ProsRep.In11">'DENTAL INTAKE'!$C$41</definedName>
    <definedName name="ProsRep.In12">'DENTAL INTAKE'!$G$41</definedName>
    <definedName name="ProsRep.In21">'DENTAL INTAKE'!$C$79</definedName>
    <definedName name="ProsRep.In22">'DENTAL INTAKE'!$G$79</definedName>
    <definedName name="ProsRep.In31">'DENTAL INTAKE'!$C$117</definedName>
    <definedName name="ProsRep.In32">'DENTAL INTAKE'!$G$117</definedName>
    <definedName name="ProsRep.Out11">'DENTAL INTAKE'!$E$41</definedName>
    <definedName name="ProsRep.Out12">'DENTAL INTAKE'!$I$41</definedName>
    <definedName name="ProsRep.Out21">'DENTAL INTAKE'!$E$79</definedName>
    <definedName name="ProsRep.Out22">'DENTAL INTAKE'!$I$79</definedName>
    <definedName name="ProsRep.Out31">'DENTAL INTAKE'!$E$117</definedName>
    <definedName name="ProsRep.Out32">'DENTAL INTAKE'!$I$117</definedName>
    <definedName name="Prosth.In.Selection" localSheetId="2" hidden="1">[1]Data!$EL$9</definedName>
    <definedName name="Prosth.In.Selection" hidden="1">[2]Data!$EL$9</definedName>
    <definedName name="Prosth.Out.Range" localSheetId="2" hidden="1">[1]Data!$EH$45:$EH$56</definedName>
    <definedName name="Prosth.Out.Range" hidden="1">[2]Data!$EH$45:$EH$56</definedName>
    <definedName name="Prosth.Out.Selection" localSheetId="2" hidden="1">[1]Data!$EL$10</definedName>
    <definedName name="Prosth.Out.Selection" hidden="1">[2]Data!$EL$10</definedName>
    <definedName name="Prosth.Repair.In.Selection" localSheetId="2" hidden="1">[1]Data!$EL$6</definedName>
    <definedName name="Prosth.Repair.In.Selection" hidden="1">[2]Data!$EL$6</definedName>
    <definedName name="Prosth.Repair.Out.Range" localSheetId="2" hidden="1">[1]Data!$EH$45:$EH$56</definedName>
    <definedName name="Prosth.Repair.Out.Range" hidden="1">[2]Data!$EH$45:$EH$56</definedName>
    <definedName name="Prosth.Repair.Out.Selection" localSheetId="2" hidden="1">[1]Data!$EL$7</definedName>
    <definedName name="Prosth.Repair.Out.Selection" hidden="1">[2]Data!$EL$7</definedName>
    <definedName name="RBRATES" localSheetId="2">[4]FORMULAS!$A$1:$B$9</definedName>
    <definedName name="RBRATES">FORMULAS!$A$1:$B$9</definedName>
    <definedName name="SAE" localSheetId="2">[4]CONTACTS!$A$12:$A$28</definedName>
    <definedName name="SAE">CONTACTS!$A$12:$A$28</definedName>
    <definedName name="SAESAR" localSheetId="2">[4]CONTACTS!$A$12:$B$28</definedName>
    <definedName name="SAESAR">CONTACTS!$A$12:$B$28</definedName>
    <definedName name="SAR">CONTACTS!$B$13:$B$28</definedName>
    <definedName name="scenario.count" localSheetId="7">'DENTAL INTAKE'!A1</definedName>
    <definedName name="ScenarioDes1Opt2">'DENTAL INTAKE'!$G$29</definedName>
    <definedName name="scenerio.count" localSheetId="12" hidden="1">#REF!</definedName>
    <definedName name="scenerio.count" localSheetId="2" hidden="1">#REF!</definedName>
    <definedName name="scenerio.count" localSheetId="8" hidden="1">#REF!</definedName>
    <definedName name="scenerio.count" hidden="1">#REF!</definedName>
    <definedName name="scenerio.number.1" localSheetId="12" hidden="1">#REF!</definedName>
    <definedName name="scenerio.number.1" localSheetId="2" hidden="1">#REF!</definedName>
    <definedName name="scenerio.number.1" localSheetId="8" hidden="1">#REF!</definedName>
    <definedName name="scenerio.number.1" hidden="1">#REF!</definedName>
    <definedName name="scenerio.number.2" localSheetId="12" hidden="1">#REF!</definedName>
    <definedName name="scenerio.number.2" localSheetId="2" hidden="1">#REF!</definedName>
    <definedName name="scenerio.number.2" localSheetId="8" hidden="1">#REF!</definedName>
    <definedName name="scenerio.number.2" hidden="1">#REF!</definedName>
    <definedName name="scenerio.number.3" localSheetId="12" hidden="1">#REF!</definedName>
    <definedName name="scenerio.number.3" localSheetId="2" hidden="1">#REF!</definedName>
    <definedName name="scenerio.number.3" localSheetId="8" hidden="1">#REF!</definedName>
    <definedName name="scenerio.number.3" hidden="1">#REF!</definedName>
    <definedName name="Sealants.Range" localSheetId="2" hidden="1">[1]Data!$IT$21:$IT$22</definedName>
    <definedName name="Sealants.Range" hidden="1">[2]Data!$IT$21:$IT$22</definedName>
    <definedName name="Sealants.Selection" localSheetId="2" hidden="1">[1]Data!$IT$2</definedName>
    <definedName name="Sealants.Selection" hidden="1">[2]Data!$IT$2</definedName>
    <definedName name="SIC.code.validation.list" localSheetId="2" hidden="1">'[1]SIC code'!$A$5:$A$1009</definedName>
    <definedName name="SIC.code.validation.list" hidden="1">'[2]SIC code'!$A$5:$A$1009</definedName>
    <definedName name="Special.Discount.Range.Name" localSheetId="2" hidden="1">[1]Data!$LN$3</definedName>
    <definedName name="Special.Discount.Range.Name" hidden="1">[2]Data!$LN$3</definedName>
    <definedName name="SSE" localSheetId="2">[4]CONTACTS!$D$12:$D$19</definedName>
    <definedName name="SSE">CONTACTS!$D$12:$D$19</definedName>
    <definedName name="TypePlanYear1Opt2">'DENTAL INTAKE'!$G$31</definedName>
    <definedName name="WaitingPeriods" localSheetId="2">'[4]DENTAL INTAKE'!$U$1:$U$13</definedName>
    <definedName name="WaitingPeriods">'DENTAL INTAKE'!$T$1:$T$13</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S59" i="4" l="1"/>
  <c r="L35" i="1"/>
  <c r="K35" i="1"/>
  <c r="J35" i="1"/>
  <c r="I35" i="1"/>
  <c r="L33" i="1"/>
  <c r="K33" i="1"/>
  <c r="J33" i="1"/>
  <c r="I33" i="1"/>
  <c r="L31" i="1"/>
  <c r="K31" i="1"/>
  <c r="J31" i="1"/>
  <c r="I31" i="1"/>
  <c r="L29" i="1"/>
  <c r="K29" i="1"/>
  <c r="J29" i="1"/>
  <c r="I29" i="1"/>
  <c r="L27" i="1"/>
  <c r="K27" i="1"/>
  <c r="J27" i="1"/>
  <c r="I27" i="1"/>
  <c r="L25" i="1"/>
  <c r="K25" i="1"/>
  <c r="J25" i="1"/>
  <c r="I25" i="1"/>
  <c r="L23" i="1"/>
  <c r="K23" i="1"/>
  <c r="J23" i="1"/>
  <c r="I23" i="1"/>
  <c r="L21" i="1"/>
  <c r="K21" i="1"/>
  <c r="J21" i="1"/>
  <c r="I21" i="1"/>
  <c r="L19" i="1"/>
  <c r="K19" i="1"/>
  <c r="J19" i="1"/>
  <c r="I19" i="1"/>
  <c r="M19" i="1"/>
  <c r="M17" i="1"/>
  <c r="H31" i="15"/>
  <c r="H30" i="15"/>
  <c r="H29" i="15"/>
  <c r="H28" i="15"/>
  <c r="D19" i="15"/>
  <c r="D18" i="15"/>
  <c r="I4" i="23"/>
  <c r="H4" i="23"/>
  <c r="F41" i="15"/>
  <c r="F40" i="15"/>
  <c r="F39" i="15"/>
  <c r="F38" i="15"/>
  <c r="H41" i="15"/>
  <c r="H40" i="15"/>
  <c r="H39" i="15"/>
  <c r="H38" i="15"/>
  <c r="D41" i="15"/>
  <c r="D40" i="15"/>
  <c r="D39" i="15"/>
  <c r="D38" i="15"/>
  <c r="C41" i="15"/>
  <c r="C40" i="15"/>
  <c r="C39" i="15"/>
  <c r="C38" i="15"/>
  <c r="F31" i="15"/>
  <c r="F30" i="15"/>
  <c r="F29" i="15"/>
  <c r="F28" i="15"/>
  <c r="H21" i="15"/>
  <c r="H20" i="15"/>
  <c r="H19" i="15"/>
  <c r="H18" i="15"/>
  <c r="C21" i="15"/>
  <c r="C20" i="15"/>
  <c r="C19" i="15"/>
  <c r="C18" i="15"/>
  <c r="D21" i="15"/>
  <c r="D20" i="15"/>
  <c r="H11" i="15"/>
  <c r="H10" i="15"/>
  <c r="H9" i="15"/>
  <c r="H8" i="15"/>
  <c r="F11" i="15"/>
  <c r="F10" i="15"/>
  <c r="F9" i="15"/>
  <c r="F8" i="15"/>
  <c r="D11" i="15"/>
  <c r="D10" i="15"/>
  <c r="D9" i="15"/>
  <c r="D8" i="15"/>
  <c r="C11" i="15"/>
  <c r="C10" i="15"/>
  <c r="C9" i="15"/>
  <c r="C8" i="15"/>
  <c r="I22" i="6"/>
  <c r="J22" i="6"/>
  <c r="K22" i="6"/>
  <c r="L23" i="6"/>
  <c r="I15" i="6"/>
  <c r="J15" i="6"/>
  <c r="K15" i="6"/>
  <c r="L16" i="6"/>
  <c r="L17" i="6"/>
  <c r="L18" i="6"/>
  <c r="L10" i="6"/>
  <c r="L7" i="6"/>
  <c r="L4" i="6"/>
  <c r="K3" i="6"/>
  <c r="J3" i="6"/>
  <c r="I3" i="6"/>
  <c r="E12" i="23"/>
  <c r="K16" i="1"/>
  <c r="L16" i="1"/>
  <c r="J16" i="1"/>
  <c r="B193" i="4"/>
  <c r="H192" i="4"/>
  <c r="H154" i="4"/>
  <c r="H116" i="4"/>
  <c r="H78" i="4"/>
  <c r="H40" i="4"/>
  <c r="H191" i="4"/>
  <c r="H77" i="4"/>
  <c r="H173" i="4"/>
  <c r="H135" i="4"/>
  <c r="H97" i="4"/>
  <c r="H59" i="4"/>
  <c r="H21" i="4"/>
  <c r="H153" i="4"/>
  <c r="H39" i="4"/>
  <c r="H172" i="4"/>
  <c r="H134" i="4"/>
  <c r="H96" i="4"/>
  <c r="H58" i="4"/>
  <c r="H20" i="4"/>
  <c r="H115" i="4"/>
  <c r="B79" i="4"/>
  <c r="B59" i="4"/>
  <c r="B115" i="4"/>
  <c r="B155" i="4"/>
  <c r="B60" i="4"/>
  <c r="B116" i="4"/>
  <c r="B172" i="4"/>
  <c r="B39" i="4"/>
  <c r="B135" i="4"/>
  <c r="B191" i="4"/>
  <c r="B40" i="4"/>
  <c r="B96" i="4"/>
  <c r="B136" i="4"/>
  <c r="B192" i="4"/>
  <c r="B21" i="4"/>
  <c r="B58" i="4"/>
  <c r="B78" i="4"/>
  <c r="B98" i="4"/>
  <c r="B134" i="4"/>
  <c r="B154" i="4"/>
  <c r="B174" i="4"/>
  <c r="B41" i="4"/>
  <c r="B77" i="4"/>
  <c r="B97" i="4"/>
  <c r="B117" i="4"/>
  <c r="B153" i="4"/>
  <c r="B173" i="4"/>
  <c r="B20" i="4"/>
  <c r="B22" i="4"/>
  <c r="S52" i="4"/>
  <c r="S53" i="4"/>
  <c r="S54" i="4"/>
  <c r="N40" i="1"/>
  <c r="D31" i="15"/>
  <c r="D30" i="15"/>
  <c r="D29" i="15"/>
  <c r="D28" i="15"/>
  <c r="C31" i="15"/>
  <c r="I31" i="15"/>
  <c r="C30" i="15"/>
  <c r="I30" i="15"/>
  <c r="C29" i="15"/>
  <c r="I29" i="15"/>
  <c r="C28" i="15"/>
  <c r="I28" i="15"/>
  <c r="F21" i="15"/>
  <c r="F20" i="15"/>
  <c r="F19" i="15"/>
  <c r="F18" i="15"/>
  <c r="E10" i="15"/>
  <c r="E11" i="15"/>
  <c r="E9" i="15"/>
  <c r="E8" i="15"/>
  <c r="B9" i="23"/>
  <c r="B3" i="23"/>
  <c r="B2" i="23"/>
  <c r="B7" i="23"/>
  <c r="B4" i="23"/>
  <c r="F4" i="23"/>
  <c r="G4" i="23"/>
  <c r="E4" i="23"/>
  <c r="B5" i="23"/>
  <c r="B6" i="23"/>
  <c r="B8" i="23"/>
  <c r="E10" i="4"/>
  <c r="D11" i="4"/>
  <c r="Q13" i="4"/>
  <c r="Q39" i="4"/>
  <c r="K9" i="4"/>
  <c r="G10" i="4"/>
  <c r="F6" i="23"/>
  <c r="J19" i="4"/>
  <c r="D22" i="4"/>
  <c r="H22" i="4"/>
  <c r="D41" i="4"/>
  <c r="H41" i="4"/>
  <c r="D60" i="4"/>
  <c r="H60" i="4"/>
  <c r="D79" i="4"/>
  <c r="H79" i="4"/>
  <c r="D98" i="4"/>
  <c r="H98" i="4"/>
  <c r="D117" i="4"/>
  <c r="H117" i="4"/>
  <c r="D136" i="4"/>
  <c r="H136" i="4"/>
  <c r="D155" i="4"/>
  <c r="H155" i="4"/>
  <c r="D174" i="4"/>
  <c r="H174" i="4"/>
  <c r="D193" i="4"/>
  <c r="H193" i="4"/>
  <c r="F22" i="4"/>
  <c r="B4" i="24"/>
  <c r="F13" i="24"/>
  <c r="B3" i="24"/>
  <c r="B2" i="24"/>
  <c r="K37" i="24"/>
  <c r="I37" i="24"/>
  <c r="H37" i="24"/>
  <c r="F7" i="24"/>
  <c r="E7" i="24"/>
  <c r="D7" i="24"/>
  <c r="C7" i="24"/>
  <c r="B7" i="24"/>
  <c r="G7" i="24"/>
  <c r="I12" i="24"/>
  <c r="F10" i="24"/>
  <c r="F11" i="24"/>
  <c r="F16" i="24"/>
  <c r="F12" i="24"/>
  <c r="F17" i="24"/>
  <c r="F14" i="24"/>
  <c r="H13" i="24"/>
  <c r="J11" i="24"/>
  <c r="G10" i="24"/>
  <c r="G11" i="24"/>
  <c r="J14" i="24"/>
  <c r="G13" i="24"/>
  <c r="H12" i="24"/>
  <c r="I11" i="24"/>
  <c r="J10" i="24"/>
  <c r="I14" i="24"/>
  <c r="J13" i="24"/>
  <c r="G12" i="24"/>
  <c r="H11" i="24"/>
  <c r="I10" i="24"/>
  <c r="H14" i="24"/>
  <c r="I13" i="24"/>
  <c r="J12" i="24"/>
  <c r="H10" i="24"/>
  <c r="G14" i="24"/>
  <c r="J6" i="1"/>
  <c r="M21" i="1"/>
  <c r="C7" i="6"/>
  <c r="C6" i="6"/>
  <c r="H188" i="4"/>
  <c r="H187" i="4"/>
  <c r="H186" i="4"/>
  <c r="H185" i="4"/>
  <c r="H184" i="4"/>
  <c r="H183" i="4"/>
  <c r="H182" i="4"/>
  <c r="H169" i="4"/>
  <c r="H168" i="4"/>
  <c r="H167" i="4"/>
  <c r="H166" i="4"/>
  <c r="H165" i="4"/>
  <c r="H164" i="4"/>
  <c r="H163" i="4"/>
  <c r="H150" i="4"/>
  <c r="H149" i="4"/>
  <c r="H148" i="4"/>
  <c r="H147" i="4"/>
  <c r="H146" i="4"/>
  <c r="H145" i="4"/>
  <c r="H144" i="4"/>
  <c r="H131" i="4"/>
  <c r="H130" i="4"/>
  <c r="H129" i="4"/>
  <c r="H128" i="4"/>
  <c r="H127" i="4"/>
  <c r="H126" i="4"/>
  <c r="H125" i="4"/>
  <c r="H112" i="4"/>
  <c r="H111" i="4"/>
  <c r="H110" i="4"/>
  <c r="H109" i="4"/>
  <c r="H108" i="4"/>
  <c r="H107" i="4"/>
  <c r="H106" i="4"/>
  <c r="H93" i="4"/>
  <c r="H92" i="4"/>
  <c r="H91" i="4"/>
  <c r="H90" i="4"/>
  <c r="H89" i="4"/>
  <c r="H88" i="4"/>
  <c r="H87" i="4"/>
  <c r="H74" i="4"/>
  <c r="H73" i="4"/>
  <c r="H72" i="4"/>
  <c r="H71" i="4"/>
  <c r="H70" i="4"/>
  <c r="H69" i="4"/>
  <c r="H68" i="4"/>
  <c r="H55" i="4"/>
  <c r="H54" i="4"/>
  <c r="H53" i="4"/>
  <c r="H52" i="4"/>
  <c r="H51" i="4"/>
  <c r="H50" i="4"/>
  <c r="H49" i="4"/>
  <c r="H36" i="4"/>
  <c r="H35" i="4"/>
  <c r="H34" i="4"/>
  <c r="H33" i="4"/>
  <c r="H32" i="4"/>
  <c r="H31" i="4"/>
  <c r="H30" i="4"/>
  <c r="H17" i="4"/>
  <c r="H16" i="4"/>
  <c r="H15" i="4"/>
  <c r="H14" i="4"/>
  <c r="H13" i="4"/>
  <c r="H12" i="4"/>
  <c r="H11" i="4"/>
  <c r="D68" i="4"/>
  <c r="Q16" i="4"/>
  <c r="Q42" i="4"/>
  <c r="E29" i="4"/>
  <c r="G29" i="4"/>
  <c r="E48" i="4"/>
  <c r="G48" i="4"/>
  <c r="E105" i="4"/>
  <c r="E124" i="4"/>
  <c r="E67" i="4"/>
  <c r="E86" i="4"/>
  <c r="E143" i="4"/>
  <c r="E162" i="4"/>
  <c r="E181" i="4"/>
  <c r="G162" i="4"/>
  <c r="F174" i="4"/>
  <c r="K161" i="4"/>
  <c r="G143" i="4"/>
  <c r="F155" i="4"/>
  <c r="K142" i="4"/>
  <c r="G105" i="4"/>
  <c r="F117" i="4"/>
  <c r="K104" i="4"/>
  <c r="G124" i="4"/>
  <c r="F136" i="4"/>
  <c r="K123" i="4"/>
  <c r="G86" i="4"/>
  <c r="F98" i="4"/>
  <c r="K85" i="4"/>
  <c r="F60" i="4"/>
  <c r="K47" i="4"/>
  <c r="G181" i="4"/>
  <c r="F193" i="4"/>
  <c r="K180" i="4"/>
  <c r="G67" i="4"/>
  <c r="F79" i="4"/>
  <c r="K66" i="4"/>
  <c r="F41" i="4"/>
  <c r="K28" i="4"/>
  <c r="C12" i="6"/>
  <c r="C11" i="6"/>
  <c r="C10" i="6"/>
  <c r="C8" i="6"/>
  <c r="C5" i="6"/>
  <c r="J38" i="4"/>
  <c r="B3" i="1"/>
  <c r="S51" i="1"/>
  <c r="D10" i="17"/>
  <c r="G13" i="20"/>
  <c r="P618" i="19"/>
  <c r="O618" i="19"/>
  <c r="N618" i="19"/>
  <c r="P617" i="19"/>
  <c r="O617" i="19"/>
  <c r="N617" i="19"/>
  <c r="P616" i="19"/>
  <c r="O616" i="19"/>
  <c r="N616" i="19"/>
  <c r="P615" i="19"/>
  <c r="O615" i="19"/>
  <c r="N615" i="19"/>
  <c r="P614" i="19"/>
  <c r="O614" i="19"/>
  <c r="N614" i="19"/>
  <c r="P613" i="19"/>
  <c r="O613" i="19"/>
  <c r="N613" i="19"/>
  <c r="P612" i="19"/>
  <c r="O612" i="19"/>
  <c r="N612" i="19"/>
  <c r="P611" i="19"/>
  <c r="O611" i="19"/>
  <c r="N611" i="19"/>
  <c r="P610" i="19"/>
  <c r="O610" i="19"/>
  <c r="N610" i="19"/>
  <c r="P609" i="19"/>
  <c r="O609" i="19"/>
  <c r="N609" i="19"/>
  <c r="P608" i="19"/>
  <c r="O608" i="19"/>
  <c r="N608" i="19"/>
  <c r="P607" i="19"/>
  <c r="O607" i="19"/>
  <c r="N607" i="19"/>
  <c r="P606" i="19"/>
  <c r="O606" i="19"/>
  <c r="N606" i="19"/>
  <c r="P605" i="19"/>
  <c r="O605" i="19"/>
  <c r="N605" i="19"/>
  <c r="P604" i="19"/>
  <c r="O604" i="19"/>
  <c r="N604" i="19"/>
  <c r="P603" i="19"/>
  <c r="O603" i="19"/>
  <c r="N603" i="19"/>
  <c r="P602" i="19"/>
  <c r="O602" i="19"/>
  <c r="N602" i="19"/>
  <c r="P601" i="19"/>
  <c r="O601" i="19"/>
  <c r="N601" i="19"/>
  <c r="P600" i="19"/>
  <c r="O600" i="19"/>
  <c r="N600" i="19"/>
  <c r="P599" i="19"/>
  <c r="O599" i="19"/>
  <c r="N599" i="19"/>
  <c r="P598" i="19"/>
  <c r="O598" i="19"/>
  <c r="N598" i="19"/>
  <c r="P597" i="19"/>
  <c r="O597" i="19"/>
  <c r="N597" i="19"/>
  <c r="P596" i="19"/>
  <c r="O596" i="19"/>
  <c r="N596" i="19"/>
  <c r="P595" i="19"/>
  <c r="O595" i="19"/>
  <c r="N595" i="19"/>
  <c r="P594" i="19"/>
  <c r="O594" i="19"/>
  <c r="N594" i="19"/>
  <c r="P593" i="19"/>
  <c r="O593" i="19"/>
  <c r="N593" i="19"/>
  <c r="P592" i="19"/>
  <c r="O592" i="19"/>
  <c r="N592" i="19"/>
  <c r="P591" i="19"/>
  <c r="O591" i="19"/>
  <c r="N591" i="19"/>
  <c r="P590" i="19"/>
  <c r="O590" i="19"/>
  <c r="N590" i="19"/>
  <c r="P589" i="19"/>
  <c r="O589" i="19"/>
  <c r="N589" i="19"/>
  <c r="P588" i="19"/>
  <c r="O588" i="19"/>
  <c r="N588" i="19"/>
  <c r="P587" i="19"/>
  <c r="O587" i="19"/>
  <c r="N587" i="19"/>
  <c r="P586" i="19"/>
  <c r="O586" i="19"/>
  <c r="N586" i="19"/>
  <c r="P585" i="19"/>
  <c r="O585" i="19"/>
  <c r="N585" i="19"/>
  <c r="P584" i="19"/>
  <c r="O584" i="19"/>
  <c r="N584" i="19"/>
  <c r="P583" i="19"/>
  <c r="O583" i="19"/>
  <c r="N583" i="19"/>
  <c r="P582" i="19"/>
  <c r="O582" i="19"/>
  <c r="N582" i="19"/>
  <c r="P581" i="19"/>
  <c r="O581" i="19"/>
  <c r="N581" i="19"/>
  <c r="P580" i="19"/>
  <c r="O580" i="19"/>
  <c r="N580" i="19"/>
  <c r="P579" i="19"/>
  <c r="O579" i="19"/>
  <c r="N579" i="19"/>
  <c r="P578" i="19"/>
  <c r="O578" i="19"/>
  <c r="N578" i="19"/>
  <c r="P577" i="19"/>
  <c r="O577" i="19"/>
  <c r="N577" i="19"/>
  <c r="P576" i="19"/>
  <c r="O576" i="19"/>
  <c r="N576" i="19"/>
  <c r="P575" i="19"/>
  <c r="O575" i="19"/>
  <c r="N575" i="19"/>
  <c r="P574" i="19"/>
  <c r="O574" i="19"/>
  <c r="N574" i="19"/>
  <c r="P573" i="19"/>
  <c r="O573" i="19"/>
  <c r="N573" i="19"/>
  <c r="P572" i="19"/>
  <c r="O572" i="19"/>
  <c r="N572" i="19"/>
  <c r="P571" i="19"/>
  <c r="O571" i="19"/>
  <c r="N571" i="19"/>
  <c r="P570" i="19"/>
  <c r="O570" i="19"/>
  <c r="N570" i="19"/>
  <c r="P569" i="19"/>
  <c r="O569" i="19"/>
  <c r="N569" i="19"/>
  <c r="P568" i="19"/>
  <c r="O568" i="19"/>
  <c r="N568" i="19"/>
  <c r="P567" i="19"/>
  <c r="O567" i="19"/>
  <c r="N567" i="19"/>
  <c r="P566" i="19"/>
  <c r="O566" i="19"/>
  <c r="N566" i="19"/>
  <c r="P565" i="19"/>
  <c r="O565" i="19"/>
  <c r="N565" i="19"/>
  <c r="P564" i="19"/>
  <c r="O564" i="19"/>
  <c r="N564" i="19"/>
  <c r="P563" i="19"/>
  <c r="O563" i="19"/>
  <c r="N563" i="19"/>
  <c r="P562" i="19"/>
  <c r="O562" i="19"/>
  <c r="N562" i="19"/>
  <c r="P561" i="19"/>
  <c r="O561" i="19"/>
  <c r="N561" i="19"/>
  <c r="P560" i="19"/>
  <c r="O560" i="19"/>
  <c r="N560" i="19"/>
  <c r="P559" i="19"/>
  <c r="O559" i="19"/>
  <c r="N559" i="19"/>
  <c r="P558" i="19"/>
  <c r="O558" i="19"/>
  <c r="N558" i="19"/>
  <c r="P557" i="19"/>
  <c r="O557" i="19"/>
  <c r="N557" i="19"/>
  <c r="P556" i="19"/>
  <c r="O556" i="19"/>
  <c r="N556" i="19"/>
  <c r="P555" i="19"/>
  <c r="O555" i="19"/>
  <c r="N555" i="19"/>
  <c r="P554" i="19"/>
  <c r="O554" i="19"/>
  <c r="N554" i="19"/>
  <c r="P553" i="19"/>
  <c r="O553" i="19"/>
  <c r="N553" i="19"/>
  <c r="P552" i="19"/>
  <c r="O552" i="19"/>
  <c r="N552" i="19"/>
  <c r="P551" i="19"/>
  <c r="O551" i="19"/>
  <c r="N551" i="19"/>
  <c r="P550" i="19"/>
  <c r="O550" i="19"/>
  <c r="N550" i="19"/>
  <c r="P549" i="19"/>
  <c r="O549" i="19"/>
  <c r="N549" i="19"/>
  <c r="P548" i="19"/>
  <c r="O548" i="19"/>
  <c r="N548" i="19"/>
  <c r="P547" i="19"/>
  <c r="O547" i="19"/>
  <c r="N547" i="19"/>
  <c r="P546" i="19"/>
  <c r="O546" i="19"/>
  <c r="N546" i="19"/>
  <c r="P545" i="19"/>
  <c r="O545" i="19"/>
  <c r="N545" i="19"/>
  <c r="P544" i="19"/>
  <c r="O544" i="19"/>
  <c r="N544" i="19"/>
  <c r="P543" i="19"/>
  <c r="O543" i="19"/>
  <c r="N543" i="19"/>
  <c r="P542" i="19"/>
  <c r="O542" i="19"/>
  <c r="N542" i="19"/>
  <c r="P541" i="19"/>
  <c r="O541" i="19"/>
  <c r="N541" i="19"/>
  <c r="P540" i="19"/>
  <c r="O540" i="19"/>
  <c r="N540" i="19"/>
  <c r="P539" i="19"/>
  <c r="O539" i="19"/>
  <c r="N539" i="19"/>
  <c r="P538" i="19"/>
  <c r="O538" i="19"/>
  <c r="N538" i="19"/>
  <c r="P537" i="19"/>
  <c r="O537" i="19"/>
  <c r="N537" i="19"/>
  <c r="P536" i="19"/>
  <c r="O536" i="19"/>
  <c r="N536" i="19"/>
  <c r="P535" i="19"/>
  <c r="O535" i="19"/>
  <c r="N535" i="19"/>
  <c r="P534" i="19"/>
  <c r="O534" i="19"/>
  <c r="N534" i="19"/>
  <c r="P533" i="19"/>
  <c r="O533" i="19"/>
  <c r="N533" i="19"/>
  <c r="P532" i="19"/>
  <c r="O532" i="19"/>
  <c r="N532" i="19"/>
  <c r="P531" i="19"/>
  <c r="O531" i="19"/>
  <c r="N531" i="19"/>
  <c r="P530" i="19"/>
  <c r="O530" i="19"/>
  <c r="N530" i="19"/>
  <c r="P529" i="19"/>
  <c r="O529" i="19"/>
  <c r="N529" i="19"/>
  <c r="P528" i="19"/>
  <c r="O528" i="19"/>
  <c r="N528" i="19"/>
  <c r="P527" i="19"/>
  <c r="O527" i="19"/>
  <c r="N527" i="19"/>
  <c r="P526" i="19"/>
  <c r="O526" i="19"/>
  <c r="N526" i="19"/>
  <c r="P525" i="19"/>
  <c r="O525" i="19"/>
  <c r="N525" i="19"/>
  <c r="P524" i="19"/>
  <c r="O524" i="19"/>
  <c r="N524" i="19"/>
  <c r="P523" i="19"/>
  <c r="O523" i="19"/>
  <c r="N523" i="19"/>
  <c r="P522" i="19"/>
  <c r="O522" i="19"/>
  <c r="N522" i="19"/>
  <c r="P521" i="19"/>
  <c r="O521" i="19"/>
  <c r="N521" i="19"/>
  <c r="P520" i="19"/>
  <c r="O520" i="19"/>
  <c r="N520" i="19"/>
  <c r="P519" i="19"/>
  <c r="O519" i="19"/>
  <c r="N519" i="19"/>
  <c r="P518" i="19"/>
  <c r="O518" i="19"/>
  <c r="N518" i="19"/>
  <c r="P517" i="19"/>
  <c r="O517" i="19"/>
  <c r="N517" i="19"/>
  <c r="P516" i="19"/>
  <c r="O516" i="19"/>
  <c r="N516" i="19"/>
  <c r="P515" i="19"/>
  <c r="O515" i="19"/>
  <c r="N515" i="19"/>
  <c r="P514" i="19"/>
  <c r="O514" i="19"/>
  <c r="N514" i="19"/>
  <c r="P513" i="19"/>
  <c r="O513" i="19"/>
  <c r="N513" i="19"/>
  <c r="P512" i="19"/>
  <c r="O512" i="19"/>
  <c r="N512" i="19"/>
  <c r="P511" i="19"/>
  <c r="O511" i="19"/>
  <c r="N511" i="19"/>
  <c r="P510" i="19"/>
  <c r="O510" i="19"/>
  <c r="N510" i="19"/>
  <c r="P509" i="19"/>
  <c r="O509" i="19"/>
  <c r="N509" i="19"/>
  <c r="P508" i="19"/>
  <c r="O508" i="19"/>
  <c r="N508" i="19"/>
  <c r="P507" i="19"/>
  <c r="O507" i="19"/>
  <c r="N507" i="19"/>
  <c r="P506" i="19"/>
  <c r="O506" i="19"/>
  <c r="N506" i="19"/>
  <c r="P505" i="19"/>
  <c r="O505" i="19"/>
  <c r="N505" i="19"/>
  <c r="P504" i="19"/>
  <c r="O504" i="19"/>
  <c r="N504" i="19"/>
  <c r="P503" i="19"/>
  <c r="O503" i="19"/>
  <c r="N503" i="19"/>
  <c r="P502" i="19"/>
  <c r="O502" i="19"/>
  <c r="N502" i="19"/>
  <c r="P501" i="19"/>
  <c r="O501" i="19"/>
  <c r="N501" i="19"/>
  <c r="P500" i="19"/>
  <c r="O500" i="19"/>
  <c r="N500" i="19"/>
  <c r="P499" i="19"/>
  <c r="O499" i="19"/>
  <c r="N499" i="19"/>
  <c r="P498" i="19"/>
  <c r="O498" i="19"/>
  <c r="N498" i="19"/>
  <c r="P497" i="19"/>
  <c r="O497" i="19"/>
  <c r="N497" i="19"/>
  <c r="P496" i="19"/>
  <c r="O496" i="19"/>
  <c r="N496" i="19"/>
  <c r="P495" i="19"/>
  <c r="O495" i="19"/>
  <c r="N495" i="19"/>
  <c r="P494" i="19"/>
  <c r="O494" i="19"/>
  <c r="N494" i="19"/>
  <c r="P493" i="19"/>
  <c r="O493" i="19"/>
  <c r="N493" i="19"/>
  <c r="P492" i="19"/>
  <c r="O492" i="19"/>
  <c r="N492" i="19"/>
  <c r="P491" i="19"/>
  <c r="O491" i="19"/>
  <c r="N491" i="19"/>
  <c r="P490" i="19"/>
  <c r="O490" i="19"/>
  <c r="N490" i="19"/>
  <c r="P489" i="19"/>
  <c r="O489" i="19"/>
  <c r="N489" i="19"/>
  <c r="P488" i="19"/>
  <c r="O488" i="19"/>
  <c r="N488" i="19"/>
  <c r="P487" i="19"/>
  <c r="O487" i="19"/>
  <c r="N487" i="19"/>
  <c r="P486" i="19"/>
  <c r="O486" i="19"/>
  <c r="N486" i="19"/>
  <c r="P485" i="19"/>
  <c r="O485" i="19"/>
  <c r="N485" i="19"/>
  <c r="P484" i="19"/>
  <c r="O484" i="19"/>
  <c r="N484" i="19"/>
  <c r="P483" i="19"/>
  <c r="O483" i="19"/>
  <c r="N483" i="19"/>
  <c r="P482" i="19"/>
  <c r="O482" i="19"/>
  <c r="N482" i="19"/>
  <c r="P481" i="19"/>
  <c r="O481" i="19"/>
  <c r="N481" i="19"/>
  <c r="P480" i="19"/>
  <c r="O480" i="19"/>
  <c r="N480" i="19"/>
  <c r="P479" i="19"/>
  <c r="O479" i="19"/>
  <c r="N479" i="19"/>
  <c r="P478" i="19"/>
  <c r="O478" i="19"/>
  <c r="N478" i="19"/>
  <c r="P477" i="19"/>
  <c r="O477" i="19"/>
  <c r="N477" i="19"/>
  <c r="P476" i="19"/>
  <c r="O476" i="19"/>
  <c r="N476" i="19"/>
  <c r="P475" i="19"/>
  <c r="O475" i="19"/>
  <c r="N475" i="19"/>
  <c r="P474" i="19"/>
  <c r="O474" i="19"/>
  <c r="N474" i="19"/>
  <c r="P473" i="19"/>
  <c r="O473" i="19"/>
  <c r="N473" i="19"/>
  <c r="P472" i="19"/>
  <c r="O472" i="19"/>
  <c r="N472" i="19"/>
  <c r="P471" i="19"/>
  <c r="O471" i="19"/>
  <c r="N471" i="19"/>
  <c r="P470" i="19"/>
  <c r="O470" i="19"/>
  <c r="N470" i="19"/>
  <c r="P469" i="19"/>
  <c r="O469" i="19"/>
  <c r="N469" i="19"/>
  <c r="P468" i="19"/>
  <c r="O468" i="19"/>
  <c r="N468" i="19"/>
  <c r="P467" i="19"/>
  <c r="O467" i="19"/>
  <c r="N467" i="19"/>
  <c r="P466" i="19"/>
  <c r="O466" i="19"/>
  <c r="N466" i="19"/>
  <c r="P465" i="19"/>
  <c r="O465" i="19"/>
  <c r="N465" i="19"/>
  <c r="P464" i="19"/>
  <c r="O464" i="19"/>
  <c r="N464" i="19"/>
  <c r="P463" i="19"/>
  <c r="O463" i="19"/>
  <c r="N463" i="19"/>
  <c r="P462" i="19"/>
  <c r="O462" i="19"/>
  <c r="N462" i="19"/>
  <c r="P461" i="19"/>
  <c r="O461" i="19"/>
  <c r="N461" i="19"/>
  <c r="P460" i="19"/>
  <c r="O460" i="19"/>
  <c r="N460" i="19"/>
  <c r="P459" i="19"/>
  <c r="O459" i="19"/>
  <c r="N459" i="19"/>
  <c r="P458" i="19"/>
  <c r="O458" i="19"/>
  <c r="N458" i="19"/>
  <c r="P457" i="19"/>
  <c r="O457" i="19"/>
  <c r="N457" i="19"/>
  <c r="P456" i="19"/>
  <c r="O456" i="19"/>
  <c r="N456" i="19"/>
  <c r="P455" i="19"/>
  <c r="O455" i="19"/>
  <c r="N455" i="19"/>
  <c r="P454" i="19"/>
  <c r="O454" i="19"/>
  <c r="N454" i="19"/>
  <c r="P453" i="19"/>
  <c r="O453" i="19"/>
  <c r="N453" i="19"/>
  <c r="P452" i="19"/>
  <c r="O452" i="19"/>
  <c r="N452" i="19"/>
  <c r="P451" i="19"/>
  <c r="O451" i="19"/>
  <c r="N451" i="19"/>
  <c r="P450" i="19"/>
  <c r="O450" i="19"/>
  <c r="N450" i="19"/>
  <c r="P449" i="19"/>
  <c r="O449" i="19"/>
  <c r="N449" i="19"/>
  <c r="P448" i="19"/>
  <c r="O448" i="19"/>
  <c r="N448" i="19"/>
  <c r="P447" i="19"/>
  <c r="O447" i="19"/>
  <c r="N447" i="19"/>
  <c r="P446" i="19"/>
  <c r="O446" i="19"/>
  <c r="N446" i="19"/>
  <c r="P445" i="19"/>
  <c r="O445" i="19"/>
  <c r="N445" i="19"/>
  <c r="P444" i="19"/>
  <c r="O444" i="19"/>
  <c r="N444" i="19"/>
  <c r="P443" i="19"/>
  <c r="O443" i="19"/>
  <c r="N443" i="19"/>
  <c r="P442" i="19"/>
  <c r="O442" i="19"/>
  <c r="N442" i="19"/>
  <c r="P441" i="19"/>
  <c r="O441" i="19"/>
  <c r="N441" i="19"/>
  <c r="P440" i="19"/>
  <c r="O440" i="19"/>
  <c r="N440" i="19"/>
  <c r="P439" i="19"/>
  <c r="O439" i="19"/>
  <c r="N439" i="19"/>
  <c r="P438" i="19"/>
  <c r="O438" i="19"/>
  <c r="N438" i="19"/>
  <c r="P437" i="19"/>
  <c r="O437" i="19"/>
  <c r="N437" i="19"/>
  <c r="P436" i="19"/>
  <c r="O436" i="19"/>
  <c r="N436" i="19"/>
  <c r="P435" i="19"/>
  <c r="O435" i="19"/>
  <c r="N435" i="19"/>
  <c r="P434" i="19"/>
  <c r="O434" i="19"/>
  <c r="N434" i="19"/>
  <c r="P433" i="19"/>
  <c r="O433" i="19"/>
  <c r="N433" i="19"/>
  <c r="P432" i="19"/>
  <c r="O432" i="19"/>
  <c r="N432" i="19"/>
  <c r="P431" i="19"/>
  <c r="O431" i="19"/>
  <c r="N431" i="19"/>
  <c r="P430" i="19"/>
  <c r="O430" i="19"/>
  <c r="N430" i="19"/>
  <c r="P429" i="19"/>
  <c r="O429" i="19"/>
  <c r="N429" i="19"/>
  <c r="P428" i="19"/>
  <c r="O428" i="19"/>
  <c r="N428" i="19"/>
  <c r="P427" i="19"/>
  <c r="O427" i="19"/>
  <c r="N427" i="19"/>
  <c r="P426" i="19"/>
  <c r="O426" i="19"/>
  <c r="N426" i="19"/>
  <c r="P425" i="19"/>
  <c r="O425" i="19"/>
  <c r="N425" i="19"/>
  <c r="P424" i="19"/>
  <c r="O424" i="19"/>
  <c r="N424" i="19"/>
  <c r="P423" i="19"/>
  <c r="O423" i="19"/>
  <c r="N423" i="19"/>
  <c r="P422" i="19"/>
  <c r="O422" i="19"/>
  <c r="N422" i="19"/>
  <c r="P421" i="19"/>
  <c r="O421" i="19"/>
  <c r="N421" i="19"/>
  <c r="P420" i="19"/>
  <c r="O420" i="19"/>
  <c r="N420" i="19"/>
  <c r="P419" i="19"/>
  <c r="O419" i="19"/>
  <c r="N419" i="19"/>
  <c r="P418" i="19"/>
  <c r="O418" i="19"/>
  <c r="N418" i="19"/>
  <c r="P417" i="19"/>
  <c r="O417" i="19"/>
  <c r="N417" i="19"/>
  <c r="P416" i="19"/>
  <c r="O416" i="19"/>
  <c r="N416" i="19"/>
  <c r="P415" i="19"/>
  <c r="O415" i="19"/>
  <c r="N415" i="19"/>
  <c r="P414" i="19"/>
  <c r="O414" i="19"/>
  <c r="N414" i="19"/>
  <c r="P413" i="19"/>
  <c r="O413" i="19"/>
  <c r="N413" i="19"/>
  <c r="P412" i="19"/>
  <c r="O412" i="19"/>
  <c r="N412" i="19"/>
  <c r="P411" i="19"/>
  <c r="O411" i="19"/>
  <c r="N411" i="19"/>
  <c r="P410" i="19"/>
  <c r="O410" i="19"/>
  <c r="N410" i="19"/>
  <c r="P409" i="19"/>
  <c r="O409" i="19"/>
  <c r="N409" i="19"/>
  <c r="P408" i="19"/>
  <c r="O408" i="19"/>
  <c r="N408" i="19"/>
  <c r="P407" i="19"/>
  <c r="O407" i="19"/>
  <c r="N407" i="19"/>
  <c r="P406" i="19"/>
  <c r="O406" i="19"/>
  <c r="N406" i="19"/>
  <c r="P405" i="19"/>
  <c r="O405" i="19"/>
  <c r="N405" i="19"/>
  <c r="P404" i="19"/>
  <c r="O404" i="19"/>
  <c r="N404" i="19"/>
  <c r="P403" i="19"/>
  <c r="O403" i="19"/>
  <c r="N403" i="19"/>
  <c r="P402" i="19"/>
  <c r="O402" i="19"/>
  <c r="N402" i="19"/>
  <c r="P401" i="19"/>
  <c r="O401" i="19"/>
  <c r="N401" i="19"/>
  <c r="P400" i="19"/>
  <c r="O400" i="19"/>
  <c r="N400" i="19"/>
  <c r="P399" i="19"/>
  <c r="O399" i="19"/>
  <c r="N399" i="19"/>
  <c r="P398" i="19"/>
  <c r="O398" i="19"/>
  <c r="N398" i="19"/>
  <c r="P397" i="19"/>
  <c r="O397" i="19"/>
  <c r="N397" i="19"/>
  <c r="P396" i="19"/>
  <c r="O396" i="19"/>
  <c r="N396" i="19"/>
  <c r="P395" i="19"/>
  <c r="O395" i="19"/>
  <c r="N395" i="19"/>
  <c r="P394" i="19"/>
  <c r="O394" i="19"/>
  <c r="N394" i="19"/>
  <c r="P393" i="19"/>
  <c r="O393" i="19"/>
  <c r="N393" i="19"/>
  <c r="P392" i="19"/>
  <c r="O392" i="19"/>
  <c r="N392" i="19"/>
  <c r="P391" i="19"/>
  <c r="O391" i="19"/>
  <c r="N391" i="19"/>
  <c r="P390" i="19"/>
  <c r="O390" i="19"/>
  <c r="N390" i="19"/>
  <c r="P389" i="19"/>
  <c r="O389" i="19"/>
  <c r="N389" i="19"/>
  <c r="P388" i="19"/>
  <c r="O388" i="19"/>
  <c r="N388" i="19"/>
  <c r="P387" i="19"/>
  <c r="O387" i="19"/>
  <c r="N387" i="19"/>
  <c r="P386" i="19"/>
  <c r="O386" i="19"/>
  <c r="N386" i="19"/>
  <c r="P385" i="19"/>
  <c r="O385" i="19"/>
  <c r="N385" i="19"/>
  <c r="P384" i="19"/>
  <c r="O384" i="19"/>
  <c r="N384" i="19"/>
  <c r="P383" i="19"/>
  <c r="O383" i="19"/>
  <c r="N383" i="19"/>
  <c r="P382" i="19"/>
  <c r="O382" i="19"/>
  <c r="N382" i="19"/>
  <c r="P381" i="19"/>
  <c r="O381" i="19"/>
  <c r="N381" i="19"/>
  <c r="P380" i="19"/>
  <c r="O380" i="19"/>
  <c r="N380" i="19"/>
  <c r="P379" i="19"/>
  <c r="O379" i="19"/>
  <c r="N379" i="19"/>
  <c r="P378" i="19"/>
  <c r="O378" i="19"/>
  <c r="N378" i="19"/>
  <c r="P377" i="19"/>
  <c r="O377" i="19"/>
  <c r="N377" i="19"/>
  <c r="P376" i="19"/>
  <c r="O376" i="19"/>
  <c r="N376" i="19"/>
  <c r="P375" i="19"/>
  <c r="O375" i="19"/>
  <c r="N375" i="19"/>
  <c r="P374" i="19"/>
  <c r="O374" i="19"/>
  <c r="N374" i="19"/>
  <c r="P373" i="19"/>
  <c r="O373" i="19"/>
  <c r="N373" i="19"/>
  <c r="P372" i="19"/>
  <c r="O372" i="19"/>
  <c r="N372" i="19"/>
  <c r="P371" i="19"/>
  <c r="O371" i="19"/>
  <c r="N371" i="19"/>
  <c r="P370" i="19"/>
  <c r="O370" i="19"/>
  <c r="N370" i="19"/>
  <c r="P369" i="19"/>
  <c r="O369" i="19"/>
  <c r="N369" i="19"/>
  <c r="P368" i="19"/>
  <c r="O368" i="19"/>
  <c r="N368" i="19"/>
  <c r="P367" i="19"/>
  <c r="O367" i="19"/>
  <c r="N367" i="19"/>
  <c r="P366" i="19"/>
  <c r="O366" i="19"/>
  <c r="N366" i="19"/>
  <c r="P365" i="19"/>
  <c r="O365" i="19"/>
  <c r="N365" i="19"/>
  <c r="P364" i="19"/>
  <c r="O364" i="19"/>
  <c r="N364" i="19"/>
  <c r="P363" i="19"/>
  <c r="O363" i="19"/>
  <c r="N363" i="19"/>
  <c r="P362" i="19"/>
  <c r="O362" i="19"/>
  <c r="N362" i="19"/>
  <c r="P361" i="19"/>
  <c r="O361" i="19"/>
  <c r="N361" i="19"/>
  <c r="P360" i="19"/>
  <c r="O360" i="19"/>
  <c r="N360" i="19"/>
  <c r="P359" i="19"/>
  <c r="O359" i="19"/>
  <c r="N359" i="19"/>
  <c r="P358" i="19"/>
  <c r="O358" i="19"/>
  <c r="N358" i="19"/>
  <c r="P357" i="19"/>
  <c r="O357" i="19"/>
  <c r="N357" i="19"/>
  <c r="P356" i="19"/>
  <c r="O356" i="19"/>
  <c r="N356" i="19"/>
  <c r="P355" i="19"/>
  <c r="O355" i="19"/>
  <c r="N355" i="19"/>
  <c r="P354" i="19"/>
  <c r="O354" i="19"/>
  <c r="N354" i="19"/>
  <c r="P353" i="19"/>
  <c r="O353" i="19"/>
  <c r="N353" i="19"/>
  <c r="P352" i="19"/>
  <c r="O352" i="19"/>
  <c r="N352" i="19"/>
  <c r="P351" i="19"/>
  <c r="O351" i="19"/>
  <c r="N351" i="19"/>
  <c r="P350" i="19"/>
  <c r="O350" i="19"/>
  <c r="N350" i="19"/>
  <c r="P349" i="19"/>
  <c r="O349" i="19"/>
  <c r="N349" i="19"/>
  <c r="P348" i="19"/>
  <c r="O348" i="19"/>
  <c r="N348" i="19"/>
  <c r="P347" i="19"/>
  <c r="O347" i="19"/>
  <c r="N347" i="19"/>
  <c r="P346" i="19"/>
  <c r="O346" i="19"/>
  <c r="N346" i="19"/>
  <c r="P345" i="19"/>
  <c r="O345" i="19"/>
  <c r="N345" i="19"/>
  <c r="P344" i="19"/>
  <c r="O344" i="19"/>
  <c r="N344" i="19"/>
  <c r="P343" i="19"/>
  <c r="O343" i="19"/>
  <c r="N343" i="19"/>
  <c r="P342" i="19"/>
  <c r="O342" i="19"/>
  <c r="N342" i="19"/>
  <c r="P341" i="19"/>
  <c r="O341" i="19"/>
  <c r="N341" i="19"/>
  <c r="P340" i="19"/>
  <c r="O340" i="19"/>
  <c r="N340" i="19"/>
  <c r="P339" i="19"/>
  <c r="O339" i="19"/>
  <c r="N339" i="19"/>
  <c r="P338" i="19"/>
  <c r="O338" i="19"/>
  <c r="N338" i="19"/>
  <c r="P337" i="19"/>
  <c r="O337" i="19"/>
  <c r="N337" i="19"/>
  <c r="P336" i="19"/>
  <c r="O336" i="19"/>
  <c r="N336" i="19"/>
  <c r="P335" i="19"/>
  <c r="O335" i="19"/>
  <c r="N335" i="19"/>
  <c r="P334" i="19"/>
  <c r="O334" i="19"/>
  <c r="N334" i="19"/>
  <c r="P333" i="19"/>
  <c r="O333" i="19"/>
  <c r="N333" i="19"/>
  <c r="P332" i="19"/>
  <c r="O332" i="19"/>
  <c r="N332" i="19"/>
  <c r="P331" i="19"/>
  <c r="O331" i="19"/>
  <c r="N331" i="19"/>
  <c r="P330" i="19"/>
  <c r="O330" i="19"/>
  <c r="N330" i="19"/>
  <c r="P329" i="19"/>
  <c r="O329" i="19"/>
  <c r="N329" i="19"/>
  <c r="P328" i="19"/>
  <c r="O328" i="19"/>
  <c r="N328" i="19"/>
  <c r="P327" i="19"/>
  <c r="O327" i="19"/>
  <c r="N327" i="19"/>
  <c r="P326" i="19"/>
  <c r="O326" i="19"/>
  <c r="N326" i="19"/>
  <c r="P325" i="19"/>
  <c r="O325" i="19"/>
  <c r="N325" i="19"/>
  <c r="P324" i="19"/>
  <c r="O324" i="19"/>
  <c r="N324" i="19"/>
  <c r="P323" i="19"/>
  <c r="O323" i="19"/>
  <c r="N323" i="19"/>
  <c r="P322" i="19"/>
  <c r="O322" i="19"/>
  <c r="N322" i="19"/>
  <c r="P321" i="19"/>
  <c r="O321" i="19"/>
  <c r="N321" i="19"/>
  <c r="P320" i="19"/>
  <c r="O320" i="19"/>
  <c r="N320" i="19"/>
  <c r="P319" i="19"/>
  <c r="O319" i="19"/>
  <c r="N319" i="19"/>
  <c r="P318" i="19"/>
  <c r="O318" i="19"/>
  <c r="N318" i="19"/>
  <c r="P317" i="19"/>
  <c r="O317" i="19"/>
  <c r="N317" i="19"/>
  <c r="P316" i="19"/>
  <c r="O316" i="19"/>
  <c r="N316" i="19"/>
  <c r="P315" i="19"/>
  <c r="O315" i="19"/>
  <c r="N315" i="19"/>
  <c r="P314" i="19"/>
  <c r="O314" i="19"/>
  <c r="N314" i="19"/>
  <c r="P313" i="19"/>
  <c r="O313" i="19"/>
  <c r="N313" i="19"/>
  <c r="P312" i="19"/>
  <c r="O312" i="19"/>
  <c r="N312" i="19"/>
  <c r="P311" i="19"/>
  <c r="O311" i="19"/>
  <c r="N311" i="19"/>
  <c r="P310" i="19"/>
  <c r="O310" i="19"/>
  <c r="N310" i="19"/>
  <c r="P309" i="19"/>
  <c r="O309" i="19"/>
  <c r="N309" i="19"/>
  <c r="P308" i="19"/>
  <c r="O308" i="19"/>
  <c r="N308" i="19"/>
  <c r="P307" i="19"/>
  <c r="O307" i="19"/>
  <c r="N307" i="19"/>
  <c r="P306" i="19"/>
  <c r="O306" i="19"/>
  <c r="N306" i="19"/>
  <c r="P305" i="19"/>
  <c r="O305" i="19"/>
  <c r="N305" i="19"/>
  <c r="P304" i="19"/>
  <c r="O304" i="19"/>
  <c r="N304" i="19"/>
  <c r="P303" i="19"/>
  <c r="O303" i="19"/>
  <c r="N303" i="19"/>
  <c r="P302" i="19"/>
  <c r="O302" i="19"/>
  <c r="N302" i="19"/>
  <c r="P301" i="19"/>
  <c r="O301" i="19"/>
  <c r="N301" i="19"/>
  <c r="P300" i="19"/>
  <c r="O300" i="19"/>
  <c r="N300" i="19"/>
  <c r="P299" i="19"/>
  <c r="O299" i="19"/>
  <c r="N299" i="19"/>
  <c r="P298" i="19"/>
  <c r="O298" i="19"/>
  <c r="N298" i="19"/>
  <c r="P297" i="19"/>
  <c r="O297" i="19"/>
  <c r="N297" i="19"/>
  <c r="P296" i="19"/>
  <c r="O296" i="19"/>
  <c r="N296" i="19"/>
  <c r="P295" i="19"/>
  <c r="O295" i="19"/>
  <c r="N295" i="19"/>
  <c r="P294" i="19"/>
  <c r="O294" i="19"/>
  <c r="N294" i="19"/>
  <c r="P293" i="19"/>
  <c r="O293" i="19"/>
  <c r="N293" i="19"/>
  <c r="P292" i="19"/>
  <c r="O292" i="19"/>
  <c r="N292" i="19"/>
  <c r="P291" i="19"/>
  <c r="O291" i="19"/>
  <c r="N291" i="19"/>
  <c r="P290" i="19"/>
  <c r="O290" i="19"/>
  <c r="N290" i="19"/>
  <c r="P289" i="19"/>
  <c r="O289" i="19"/>
  <c r="N289" i="19"/>
  <c r="P288" i="19"/>
  <c r="O288" i="19"/>
  <c r="N288" i="19"/>
  <c r="P287" i="19"/>
  <c r="O287" i="19"/>
  <c r="N287" i="19"/>
  <c r="P286" i="19"/>
  <c r="O286" i="19"/>
  <c r="N286" i="19"/>
  <c r="P285" i="19"/>
  <c r="O285" i="19"/>
  <c r="N285" i="19"/>
  <c r="P284" i="19"/>
  <c r="O284" i="19"/>
  <c r="N284" i="19"/>
  <c r="P283" i="19"/>
  <c r="O283" i="19"/>
  <c r="N283" i="19"/>
  <c r="P282" i="19"/>
  <c r="O282" i="19"/>
  <c r="N282" i="19"/>
  <c r="P281" i="19"/>
  <c r="O281" i="19"/>
  <c r="N281" i="19"/>
  <c r="P280" i="19"/>
  <c r="O280" i="19"/>
  <c r="N280" i="19"/>
  <c r="P279" i="19"/>
  <c r="O279" i="19"/>
  <c r="N279" i="19"/>
  <c r="P278" i="19"/>
  <c r="O278" i="19"/>
  <c r="N278" i="19"/>
  <c r="P277" i="19"/>
  <c r="O277" i="19"/>
  <c r="N277" i="19"/>
  <c r="P276" i="19"/>
  <c r="O276" i="19"/>
  <c r="N276" i="19"/>
  <c r="P275" i="19"/>
  <c r="O275" i="19"/>
  <c r="N275" i="19"/>
  <c r="P274" i="19"/>
  <c r="O274" i="19"/>
  <c r="N274" i="19"/>
  <c r="P273" i="19"/>
  <c r="O273" i="19"/>
  <c r="N273" i="19"/>
  <c r="P272" i="19"/>
  <c r="O272" i="19"/>
  <c r="N272" i="19"/>
  <c r="P271" i="19"/>
  <c r="O271" i="19"/>
  <c r="N271" i="19"/>
  <c r="P270" i="19"/>
  <c r="O270" i="19"/>
  <c r="N270" i="19"/>
  <c r="P269" i="19"/>
  <c r="O269" i="19"/>
  <c r="N269" i="19"/>
  <c r="P268" i="19"/>
  <c r="O268" i="19"/>
  <c r="N268" i="19"/>
  <c r="P267" i="19"/>
  <c r="O267" i="19"/>
  <c r="N267" i="19"/>
  <c r="P266" i="19"/>
  <c r="O266" i="19"/>
  <c r="N266" i="19"/>
  <c r="P265" i="19"/>
  <c r="O265" i="19"/>
  <c r="N265" i="19"/>
  <c r="P264" i="19"/>
  <c r="O264" i="19"/>
  <c r="N264" i="19"/>
  <c r="P263" i="19"/>
  <c r="O263" i="19"/>
  <c r="N263" i="19"/>
  <c r="P262" i="19"/>
  <c r="O262" i="19"/>
  <c r="N262" i="19"/>
  <c r="P261" i="19"/>
  <c r="O261" i="19"/>
  <c r="N261" i="19"/>
  <c r="P260" i="19"/>
  <c r="O260" i="19"/>
  <c r="N260" i="19"/>
  <c r="P259" i="19"/>
  <c r="O259" i="19"/>
  <c r="N259" i="19"/>
  <c r="P258" i="19"/>
  <c r="O258" i="19"/>
  <c r="N258" i="19"/>
  <c r="P257" i="19"/>
  <c r="O257" i="19"/>
  <c r="N257" i="19"/>
  <c r="P256" i="19"/>
  <c r="O256" i="19"/>
  <c r="N256" i="19"/>
  <c r="P255" i="19"/>
  <c r="O255" i="19"/>
  <c r="N255" i="19"/>
  <c r="P254" i="19"/>
  <c r="O254" i="19"/>
  <c r="N254" i="19"/>
  <c r="P253" i="19"/>
  <c r="O253" i="19"/>
  <c r="N253" i="19"/>
  <c r="P252" i="19"/>
  <c r="O252" i="19"/>
  <c r="N252" i="19"/>
  <c r="P251" i="19"/>
  <c r="O251" i="19"/>
  <c r="N251" i="19"/>
  <c r="P250" i="19"/>
  <c r="O250" i="19"/>
  <c r="N250" i="19"/>
  <c r="P249" i="19"/>
  <c r="O249" i="19"/>
  <c r="N249" i="19"/>
  <c r="P248" i="19"/>
  <c r="O248" i="19"/>
  <c r="N248" i="19"/>
  <c r="P247" i="19"/>
  <c r="O247" i="19"/>
  <c r="N247" i="19"/>
  <c r="P246" i="19"/>
  <c r="O246" i="19"/>
  <c r="N246" i="19"/>
  <c r="P245" i="19"/>
  <c r="O245" i="19"/>
  <c r="N245" i="19"/>
  <c r="P244" i="19"/>
  <c r="O244" i="19"/>
  <c r="N244" i="19"/>
  <c r="P243" i="19"/>
  <c r="O243" i="19"/>
  <c r="N243" i="19"/>
  <c r="P242" i="19"/>
  <c r="O242" i="19"/>
  <c r="N242" i="19"/>
  <c r="P241" i="19"/>
  <c r="O241" i="19"/>
  <c r="N241" i="19"/>
  <c r="P240" i="19"/>
  <c r="O240" i="19"/>
  <c r="N240" i="19"/>
  <c r="P239" i="19"/>
  <c r="O239" i="19"/>
  <c r="N239" i="19"/>
  <c r="P238" i="19"/>
  <c r="O238" i="19"/>
  <c r="N238" i="19"/>
  <c r="P237" i="19"/>
  <c r="O237" i="19"/>
  <c r="N237" i="19"/>
  <c r="P236" i="19"/>
  <c r="O236" i="19"/>
  <c r="N236" i="19"/>
  <c r="P235" i="19"/>
  <c r="O235" i="19"/>
  <c r="N235" i="19"/>
  <c r="P234" i="19"/>
  <c r="O234" i="19"/>
  <c r="N234" i="19"/>
  <c r="P233" i="19"/>
  <c r="O233" i="19"/>
  <c r="N233" i="19"/>
  <c r="P232" i="19"/>
  <c r="O232" i="19"/>
  <c r="N232" i="19"/>
  <c r="P231" i="19"/>
  <c r="O231" i="19"/>
  <c r="N231" i="19"/>
  <c r="P230" i="19"/>
  <c r="O230" i="19"/>
  <c r="N230" i="19"/>
  <c r="P229" i="19"/>
  <c r="O229" i="19"/>
  <c r="N229" i="19"/>
  <c r="P228" i="19"/>
  <c r="O228" i="19"/>
  <c r="N228" i="19"/>
  <c r="P227" i="19"/>
  <c r="O227" i="19"/>
  <c r="N227" i="19"/>
  <c r="P226" i="19"/>
  <c r="O226" i="19"/>
  <c r="N226" i="19"/>
  <c r="P225" i="19"/>
  <c r="O225" i="19"/>
  <c r="N225" i="19"/>
  <c r="P224" i="19"/>
  <c r="O224" i="19"/>
  <c r="N224" i="19"/>
  <c r="P223" i="19"/>
  <c r="O223" i="19"/>
  <c r="N223" i="19"/>
  <c r="P222" i="19"/>
  <c r="O222" i="19"/>
  <c r="N222" i="19"/>
  <c r="P221" i="19"/>
  <c r="O221" i="19"/>
  <c r="N221" i="19"/>
  <c r="P220" i="19"/>
  <c r="O220" i="19"/>
  <c r="N220" i="19"/>
  <c r="P219" i="19"/>
  <c r="O219" i="19"/>
  <c r="N219" i="19"/>
  <c r="P218" i="19"/>
  <c r="O218" i="19"/>
  <c r="N218" i="19"/>
  <c r="P217" i="19"/>
  <c r="O217" i="19"/>
  <c r="N217" i="19"/>
  <c r="P216" i="19"/>
  <c r="O216" i="19"/>
  <c r="N216" i="19"/>
  <c r="P215" i="19"/>
  <c r="O215" i="19"/>
  <c r="N215" i="19"/>
  <c r="P214" i="19"/>
  <c r="O214" i="19"/>
  <c r="N214" i="19"/>
  <c r="P213" i="19"/>
  <c r="O213" i="19"/>
  <c r="N213" i="19"/>
  <c r="P212" i="19"/>
  <c r="O212" i="19"/>
  <c r="N212" i="19"/>
  <c r="P211" i="19"/>
  <c r="O211" i="19"/>
  <c r="N211" i="19"/>
  <c r="P210" i="19"/>
  <c r="O210" i="19"/>
  <c r="N210" i="19"/>
  <c r="P209" i="19"/>
  <c r="O209" i="19"/>
  <c r="N209" i="19"/>
  <c r="P208" i="19"/>
  <c r="O208" i="19"/>
  <c r="N208" i="19"/>
  <c r="P207" i="19"/>
  <c r="O207" i="19"/>
  <c r="N207" i="19"/>
  <c r="P206" i="19"/>
  <c r="O206" i="19"/>
  <c r="N206" i="19"/>
  <c r="P205" i="19"/>
  <c r="O205" i="19"/>
  <c r="N205" i="19"/>
  <c r="P204" i="19"/>
  <c r="O204" i="19"/>
  <c r="N204" i="19"/>
  <c r="P203" i="19"/>
  <c r="O203" i="19"/>
  <c r="N203" i="19"/>
  <c r="P202" i="19"/>
  <c r="O202" i="19"/>
  <c r="N202" i="19"/>
  <c r="P201" i="19"/>
  <c r="O201" i="19"/>
  <c r="N201" i="19"/>
  <c r="P200" i="19"/>
  <c r="O200" i="19"/>
  <c r="N200" i="19"/>
  <c r="P199" i="19"/>
  <c r="O199" i="19"/>
  <c r="N199" i="19"/>
  <c r="P198" i="19"/>
  <c r="O198" i="19"/>
  <c r="N198" i="19"/>
  <c r="P197" i="19"/>
  <c r="O197" i="19"/>
  <c r="N197" i="19"/>
  <c r="P196" i="19"/>
  <c r="O196" i="19"/>
  <c r="N196" i="19"/>
  <c r="P195" i="19"/>
  <c r="O195" i="19"/>
  <c r="N195" i="19"/>
  <c r="P194" i="19"/>
  <c r="O194" i="19"/>
  <c r="N194" i="19"/>
  <c r="P193" i="19"/>
  <c r="O193" i="19"/>
  <c r="N193" i="19"/>
  <c r="P192" i="19"/>
  <c r="O192" i="19"/>
  <c r="N192" i="19"/>
  <c r="P191" i="19"/>
  <c r="O191" i="19"/>
  <c r="N191" i="19"/>
  <c r="P190" i="19"/>
  <c r="O190" i="19"/>
  <c r="N190" i="19"/>
  <c r="P189" i="19"/>
  <c r="O189" i="19"/>
  <c r="N189" i="19"/>
  <c r="P188" i="19"/>
  <c r="O188" i="19"/>
  <c r="N188" i="19"/>
  <c r="P187" i="19"/>
  <c r="O187" i="19"/>
  <c r="N187" i="19"/>
  <c r="P186" i="19"/>
  <c r="O186" i="19"/>
  <c r="N186" i="19"/>
  <c r="P185" i="19"/>
  <c r="O185" i="19"/>
  <c r="N185" i="19"/>
  <c r="P184" i="19"/>
  <c r="O184" i="19"/>
  <c r="N184" i="19"/>
  <c r="P183" i="19"/>
  <c r="O183" i="19"/>
  <c r="N183" i="19"/>
  <c r="P182" i="19"/>
  <c r="O182" i="19"/>
  <c r="N182" i="19"/>
  <c r="P181" i="19"/>
  <c r="O181" i="19"/>
  <c r="N181" i="19"/>
  <c r="P180" i="19"/>
  <c r="O180" i="19"/>
  <c r="N180" i="19"/>
  <c r="P179" i="19"/>
  <c r="O179" i="19"/>
  <c r="N179" i="19"/>
  <c r="P178" i="19"/>
  <c r="O178" i="19"/>
  <c r="N178" i="19"/>
  <c r="P177" i="19"/>
  <c r="O177" i="19"/>
  <c r="N177" i="19"/>
  <c r="P176" i="19"/>
  <c r="O176" i="19"/>
  <c r="N176" i="19"/>
  <c r="P175" i="19"/>
  <c r="O175" i="19"/>
  <c r="N175" i="19"/>
  <c r="P174" i="19"/>
  <c r="O174" i="19"/>
  <c r="N174" i="19"/>
  <c r="P173" i="19"/>
  <c r="O173" i="19"/>
  <c r="N173" i="19"/>
  <c r="P172" i="19"/>
  <c r="O172" i="19"/>
  <c r="N172" i="19"/>
  <c r="P171" i="19"/>
  <c r="O171" i="19"/>
  <c r="N171" i="19"/>
  <c r="P170" i="19"/>
  <c r="O170" i="19"/>
  <c r="N170" i="19"/>
  <c r="P169" i="19"/>
  <c r="O169" i="19"/>
  <c r="N169" i="19"/>
  <c r="P168" i="19"/>
  <c r="O168" i="19"/>
  <c r="N168" i="19"/>
  <c r="P167" i="19"/>
  <c r="O167" i="19"/>
  <c r="N167" i="19"/>
  <c r="P166" i="19"/>
  <c r="O166" i="19"/>
  <c r="N166" i="19"/>
  <c r="P165" i="19"/>
  <c r="O165" i="19"/>
  <c r="N165" i="19"/>
  <c r="P164" i="19"/>
  <c r="O164" i="19"/>
  <c r="N164" i="19"/>
  <c r="P163" i="19"/>
  <c r="O163" i="19"/>
  <c r="N163" i="19"/>
  <c r="P162" i="19"/>
  <c r="O162" i="19"/>
  <c r="N162" i="19"/>
  <c r="P161" i="19"/>
  <c r="O161" i="19"/>
  <c r="N161" i="19"/>
  <c r="P160" i="19"/>
  <c r="O160" i="19"/>
  <c r="N160" i="19"/>
  <c r="P159" i="19"/>
  <c r="O159" i="19"/>
  <c r="N159" i="19"/>
  <c r="P158" i="19"/>
  <c r="O158" i="19"/>
  <c r="N158" i="19"/>
  <c r="P157" i="19"/>
  <c r="O157" i="19"/>
  <c r="N157" i="19"/>
  <c r="P156" i="19"/>
  <c r="O156" i="19"/>
  <c r="N156" i="19"/>
  <c r="P155" i="19"/>
  <c r="O155" i="19"/>
  <c r="N155" i="19"/>
  <c r="P154" i="19"/>
  <c r="O154" i="19"/>
  <c r="N154" i="19"/>
  <c r="P153" i="19"/>
  <c r="O153" i="19"/>
  <c r="N153" i="19"/>
  <c r="P152" i="19"/>
  <c r="O152" i="19"/>
  <c r="N152" i="19"/>
  <c r="P151" i="19"/>
  <c r="O151" i="19"/>
  <c r="N151" i="19"/>
  <c r="P150" i="19"/>
  <c r="O150" i="19"/>
  <c r="N150" i="19"/>
  <c r="P149" i="19"/>
  <c r="O149" i="19"/>
  <c r="N149" i="19"/>
  <c r="P148" i="19"/>
  <c r="O148" i="19"/>
  <c r="N148" i="19"/>
  <c r="P147" i="19"/>
  <c r="O147" i="19"/>
  <c r="N147" i="19"/>
  <c r="P146" i="19"/>
  <c r="O146" i="19"/>
  <c r="N146" i="19"/>
  <c r="P145" i="19"/>
  <c r="O145" i="19"/>
  <c r="N145" i="19"/>
  <c r="P144" i="19"/>
  <c r="O144" i="19"/>
  <c r="N144" i="19"/>
  <c r="P143" i="19"/>
  <c r="O143" i="19"/>
  <c r="N143" i="19"/>
  <c r="P142" i="19"/>
  <c r="O142" i="19"/>
  <c r="N142" i="19"/>
  <c r="P141" i="19"/>
  <c r="O141" i="19"/>
  <c r="N141" i="19"/>
  <c r="P140" i="19"/>
  <c r="O140" i="19"/>
  <c r="N140" i="19"/>
  <c r="P139" i="19"/>
  <c r="O139" i="19"/>
  <c r="N139" i="19"/>
  <c r="P138" i="19"/>
  <c r="O138" i="19"/>
  <c r="N138" i="19"/>
  <c r="P137" i="19"/>
  <c r="O137" i="19"/>
  <c r="N137" i="19"/>
  <c r="P136" i="19"/>
  <c r="O136" i="19"/>
  <c r="N136" i="19"/>
  <c r="P135" i="19"/>
  <c r="O135" i="19"/>
  <c r="N135" i="19"/>
  <c r="P134" i="19"/>
  <c r="O134" i="19"/>
  <c r="N134" i="19"/>
  <c r="P133" i="19"/>
  <c r="O133" i="19"/>
  <c r="N133" i="19"/>
  <c r="P132" i="19"/>
  <c r="O132" i="19"/>
  <c r="N132" i="19"/>
  <c r="P131" i="19"/>
  <c r="O131" i="19"/>
  <c r="N131" i="19"/>
  <c r="P130" i="19"/>
  <c r="O130" i="19"/>
  <c r="N130" i="19"/>
  <c r="P129" i="19"/>
  <c r="O129" i="19"/>
  <c r="N129" i="19"/>
  <c r="P128" i="19"/>
  <c r="O128" i="19"/>
  <c r="N128" i="19"/>
  <c r="P127" i="19"/>
  <c r="O127" i="19"/>
  <c r="N127" i="19"/>
  <c r="P126" i="19"/>
  <c r="O126" i="19"/>
  <c r="N126" i="19"/>
  <c r="P125" i="19"/>
  <c r="O125" i="19"/>
  <c r="N125" i="19"/>
  <c r="P124" i="19"/>
  <c r="O124" i="19"/>
  <c r="N124" i="19"/>
  <c r="P123" i="19"/>
  <c r="O123" i="19"/>
  <c r="N123" i="19"/>
  <c r="P122" i="19"/>
  <c r="O122" i="19"/>
  <c r="N122" i="19"/>
  <c r="P121" i="19"/>
  <c r="O121" i="19"/>
  <c r="N121" i="19"/>
  <c r="P120" i="19"/>
  <c r="O120" i="19"/>
  <c r="N120" i="19"/>
  <c r="P119" i="19"/>
  <c r="O119" i="19"/>
  <c r="N119" i="19"/>
  <c r="P118" i="19"/>
  <c r="O118" i="19"/>
  <c r="N118" i="19"/>
  <c r="P117" i="19"/>
  <c r="O117" i="19"/>
  <c r="N117" i="19"/>
  <c r="P116" i="19"/>
  <c r="O116" i="19"/>
  <c r="N116" i="19"/>
  <c r="P115" i="19"/>
  <c r="O115" i="19"/>
  <c r="N115" i="19"/>
  <c r="P114" i="19"/>
  <c r="O114" i="19"/>
  <c r="N114" i="19"/>
  <c r="P113" i="19"/>
  <c r="O113" i="19"/>
  <c r="N113" i="19"/>
  <c r="P112" i="19"/>
  <c r="O112" i="19"/>
  <c r="N112" i="19"/>
  <c r="P111" i="19"/>
  <c r="O111" i="19"/>
  <c r="N111" i="19"/>
  <c r="P110" i="19"/>
  <c r="O110" i="19"/>
  <c r="N110" i="19"/>
  <c r="P109" i="19"/>
  <c r="O109" i="19"/>
  <c r="N109" i="19"/>
  <c r="P108" i="19"/>
  <c r="O108" i="19"/>
  <c r="N108" i="19"/>
  <c r="P107" i="19"/>
  <c r="O107" i="19"/>
  <c r="N107" i="19"/>
  <c r="P106" i="19"/>
  <c r="O106" i="19"/>
  <c r="N106" i="19"/>
  <c r="P105" i="19"/>
  <c r="O105" i="19"/>
  <c r="N105" i="19"/>
  <c r="P104" i="19"/>
  <c r="O104" i="19"/>
  <c r="N104" i="19"/>
  <c r="P103" i="19"/>
  <c r="O103" i="19"/>
  <c r="N103" i="19"/>
  <c r="P102" i="19"/>
  <c r="O102" i="19"/>
  <c r="N102" i="19"/>
  <c r="P101" i="19"/>
  <c r="O101" i="19"/>
  <c r="N101" i="19"/>
  <c r="P100" i="19"/>
  <c r="O100" i="19"/>
  <c r="N100" i="19"/>
  <c r="P99" i="19"/>
  <c r="O99" i="19"/>
  <c r="N99" i="19"/>
  <c r="P98" i="19"/>
  <c r="O98" i="19"/>
  <c r="N98" i="19"/>
  <c r="P97" i="19"/>
  <c r="O97" i="19"/>
  <c r="N97" i="19"/>
  <c r="P96" i="19"/>
  <c r="O96" i="19"/>
  <c r="N96" i="19"/>
  <c r="P95" i="19"/>
  <c r="O95" i="19"/>
  <c r="N95" i="19"/>
  <c r="P94" i="19"/>
  <c r="O94" i="19"/>
  <c r="N94" i="19"/>
  <c r="P93" i="19"/>
  <c r="O93" i="19"/>
  <c r="N93" i="19"/>
  <c r="P92" i="19"/>
  <c r="O92" i="19"/>
  <c r="N92" i="19"/>
  <c r="P91" i="19"/>
  <c r="O91" i="19"/>
  <c r="N91" i="19"/>
  <c r="P90" i="19"/>
  <c r="O90" i="19"/>
  <c r="N90" i="19"/>
  <c r="P89" i="19"/>
  <c r="O89" i="19"/>
  <c r="N89" i="19"/>
  <c r="P88" i="19"/>
  <c r="O88" i="19"/>
  <c r="N88" i="19"/>
  <c r="P87" i="19"/>
  <c r="O87" i="19"/>
  <c r="N87" i="19"/>
  <c r="P86" i="19"/>
  <c r="O86" i="19"/>
  <c r="N86" i="19"/>
  <c r="P85" i="19"/>
  <c r="O85" i="19"/>
  <c r="N85" i="19"/>
  <c r="P84" i="19"/>
  <c r="O84" i="19"/>
  <c r="N84" i="19"/>
  <c r="P83" i="19"/>
  <c r="O83" i="19"/>
  <c r="N83" i="19"/>
  <c r="P82" i="19"/>
  <c r="O82" i="19"/>
  <c r="N82" i="19"/>
  <c r="P81" i="19"/>
  <c r="O81" i="19"/>
  <c r="N81" i="19"/>
  <c r="P80" i="19"/>
  <c r="O80" i="19"/>
  <c r="N80" i="19"/>
  <c r="P79" i="19"/>
  <c r="O79" i="19"/>
  <c r="N79" i="19"/>
  <c r="P78" i="19"/>
  <c r="O78" i="19"/>
  <c r="N78" i="19"/>
  <c r="P77" i="19"/>
  <c r="O77" i="19"/>
  <c r="N77" i="19"/>
  <c r="P76" i="19"/>
  <c r="O76" i="19"/>
  <c r="N76" i="19"/>
  <c r="P75" i="19"/>
  <c r="O75" i="19"/>
  <c r="N75" i="19"/>
  <c r="P74" i="19"/>
  <c r="O74" i="19"/>
  <c r="N74" i="19"/>
  <c r="P73" i="19"/>
  <c r="O73" i="19"/>
  <c r="N73" i="19"/>
  <c r="P72" i="19"/>
  <c r="O72" i="19"/>
  <c r="N72" i="19"/>
  <c r="P71" i="19"/>
  <c r="O71" i="19"/>
  <c r="N71" i="19"/>
  <c r="P70" i="19"/>
  <c r="O70" i="19"/>
  <c r="N70" i="19"/>
  <c r="P69" i="19"/>
  <c r="O69" i="19"/>
  <c r="N69" i="19"/>
  <c r="P68" i="19"/>
  <c r="O68" i="19"/>
  <c r="N68" i="19"/>
  <c r="P67" i="19"/>
  <c r="O67" i="19"/>
  <c r="N67" i="19"/>
  <c r="P66" i="19"/>
  <c r="O66" i="19"/>
  <c r="N66" i="19"/>
  <c r="P65" i="19"/>
  <c r="O65" i="19"/>
  <c r="N65" i="19"/>
  <c r="P64" i="19"/>
  <c r="O64" i="19"/>
  <c r="N64" i="19"/>
  <c r="P63" i="19"/>
  <c r="O63" i="19"/>
  <c r="N63" i="19"/>
  <c r="P62" i="19"/>
  <c r="O62" i="19"/>
  <c r="N62" i="19"/>
  <c r="P61" i="19"/>
  <c r="O61" i="19"/>
  <c r="N61" i="19"/>
  <c r="P60" i="19"/>
  <c r="O60" i="19"/>
  <c r="N60" i="19"/>
  <c r="P59" i="19"/>
  <c r="O59" i="19"/>
  <c r="N59" i="19"/>
  <c r="P58" i="19"/>
  <c r="O58" i="19"/>
  <c r="N58" i="19"/>
  <c r="P57" i="19"/>
  <c r="O57" i="19"/>
  <c r="N57" i="19"/>
  <c r="P56" i="19"/>
  <c r="O56" i="19"/>
  <c r="N56" i="19"/>
  <c r="P55" i="19"/>
  <c r="O55" i="19"/>
  <c r="N55" i="19"/>
  <c r="P54" i="19"/>
  <c r="O54" i="19"/>
  <c r="N54" i="19"/>
  <c r="P53" i="19"/>
  <c r="O53" i="19"/>
  <c r="N53" i="19"/>
  <c r="P52" i="19"/>
  <c r="O52" i="19"/>
  <c r="N52" i="19"/>
  <c r="P51" i="19"/>
  <c r="O51" i="19"/>
  <c r="N51" i="19"/>
  <c r="P50" i="19"/>
  <c r="O50" i="19"/>
  <c r="N50" i="19"/>
  <c r="P49" i="19"/>
  <c r="O49" i="19"/>
  <c r="N49" i="19"/>
  <c r="P48" i="19"/>
  <c r="O48" i="19"/>
  <c r="N48" i="19"/>
  <c r="P47" i="19"/>
  <c r="O47" i="19"/>
  <c r="N47" i="19"/>
  <c r="P46" i="19"/>
  <c r="O46" i="19"/>
  <c r="N46" i="19"/>
  <c r="P45" i="19"/>
  <c r="O45" i="19"/>
  <c r="N45" i="19"/>
  <c r="P44" i="19"/>
  <c r="O44" i="19"/>
  <c r="N44" i="19"/>
  <c r="P43" i="19"/>
  <c r="O43" i="19"/>
  <c r="N43" i="19"/>
  <c r="P42" i="19"/>
  <c r="O42" i="19"/>
  <c r="N42" i="19"/>
  <c r="P41" i="19"/>
  <c r="O41" i="19"/>
  <c r="N41" i="19"/>
  <c r="P40" i="19"/>
  <c r="O40" i="19"/>
  <c r="N40" i="19"/>
  <c r="P39" i="19"/>
  <c r="O39" i="19"/>
  <c r="N39" i="19"/>
  <c r="P38" i="19"/>
  <c r="O38" i="19"/>
  <c r="N38" i="19"/>
  <c r="P37" i="19"/>
  <c r="O37" i="19"/>
  <c r="N37" i="19"/>
  <c r="P36" i="19"/>
  <c r="O36" i="19"/>
  <c r="N36" i="19"/>
  <c r="P35" i="19"/>
  <c r="O35" i="19"/>
  <c r="N35" i="19"/>
  <c r="P34" i="19"/>
  <c r="O34" i="19"/>
  <c r="N34" i="19"/>
  <c r="P33" i="19"/>
  <c r="O33" i="19"/>
  <c r="N33" i="19"/>
  <c r="P32" i="19"/>
  <c r="O32" i="19"/>
  <c r="N32" i="19"/>
  <c r="P31" i="19"/>
  <c r="O31" i="19"/>
  <c r="N31" i="19"/>
  <c r="P30" i="19"/>
  <c r="O30" i="19"/>
  <c r="N30" i="19"/>
  <c r="P29" i="19"/>
  <c r="O29" i="19"/>
  <c r="N29" i="19"/>
  <c r="P28" i="19"/>
  <c r="O28" i="19"/>
  <c r="N28" i="19"/>
  <c r="P27" i="19"/>
  <c r="O27" i="19"/>
  <c r="N27" i="19"/>
  <c r="P26" i="19"/>
  <c r="O26" i="19"/>
  <c r="N26" i="19"/>
  <c r="P25" i="19"/>
  <c r="O25" i="19"/>
  <c r="N25" i="19"/>
  <c r="P24" i="19"/>
  <c r="O24" i="19"/>
  <c r="N24" i="19"/>
  <c r="P23" i="19"/>
  <c r="O23" i="19"/>
  <c r="N23" i="19"/>
  <c r="P22" i="19"/>
  <c r="O22" i="19"/>
  <c r="N22" i="19"/>
  <c r="P21" i="19"/>
  <c r="O21" i="19"/>
  <c r="N21" i="19"/>
  <c r="P20" i="19"/>
  <c r="O20" i="19"/>
  <c r="N20" i="19"/>
  <c r="P19" i="19"/>
  <c r="O19" i="19"/>
  <c r="N19" i="19"/>
  <c r="P18" i="19"/>
  <c r="O18" i="19"/>
  <c r="N18" i="19"/>
  <c r="P17" i="19"/>
  <c r="O17" i="19"/>
  <c r="N17" i="19"/>
  <c r="P16" i="19"/>
  <c r="O16" i="19"/>
  <c r="N16" i="19"/>
  <c r="P15" i="19"/>
  <c r="O15" i="19"/>
  <c r="N15" i="19"/>
  <c r="P14" i="19"/>
  <c r="O14" i="19"/>
  <c r="N14" i="19"/>
  <c r="P13" i="19"/>
  <c r="O13" i="19"/>
  <c r="N13" i="19"/>
  <c r="E1005" i="18"/>
  <c r="E1004" i="18"/>
  <c r="E1003" i="18"/>
  <c r="E1002" i="18"/>
  <c r="E1001" i="18"/>
  <c r="E1000" i="18"/>
  <c r="E999" i="18"/>
  <c r="E998" i="18"/>
  <c r="E997" i="18"/>
  <c r="E996" i="18"/>
  <c r="E995" i="18"/>
  <c r="E994" i="18"/>
  <c r="E993" i="18"/>
  <c r="E992" i="18"/>
  <c r="E991" i="18"/>
  <c r="E990" i="18"/>
  <c r="E989" i="18"/>
  <c r="E988" i="18"/>
  <c r="E987" i="18"/>
  <c r="E986" i="18"/>
  <c r="E985" i="18"/>
  <c r="E984" i="18"/>
  <c r="E983" i="18"/>
  <c r="E982" i="18"/>
  <c r="E981" i="18"/>
  <c r="E980" i="18"/>
  <c r="E979" i="18"/>
  <c r="E978" i="18"/>
  <c r="E977" i="18"/>
  <c r="E976" i="18"/>
  <c r="E975" i="18"/>
  <c r="E974" i="18"/>
  <c r="E973" i="18"/>
  <c r="E972" i="18"/>
  <c r="E971" i="18"/>
  <c r="E970" i="18"/>
  <c r="E969" i="18"/>
  <c r="E968" i="18"/>
  <c r="E967" i="18"/>
  <c r="E966" i="18"/>
  <c r="E965" i="18"/>
  <c r="E964" i="18"/>
  <c r="E963" i="18"/>
  <c r="E962" i="18"/>
  <c r="E961" i="18"/>
  <c r="E960" i="18"/>
  <c r="E959" i="18"/>
  <c r="E958" i="18"/>
  <c r="E957" i="18"/>
  <c r="E956" i="18"/>
  <c r="E955" i="18"/>
  <c r="E954" i="18"/>
  <c r="E953" i="18"/>
  <c r="E952" i="18"/>
  <c r="E951" i="18"/>
  <c r="E950" i="18"/>
  <c r="E949" i="18"/>
  <c r="E948" i="18"/>
  <c r="E947" i="18"/>
  <c r="E946" i="18"/>
  <c r="E945" i="18"/>
  <c r="E944" i="18"/>
  <c r="E943" i="18"/>
  <c r="E942" i="18"/>
  <c r="E941" i="18"/>
  <c r="E940" i="18"/>
  <c r="E939" i="18"/>
  <c r="E938" i="18"/>
  <c r="E937" i="18"/>
  <c r="E936" i="18"/>
  <c r="E935" i="18"/>
  <c r="E934" i="18"/>
  <c r="E933" i="18"/>
  <c r="E932" i="18"/>
  <c r="E931" i="18"/>
  <c r="E930" i="18"/>
  <c r="E929" i="18"/>
  <c r="E928" i="18"/>
  <c r="E927" i="18"/>
  <c r="E926" i="18"/>
  <c r="E925" i="18"/>
  <c r="E924" i="18"/>
  <c r="E923" i="18"/>
  <c r="E922" i="18"/>
  <c r="E921" i="18"/>
  <c r="E920" i="18"/>
  <c r="E919" i="18"/>
  <c r="E918" i="18"/>
  <c r="E917" i="18"/>
  <c r="E916" i="18"/>
  <c r="E915" i="18"/>
  <c r="E914" i="18"/>
  <c r="E913" i="18"/>
  <c r="E912" i="18"/>
  <c r="E911" i="18"/>
  <c r="E910" i="18"/>
  <c r="E909" i="18"/>
  <c r="E908" i="18"/>
  <c r="E907" i="18"/>
  <c r="E906" i="18"/>
  <c r="E905" i="18"/>
  <c r="E904" i="18"/>
  <c r="E903" i="18"/>
  <c r="E902" i="18"/>
  <c r="E901" i="18"/>
  <c r="E900" i="18"/>
  <c r="E899" i="18"/>
  <c r="E898" i="18"/>
  <c r="E897" i="18"/>
  <c r="E896" i="18"/>
  <c r="E895" i="18"/>
  <c r="E894" i="18"/>
  <c r="E893" i="18"/>
  <c r="E892" i="18"/>
  <c r="E891" i="18"/>
  <c r="E890" i="18"/>
  <c r="E889" i="18"/>
  <c r="E888" i="18"/>
  <c r="E887" i="18"/>
  <c r="E886" i="18"/>
  <c r="E885" i="18"/>
  <c r="E884" i="18"/>
  <c r="E883" i="18"/>
  <c r="E882" i="18"/>
  <c r="E881" i="18"/>
  <c r="E880" i="18"/>
  <c r="E879" i="18"/>
  <c r="E878" i="18"/>
  <c r="E877" i="18"/>
  <c r="E876" i="18"/>
  <c r="E875" i="18"/>
  <c r="E874" i="18"/>
  <c r="E873" i="18"/>
  <c r="E872" i="18"/>
  <c r="E871" i="18"/>
  <c r="E870" i="18"/>
  <c r="E869" i="18"/>
  <c r="E868" i="18"/>
  <c r="E867" i="18"/>
  <c r="E866" i="18"/>
  <c r="E865" i="18"/>
  <c r="E864" i="18"/>
  <c r="E863" i="18"/>
  <c r="E862" i="18"/>
  <c r="E861" i="18"/>
  <c r="E860" i="18"/>
  <c r="E859" i="18"/>
  <c r="E858" i="18"/>
  <c r="E857" i="18"/>
  <c r="E856" i="18"/>
  <c r="E855" i="18"/>
  <c r="E854" i="18"/>
  <c r="E853" i="18"/>
  <c r="E852" i="18"/>
  <c r="E851" i="18"/>
  <c r="E850" i="18"/>
  <c r="E849" i="18"/>
  <c r="E848" i="18"/>
  <c r="E847" i="18"/>
  <c r="E846" i="18"/>
  <c r="E845" i="18"/>
  <c r="E844" i="18"/>
  <c r="E843" i="18"/>
  <c r="E842" i="18"/>
  <c r="E841" i="18"/>
  <c r="E840" i="18"/>
  <c r="E839" i="18"/>
  <c r="E838" i="18"/>
  <c r="E837" i="18"/>
  <c r="E836" i="18"/>
  <c r="E835" i="18"/>
  <c r="E834" i="18"/>
  <c r="E833" i="18"/>
  <c r="E832" i="18"/>
  <c r="E831" i="18"/>
  <c r="E830" i="18"/>
  <c r="E829" i="18"/>
  <c r="E828" i="18"/>
  <c r="E827" i="18"/>
  <c r="E826" i="18"/>
  <c r="E825" i="18"/>
  <c r="E824" i="18"/>
  <c r="E823" i="18"/>
  <c r="E822" i="18"/>
  <c r="E821" i="18"/>
  <c r="E820" i="18"/>
  <c r="E819" i="18"/>
  <c r="E818" i="18"/>
  <c r="E817" i="18"/>
  <c r="E816" i="18"/>
  <c r="E815" i="18"/>
  <c r="E814" i="18"/>
  <c r="E813" i="18"/>
  <c r="E812" i="18"/>
  <c r="E811" i="18"/>
  <c r="E810" i="18"/>
  <c r="E809" i="18"/>
  <c r="E808" i="18"/>
  <c r="E807" i="18"/>
  <c r="E806" i="18"/>
  <c r="E805" i="18"/>
  <c r="E804" i="18"/>
  <c r="E803" i="18"/>
  <c r="E802" i="18"/>
  <c r="E801" i="18"/>
  <c r="E800" i="18"/>
  <c r="E799" i="18"/>
  <c r="E798" i="18"/>
  <c r="E797" i="18"/>
  <c r="E796" i="18"/>
  <c r="E795" i="18"/>
  <c r="E794" i="18"/>
  <c r="E793" i="18"/>
  <c r="E792" i="18"/>
  <c r="E791" i="18"/>
  <c r="E790" i="18"/>
  <c r="E789" i="18"/>
  <c r="E788" i="18"/>
  <c r="E787" i="18"/>
  <c r="E786" i="18"/>
  <c r="E785" i="18"/>
  <c r="E784" i="18"/>
  <c r="E783" i="18"/>
  <c r="E782" i="18"/>
  <c r="E781" i="18"/>
  <c r="E780" i="18"/>
  <c r="E779" i="18"/>
  <c r="E778" i="18"/>
  <c r="E777" i="18"/>
  <c r="E776" i="18"/>
  <c r="E775" i="18"/>
  <c r="E774" i="18"/>
  <c r="E773" i="18"/>
  <c r="E772" i="18"/>
  <c r="E771" i="18"/>
  <c r="E770" i="18"/>
  <c r="E769" i="18"/>
  <c r="E768" i="18"/>
  <c r="E767" i="18"/>
  <c r="E766" i="18"/>
  <c r="E765" i="18"/>
  <c r="E764" i="18"/>
  <c r="E763" i="18"/>
  <c r="E762" i="18"/>
  <c r="E761" i="18"/>
  <c r="E760" i="18"/>
  <c r="E759" i="18"/>
  <c r="E758" i="18"/>
  <c r="E757" i="18"/>
  <c r="E756" i="18"/>
  <c r="E755" i="18"/>
  <c r="E754" i="18"/>
  <c r="E753" i="18"/>
  <c r="E752" i="18"/>
  <c r="E751" i="18"/>
  <c r="E750" i="18"/>
  <c r="E749" i="18"/>
  <c r="E748" i="18"/>
  <c r="E747" i="18"/>
  <c r="E746" i="18"/>
  <c r="E745" i="18"/>
  <c r="E744" i="18"/>
  <c r="E743" i="18"/>
  <c r="E742" i="18"/>
  <c r="E741" i="18"/>
  <c r="E740" i="18"/>
  <c r="E739" i="18"/>
  <c r="E738" i="18"/>
  <c r="E737" i="18"/>
  <c r="E736" i="18"/>
  <c r="E735" i="18"/>
  <c r="E734" i="18"/>
  <c r="E733" i="18"/>
  <c r="E732" i="18"/>
  <c r="E731" i="18"/>
  <c r="E730" i="18"/>
  <c r="E729" i="18"/>
  <c r="E728" i="18"/>
  <c r="E727" i="18"/>
  <c r="E726" i="18"/>
  <c r="E725" i="18"/>
  <c r="E724" i="18"/>
  <c r="E723" i="18"/>
  <c r="E722" i="18"/>
  <c r="E721" i="18"/>
  <c r="E720" i="18"/>
  <c r="E719" i="18"/>
  <c r="E718" i="18"/>
  <c r="E717" i="18"/>
  <c r="E716" i="18"/>
  <c r="E715" i="18"/>
  <c r="E714" i="18"/>
  <c r="E713" i="18"/>
  <c r="E712" i="18"/>
  <c r="E711" i="18"/>
  <c r="E710" i="18"/>
  <c r="E709" i="18"/>
  <c r="E708" i="18"/>
  <c r="E707" i="18"/>
  <c r="E706" i="18"/>
  <c r="E705" i="18"/>
  <c r="E704" i="18"/>
  <c r="E703" i="18"/>
  <c r="E702" i="18"/>
  <c r="E701" i="18"/>
  <c r="E700" i="18"/>
  <c r="E699" i="18"/>
  <c r="E698" i="18"/>
  <c r="E697" i="18"/>
  <c r="E696" i="18"/>
  <c r="E695" i="18"/>
  <c r="E694" i="18"/>
  <c r="E693" i="18"/>
  <c r="E692" i="18"/>
  <c r="E691" i="18"/>
  <c r="E690" i="18"/>
  <c r="E689" i="18"/>
  <c r="E688" i="18"/>
  <c r="E687" i="18"/>
  <c r="E686" i="18"/>
  <c r="E685" i="18"/>
  <c r="E684" i="18"/>
  <c r="E683" i="18"/>
  <c r="E682" i="18"/>
  <c r="E681" i="18"/>
  <c r="E680" i="18"/>
  <c r="E679" i="18"/>
  <c r="E678" i="18"/>
  <c r="E677" i="18"/>
  <c r="E676" i="18"/>
  <c r="E675" i="18"/>
  <c r="E674" i="18"/>
  <c r="E673" i="18"/>
  <c r="E672" i="18"/>
  <c r="E671" i="18"/>
  <c r="E670" i="18"/>
  <c r="E669" i="18"/>
  <c r="E668" i="18"/>
  <c r="E667" i="18"/>
  <c r="E666" i="18"/>
  <c r="E665" i="18"/>
  <c r="E664" i="18"/>
  <c r="E663" i="18"/>
  <c r="E662" i="18"/>
  <c r="E661" i="18"/>
  <c r="E660" i="18"/>
  <c r="E659" i="18"/>
  <c r="E658" i="18"/>
  <c r="E657" i="18"/>
  <c r="E656" i="18"/>
  <c r="E655" i="18"/>
  <c r="E654" i="18"/>
  <c r="E653" i="18"/>
  <c r="E652" i="18"/>
  <c r="E651" i="18"/>
  <c r="E650" i="18"/>
  <c r="E649" i="18"/>
  <c r="E648" i="18"/>
  <c r="E647" i="18"/>
  <c r="E646" i="18"/>
  <c r="E645" i="18"/>
  <c r="E644" i="18"/>
  <c r="E643" i="18"/>
  <c r="E642" i="18"/>
  <c r="E641" i="18"/>
  <c r="E640" i="18"/>
  <c r="E639" i="18"/>
  <c r="E638" i="18"/>
  <c r="E637" i="18"/>
  <c r="E636" i="18"/>
  <c r="E635" i="18"/>
  <c r="E634" i="18"/>
  <c r="E633" i="18"/>
  <c r="E632" i="18"/>
  <c r="E631" i="18"/>
  <c r="E630" i="18"/>
  <c r="E629" i="18"/>
  <c r="E628" i="18"/>
  <c r="E627" i="18"/>
  <c r="E626" i="18"/>
  <c r="E625" i="18"/>
  <c r="E624" i="18"/>
  <c r="E623" i="18"/>
  <c r="E622" i="18"/>
  <c r="E621" i="18"/>
  <c r="E620" i="18"/>
  <c r="E619" i="18"/>
  <c r="E618" i="18"/>
  <c r="E617" i="18"/>
  <c r="E616" i="18"/>
  <c r="E615" i="18"/>
  <c r="E614" i="18"/>
  <c r="E613" i="18"/>
  <c r="E612" i="18"/>
  <c r="E611" i="18"/>
  <c r="E610" i="18"/>
  <c r="E609" i="18"/>
  <c r="E608" i="18"/>
  <c r="E607" i="18"/>
  <c r="E606" i="18"/>
  <c r="E605" i="18"/>
  <c r="E604" i="18"/>
  <c r="E603" i="18"/>
  <c r="E602" i="18"/>
  <c r="E601" i="18"/>
  <c r="E600" i="18"/>
  <c r="E599" i="18"/>
  <c r="E598" i="18"/>
  <c r="E597" i="18"/>
  <c r="E596" i="18"/>
  <c r="E595" i="18"/>
  <c r="E594" i="18"/>
  <c r="E593" i="18"/>
  <c r="E592" i="18"/>
  <c r="E591" i="18"/>
  <c r="E590" i="18"/>
  <c r="E589" i="18"/>
  <c r="E588" i="18"/>
  <c r="E587" i="18"/>
  <c r="E586" i="18"/>
  <c r="E585" i="18"/>
  <c r="E584" i="18"/>
  <c r="E583" i="18"/>
  <c r="E582" i="18"/>
  <c r="E581" i="18"/>
  <c r="E580" i="18"/>
  <c r="E579" i="18"/>
  <c r="E578" i="18"/>
  <c r="E577" i="18"/>
  <c r="E576" i="18"/>
  <c r="E575" i="18"/>
  <c r="E574" i="18"/>
  <c r="E573" i="18"/>
  <c r="E572" i="18"/>
  <c r="E571" i="18"/>
  <c r="E570" i="18"/>
  <c r="E569" i="18"/>
  <c r="E568" i="18"/>
  <c r="E567" i="18"/>
  <c r="E566" i="18"/>
  <c r="E565" i="18"/>
  <c r="E564" i="18"/>
  <c r="E563" i="18"/>
  <c r="E562" i="18"/>
  <c r="E561" i="18"/>
  <c r="E560" i="18"/>
  <c r="E559" i="18"/>
  <c r="E558" i="18"/>
  <c r="E557" i="18"/>
  <c r="E556" i="18"/>
  <c r="E555" i="18"/>
  <c r="E554" i="18"/>
  <c r="E553" i="18"/>
  <c r="E552" i="18"/>
  <c r="E551" i="18"/>
  <c r="E550" i="18"/>
  <c r="E549" i="18"/>
  <c r="E548" i="18"/>
  <c r="E547" i="18"/>
  <c r="E546" i="18"/>
  <c r="E545" i="18"/>
  <c r="E544" i="18"/>
  <c r="E543" i="18"/>
  <c r="E542" i="18"/>
  <c r="E541" i="18"/>
  <c r="E540" i="18"/>
  <c r="E539" i="18"/>
  <c r="E538" i="18"/>
  <c r="E537" i="18"/>
  <c r="E536" i="18"/>
  <c r="E535" i="18"/>
  <c r="E534" i="18"/>
  <c r="E533" i="18"/>
  <c r="E532" i="18"/>
  <c r="E531" i="18"/>
  <c r="E530" i="18"/>
  <c r="E529" i="18"/>
  <c r="E528" i="18"/>
  <c r="E527" i="18"/>
  <c r="E526" i="18"/>
  <c r="E525" i="18"/>
  <c r="E524" i="18"/>
  <c r="E523" i="18"/>
  <c r="E522" i="18"/>
  <c r="E521" i="18"/>
  <c r="E520" i="18"/>
  <c r="E519" i="18"/>
  <c r="E518" i="18"/>
  <c r="E517" i="18"/>
  <c r="E516" i="18"/>
  <c r="E515" i="18"/>
  <c r="E514" i="18"/>
  <c r="E513" i="18"/>
  <c r="E512" i="18"/>
  <c r="E511" i="18"/>
  <c r="E510" i="18"/>
  <c r="E509" i="18"/>
  <c r="E508" i="18"/>
  <c r="E507" i="18"/>
  <c r="E506" i="18"/>
  <c r="E505" i="18"/>
  <c r="E504" i="18"/>
  <c r="E503" i="18"/>
  <c r="E502" i="18"/>
  <c r="E501" i="18"/>
  <c r="E500" i="18"/>
  <c r="E499" i="18"/>
  <c r="E498" i="18"/>
  <c r="E497" i="18"/>
  <c r="E496" i="18"/>
  <c r="E495" i="18"/>
  <c r="E494" i="18"/>
  <c r="E493" i="18"/>
  <c r="E492" i="18"/>
  <c r="E491" i="18"/>
  <c r="E490" i="18"/>
  <c r="E489" i="18"/>
  <c r="E488" i="18"/>
  <c r="E487" i="18"/>
  <c r="E486" i="18"/>
  <c r="E485" i="18"/>
  <c r="E484" i="18"/>
  <c r="E483" i="18"/>
  <c r="E482" i="18"/>
  <c r="E481" i="18"/>
  <c r="E480" i="18"/>
  <c r="E479" i="18"/>
  <c r="E478" i="18"/>
  <c r="E477" i="18"/>
  <c r="E476" i="18"/>
  <c r="E475" i="18"/>
  <c r="E474" i="18"/>
  <c r="E473" i="18"/>
  <c r="E472" i="18"/>
  <c r="E471" i="18"/>
  <c r="E470" i="18"/>
  <c r="E469" i="18"/>
  <c r="E468" i="18"/>
  <c r="E467" i="18"/>
  <c r="E466" i="18"/>
  <c r="E465" i="18"/>
  <c r="E464" i="18"/>
  <c r="E463" i="18"/>
  <c r="E462" i="18"/>
  <c r="E461" i="18"/>
  <c r="E460" i="18"/>
  <c r="E459" i="18"/>
  <c r="E458" i="18"/>
  <c r="E457" i="18"/>
  <c r="E456" i="18"/>
  <c r="E455" i="18"/>
  <c r="E454" i="18"/>
  <c r="E453" i="18"/>
  <c r="E452" i="18"/>
  <c r="E451" i="18"/>
  <c r="E450" i="18"/>
  <c r="E449" i="18"/>
  <c r="E448" i="18"/>
  <c r="E447" i="18"/>
  <c r="E446" i="18"/>
  <c r="E445" i="18"/>
  <c r="E444" i="18"/>
  <c r="E443" i="18"/>
  <c r="E442" i="18"/>
  <c r="E441" i="18"/>
  <c r="E440" i="18"/>
  <c r="E439" i="18"/>
  <c r="E438" i="18"/>
  <c r="E437" i="18"/>
  <c r="E436" i="18"/>
  <c r="E435" i="18"/>
  <c r="E434" i="18"/>
  <c r="E433" i="18"/>
  <c r="E432" i="18"/>
  <c r="E431" i="18"/>
  <c r="E430" i="18"/>
  <c r="E429" i="18"/>
  <c r="E428" i="18"/>
  <c r="E427" i="18"/>
  <c r="E426" i="18"/>
  <c r="E425" i="18"/>
  <c r="E424" i="18"/>
  <c r="E423" i="18"/>
  <c r="E422" i="18"/>
  <c r="E421" i="18"/>
  <c r="E420" i="18"/>
  <c r="E419" i="18"/>
  <c r="E418" i="18"/>
  <c r="E417" i="18"/>
  <c r="E416" i="18"/>
  <c r="E415" i="18"/>
  <c r="E414" i="18"/>
  <c r="E413" i="18"/>
  <c r="E412" i="18"/>
  <c r="E411" i="18"/>
  <c r="E410" i="18"/>
  <c r="E409" i="18"/>
  <c r="E408" i="18"/>
  <c r="E407" i="18"/>
  <c r="E406" i="18"/>
  <c r="E405" i="18"/>
  <c r="E404" i="18"/>
  <c r="E403" i="18"/>
  <c r="E402" i="18"/>
  <c r="E401" i="18"/>
  <c r="E400" i="18"/>
  <c r="E399" i="18"/>
  <c r="E398" i="18"/>
  <c r="E397" i="18"/>
  <c r="E396" i="18"/>
  <c r="E395" i="18"/>
  <c r="E394" i="18"/>
  <c r="E393" i="18"/>
  <c r="E392" i="18"/>
  <c r="E391" i="18"/>
  <c r="E390" i="18"/>
  <c r="E389" i="18"/>
  <c r="E388" i="18"/>
  <c r="E387" i="18"/>
  <c r="E386" i="18"/>
  <c r="E385" i="18"/>
  <c r="E384" i="18"/>
  <c r="E383" i="18"/>
  <c r="E382" i="18"/>
  <c r="E381" i="18"/>
  <c r="E380" i="18"/>
  <c r="E379" i="18"/>
  <c r="E378" i="18"/>
  <c r="E377" i="18"/>
  <c r="E376" i="18"/>
  <c r="E375" i="18"/>
  <c r="E374" i="18"/>
  <c r="E373" i="18"/>
  <c r="E372" i="18"/>
  <c r="E371" i="18"/>
  <c r="E370" i="18"/>
  <c r="E369" i="18"/>
  <c r="E368" i="18"/>
  <c r="E367" i="18"/>
  <c r="E366" i="18"/>
  <c r="E365" i="18"/>
  <c r="E364" i="18"/>
  <c r="E363" i="18"/>
  <c r="E362" i="18"/>
  <c r="E361" i="18"/>
  <c r="E360" i="18"/>
  <c r="E359" i="18"/>
  <c r="E358" i="18"/>
  <c r="E357" i="18"/>
  <c r="E356" i="18"/>
  <c r="E355" i="18"/>
  <c r="E354" i="18"/>
  <c r="E353" i="18"/>
  <c r="E352" i="18"/>
  <c r="E351" i="18"/>
  <c r="E350" i="18"/>
  <c r="E349" i="18"/>
  <c r="E348" i="18"/>
  <c r="E347" i="18"/>
  <c r="E346" i="18"/>
  <c r="E345" i="18"/>
  <c r="E344" i="18"/>
  <c r="E343" i="18"/>
  <c r="E342" i="18"/>
  <c r="E341" i="18"/>
  <c r="E340" i="18"/>
  <c r="E339" i="18"/>
  <c r="E338" i="18"/>
  <c r="E337" i="18"/>
  <c r="E336" i="18"/>
  <c r="E335" i="18"/>
  <c r="E334" i="18"/>
  <c r="E333" i="18"/>
  <c r="E332" i="18"/>
  <c r="E331" i="18"/>
  <c r="E330" i="18"/>
  <c r="E329" i="18"/>
  <c r="E328" i="18"/>
  <c r="E327" i="18"/>
  <c r="E326" i="18"/>
  <c r="E325" i="18"/>
  <c r="E324" i="18"/>
  <c r="E323" i="18"/>
  <c r="E322" i="18"/>
  <c r="E321" i="18"/>
  <c r="E320" i="18"/>
  <c r="E319" i="18"/>
  <c r="E318" i="18"/>
  <c r="E317" i="18"/>
  <c r="E316" i="18"/>
  <c r="E315" i="18"/>
  <c r="E314" i="18"/>
  <c r="E313" i="18"/>
  <c r="E312" i="18"/>
  <c r="E311" i="18"/>
  <c r="E310" i="18"/>
  <c r="E309" i="18"/>
  <c r="E308" i="18"/>
  <c r="E307" i="18"/>
  <c r="E306" i="18"/>
  <c r="E305" i="18"/>
  <c r="E304" i="18"/>
  <c r="E303" i="18"/>
  <c r="E302" i="18"/>
  <c r="E301" i="18"/>
  <c r="E300" i="18"/>
  <c r="E299" i="18"/>
  <c r="E298" i="18"/>
  <c r="E297" i="18"/>
  <c r="E296" i="18"/>
  <c r="E295" i="18"/>
  <c r="E294" i="18"/>
  <c r="E293" i="18"/>
  <c r="E292" i="18"/>
  <c r="E291" i="18"/>
  <c r="E290" i="18"/>
  <c r="E289" i="18"/>
  <c r="E288" i="18"/>
  <c r="E287" i="18"/>
  <c r="E286" i="18"/>
  <c r="E285" i="18"/>
  <c r="E284" i="18"/>
  <c r="E283" i="18"/>
  <c r="E282" i="18"/>
  <c r="E281" i="18"/>
  <c r="E280" i="18"/>
  <c r="E279" i="18"/>
  <c r="E278" i="18"/>
  <c r="E277" i="18"/>
  <c r="E276" i="18"/>
  <c r="E275" i="18"/>
  <c r="E274" i="18"/>
  <c r="E273" i="18"/>
  <c r="E272" i="18"/>
  <c r="E271" i="18"/>
  <c r="E270" i="18"/>
  <c r="E269" i="18"/>
  <c r="E268" i="18"/>
  <c r="E267" i="18"/>
  <c r="E266" i="18"/>
  <c r="E265" i="18"/>
  <c r="E264" i="18"/>
  <c r="E263" i="18"/>
  <c r="E262" i="18"/>
  <c r="E261" i="18"/>
  <c r="E260" i="18"/>
  <c r="E259" i="18"/>
  <c r="E258" i="18"/>
  <c r="E257" i="18"/>
  <c r="E256" i="18"/>
  <c r="E255" i="18"/>
  <c r="E254" i="18"/>
  <c r="E253" i="18"/>
  <c r="E252" i="18"/>
  <c r="E251" i="18"/>
  <c r="E250" i="18"/>
  <c r="E249" i="18"/>
  <c r="E248" i="18"/>
  <c r="E247" i="18"/>
  <c r="E246" i="18"/>
  <c r="E245" i="18"/>
  <c r="E244" i="18"/>
  <c r="E243" i="18"/>
  <c r="E242" i="18"/>
  <c r="E241" i="18"/>
  <c r="E240" i="18"/>
  <c r="E239" i="18"/>
  <c r="E238" i="18"/>
  <c r="E237" i="18"/>
  <c r="E236" i="18"/>
  <c r="E235" i="18"/>
  <c r="E234" i="18"/>
  <c r="E233" i="18"/>
  <c r="E232" i="18"/>
  <c r="E231" i="18"/>
  <c r="E230" i="18"/>
  <c r="E229" i="18"/>
  <c r="E228" i="18"/>
  <c r="E227" i="18"/>
  <c r="E226" i="18"/>
  <c r="E225" i="18"/>
  <c r="E224" i="18"/>
  <c r="E223" i="18"/>
  <c r="E222" i="18"/>
  <c r="E221" i="18"/>
  <c r="E220" i="18"/>
  <c r="E219" i="18"/>
  <c r="E218" i="18"/>
  <c r="E217" i="18"/>
  <c r="E216" i="18"/>
  <c r="E215" i="18"/>
  <c r="E214" i="18"/>
  <c r="E213" i="18"/>
  <c r="E212" i="18"/>
  <c r="E211" i="18"/>
  <c r="E210" i="18"/>
  <c r="E209" i="18"/>
  <c r="E208" i="18"/>
  <c r="E207" i="18"/>
  <c r="E206" i="18"/>
  <c r="E205" i="18"/>
  <c r="E204" i="18"/>
  <c r="E203" i="18"/>
  <c r="E202" i="18"/>
  <c r="E201" i="18"/>
  <c r="E200" i="18"/>
  <c r="E199" i="18"/>
  <c r="E198" i="18"/>
  <c r="E197" i="18"/>
  <c r="E196" i="18"/>
  <c r="E195" i="18"/>
  <c r="E194" i="18"/>
  <c r="E193" i="18"/>
  <c r="E192" i="18"/>
  <c r="E191" i="18"/>
  <c r="E190" i="18"/>
  <c r="E189" i="18"/>
  <c r="E188" i="18"/>
  <c r="E187" i="18"/>
  <c r="E186" i="18"/>
  <c r="E185" i="18"/>
  <c r="E184" i="18"/>
  <c r="E183" i="18"/>
  <c r="E182" i="18"/>
  <c r="E181" i="18"/>
  <c r="E180" i="18"/>
  <c r="E179" i="18"/>
  <c r="E178" i="18"/>
  <c r="E177" i="18"/>
  <c r="E176" i="18"/>
  <c r="E175" i="18"/>
  <c r="E174" i="18"/>
  <c r="E173" i="18"/>
  <c r="E172" i="18"/>
  <c r="E171" i="18"/>
  <c r="E170" i="18"/>
  <c r="E169" i="18"/>
  <c r="E168" i="18"/>
  <c r="E167" i="18"/>
  <c r="E166" i="18"/>
  <c r="E165" i="18"/>
  <c r="E164" i="18"/>
  <c r="E163" i="18"/>
  <c r="E162" i="18"/>
  <c r="E161" i="18"/>
  <c r="E160" i="18"/>
  <c r="E159" i="18"/>
  <c r="E158" i="18"/>
  <c r="E157" i="18"/>
  <c r="E156" i="18"/>
  <c r="E155" i="18"/>
  <c r="E154" i="18"/>
  <c r="E153" i="18"/>
  <c r="E152" i="18"/>
  <c r="E151" i="18"/>
  <c r="E150" i="18"/>
  <c r="E149" i="18"/>
  <c r="E148" i="18"/>
  <c r="E147" i="18"/>
  <c r="E146" i="18"/>
  <c r="E145" i="18"/>
  <c r="E144" i="18"/>
  <c r="E143" i="18"/>
  <c r="E142" i="18"/>
  <c r="E141" i="18"/>
  <c r="E140" i="18"/>
  <c r="E139" i="18"/>
  <c r="E138" i="18"/>
  <c r="E137" i="18"/>
  <c r="E136" i="18"/>
  <c r="E135" i="18"/>
  <c r="E134" i="18"/>
  <c r="E133" i="18"/>
  <c r="E132" i="18"/>
  <c r="E131" i="18"/>
  <c r="E130" i="18"/>
  <c r="E129" i="18"/>
  <c r="E128" i="18"/>
  <c r="E127" i="18"/>
  <c r="E126" i="18"/>
  <c r="E125" i="18"/>
  <c r="E124" i="18"/>
  <c r="E123" i="18"/>
  <c r="E122" i="18"/>
  <c r="E121" i="18"/>
  <c r="E120" i="18"/>
  <c r="E119" i="18"/>
  <c r="E118" i="18"/>
  <c r="E117" i="18"/>
  <c r="E116" i="18"/>
  <c r="E115" i="18"/>
  <c r="E114" i="18"/>
  <c r="E113" i="18"/>
  <c r="E112" i="18"/>
  <c r="E111" i="18"/>
  <c r="E110" i="18"/>
  <c r="E109" i="18"/>
  <c r="E108" i="18"/>
  <c r="E107" i="18"/>
  <c r="E106" i="18"/>
  <c r="E105" i="18"/>
  <c r="E104" i="18"/>
  <c r="E103" i="18"/>
  <c r="E102" i="18"/>
  <c r="E101" i="18"/>
  <c r="E100" i="18"/>
  <c r="E99" i="18"/>
  <c r="E98" i="18"/>
  <c r="E97" i="18"/>
  <c r="E96" i="18"/>
  <c r="E95" i="18"/>
  <c r="E94" i="18"/>
  <c r="E93" i="18"/>
  <c r="E92" i="18"/>
  <c r="E91" i="18"/>
  <c r="E90" i="18"/>
  <c r="E89" i="18"/>
  <c r="E88" i="18"/>
  <c r="E87" i="18"/>
  <c r="E86" i="18"/>
  <c r="E85" i="18"/>
  <c r="E84" i="18"/>
  <c r="E83" i="18"/>
  <c r="E82" i="18"/>
  <c r="E81" i="18"/>
  <c r="E80" i="18"/>
  <c r="E79" i="18"/>
  <c r="E78" i="18"/>
  <c r="E77" i="18"/>
  <c r="E76" i="18"/>
  <c r="E75" i="18"/>
  <c r="E74" i="18"/>
  <c r="E73" i="18"/>
  <c r="E72" i="18"/>
  <c r="E71" i="18"/>
  <c r="E70" i="18"/>
  <c r="E69" i="18"/>
  <c r="E68" i="18"/>
  <c r="E67" i="18"/>
  <c r="E66" i="18"/>
  <c r="E65" i="18"/>
  <c r="E64" i="18"/>
  <c r="E63" i="18"/>
  <c r="E62" i="18"/>
  <c r="E61" i="18"/>
  <c r="E60" i="18"/>
  <c r="E59" i="18"/>
  <c r="E58" i="18"/>
  <c r="E57" i="18"/>
  <c r="E56" i="18"/>
  <c r="E55" i="18"/>
  <c r="E54" i="18"/>
  <c r="E53" i="18"/>
  <c r="E52" i="18"/>
  <c r="E51" i="18"/>
  <c r="E50" i="18"/>
  <c r="E49" i="18"/>
  <c r="E48" i="18"/>
  <c r="E47" i="18"/>
  <c r="E46" i="18"/>
  <c r="E45" i="18"/>
  <c r="E44" i="18"/>
  <c r="E43" i="18"/>
  <c r="E42" i="18"/>
  <c r="E41" i="18"/>
  <c r="E40" i="18"/>
  <c r="E39" i="18"/>
  <c r="E38" i="18"/>
  <c r="E37" i="18"/>
  <c r="E36" i="18"/>
  <c r="E35" i="18"/>
  <c r="E34" i="18"/>
  <c r="E33" i="18"/>
  <c r="E32" i="18"/>
  <c r="E31" i="18"/>
  <c r="E30" i="18"/>
  <c r="E29" i="18"/>
  <c r="E28" i="18"/>
  <c r="E27" i="18"/>
  <c r="E26" i="18"/>
  <c r="E25" i="18"/>
  <c r="E24" i="18"/>
  <c r="E23" i="18"/>
  <c r="E22" i="18"/>
  <c r="E21" i="18"/>
  <c r="E20" i="18"/>
  <c r="E19" i="18"/>
  <c r="E18" i="18"/>
  <c r="E17" i="18"/>
  <c r="E16" i="18"/>
  <c r="E15" i="18"/>
  <c r="E14" i="18"/>
  <c r="E13" i="18"/>
  <c r="E12" i="18"/>
  <c r="E11" i="18"/>
  <c r="E10" i="18"/>
  <c r="E9" i="18"/>
  <c r="E8" i="18"/>
  <c r="E7" i="18"/>
  <c r="E6" i="18"/>
  <c r="E5" i="18"/>
  <c r="E4" i="18"/>
  <c r="E3" i="18"/>
  <c r="E2" i="18"/>
  <c r="B27" i="17"/>
  <c r="D17" i="17"/>
  <c r="G14" i="17"/>
  <c r="I41" i="15"/>
  <c r="G41" i="15"/>
  <c r="L41" i="15"/>
  <c r="M41" i="15"/>
  <c r="E41" i="15"/>
  <c r="I40" i="15"/>
  <c r="G40" i="15"/>
  <c r="E40" i="15"/>
  <c r="I39" i="15"/>
  <c r="G39" i="15"/>
  <c r="E39" i="15"/>
  <c r="I38" i="15"/>
  <c r="G38" i="15"/>
  <c r="E38" i="15"/>
  <c r="E31" i="15"/>
  <c r="J31" i="15"/>
  <c r="K31" i="15"/>
  <c r="E30" i="15"/>
  <c r="J30" i="15"/>
  <c r="K30" i="15"/>
  <c r="E29" i="15"/>
  <c r="J29" i="15"/>
  <c r="K29" i="15"/>
  <c r="E28" i="15"/>
  <c r="J28" i="15"/>
  <c r="K28" i="15"/>
  <c r="G31" i="15"/>
  <c r="L31" i="15"/>
  <c r="M31" i="15"/>
  <c r="G30" i="15"/>
  <c r="L30" i="15"/>
  <c r="M30" i="15"/>
  <c r="G29" i="15"/>
  <c r="L29" i="15"/>
  <c r="M29" i="15"/>
  <c r="G28" i="15"/>
  <c r="L28" i="15"/>
  <c r="M28" i="15"/>
  <c r="I21" i="15"/>
  <c r="E20" i="15"/>
  <c r="I19" i="15"/>
  <c r="I18" i="15"/>
  <c r="G11" i="15"/>
  <c r="G10" i="15"/>
  <c r="G9" i="15"/>
  <c r="G8" i="15"/>
  <c r="M13" i="7"/>
  <c r="M11" i="7"/>
  <c r="M9" i="7"/>
  <c r="M7" i="7"/>
  <c r="L40" i="15"/>
  <c r="M40" i="15"/>
  <c r="L39" i="15"/>
  <c r="M39" i="15"/>
  <c r="L38" i="15"/>
  <c r="M38" i="15"/>
  <c r="J40" i="15"/>
  <c r="K40" i="15"/>
  <c r="E42" i="15"/>
  <c r="E43" i="15"/>
  <c r="J39" i="15"/>
  <c r="K39" i="15"/>
  <c r="G32" i="15"/>
  <c r="G33" i="15"/>
  <c r="I42" i="15"/>
  <c r="G42" i="15"/>
  <c r="G43" i="15"/>
  <c r="J38" i="15"/>
  <c r="K38" i="15"/>
  <c r="J41" i="15"/>
  <c r="K41" i="15"/>
  <c r="I32" i="15"/>
  <c r="G21" i="15"/>
  <c r="L21" i="15"/>
  <c r="M21" i="15"/>
  <c r="G19" i="15"/>
  <c r="L19" i="15"/>
  <c r="M19" i="15"/>
  <c r="D19" i="17"/>
  <c r="E32" i="15"/>
  <c r="E33" i="15"/>
  <c r="E18" i="15"/>
  <c r="G18" i="15"/>
  <c r="L18" i="15"/>
  <c r="M18" i="15"/>
  <c r="G20" i="15"/>
  <c r="E19" i="15"/>
  <c r="J19" i="15"/>
  <c r="K19" i="15"/>
  <c r="I20" i="15"/>
  <c r="E21" i="15"/>
  <c r="J21" i="15"/>
  <c r="K21" i="15"/>
  <c r="G12" i="15"/>
  <c r="G13" i="15"/>
  <c r="L42" i="15"/>
  <c r="M42" i="15"/>
  <c r="J42" i="15"/>
  <c r="K42" i="15"/>
  <c r="J32" i="15"/>
  <c r="K32" i="15"/>
  <c r="L32" i="15"/>
  <c r="M32" i="15"/>
  <c r="J20" i="15"/>
  <c r="K20" i="15"/>
  <c r="L20" i="15"/>
  <c r="M20" i="15"/>
  <c r="I33" i="15"/>
  <c r="I43" i="15"/>
  <c r="E22" i="15"/>
  <c r="E23" i="15"/>
  <c r="J18" i="15"/>
  <c r="K18" i="15"/>
  <c r="J43" i="15"/>
  <c r="L43" i="15"/>
  <c r="L33" i="15"/>
  <c r="J33" i="15"/>
  <c r="I11" i="15"/>
  <c r="L11" i="15"/>
  <c r="M11" i="15"/>
  <c r="I9" i="15"/>
  <c r="L9" i="15"/>
  <c r="M9" i="15"/>
  <c r="I8" i="15"/>
  <c r="L8" i="15"/>
  <c r="M8" i="15"/>
  <c r="J8" i="15"/>
  <c r="K8" i="15"/>
  <c r="I10" i="15"/>
  <c r="L10" i="15"/>
  <c r="M10" i="15"/>
  <c r="J11" i="15"/>
  <c r="K11" i="15"/>
  <c r="J10" i="15"/>
  <c r="K10" i="15"/>
  <c r="J9" i="15"/>
  <c r="K9" i="15"/>
  <c r="E12" i="15"/>
  <c r="E13" i="15"/>
  <c r="I12" i="15"/>
  <c r="L12" i="15"/>
  <c r="D192" i="4"/>
  <c r="D191" i="4"/>
  <c r="D190" i="4"/>
  <c r="D173" i="4"/>
  <c r="D172" i="4"/>
  <c r="D171" i="4"/>
  <c r="D154" i="4"/>
  <c r="D153" i="4"/>
  <c r="D152" i="4"/>
  <c r="D135" i="4"/>
  <c r="D134" i="4"/>
  <c r="D133" i="4"/>
  <c r="D116" i="4"/>
  <c r="D115" i="4"/>
  <c r="D114" i="4"/>
  <c r="D97" i="4"/>
  <c r="D96" i="4"/>
  <c r="D95" i="4"/>
  <c r="D78" i="4"/>
  <c r="D77" i="4"/>
  <c r="D76" i="4"/>
  <c r="D59" i="4"/>
  <c r="D58" i="4"/>
  <c r="D57" i="4"/>
  <c r="D40" i="4"/>
  <c r="D39" i="4"/>
  <c r="D38" i="4"/>
  <c r="D21" i="4"/>
  <c r="D20" i="4"/>
  <c r="D19" i="4"/>
  <c r="C21" i="4"/>
  <c r="C40" i="4"/>
  <c r="C59" i="4"/>
  <c r="C78" i="4"/>
  <c r="C97" i="4"/>
  <c r="C116" i="4"/>
  <c r="C135" i="4"/>
  <c r="C154" i="4"/>
  <c r="C193" i="4"/>
  <c r="C192" i="4"/>
  <c r="C191" i="4"/>
  <c r="C190" i="4"/>
  <c r="C173" i="4"/>
  <c r="C174" i="4"/>
  <c r="C172" i="4"/>
  <c r="C171" i="4"/>
  <c r="C155" i="4"/>
  <c r="C153" i="4"/>
  <c r="C152" i="4"/>
  <c r="C136" i="4"/>
  <c r="C134" i="4"/>
  <c r="C133" i="4"/>
  <c r="C117" i="4"/>
  <c r="C115" i="4"/>
  <c r="C114" i="4"/>
  <c r="C98" i="4"/>
  <c r="C96" i="4"/>
  <c r="C95" i="4"/>
  <c r="C79" i="4"/>
  <c r="C77" i="4"/>
  <c r="C76" i="4"/>
  <c r="C60" i="4"/>
  <c r="C58" i="4"/>
  <c r="C57" i="4"/>
  <c r="C41" i="4"/>
  <c r="C39" i="4"/>
  <c r="C38" i="4"/>
  <c r="C22" i="4"/>
  <c r="C20" i="4"/>
  <c r="C19" i="4"/>
  <c r="J30" i="4"/>
  <c r="L188" i="4"/>
  <c r="J187" i="4"/>
  <c r="L186" i="4"/>
  <c r="J185" i="4"/>
  <c r="L184" i="4"/>
  <c r="J183" i="4"/>
  <c r="J182" i="4"/>
  <c r="J169" i="4"/>
  <c r="L168" i="4"/>
  <c r="J167" i="4"/>
  <c r="J166" i="4"/>
  <c r="J165" i="4"/>
  <c r="L164" i="4"/>
  <c r="J163" i="4"/>
  <c r="L150" i="4"/>
  <c r="J149" i="4"/>
  <c r="L148" i="4"/>
  <c r="L147" i="4"/>
  <c r="L146" i="4"/>
  <c r="J145" i="4"/>
  <c r="L144" i="4"/>
  <c r="J131" i="4"/>
  <c r="J130" i="4"/>
  <c r="L129" i="4"/>
  <c r="L128" i="4"/>
  <c r="J127" i="4"/>
  <c r="L126" i="4"/>
  <c r="L125" i="4"/>
  <c r="L112" i="4"/>
  <c r="J111" i="4"/>
  <c r="L110" i="4"/>
  <c r="L109" i="4"/>
  <c r="L108" i="4"/>
  <c r="J107" i="4"/>
  <c r="J106" i="4"/>
  <c r="J93" i="4"/>
  <c r="L92" i="4"/>
  <c r="L91" i="4"/>
  <c r="L90" i="4"/>
  <c r="J89" i="4"/>
  <c r="J88" i="4"/>
  <c r="L87" i="4"/>
  <c r="L74" i="4"/>
  <c r="J73" i="4"/>
  <c r="J72" i="4"/>
  <c r="J71" i="4"/>
  <c r="L70" i="4"/>
  <c r="J69" i="4"/>
  <c r="J68" i="4"/>
  <c r="L55" i="4"/>
  <c r="J54" i="4"/>
  <c r="L53" i="4"/>
  <c r="L52" i="4"/>
  <c r="L51" i="4"/>
  <c r="J50" i="4"/>
  <c r="L49" i="4"/>
  <c r="J36" i="4"/>
  <c r="L35" i="4"/>
  <c r="L34" i="4"/>
  <c r="J33" i="4"/>
  <c r="J32" i="4"/>
  <c r="L31" i="4"/>
  <c r="L17" i="4"/>
  <c r="J16" i="4"/>
  <c r="J14" i="4"/>
  <c r="L13" i="4"/>
  <c r="J12" i="4"/>
  <c r="D49" i="4"/>
  <c r="Q15" i="4"/>
  <c r="Q41" i="4"/>
  <c r="M12" i="15"/>
  <c r="E39" i="4"/>
  <c r="E38" i="4"/>
  <c r="E19" i="4"/>
  <c r="E20" i="4"/>
  <c r="E40" i="4"/>
  <c r="E21" i="4"/>
  <c r="E190" i="4"/>
  <c r="E171" i="4"/>
  <c r="E193" i="4"/>
  <c r="G193" i="4"/>
  <c r="G174" i="4"/>
  <c r="E174" i="4"/>
  <c r="E136" i="4"/>
  <c r="G136" i="4"/>
  <c r="E155" i="4"/>
  <c r="G155" i="4"/>
  <c r="E117" i="4"/>
  <c r="G117" i="4"/>
  <c r="G98" i="4"/>
  <c r="E98" i="4"/>
  <c r="G79" i="4"/>
  <c r="E79" i="4"/>
  <c r="G60" i="4"/>
  <c r="E60" i="4"/>
  <c r="E41" i="4"/>
  <c r="G41" i="4"/>
  <c r="E152" i="4"/>
  <c r="E133" i="4"/>
  <c r="E114" i="4"/>
  <c r="E95" i="4"/>
  <c r="E76" i="4"/>
  <c r="E57" i="4"/>
  <c r="F58" i="4"/>
  <c r="G58" i="4"/>
  <c r="E58" i="4"/>
  <c r="F78" i="4"/>
  <c r="G78" i="4"/>
  <c r="E78" i="4"/>
  <c r="F134" i="4"/>
  <c r="G134" i="4"/>
  <c r="E134" i="4"/>
  <c r="F154" i="4"/>
  <c r="G154" i="4"/>
  <c r="E154" i="4"/>
  <c r="F59" i="4"/>
  <c r="G59" i="4"/>
  <c r="E59" i="4"/>
  <c r="F115" i="4"/>
  <c r="G115" i="4"/>
  <c r="E115" i="4"/>
  <c r="F135" i="4"/>
  <c r="G135" i="4"/>
  <c r="E135" i="4"/>
  <c r="F191" i="4"/>
  <c r="G191" i="4"/>
  <c r="E191" i="4"/>
  <c r="F96" i="4"/>
  <c r="G96" i="4"/>
  <c r="E96" i="4"/>
  <c r="F116" i="4"/>
  <c r="G116" i="4"/>
  <c r="E116" i="4"/>
  <c r="F172" i="4"/>
  <c r="G172" i="4"/>
  <c r="E172" i="4"/>
  <c r="F192" i="4"/>
  <c r="G192" i="4"/>
  <c r="E192" i="4"/>
  <c r="F77" i="4"/>
  <c r="G77" i="4"/>
  <c r="E77" i="4"/>
  <c r="F97" i="4"/>
  <c r="G97" i="4"/>
  <c r="E97" i="4"/>
  <c r="F153" i="4"/>
  <c r="G153" i="4"/>
  <c r="E153" i="4"/>
  <c r="F173" i="4"/>
  <c r="G173" i="4"/>
  <c r="E173" i="4"/>
  <c r="F21" i="4"/>
  <c r="G21" i="4"/>
  <c r="F39" i="4"/>
  <c r="G39" i="4"/>
  <c r="F20" i="4"/>
  <c r="G20" i="4"/>
  <c r="F40" i="4"/>
  <c r="G40" i="4"/>
  <c r="J193" i="4"/>
  <c r="K193" i="4"/>
  <c r="J190" i="4"/>
  <c r="J174" i="4"/>
  <c r="K174" i="4"/>
  <c r="J171" i="4"/>
  <c r="J155" i="4"/>
  <c r="K155" i="4"/>
  <c r="J152" i="4"/>
  <c r="J136" i="4"/>
  <c r="K136" i="4"/>
  <c r="J133" i="4"/>
  <c r="J117" i="4"/>
  <c r="K117" i="4"/>
  <c r="J114" i="4"/>
  <c r="J98" i="4"/>
  <c r="K98" i="4"/>
  <c r="J95" i="4"/>
  <c r="J79" i="4"/>
  <c r="K79" i="4"/>
  <c r="J76" i="4"/>
  <c r="J60" i="4"/>
  <c r="K60" i="4"/>
  <c r="J57" i="4"/>
  <c r="J40" i="4"/>
  <c r="J39" i="4"/>
  <c r="J116" i="4"/>
  <c r="J115" i="4"/>
  <c r="J192" i="4"/>
  <c r="J191" i="4"/>
  <c r="J21" i="4"/>
  <c r="J20" i="4"/>
  <c r="J96" i="4"/>
  <c r="J97" i="4"/>
  <c r="J173" i="4"/>
  <c r="J172" i="4"/>
  <c r="J77" i="4"/>
  <c r="J78" i="4"/>
  <c r="J153" i="4"/>
  <c r="J154" i="4"/>
  <c r="J58" i="4"/>
  <c r="J59" i="4"/>
  <c r="J134" i="4"/>
  <c r="J135" i="4"/>
  <c r="F171" i="4"/>
  <c r="G171" i="4"/>
  <c r="F190" i="4"/>
  <c r="G190" i="4"/>
  <c r="F133" i="4"/>
  <c r="G133" i="4"/>
  <c r="F114" i="4"/>
  <c r="G114" i="4"/>
  <c r="F95" i="4"/>
  <c r="G95" i="4"/>
  <c r="F152" i="4"/>
  <c r="G152" i="4"/>
  <c r="F57" i="4"/>
  <c r="G57" i="4"/>
  <c r="F38" i="4"/>
  <c r="G38" i="4"/>
  <c r="F19" i="4"/>
  <c r="G19" i="4"/>
  <c r="G22" i="4"/>
  <c r="F76" i="4"/>
  <c r="G76" i="4"/>
  <c r="E22" i="4"/>
  <c r="I57" i="4"/>
  <c r="I133" i="4"/>
  <c r="I38" i="4"/>
  <c r="I114" i="4"/>
  <c r="I95" i="4"/>
  <c r="I171" i="4"/>
  <c r="I190" i="4"/>
  <c r="I76" i="4"/>
  <c r="I152" i="4"/>
  <c r="J12" i="15"/>
  <c r="K12" i="15"/>
  <c r="I13" i="15"/>
  <c r="L13" i="15"/>
  <c r="J31" i="4"/>
  <c r="L166" i="4"/>
  <c r="L71" i="4"/>
  <c r="L106" i="4"/>
  <c r="L145" i="4"/>
  <c r="J148" i="4"/>
  <c r="L33" i="4"/>
  <c r="J168" i="4"/>
  <c r="L130" i="4"/>
  <c r="L54" i="4"/>
  <c r="L88" i="4"/>
  <c r="J164" i="4"/>
  <c r="L127" i="4"/>
  <c r="L182" i="4"/>
  <c r="L30" i="4"/>
  <c r="L11" i="4"/>
  <c r="J11" i="4"/>
  <c r="L15" i="4"/>
  <c r="J15" i="4"/>
  <c r="L16" i="4"/>
  <c r="L50" i="4"/>
  <c r="J53" i="4"/>
  <c r="L93" i="4"/>
  <c r="L111" i="4"/>
  <c r="J126" i="4"/>
  <c r="J144" i="4"/>
  <c r="L187" i="4"/>
  <c r="J49" i="4"/>
  <c r="L72" i="4"/>
  <c r="L89" i="4"/>
  <c r="J92" i="4"/>
  <c r="L107" i="4"/>
  <c r="J110" i="4"/>
  <c r="L163" i="4"/>
  <c r="L167" i="4"/>
  <c r="L183" i="4"/>
  <c r="J186" i="4"/>
  <c r="J35" i="4"/>
  <c r="L68" i="4"/>
  <c r="L131" i="4"/>
  <c r="L149" i="4"/>
  <c r="J184" i="4"/>
  <c r="L185" i="4"/>
  <c r="J188" i="4"/>
  <c r="L165" i="4"/>
  <c r="L169" i="4"/>
  <c r="J147" i="4"/>
  <c r="J146" i="4"/>
  <c r="J150" i="4"/>
  <c r="J125" i="4"/>
  <c r="J129" i="4"/>
  <c r="J128" i="4"/>
  <c r="J109" i="4"/>
  <c r="J108" i="4"/>
  <c r="J112" i="4"/>
  <c r="J87" i="4"/>
  <c r="J91" i="4"/>
  <c r="J90" i="4"/>
  <c r="L69" i="4"/>
  <c r="L73" i="4"/>
  <c r="J70" i="4"/>
  <c r="J74" i="4"/>
  <c r="J52" i="4"/>
  <c r="J51" i="4"/>
  <c r="J55" i="4"/>
  <c r="L32" i="4"/>
  <c r="L36" i="4"/>
  <c r="J34" i="4"/>
  <c r="L14" i="4"/>
  <c r="L12" i="4"/>
  <c r="J13" i="4"/>
  <c r="J17" i="4"/>
  <c r="J41" i="4"/>
  <c r="J22" i="4"/>
  <c r="E23" i="4"/>
  <c r="G42" i="4"/>
  <c r="Z14" i="4"/>
  <c r="E42" i="4"/>
  <c r="T14" i="4"/>
  <c r="G23" i="4"/>
  <c r="I22" i="4"/>
  <c r="I117" i="4"/>
  <c r="I155" i="4"/>
  <c r="I41" i="4"/>
  <c r="I193" i="4"/>
  <c r="I79" i="4"/>
  <c r="I174" i="4"/>
  <c r="I136" i="4"/>
  <c r="I98" i="4"/>
  <c r="I60" i="4"/>
  <c r="I97" i="4"/>
  <c r="I59" i="4"/>
  <c r="I39" i="4"/>
  <c r="I153" i="4"/>
  <c r="I96" i="4"/>
  <c r="I115" i="4"/>
  <c r="I135" i="4"/>
  <c r="I58" i="4"/>
  <c r="I172" i="4"/>
  <c r="I40" i="4"/>
  <c r="I116" i="4"/>
  <c r="I192" i="4"/>
  <c r="I77" i="4"/>
  <c r="I191" i="4"/>
  <c r="I78" i="4"/>
  <c r="I173" i="4"/>
  <c r="I154" i="4"/>
  <c r="I134" i="4"/>
  <c r="K134" i="4"/>
  <c r="K152" i="4"/>
  <c r="K78" i="4"/>
  <c r="K173" i="4"/>
  <c r="K191" i="4"/>
  <c r="K116" i="4"/>
  <c r="K57" i="4"/>
  <c r="K154" i="4"/>
  <c r="K77" i="4"/>
  <c r="K95" i="4"/>
  <c r="K192" i="4"/>
  <c r="K38" i="4"/>
  <c r="K133" i="4"/>
  <c r="K59" i="4"/>
  <c r="K153" i="4"/>
  <c r="K171" i="4"/>
  <c r="K97" i="4"/>
  <c r="K114" i="4"/>
  <c r="K39" i="4"/>
  <c r="K135" i="4"/>
  <c r="K58" i="4"/>
  <c r="K76" i="4"/>
  <c r="K172" i="4"/>
  <c r="K96" i="4"/>
  <c r="K190" i="4"/>
  <c r="K115" i="4"/>
  <c r="K40" i="4"/>
  <c r="E99" i="4"/>
  <c r="T17" i="4"/>
  <c r="G80" i="4"/>
  <c r="Z16" i="4"/>
  <c r="G118" i="4"/>
  <c r="Z18" i="4"/>
  <c r="G137" i="4"/>
  <c r="Z19" i="4"/>
  <c r="G156" i="4"/>
  <c r="Z20" i="4"/>
  <c r="G175" i="4"/>
  <c r="Z21" i="4"/>
  <c r="G61" i="4"/>
  <c r="Z15" i="4"/>
  <c r="E175" i="4"/>
  <c r="T21" i="4"/>
  <c r="E156" i="4"/>
  <c r="T20" i="4"/>
  <c r="G194" i="4"/>
  <c r="Z22" i="4"/>
  <c r="G99" i="4"/>
  <c r="Z17" i="4"/>
  <c r="J13" i="15"/>
  <c r="I22" i="15"/>
  <c r="G22" i="15"/>
  <c r="G23" i="15"/>
  <c r="E194" i="4"/>
  <c r="T22" i="4"/>
  <c r="E137" i="4"/>
  <c r="T19" i="4"/>
  <c r="E118" i="4"/>
  <c r="T18" i="4"/>
  <c r="E80" i="4"/>
  <c r="T16" i="4"/>
  <c r="E61" i="4"/>
  <c r="T15" i="4"/>
  <c r="Z13" i="4"/>
  <c r="Z23" i="4"/>
  <c r="Z7" i="4"/>
  <c r="L22" i="15"/>
  <c r="M22" i="15"/>
  <c r="K41" i="4"/>
  <c r="K42" i="4"/>
  <c r="R40" i="4"/>
  <c r="T45" i="4"/>
  <c r="T40" i="4"/>
  <c r="T41" i="4"/>
  <c r="T48" i="4"/>
  <c r="T47" i="4"/>
  <c r="T42" i="4"/>
  <c r="T44" i="4"/>
  <c r="T46" i="4"/>
  <c r="T43" i="4"/>
  <c r="Z48" i="4"/>
  <c r="Z47" i="4"/>
  <c r="Z46" i="4"/>
  <c r="Z45" i="4"/>
  <c r="Z44" i="4"/>
  <c r="Z43" i="4"/>
  <c r="Z42" i="4"/>
  <c r="Z41" i="4"/>
  <c r="Z40" i="4"/>
  <c r="K22" i="4"/>
  <c r="I42" i="4"/>
  <c r="T7" i="4"/>
  <c r="J22" i="15"/>
  <c r="K22" i="15"/>
  <c r="G195" i="4"/>
  <c r="G176" i="4"/>
  <c r="G157" i="4"/>
  <c r="G138" i="4"/>
  <c r="G119" i="4"/>
  <c r="G100" i="4"/>
  <c r="G81" i="4"/>
  <c r="G62" i="4"/>
  <c r="G43" i="4"/>
  <c r="I99" i="4"/>
  <c r="R17" i="4"/>
  <c r="K194" i="4"/>
  <c r="R48" i="4"/>
  <c r="I156" i="4"/>
  <c r="R20" i="4"/>
  <c r="I61" i="4"/>
  <c r="R15" i="4"/>
  <c r="I118" i="4"/>
  <c r="R18" i="4"/>
  <c r="I194" i="4"/>
  <c r="R22" i="4"/>
  <c r="I175" i="4"/>
  <c r="R21" i="4"/>
  <c r="I137" i="4"/>
  <c r="R19" i="4"/>
  <c r="I80" i="4"/>
  <c r="R16" i="4"/>
  <c r="K80" i="4"/>
  <c r="R42" i="4"/>
  <c r="K118" i="4"/>
  <c r="R44" i="4"/>
  <c r="K175" i="4"/>
  <c r="R47" i="4"/>
  <c r="K99" i="4"/>
  <c r="R43" i="4"/>
  <c r="K156" i="4"/>
  <c r="R46" i="4"/>
  <c r="K137" i="4"/>
  <c r="R45" i="4"/>
  <c r="K61" i="4"/>
  <c r="R41" i="4"/>
  <c r="E138" i="4"/>
  <c r="E81" i="4"/>
  <c r="E157" i="4"/>
  <c r="E119" i="4"/>
  <c r="G120" i="4"/>
  <c r="E176" i="4"/>
  <c r="E43" i="4"/>
  <c r="E100" i="4"/>
  <c r="E62" i="4"/>
  <c r="E195" i="4"/>
  <c r="I23" i="15"/>
  <c r="L23" i="15"/>
  <c r="D188" i="4"/>
  <c r="D187" i="4"/>
  <c r="D186" i="4"/>
  <c r="D185" i="4"/>
  <c r="D184" i="4"/>
  <c r="D183" i="4"/>
  <c r="D182" i="4"/>
  <c r="Q22" i="4"/>
  <c r="Q48" i="4"/>
  <c r="D169" i="4"/>
  <c r="D168" i="4"/>
  <c r="D167" i="4"/>
  <c r="D166" i="4"/>
  <c r="D165" i="4"/>
  <c r="D164" i="4"/>
  <c r="D163" i="4"/>
  <c r="Q21" i="4"/>
  <c r="Q47" i="4"/>
  <c r="D150" i="4"/>
  <c r="D149" i="4"/>
  <c r="D148" i="4"/>
  <c r="D147" i="4"/>
  <c r="D146" i="4"/>
  <c r="D145" i="4"/>
  <c r="D144" i="4"/>
  <c r="Q20" i="4"/>
  <c r="Q46" i="4"/>
  <c r="D131" i="4"/>
  <c r="D130" i="4"/>
  <c r="D129" i="4"/>
  <c r="D128" i="4"/>
  <c r="D127" i="4"/>
  <c r="D126" i="4"/>
  <c r="D125" i="4"/>
  <c r="Q19" i="4"/>
  <c r="Q45" i="4"/>
  <c r="D112" i="4"/>
  <c r="D111" i="4"/>
  <c r="D110" i="4"/>
  <c r="D109" i="4"/>
  <c r="D108" i="4"/>
  <c r="D107" i="4"/>
  <c r="D106" i="4"/>
  <c r="Q18" i="4"/>
  <c r="Q44" i="4"/>
  <c r="D93" i="4"/>
  <c r="D92" i="4"/>
  <c r="D91" i="4"/>
  <c r="D90" i="4"/>
  <c r="D89" i="4"/>
  <c r="D88" i="4"/>
  <c r="D87" i="4"/>
  <c r="Q17" i="4"/>
  <c r="Q43" i="4"/>
  <c r="D74" i="4"/>
  <c r="D73" i="4"/>
  <c r="D72" i="4"/>
  <c r="D71" i="4"/>
  <c r="D70" i="4"/>
  <c r="D69" i="4"/>
  <c r="D55" i="4"/>
  <c r="D54" i="4"/>
  <c r="D53" i="4"/>
  <c r="D52" i="4"/>
  <c r="D51" i="4"/>
  <c r="D50" i="4"/>
  <c r="D36" i="4"/>
  <c r="D35" i="4"/>
  <c r="D34" i="4"/>
  <c r="D33" i="4"/>
  <c r="D32" i="4"/>
  <c r="D31" i="4"/>
  <c r="D30" i="4"/>
  <c r="Q14" i="4"/>
  <c r="Q40" i="4"/>
  <c r="D17" i="4"/>
  <c r="D16" i="4"/>
  <c r="D15" i="4"/>
  <c r="D14" i="4"/>
  <c r="D13" i="4"/>
  <c r="D12" i="4"/>
  <c r="V18" i="4"/>
  <c r="X18" i="4"/>
  <c r="V15" i="4"/>
  <c r="X15" i="4"/>
  <c r="V21" i="4"/>
  <c r="X21" i="4"/>
  <c r="V20" i="4"/>
  <c r="X20" i="4"/>
  <c r="V16" i="4"/>
  <c r="X16" i="4"/>
  <c r="V17" i="4"/>
  <c r="X17" i="4"/>
  <c r="V19" i="4"/>
  <c r="X19" i="4"/>
  <c r="V22" i="4"/>
  <c r="X22" i="4"/>
  <c r="AB45" i="4"/>
  <c r="AD45" i="4"/>
  <c r="V45" i="4"/>
  <c r="X45" i="4"/>
  <c r="V44" i="4"/>
  <c r="AB44" i="4"/>
  <c r="X44" i="4"/>
  <c r="AD44" i="4"/>
  <c r="Z39" i="4"/>
  <c r="AD46" i="4"/>
  <c r="V46" i="4"/>
  <c r="X46" i="4"/>
  <c r="AB46" i="4"/>
  <c r="AD42" i="4"/>
  <c r="V42" i="4"/>
  <c r="X42" i="4"/>
  <c r="AB42" i="4"/>
  <c r="V48" i="4"/>
  <c r="AB48" i="4"/>
  <c r="AD48" i="4"/>
  <c r="X48" i="4"/>
  <c r="V43" i="4"/>
  <c r="X43" i="4"/>
  <c r="AB43" i="4"/>
  <c r="AD43" i="4"/>
  <c r="AB41" i="4"/>
  <c r="X41" i="4"/>
  <c r="AD41" i="4"/>
  <c r="V41" i="4"/>
  <c r="V47" i="4"/>
  <c r="X47" i="4"/>
  <c r="AB47" i="4"/>
  <c r="AD47" i="4"/>
  <c r="V40" i="4"/>
  <c r="X40" i="4"/>
  <c r="AB40" i="4"/>
  <c r="AD40" i="4"/>
  <c r="AB22" i="4"/>
  <c r="AD22" i="4"/>
  <c r="G139" i="4"/>
  <c r="AB19" i="4"/>
  <c r="AD19" i="4"/>
  <c r="AB15" i="4"/>
  <c r="AD15" i="4"/>
  <c r="AB18" i="4"/>
  <c r="AD18" i="4"/>
  <c r="AB21" i="4"/>
  <c r="AD21" i="4"/>
  <c r="AB17" i="4"/>
  <c r="AD17" i="4"/>
  <c r="T33" i="4"/>
  <c r="AB16" i="4"/>
  <c r="AD16" i="4"/>
  <c r="AB20" i="4"/>
  <c r="AD20" i="4"/>
  <c r="Z33" i="4"/>
  <c r="Z73" i="4"/>
  <c r="R14" i="4"/>
  <c r="K81" i="4"/>
  <c r="K82" i="4"/>
  <c r="G177" i="4"/>
  <c r="G44" i="4"/>
  <c r="G82" i="4"/>
  <c r="G196" i="4"/>
  <c r="G158" i="4"/>
  <c r="G63" i="4"/>
  <c r="J23" i="15"/>
  <c r="G101" i="4"/>
  <c r="K195" i="4"/>
  <c r="K196" i="4"/>
  <c r="I100" i="4"/>
  <c r="I101" i="4"/>
  <c r="I157" i="4"/>
  <c r="I158" i="4"/>
  <c r="I43" i="4"/>
  <c r="I44" i="4"/>
  <c r="I62" i="4"/>
  <c r="I63" i="4"/>
  <c r="I195" i="4"/>
  <c r="I196" i="4"/>
  <c r="I119" i="4"/>
  <c r="I120" i="4"/>
  <c r="I81" i="4"/>
  <c r="I82" i="4"/>
  <c r="I176" i="4"/>
  <c r="I177" i="4"/>
  <c r="I138" i="4"/>
  <c r="I139" i="4"/>
  <c r="K176" i="4"/>
  <c r="K177" i="4"/>
  <c r="K62" i="4"/>
  <c r="K63" i="4"/>
  <c r="K157" i="4"/>
  <c r="K158" i="4"/>
  <c r="K119" i="4"/>
  <c r="K120" i="4"/>
  <c r="K138" i="4"/>
  <c r="K139" i="4"/>
  <c r="K100" i="4"/>
  <c r="K101" i="4"/>
  <c r="K43" i="4"/>
  <c r="K44" i="4"/>
  <c r="T73" i="4"/>
  <c r="V14" i="4"/>
  <c r="X14" i="4"/>
  <c r="AB14" i="4"/>
  <c r="AD14" i="4"/>
  <c r="I20" i="4"/>
  <c r="I19" i="4"/>
  <c r="I21" i="4"/>
  <c r="I23" i="4"/>
  <c r="R7" i="4"/>
  <c r="T13" i="4"/>
  <c r="T23" i="4"/>
  <c r="R13" i="4"/>
  <c r="E24" i="4"/>
  <c r="T8" i="4"/>
  <c r="T34" i="4"/>
  <c r="I24" i="4"/>
  <c r="R8" i="4"/>
  <c r="G24" i="4"/>
  <c r="Z8" i="4"/>
  <c r="S57" i="4"/>
  <c r="R23" i="4"/>
  <c r="Z49" i="4"/>
  <c r="T39" i="4"/>
  <c r="T74" i="4"/>
  <c r="T49" i="4"/>
  <c r="V13" i="4"/>
  <c r="X13" i="4"/>
  <c r="AB13" i="4"/>
  <c r="Z34" i="4"/>
  <c r="V8" i="4"/>
  <c r="X8" i="4"/>
  <c r="AB8" i="4"/>
  <c r="AD8" i="4"/>
  <c r="V7" i="4"/>
  <c r="X7" i="4"/>
  <c r="AB7" i="4"/>
  <c r="AD7" i="4"/>
  <c r="G25" i="4"/>
  <c r="I25" i="4"/>
  <c r="AD13" i="4"/>
  <c r="AB23" i="4"/>
  <c r="AD23" i="4"/>
  <c r="V23" i="4"/>
  <c r="X23" i="4"/>
  <c r="Z74" i="4"/>
  <c r="E68" i="1"/>
  <c r="E66" i="1"/>
  <c r="E65" i="1"/>
  <c r="E64" i="1"/>
  <c r="E63" i="1"/>
  <c r="E62" i="1"/>
  <c r="E61" i="1"/>
  <c r="E60" i="1"/>
  <c r="M35" i="1"/>
  <c r="M33" i="1"/>
  <c r="M31" i="1"/>
  <c r="M29" i="1"/>
  <c r="M27" i="1"/>
  <c r="M25" i="1"/>
  <c r="M23" i="1"/>
  <c r="R9" i="1"/>
  <c r="R10" i="1"/>
  <c r="R11" i="1"/>
  <c r="R12" i="1"/>
  <c r="M37" i="1"/>
  <c r="N6" i="1"/>
  <c r="S56" i="4"/>
  <c r="N5" i="1"/>
  <c r="S55" i="4"/>
  <c r="S53" i="1"/>
  <c r="S55" i="1"/>
  <c r="S56" i="1"/>
  <c r="D8" i="17"/>
  <c r="D11" i="17"/>
  <c r="F17" i="17"/>
  <c r="S50" i="1"/>
  <c r="C9" i="6"/>
  <c r="S52" i="1"/>
  <c r="C3" i="20"/>
  <c r="G14" i="20"/>
  <c r="I14" i="20"/>
  <c r="S57" i="1"/>
  <c r="G16" i="17"/>
  <c r="D23" i="17"/>
  <c r="D21" i="17"/>
  <c r="F21" i="17"/>
  <c r="S58" i="1"/>
  <c r="C2" i="20"/>
  <c r="C5" i="20"/>
  <c r="Q67" i="1"/>
  <c r="S67" i="1"/>
  <c r="F29" i="17"/>
  <c r="C6" i="20"/>
  <c r="D29" i="17"/>
  <c r="E29" i="17"/>
  <c r="Q62" i="1"/>
  <c r="S62" i="1"/>
  <c r="C10" i="20"/>
  <c r="S68" i="1"/>
  <c r="S69" i="1"/>
  <c r="S70" i="1"/>
  <c r="C9" i="20"/>
  <c r="Q68" i="1"/>
  <c r="Q69" i="1"/>
  <c r="Q70" i="1"/>
  <c r="E30" i="17"/>
  <c r="E31" i="17"/>
  <c r="E32" i="17"/>
  <c r="D10" i="20"/>
  <c r="S63" i="1"/>
  <c r="S64" i="1"/>
  <c r="S65" i="1"/>
  <c r="D30" i="17"/>
  <c r="D31" i="17"/>
  <c r="D32" i="17"/>
  <c r="D9" i="20"/>
  <c r="Q63" i="1"/>
  <c r="Q64" i="1"/>
  <c r="Q65" i="1"/>
  <c r="K19" i="4"/>
  <c r="K21" i="4"/>
  <c r="K20" i="4"/>
  <c r="K23" i="4"/>
  <c r="J2" i="23"/>
  <c r="R33" i="4"/>
  <c r="AB33" i="4"/>
  <c r="R39" i="4"/>
  <c r="V67" i="4"/>
  <c r="K24" i="4"/>
  <c r="R34" i="4"/>
  <c r="R49" i="4"/>
  <c r="V39" i="4"/>
  <c r="X39" i="4"/>
  <c r="AB39" i="4"/>
  <c r="AD39" i="4"/>
  <c r="V33" i="4"/>
  <c r="X33" i="4"/>
  <c r="AD33" i="4"/>
  <c r="M180" i="4"/>
  <c r="L193" i="4"/>
  <c r="M193" i="4"/>
  <c r="M104" i="4"/>
  <c r="L114" i="4"/>
  <c r="M114" i="4"/>
  <c r="M28" i="4"/>
  <c r="L41" i="4"/>
  <c r="M41" i="4"/>
  <c r="M123" i="4"/>
  <c r="L133" i="4"/>
  <c r="M133" i="4"/>
  <c r="M161" i="4"/>
  <c r="L172" i="4"/>
  <c r="M172" i="4"/>
  <c r="M85" i="4"/>
  <c r="L98" i="4"/>
  <c r="M98" i="4"/>
  <c r="M9" i="4"/>
  <c r="L22" i="4"/>
  <c r="M22" i="4"/>
  <c r="M47" i="4"/>
  <c r="L59" i="4"/>
  <c r="M59" i="4"/>
  <c r="M142" i="4"/>
  <c r="L153" i="4"/>
  <c r="M153" i="4"/>
  <c r="M66" i="4"/>
  <c r="L79" i="4"/>
  <c r="M79" i="4"/>
  <c r="S61" i="4"/>
  <c r="S62" i="4"/>
  <c r="AB34" i="4"/>
  <c r="AD34" i="4"/>
  <c r="V34" i="4"/>
  <c r="X34" i="4"/>
  <c r="K25" i="4"/>
  <c r="L38" i="4"/>
  <c r="M38" i="4"/>
  <c r="L155" i="4"/>
  <c r="M155" i="4"/>
  <c r="L171" i="4"/>
  <c r="M171" i="4"/>
  <c r="L152" i="4"/>
  <c r="M152" i="4"/>
  <c r="AB49" i="4"/>
  <c r="AD49" i="4"/>
  <c r="V49" i="4"/>
  <c r="X49" i="4"/>
  <c r="L39" i="4"/>
  <c r="M39" i="4"/>
  <c r="L174" i="4"/>
  <c r="M174" i="4"/>
  <c r="L192" i="4"/>
  <c r="M192" i="4"/>
  <c r="L191" i="4"/>
  <c r="M191" i="4"/>
  <c r="L154" i="4"/>
  <c r="M154" i="4"/>
  <c r="L190" i="4"/>
  <c r="M190" i="4"/>
  <c r="L173" i="4"/>
  <c r="M173" i="4"/>
  <c r="L58" i="4"/>
  <c r="M58" i="4"/>
  <c r="L60" i="4"/>
  <c r="M60" i="4"/>
  <c r="L136" i="4"/>
  <c r="M136" i="4"/>
  <c r="L21" i="4"/>
  <c r="M21" i="4"/>
  <c r="L20" i="4"/>
  <c r="M20" i="4"/>
  <c r="L115" i="4"/>
  <c r="M115" i="4"/>
  <c r="L95" i="4"/>
  <c r="M95" i="4"/>
  <c r="L19" i="4"/>
  <c r="M19" i="4"/>
  <c r="L97" i="4"/>
  <c r="M97" i="4"/>
  <c r="L117" i="4"/>
  <c r="M117" i="4"/>
  <c r="L96" i="4"/>
  <c r="M96" i="4"/>
  <c r="L116" i="4"/>
  <c r="M116" i="4"/>
  <c r="L40" i="4"/>
  <c r="M40" i="4"/>
  <c r="L135" i="4"/>
  <c r="M135" i="4"/>
  <c r="L57" i="4"/>
  <c r="M57" i="4"/>
  <c r="L134" i="4"/>
  <c r="M134" i="4"/>
  <c r="L78" i="4"/>
  <c r="M78" i="4"/>
  <c r="L76" i="4"/>
  <c r="M76" i="4"/>
  <c r="L77" i="4"/>
  <c r="M77" i="4"/>
  <c r="M156" i="4"/>
  <c r="M157" i="4"/>
  <c r="M158" i="4"/>
  <c r="M175" i="4"/>
  <c r="M176" i="4"/>
  <c r="M177" i="4"/>
  <c r="M42" i="4"/>
  <c r="M43" i="4"/>
  <c r="M44" i="4"/>
  <c r="M194" i="4"/>
  <c r="M195" i="4"/>
  <c r="M196" i="4"/>
  <c r="M61" i="4"/>
  <c r="M62" i="4"/>
  <c r="M63" i="4"/>
  <c r="M23" i="4"/>
  <c r="M24" i="4"/>
  <c r="M25" i="4"/>
  <c r="M99" i="4"/>
  <c r="M100" i="4"/>
  <c r="M101" i="4"/>
  <c r="M118" i="4"/>
  <c r="M119" i="4"/>
  <c r="M120" i="4"/>
  <c r="M137" i="4"/>
  <c r="M138" i="4"/>
  <c r="M139" i="4"/>
  <c r="M80" i="4"/>
  <c r="M81" i="4"/>
  <c r="M82" i="4"/>
  <c r="R73" i="4"/>
  <c r="R74" i="4"/>
  <c r="AB74" i="4"/>
  <c r="AD74" i="4"/>
  <c r="V74" i="4"/>
  <c r="X74" i="4"/>
  <c r="V73" i="4"/>
  <c r="X73" i="4"/>
  <c r="AB73" i="4"/>
  <c r="AD73" i="4"/>
</calcChain>
</file>

<file path=xl/comments1.xml><?xml version="1.0" encoding="utf-8"?>
<comments xmlns="http://schemas.openxmlformats.org/spreadsheetml/2006/main">
  <authors>
    <author>Ellman, Susan</author>
  </authors>
  <commentList>
    <comment ref="Q87" authorId="0">
      <text>
        <r>
          <rPr>
            <b/>
            <sz val="9"/>
            <color indexed="81"/>
            <rFont val="Tahoma"/>
            <family val="2"/>
          </rPr>
          <t xml:space="preserve">EXAMPLE: We quoted a dual HMO/PPO to match your current benefits and we are are coming in roughly 1.8% under current based on the closest matching plans. In addition we also quoted the following scenarios.   OPTION 2 - Full network HMO / Slim Network HMO /PPO; OPTION 3 - Full HMO / PPO / PPO </t>
        </r>
      </text>
    </comment>
    <comment ref="Q95" authorId="0">
      <text>
        <r>
          <rPr>
            <b/>
            <sz val="9"/>
            <color indexed="81"/>
            <rFont val="Tahoma"/>
            <family val="2"/>
          </rPr>
          <t xml:space="preserve">EXAMPLE: We quoted a dual option DPPO/DHMO for this group. The closest matching plans are 2% over current and the rates are guaranteed for 24 months. 
</t>
        </r>
      </text>
    </comment>
    <comment ref="Q103" authorId="0">
      <text>
        <r>
          <rPr>
            <b/>
            <sz val="9"/>
            <color indexed="81"/>
            <rFont val="Tahoma"/>
            <family val="2"/>
          </rPr>
          <t>EXAMPLE: Both employer paid and voluntary rates are included.  Rates are guaranteed 36 months</t>
        </r>
      </text>
    </comment>
  </commentList>
</comments>
</file>

<file path=xl/comments2.xml><?xml version="1.0" encoding="utf-8"?>
<comments xmlns="http://schemas.openxmlformats.org/spreadsheetml/2006/main">
  <authors>
    <author>Chi, Annie L.</author>
  </authors>
  <commentList>
    <comment ref="C8" authorId="0">
      <text>
        <r>
          <rPr>
            <b/>
            <sz val="9"/>
            <color indexed="81"/>
            <rFont val="Tahoma"/>
            <family val="2"/>
          </rPr>
          <t>via "Load Floor Factor"</t>
        </r>
      </text>
    </comment>
    <comment ref="D8" authorId="0">
      <text>
        <r>
          <rPr>
            <b/>
            <sz val="9"/>
            <color indexed="81"/>
            <rFont val="Tahoma"/>
            <family val="2"/>
          </rPr>
          <t>via "Discount Floor Factor"</t>
        </r>
      </text>
    </comment>
  </commentList>
</comments>
</file>

<file path=xl/sharedStrings.xml><?xml version="1.0" encoding="utf-8"?>
<sst xmlns="http://schemas.openxmlformats.org/spreadsheetml/2006/main" count="5965" uniqueCount="2009">
  <si>
    <t>Pooled Optimizer</t>
  </si>
  <si>
    <t>SECTION 1</t>
  </si>
  <si>
    <t>SECTION 2</t>
  </si>
  <si>
    <t>SECTION 3</t>
  </si>
  <si>
    <t>Account Legal Name:</t>
  </si>
  <si>
    <t>SIC:</t>
  </si>
  <si>
    <t>Total EEs:</t>
  </si>
  <si>
    <t>Due Date:</t>
  </si>
  <si>
    <t>Account Name DBA:</t>
  </si>
  <si>
    <t>Load:</t>
  </si>
  <si>
    <t>Enrolled EEs:</t>
  </si>
  <si>
    <t>Effective Date:</t>
  </si>
  <si>
    <t>ZIP:</t>
  </si>
  <si>
    <t>Valid Waivers:</t>
  </si>
  <si>
    <t>5-Year Carrier History</t>
  </si>
  <si>
    <t>Sales Executive:</t>
  </si>
  <si>
    <t>Jeff Koprivetz</t>
  </si>
  <si>
    <t>Invalid Waivers:</t>
  </si>
  <si>
    <t>SAR-NB / SA-SAE:</t>
  </si>
  <si>
    <t>Susan Ellman</t>
  </si>
  <si>
    <t>Spec. Sales Executive:</t>
  </si>
  <si>
    <t>Conor Brumfield</t>
  </si>
  <si>
    <t>Brokerage Name:</t>
  </si>
  <si>
    <t>BOR?</t>
  </si>
  <si>
    <t>UW REVIEW?:</t>
  </si>
  <si>
    <t>EMPLOYER CONTRIBUTIONS</t>
  </si>
  <si>
    <t>RATES</t>
  </si>
  <si>
    <t>BENEFITS</t>
  </si>
  <si>
    <t>Carrier</t>
  </si>
  <si>
    <t>Plan Name</t>
  </si>
  <si>
    <t>EE</t>
  </si>
  <si>
    <t>DEP</t>
  </si>
  <si>
    <t>Total EEs</t>
  </si>
  <si>
    <t>Deductible</t>
  </si>
  <si>
    <t>OOP</t>
  </si>
  <si>
    <t>OV/SP Copay</t>
  </si>
  <si>
    <t>In Hospital</t>
  </si>
  <si>
    <t>Rx</t>
  </si>
  <si>
    <t>TOTAL EMPLOYEES:</t>
  </si>
  <si>
    <t>Medical Commission:</t>
  </si>
  <si>
    <t>Standalone</t>
  </si>
  <si>
    <t>Dual</t>
  </si>
  <si>
    <t>Triple</t>
  </si>
  <si>
    <t>Quad</t>
  </si>
  <si>
    <t>Other/Notes:</t>
  </si>
  <si>
    <t>Plan</t>
  </si>
  <si>
    <t>Select One</t>
  </si>
  <si>
    <t>Commission</t>
  </si>
  <si>
    <t>Dental</t>
  </si>
  <si>
    <t>Vision</t>
  </si>
  <si>
    <t>Life/Disability</t>
  </si>
  <si>
    <t>Yes</t>
  </si>
  <si>
    <t>Case Zip:</t>
  </si>
  <si>
    <t>Please Quote:</t>
  </si>
  <si>
    <t>Commission:</t>
  </si>
  <si>
    <t>Census Password:</t>
  </si>
  <si>
    <t>Life/Disability Quote Request</t>
  </si>
  <si>
    <t>No</t>
  </si>
  <si>
    <t>PASTE CENSUS HERE FOR UW'S REVIEW</t>
  </si>
  <si>
    <t>Additional Information (not required):</t>
  </si>
  <si>
    <t>PLAN 1</t>
  </si>
  <si>
    <t>INCUMBENT RATES</t>
  </si>
  <si>
    <t>ANTHEM PROPOSAL</t>
  </si>
  <si>
    <t>Anthem Proposed</t>
  </si>
  <si>
    <t>CURRENT</t>
  </si>
  <si>
    <t>RENEWAL</t>
  </si>
  <si>
    <t>PROPOSED RATES</t>
  </si>
  <si>
    <t>Current Monthly</t>
  </si>
  <si>
    <t>Renewal %:</t>
  </si>
  <si>
    <t>PLAN CODE</t>
  </si>
  <si>
    <t>Discount %</t>
  </si>
  <si>
    <t>Current Annual</t>
  </si>
  <si>
    <t>Network</t>
  </si>
  <si>
    <t>ANNUAL OOP MAX</t>
  </si>
  <si>
    <t>OFFICE VISIT PCP/SP</t>
  </si>
  <si>
    <t>HOSPITAL IN</t>
  </si>
  <si>
    <t>Hospital/Co-ins</t>
  </si>
  <si>
    <t>HOSPITAL OUT</t>
  </si>
  <si>
    <t>Pharmacy</t>
  </si>
  <si>
    <t>SUBS</t>
  </si>
  <si>
    <t>PREMIUMS</t>
  </si>
  <si>
    <t>EE:</t>
  </si>
  <si>
    <t>ES:</t>
  </si>
  <si>
    <t>FINAL RATES WITH BUNDLING DISCOUNT COMPARISON</t>
  </si>
  <si>
    <t>EC:</t>
  </si>
  <si>
    <t>EF:</t>
  </si>
  <si>
    <t>PLAN 2</t>
  </si>
  <si>
    <t>Rate Bank Request</t>
  </si>
  <si>
    <t>Group Name:</t>
  </si>
  <si>
    <t>Broker:</t>
  </si>
  <si>
    <t>Total Eligible:</t>
  </si>
  <si>
    <t>Enrolling in Anthem?</t>
  </si>
  <si>
    <t>Alongside Kaiser?</t>
  </si>
  <si>
    <t>Renewal:</t>
  </si>
  <si>
    <t>Life</t>
  </si>
  <si>
    <t>STD</t>
  </si>
  <si>
    <t>LTD</t>
  </si>
  <si>
    <t>PLAN 3</t>
  </si>
  <si>
    <t/>
  </si>
  <si>
    <t>PLAN 4</t>
  </si>
  <si>
    <t>PLAN 5</t>
  </si>
  <si>
    <t>PLAN 6</t>
  </si>
  <si>
    <t>PLAN 7</t>
  </si>
  <si>
    <t>PLAN 8</t>
  </si>
  <si>
    <t>PLAN 9</t>
  </si>
  <si>
    <t>PLAN 10</t>
  </si>
  <si>
    <t>PREMIER HMO</t>
  </si>
  <si>
    <t>HMOP1</t>
  </si>
  <si>
    <t>Premier HMO 10/100%</t>
  </si>
  <si>
    <t>$1500/$3000</t>
  </si>
  <si>
    <t>No Copay</t>
  </si>
  <si>
    <t xml:space="preserve">$5/$15/$25/$45/30% Essential </t>
  </si>
  <si>
    <t>HMOP2</t>
  </si>
  <si>
    <t>Premier HMO 15/100%</t>
  </si>
  <si>
    <t>HMOP3</t>
  </si>
  <si>
    <t>Premier HMO 20/100%</t>
  </si>
  <si>
    <t>HMOP4</t>
  </si>
  <si>
    <t>Premier HMO 30/100%</t>
  </si>
  <si>
    <t>HMOC1</t>
  </si>
  <si>
    <t>Classic HMO 10/30/250 admit/125 OP</t>
  </si>
  <si>
    <t>$2000/$4000</t>
  </si>
  <si>
    <t>$10/$30</t>
  </si>
  <si>
    <t>$250 per Admit</t>
  </si>
  <si>
    <t>$125 per Admit</t>
  </si>
  <si>
    <t xml:space="preserve">$5/$15/$30/$50/30% Essential </t>
  </si>
  <si>
    <t>HMOC2</t>
  </si>
  <si>
    <t>Classic HMO 20/40/250 admit/125 OP</t>
  </si>
  <si>
    <t>$20/$40</t>
  </si>
  <si>
    <t>HMOC3</t>
  </si>
  <si>
    <t>Classic HMO 30/40/500 admit/250 OP</t>
  </si>
  <si>
    <t>$2500/$5000</t>
  </si>
  <si>
    <t>$30/$40</t>
  </si>
  <si>
    <t>$500 per Admit</t>
  </si>
  <si>
    <t>HMOC4</t>
  </si>
  <si>
    <t>Classic HMO 35/45/750 admit/375 OP</t>
  </si>
  <si>
    <t>$35/$45</t>
  </si>
  <si>
    <t>$750 per Admit</t>
  </si>
  <si>
    <t>$375 per Admit</t>
  </si>
  <si>
    <t>HMOV1</t>
  </si>
  <si>
    <t>Value HMO 20/40/250/3 day</t>
  </si>
  <si>
    <t>$250 per day 3 day max</t>
  </si>
  <si>
    <t xml:space="preserve">$5/$20/$30/$50/30% Essential </t>
  </si>
  <si>
    <t>HMOV2</t>
  </si>
  <si>
    <t>Value HMO 20/40/250/3 day/20%</t>
  </si>
  <si>
    <t>$3000/$6000</t>
  </si>
  <si>
    <t>20% per Admit</t>
  </si>
  <si>
    <t>HMOV3</t>
  </si>
  <si>
    <t>Value HMO 30/40/500/3 day</t>
  </si>
  <si>
    <t>$500 per day 3 day max</t>
  </si>
  <si>
    <t>HMOV4</t>
  </si>
  <si>
    <t>Value HMO 30/40/500/3 day/20%</t>
  </si>
  <si>
    <t>HMOV5</t>
  </si>
  <si>
    <t>Value HMO 35/45/750/3 day</t>
  </si>
  <si>
    <t>$3500/$7000</t>
  </si>
  <si>
    <t>$750 per day 3 day max</t>
  </si>
  <si>
    <t>HMOVC1</t>
  </si>
  <si>
    <t>Value HMO 20/30/20%</t>
  </si>
  <si>
    <t>$20/$30</t>
  </si>
  <si>
    <t>20% per admit</t>
  </si>
  <si>
    <t>20% of charges</t>
  </si>
  <si>
    <t xml:space="preserve">$5/$20/$40/$60/30% Essential </t>
  </si>
  <si>
    <t>HMOVC2</t>
  </si>
  <si>
    <t>Value HMO 30/40/30%</t>
  </si>
  <si>
    <t>$5000/$10000</t>
  </si>
  <si>
    <t>30% per admit</t>
  </si>
  <si>
    <t>30% of charges</t>
  </si>
  <si>
    <t>HMOVD1</t>
  </si>
  <si>
    <t>Value Deductible HMO 250 20/40/10%</t>
  </si>
  <si>
    <t xml:space="preserve">$5/$20/$40/$75/30% Essential </t>
  </si>
  <si>
    <t>HMOVD2</t>
  </si>
  <si>
    <t>Value Deductible HMO 500 20/40/20%</t>
  </si>
  <si>
    <t>HMOVD3</t>
  </si>
  <si>
    <t>HMOVD4</t>
  </si>
  <si>
    <t>Value Deductible HMO $1,500 25/40/25%</t>
  </si>
  <si>
    <t>$25/$40</t>
  </si>
  <si>
    <t>HMOVD5</t>
  </si>
  <si>
    <t>Value Deductible HMO $2,000 30/45/25%</t>
  </si>
  <si>
    <t>$30/$45</t>
  </si>
  <si>
    <t>HMOHS1</t>
  </si>
  <si>
    <t>Healthy Support HMO 15/30/250 admit/125 OP</t>
  </si>
  <si>
    <t>$15/$30</t>
  </si>
  <si>
    <t xml:space="preserve">$5/$15/$50/$65/30% Essential </t>
  </si>
  <si>
    <t>HMOHS2</t>
  </si>
  <si>
    <t>Healthy Support HMO 35/50/500/3 day/$250 OP</t>
  </si>
  <si>
    <t>$4500/$9000</t>
  </si>
  <si>
    <t>$35/$50</t>
  </si>
  <si>
    <t>HMOE1</t>
  </si>
  <si>
    <t>Anthem Elements Choice 1500</t>
  </si>
  <si>
    <t>$6400/$12800</t>
  </si>
  <si>
    <t>$25/$50</t>
  </si>
  <si>
    <t>HMOE2</t>
  </si>
  <si>
    <t>Anthem Elements Choice 3000</t>
  </si>
  <si>
    <t>$30/$50</t>
  </si>
  <si>
    <t>HMOE3</t>
  </si>
  <si>
    <t>Anthem Elements Choice 5900</t>
  </si>
  <si>
    <t>$35/$70</t>
  </si>
  <si>
    <t>PREMIER PLUS PPO W/INFERTILITY</t>
  </si>
  <si>
    <t>PPOPP1</t>
  </si>
  <si>
    <t>$250/$750</t>
  </si>
  <si>
    <t>PREMIER PPO</t>
  </si>
  <si>
    <t>PPOP1</t>
  </si>
  <si>
    <t>Premier 150/10/10</t>
  </si>
  <si>
    <t>$150/$450</t>
  </si>
  <si>
    <t>PPOP2</t>
  </si>
  <si>
    <t>Premier 250/15/10</t>
  </si>
  <si>
    <t>PPOP3</t>
  </si>
  <si>
    <t>Premier 250/20/20</t>
  </si>
  <si>
    <t>PPOP4</t>
  </si>
  <si>
    <t>Premier 500/20/20</t>
  </si>
  <si>
    <t>$500/$1500</t>
  </si>
  <si>
    <t>CLASSIC PPO</t>
  </si>
  <si>
    <t>PPOC1</t>
  </si>
  <si>
    <t>Classic PPO 250/20/10</t>
  </si>
  <si>
    <t>$250/$750 In; $750/$2250 Out</t>
  </si>
  <si>
    <t>PPOC2</t>
  </si>
  <si>
    <t>Classic PPO 250/20/20</t>
  </si>
  <si>
    <t>PPOC3</t>
  </si>
  <si>
    <t>Classic PPO 500/20/10</t>
  </si>
  <si>
    <t>$500/$1500 In; $1500/$4500 Out</t>
  </si>
  <si>
    <t>PPOC4</t>
  </si>
  <si>
    <t>Classic PPO 500/20/20</t>
  </si>
  <si>
    <t>PPOC5</t>
  </si>
  <si>
    <t>Classic PPO 500/30/20</t>
  </si>
  <si>
    <t>$4000/$8000</t>
  </si>
  <si>
    <t>PPOC6</t>
  </si>
  <si>
    <t>Classic PPO 750/30/20</t>
  </si>
  <si>
    <t>$750/$2250 In; $2250/$6750 Out</t>
  </si>
  <si>
    <t>PPOC7</t>
  </si>
  <si>
    <t>Classic PPO 1000/35/20</t>
  </si>
  <si>
    <t>$1000/$3000 In; $3000/$9000 Out</t>
  </si>
  <si>
    <t>SOLUTION PPO</t>
  </si>
  <si>
    <t>SOL1</t>
  </si>
  <si>
    <t>Solution PPO 1500/15/20</t>
  </si>
  <si>
    <t>$1500/$3000 In; $4500/$9000 Out</t>
  </si>
  <si>
    <t>SOL2</t>
  </si>
  <si>
    <t>Solution PPO 2000/20/20</t>
  </si>
  <si>
    <t>$2000/$4000 In; $6000/$12000 Out</t>
  </si>
  <si>
    <t>SOL3</t>
  </si>
  <si>
    <t>Solution PPO 2500/25/20</t>
  </si>
  <si>
    <t>$2500/$5000 In; $7500/$15000 Out</t>
  </si>
  <si>
    <t>$6350/$12700</t>
  </si>
  <si>
    <t>SOL4</t>
  </si>
  <si>
    <t>Solution PPO 3500/30/30</t>
  </si>
  <si>
    <t>$3500/$7000 In; $10500/$21000 Out</t>
  </si>
  <si>
    <t>SOL5</t>
  </si>
  <si>
    <t>Solution PPO 4500/30/30</t>
  </si>
  <si>
    <t>$4500/$9000 In; $13500/$27000 Out</t>
  </si>
  <si>
    <t>$7000/$14000</t>
  </si>
  <si>
    <t>HEALTHY SUPPORT PPO</t>
  </si>
  <si>
    <t>PPOHS1</t>
  </si>
  <si>
    <t>Healthy Support PPO 500/20/10</t>
  </si>
  <si>
    <t>PPOHS2</t>
  </si>
  <si>
    <t>Healthy Support PPO 2500/30/30</t>
  </si>
  <si>
    <t>$6000/$12000</t>
  </si>
  <si>
    <t>ELEMENTS CHOICE PPO</t>
  </si>
  <si>
    <t>PPOEC1</t>
  </si>
  <si>
    <t>Elements Choice PPO 6000</t>
  </si>
  <si>
    <t>$6000/$12000 In; $18000/$36000 Out</t>
  </si>
  <si>
    <t>$6500/$13000</t>
  </si>
  <si>
    <t>$35/$60</t>
  </si>
  <si>
    <t>None</t>
  </si>
  <si>
    <t>PPOEC2</t>
  </si>
  <si>
    <t>Elements Choice PPO 5900</t>
  </si>
  <si>
    <t>$5900/$11800 In; $17700/$35400 Out</t>
  </si>
  <si>
    <t>BCEC1</t>
  </si>
  <si>
    <t>BC Exclusive Classic 20/250 admit/125 OP</t>
  </si>
  <si>
    <t>None In; $3000/$9000 Out</t>
  </si>
  <si>
    <t>BCEC2</t>
  </si>
  <si>
    <t>BC Exclusive Classic 20/250 3 day/125 OP</t>
  </si>
  <si>
    <t>None In; $3500/$10500 Out</t>
  </si>
  <si>
    <t>BCEC3</t>
  </si>
  <si>
    <t>BC Exclusive Classic 30/500 admit/250 OP</t>
  </si>
  <si>
    <t>BCEV1</t>
  </si>
  <si>
    <t>BC Exclusive Value 30/30</t>
  </si>
  <si>
    <t>EPO1</t>
  </si>
  <si>
    <t>EPO 600/15/20</t>
  </si>
  <si>
    <t>$600/$1800</t>
  </si>
  <si>
    <t>Not Covered</t>
  </si>
  <si>
    <t>EPO2</t>
  </si>
  <si>
    <t>EPO 1200/15/20</t>
  </si>
  <si>
    <t>$1200/$3600</t>
  </si>
  <si>
    <t>EPO3</t>
  </si>
  <si>
    <t>EPO 2000/25/20</t>
  </si>
  <si>
    <t>ANTHEM PPO HSA (Emp/Employer funded)</t>
  </si>
  <si>
    <t>HSA1</t>
  </si>
  <si>
    <t>$3000/$3000/$6000</t>
  </si>
  <si>
    <t>10%/30%</t>
  </si>
  <si>
    <t>HSA2</t>
  </si>
  <si>
    <t>Anthem PPO HSA 1500/4500 10/30 LHSA497H</t>
  </si>
  <si>
    <t>HSA3</t>
  </si>
  <si>
    <t xml:space="preserve">Anthem PPO HSA 1500/4500 20/40 LHSA708H </t>
  </si>
  <si>
    <t>20%/40%</t>
  </si>
  <si>
    <t>HSA4</t>
  </si>
  <si>
    <t>Anthem PPO HSA 2000/6000 20/40 LHSA2153H</t>
  </si>
  <si>
    <t>HSA5</t>
  </si>
  <si>
    <t>None/30%</t>
  </si>
  <si>
    <t xml:space="preserve">$5/$15/$40/$60/30% Essential </t>
  </si>
  <si>
    <t>HSA6</t>
  </si>
  <si>
    <t>20%/50%</t>
  </si>
  <si>
    <t>HSA7</t>
  </si>
  <si>
    <t>Anthem PPO HSA 3000/20</t>
  </si>
  <si>
    <t>$3000/$6000 In; $9000/$18000 Out</t>
  </si>
  <si>
    <t>HSA8</t>
  </si>
  <si>
    <t>Anthem PPO HSA 3500/20</t>
  </si>
  <si>
    <t>$5500/$11000</t>
  </si>
  <si>
    <t>HSA9</t>
  </si>
  <si>
    <t>Anthem PPO HSA 4000/20</t>
  </si>
  <si>
    <t>$4000/$8000 In; $12000/$24000 Out</t>
  </si>
  <si>
    <t>HSA10</t>
  </si>
  <si>
    <t>Anthem PPO HSA 4500/20</t>
  </si>
  <si>
    <t>HEALTHY SUPPORT HSA</t>
  </si>
  <si>
    <t>HSAHS1</t>
  </si>
  <si>
    <t>Anthem PPO Health Support HSA 2700/20</t>
  </si>
  <si>
    <t>$2700/$5400 In; $8100/$16200 Out</t>
  </si>
  <si>
    <t xml:space="preserve">ELEMENTS CHOICE HSA </t>
  </si>
  <si>
    <t>HSAEC1</t>
  </si>
  <si>
    <t>Anthem PPO Elements Choice HSA 4500/20</t>
  </si>
  <si>
    <t>HSAEC2</t>
  </si>
  <si>
    <t>Anthem PPO Elements Choice HSA 6350</t>
  </si>
  <si>
    <t>$6350/$12700 In; $19050/$38100 Out</t>
  </si>
  <si>
    <t>None/50%</t>
  </si>
  <si>
    <t>Total Eligible EE's:</t>
  </si>
  <si>
    <t>Current Carrier:</t>
  </si>
  <si>
    <t>Funding Arrangement:</t>
  </si>
  <si>
    <t>Tier Rate Structure:</t>
  </si>
  <si>
    <t>Contract Length:</t>
  </si>
  <si>
    <t>Broker Commission:</t>
  </si>
  <si>
    <t>Complete</t>
  </si>
  <si>
    <t>Calendar Year-Std</t>
  </si>
  <si>
    <t>Prefill Plan:</t>
  </si>
  <si>
    <t>In-Network</t>
  </si>
  <si>
    <t>Diagnostic and Preventive</t>
  </si>
  <si>
    <t>Basic Restorative</t>
  </si>
  <si>
    <t>Endodontics</t>
  </si>
  <si>
    <t>No Waiting Periods</t>
  </si>
  <si>
    <t>Periodontics</t>
  </si>
  <si>
    <t>Oral Surgery</t>
  </si>
  <si>
    <t>0 month Basic/12 Month Major</t>
  </si>
  <si>
    <t>Major Restorative</t>
  </si>
  <si>
    <t>0 Month Basic/18 Month Major</t>
  </si>
  <si>
    <t>Prosthetic Repairs</t>
  </si>
  <si>
    <t>0 Month Basic/24 Month Major</t>
  </si>
  <si>
    <t>Prosthetics</t>
  </si>
  <si>
    <t>6 Month Basic/6 Month Major</t>
  </si>
  <si>
    <t>6 Month Basic/12 Month Major</t>
  </si>
  <si>
    <t>Waiting Periods- Basic/Major</t>
  </si>
  <si>
    <t>6 Month Basic/18 Month Major</t>
  </si>
  <si>
    <t>Waived for Prior Coverage?</t>
  </si>
  <si>
    <t>6 Month Basic/24 Month Major</t>
  </si>
  <si>
    <t>Orthodontic Coverage</t>
  </si>
  <si>
    <t>12 Month Basic/18 Month Major</t>
  </si>
  <si>
    <t>Orthodontics Coinsurance</t>
  </si>
  <si>
    <t>12 Month Basic/24 Month Major</t>
  </si>
  <si>
    <t>Lifetime Ortho Maximum</t>
  </si>
  <si>
    <t>Waiting Periods- Ortho</t>
  </si>
  <si>
    <t>18 Month Basic/24 Month Major</t>
  </si>
  <si>
    <t>24 Month Basic/24 Month Major</t>
  </si>
  <si>
    <t>Individual Deductible Option</t>
  </si>
  <si>
    <t>Family Deductible</t>
  </si>
  <si>
    <t>Deductible Waived for Diag/Prev</t>
  </si>
  <si>
    <t>Annual Maximum</t>
  </si>
  <si>
    <t>Annual Maximum Carryover</t>
  </si>
  <si>
    <t>Out-of-Network Reimbursement</t>
  </si>
  <si>
    <t>Dependent Age</t>
  </si>
  <si>
    <t>Posterior Composites</t>
  </si>
  <si>
    <t>Alternated to Amalgam Benefit</t>
  </si>
  <si>
    <t>Implants</t>
  </si>
  <si>
    <t>Brush Biopsy</t>
  </si>
  <si>
    <t>Pregnant/Diabetic add'l svcs</t>
  </si>
  <si>
    <t>Sealants</t>
  </si>
  <si>
    <t>Full Mouth X-Rays</t>
  </si>
  <si>
    <t>Standard-Coverage Every 5 Years</t>
  </si>
  <si>
    <t>Bitewing X-Rays</t>
  </si>
  <si>
    <t>Missing Tooth Clause</t>
  </si>
  <si>
    <t>Standard- 24 Month Waiting Period applies</t>
  </si>
  <si>
    <t>Plan 2</t>
  </si>
  <si>
    <t>Plan 3</t>
  </si>
  <si>
    <t>Standard</t>
  </si>
  <si>
    <t>Current</t>
  </si>
  <si>
    <t>Renewal</t>
  </si>
  <si>
    <t>Coinsurance</t>
  </si>
  <si>
    <t>Out-of-Pocket Maximum (Individual/Family)</t>
  </si>
  <si>
    <t>Office Visits (primary care physician/specialist)</t>
  </si>
  <si>
    <t>Inpatient Hospital</t>
  </si>
  <si>
    <t>Emergency Room/Urgent Care</t>
  </si>
  <si>
    <t>Prescription Drugs/Retail</t>
  </si>
  <si>
    <t>Prescription Drugs/Mail Order</t>
  </si>
  <si>
    <t>Employees</t>
  </si>
  <si>
    <t>Monthly Rates</t>
  </si>
  <si>
    <t>Employee Only</t>
  </si>
  <si>
    <t>Employee + Spouse</t>
  </si>
  <si>
    <t>Employee + Child(ren)</t>
  </si>
  <si>
    <t>Employee + Family</t>
  </si>
  <si>
    <t>Monthly Premium</t>
  </si>
  <si>
    <t>Annual Premium</t>
  </si>
  <si>
    <t>ANTHEM BALANCED FUNDING QUOTE REQUEST FOR CALIFORNIA</t>
  </si>
  <si>
    <t>Calendar Year</t>
  </si>
  <si>
    <t>Preventive Package</t>
  </si>
  <si>
    <t>2/3</t>
  </si>
  <si>
    <t>101-125/$35,000/115%</t>
  </si>
  <si>
    <t>Anthem Balanced PPO 1500/20%/5500</t>
  </si>
  <si>
    <t>$0/$0</t>
  </si>
  <si>
    <t>$1,500/$2,500</t>
  </si>
  <si>
    <t>$10/$10</t>
  </si>
  <si>
    <t>$10/$100</t>
  </si>
  <si>
    <t>100%/80%</t>
  </si>
  <si>
    <t>$5/$10/$20/20% National Formulary</t>
  </si>
  <si>
    <t>Anthem Balanced PPO 1500/10%/3000 w/HSA</t>
  </si>
  <si>
    <t xml:space="preserve"> $1,500/$3,000 Non-embedded</t>
  </si>
  <si>
    <t xml:space="preserve"> $2,500/$5,000 Non-embedded</t>
  </si>
  <si>
    <t>100%/70%</t>
  </si>
  <si>
    <t>$10/$30/$50/30% National Formulary</t>
  </si>
  <si>
    <t>Anthem Balanced EPO 0/10/1500</t>
  </si>
  <si>
    <t>No Customization Options</t>
  </si>
  <si>
    <t>$1,500/na</t>
  </si>
  <si>
    <t>100%/na</t>
  </si>
  <si>
    <t>Notes:</t>
  </si>
  <si>
    <t>Notes on Custom Plan Requests:</t>
  </si>
  <si>
    <t>Plan Year</t>
  </si>
  <si>
    <t>Combined Preventive &amp; Get Active Package</t>
  </si>
  <si>
    <t>101-125/$35,000/120%</t>
  </si>
  <si>
    <t>Anthem Balanced PPO 1500/20%/5500 Select PPO Network</t>
  </si>
  <si>
    <t>$0/$500</t>
  </si>
  <si>
    <t>$1,500/$4,000</t>
  </si>
  <si>
    <t>$10/$20</t>
  </si>
  <si>
    <t>$100/$250</t>
  </si>
  <si>
    <t>100%/50%</t>
  </si>
  <si>
    <t>$10/$15/$30/20% National Formulary</t>
  </si>
  <si>
    <t>Anthem Balanced PPO 1500/10%/3000 w/HSA Select PPO Network</t>
  </si>
  <si>
    <t xml:space="preserve"> $2,000/$4,000 Non-embedded</t>
  </si>
  <si>
    <t>$3,000/$6,000 Non-embedded</t>
  </si>
  <si>
    <t>90%/70%</t>
  </si>
  <si>
    <t xml:space="preserve"> $10/$40/$60/30% National Formulary</t>
  </si>
  <si>
    <t>Anthem Balanced EPO 0/10/1500 Select PPO Network</t>
  </si>
  <si>
    <t>$2,000/na</t>
  </si>
  <si>
    <t>$15/$15</t>
  </si>
  <si>
    <t>$15/$100</t>
  </si>
  <si>
    <t xml:space="preserve">$100 per day up to 5 days IP/$50 per admit OP </t>
  </si>
  <si>
    <t>90%/na</t>
  </si>
  <si>
    <t>For groups with no more than 300 eligible employees
Minimum enrollment must be at least 20 employees
Effective dates starting: 12/1/2015
Standard Plan quoting begins 9/1/2015 - Custom Plan quoting begins 10/1/2015.
1. Autism, Infertility and Religious Group Contraceptive OptOut Riders will be automatically quoted as buy up options on every Standard and Custom quote produced.
2. Preventive and GetActive Wellness Buy Ups will be automatically quoted on every Standard and Custom Quote produced.</t>
  </si>
  <si>
    <t>1. Use the boxes below to request up to two custom plans of each plan type.
2. Make sure the custom plan type you are requesting is also selected under "Standard Plan Types to Quote".
3. The Deductible and OOP Max Accumulation on HSA Plans must both be Embedded or both Non-Embedded.
4. Urgent Care Copays must be greater than or equal to the Specialist Copay.
5. When selecting an Rx Plan Option with an Rx Deductible, please ensure the total Rx and Medical Deductible are less than or equal to the selected OOP Max.
6. Deductibles and OOP Maximums are listed as Individual Par and Individual NonPAR.  The Family Maximum is 2x the Individual.</t>
  </si>
  <si>
    <t>101-125/$40,000/115%</t>
  </si>
  <si>
    <t>$150/$300</t>
  </si>
  <si>
    <t>$2,000/$4,000</t>
  </si>
  <si>
    <t>$125/$300</t>
  </si>
  <si>
    <t>$10/$20/$40/20% National Formulary</t>
  </si>
  <si>
    <t>$2,500/$5,000 Non-embedded</t>
  </si>
  <si>
    <t>$3,400/$6,800 Non-embedded</t>
  </si>
  <si>
    <t>80%/60%</t>
  </si>
  <si>
    <t>$15/$40/$60/30% National Formulary</t>
  </si>
  <si>
    <t>$3,000/na</t>
  </si>
  <si>
    <t>$20/$20</t>
  </si>
  <si>
    <t>$20/$100</t>
  </si>
  <si>
    <t>$250 per day up to 3 days IP/$125 per admit OP</t>
  </si>
  <si>
    <t>80%/na</t>
  </si>
  <si>
    <t>101-125/$40,000/120%</t>
  </si>
  <si>
    <t>$250/$500</t>
  </si>
  <si>
    <t>$2,000/$6,000</t>
  </si>
  <si>
    <t xml:space="preserve"> $10/$25/$50/20% National Formulary</t>
  </si>
  <si>
    <t xml:space="preserve"> $3,000/$6,000 Non-embedded</t>
  </si>
  <si>
    <t>$4,000/$8,000 Embedded</t>
  </si>
  <si>
    <t>70%/50%</t>
  </si>
  <si>
    <t>$15/$50/$70/30% National Formulary</t>
  </si>
  <si>
    <t>$5,000/na</t>
  </si>
  <si>
    <t>$25/$25</t>
  </si>
  <si>
    <t>$25/$100</t>
  </si>
  <si>
    <t>$250 per day up to 5 days IP/$125 per admit OP</t>
  </si>
  <si>
    <t>$10/$25/$50/20% National Formulary</t>
  </si>
  <si>
    <t>101-125/$40,000/125%</t>
  </si>
  <si>
    <t>$2,500/$5,000</t>
  </si>
  <si>
    <t>$150/$350</t>
  </si>
  <si>
    <t xml:space="preserve"> $3,500/$7,000 Embedded</t>
  </si>
  <si>
    <t xml:space="preserve"> $4,500/$9,000 Embedded</t>
  </si>
  <si>
    <t>$10/$30/$50/30% Essential Formulary</t>
  </si>
  <si>
    <t>$5,500/na</t>
  </si>
  <si>
    <t>$30/$30</t>
  </si>
  <si>
    <t>$30/$100</t>
  </si>
  <si>
    <t>$500 per day up to 3 days/$250 per admit OP</t>
  </si>
  <si>
    <t xml:space="preserve"> $10/$30/$50/30% National Formulary</t>
  </si>
  <si>
    <t>101-125/$50,000/115%</t>
  </si>
  <si>
    <t>$500/$750</t>
  </si>
  <si>
    <t>$2,500/$6,500</t>
  </si>
  <si>
    <t>$15/$30/$50/30% National Formulary</t>
  </si>
  <si>
    <t xml:space="preserve"> $4,000/$8,000 Embedded</t>
  </si>
  <si>
    <t>$5,000/$10,000 Embedded</t>
  </si>
  <si>
    <t xml:space="preserve"> $10/$40/$60/30% Essential Formulary</t>
  </si>
  <si>
    <t>$35/$100</t>
  </si>
  <si>
    <t>$500 per day up to 5 days/ $250 per admit OP</t>
  </si>
  <si>
    <t xml:space="preserve"> $15/$30/$50/30% National Formulary</t>
  </si>
  <si>
    <t>101-125/$50,000/120%</t>
  </si>
  <si>
    <t>$500/$1,000</t>
  </si>
  <si>
    <t>$3,000/$6,000</t>
  </si>
  <si>
    <t>$20/$40/$60/30% National Formulary</t>
  </si>
  <si>
    <t xml:space="preserve"> $5,000/$10,000 Embedded</t>
  </si>
  <si>
    <t>$5,500/$11,000 Embedded</t>
  </si>
  <si>
    <t>$15/$40/$60/30% Essential Formulary</t>
  </si>
  <si>
    <t>$40/$100</t>
  </si>
  <si>
    <t>101-125/$50,000/125%</t>
  </si>
  <si>
    <t>$500/$1,500</t>
  </si>
  <si>
    <t>$3,500/$7,000</t>
  </si>
  <si>
    <t>$250 Ded $10/$40/$80/30% National Formulary</t>
  </si>
  <si>
    <t>$6,000/$12,000 Embedded</t>
  </si>
  <si>
    <t>$15/$50/$70/30% Essential Formulary</t>
  </si>
  <si>
    <t>$50/$100</t>
  </si>
  <si>
    <t xml:space="preserve"> $250 Ded $10/$40/$80/30% National Formulary</t>
  </si>
  <si>
    <t>126-250/$50,000/120%</t>
  </si>
  <si>
    <t>$750/$1,500</t>
  </si>
  <si>
    <t>$4,000/$8,000</t>
  </si>
  <si>
    <t xml:space="preserve"> $5/$10/$20/20% Essential Formulary</t>
  </si>
  <si>
    <t>$6,550/$13,100 Embedded</t>
  </si>
  <si>
    <t>$50/$150</t>
  </si>
  <si>
    <t>126-250/$50,000/125%</t>
  </si>
  <si>
    <t>$1,000/$2,000</t>
  </si>
  <si>
    <t>$5,000/$10,000</t>
  </si>
  <si>
    <t>$30/$60</t>
  </si>
  <si>
    <t>$10/$15/$30/20% Essential Formulary</t>
  </si>
  <si>
    <t>$50/$200</t>
  </si>
  <si>
    <t>126-250/$75,000/120%</t>
  </si>
  <si>
    <t>$1,500/$3,000</t>
  </si>
  <si>
    <t>$6,600/$13,200</t>
  </si>
  <si>
    <t>$40/$80</t>
  </si>
  <si>
    <t>$10/$20/$40/20% Essential Formulary</t>
  </si>
  <si>
    <t>$75/$200</t>
  </si>
  <si>
    <t>Quote Options (Also Applies to Custom Quotes)</t>
  </si>
  <si>
    <t>126-250/$75,000/125%</t>
  </si>
  <si>
    <t>$10/$25/$50/20% Essential Formulary</t>
  </si>
  <si>
    <t>$80/$200</t>
  </si>
  <si>
    <t>Standard Plan Type(s) to Quote - In order to quote a Custom Plan, you will need to select that plan type for a Standard Quote here.
(Please check any that apply).</t>
  </si>
  <si>
    <t>251-500/$75,000/120%</t>
  </si>
  <si>
    <t>251-500/$75,000/125%</t>
  </si>
  <si>
    <t>$15/$30/$50/30% Essential Formulary</t>
  </si>
  <si>
    <t>251-500/$100,000/120%</t>
  </si>
  <si>
    <t>$20/$40/$60/30% Essential Formulary</t>
  </si>
  <si>
    <t>251-500/$100,000/125%</t>
  </si>
  <si>
    <t>$250 Ded $10/$40/$80/30% Essential Formulary</t>
  </si>
  <si>
    <t xml:space="preserve"> $250 Ded $10/$40/$80/30% Essential Formulary</t>
  </si>
  <si>
    <t>Accumulator Administration</t>
  </si>
  <si>
    <t>251-500/$125,000/120%</t>
  </si>
  <si>
    <t>Refund Level Options</t>
  </si>
  <si>
    <t>251-500/$125,000/125%</t>
  </si>
  <si>
    <t>Stop Loss Options</t>
  </si>
  <si>
    <t>For Custom Plan Quotes, please make sure to complete the options above and the Customization Request below for each plan(s) requested.</t>
  </si>
  <si>
    <t>Minimum value warning: standard ABF plans have been tested and meet MV of 60% or higher.  Please be aware that either of the following changes may result in an MV below 60%:
• increasing the Deductible on any standard plan to $4000 or higher
• increasing the OOP Maximum on any standard plan that has a Deductible of $4000 or higher
Anthem will not provide MV testing for ABF custom plans.</t>
  </si>
  <si>
    <t>Customization Request PPO 2-L Plan #1</t>
  </si>
  <si>
    <t>Plan Type</t>
  </si>
  <si>
    <t>PPO</t>
  </si>
  <si>
    <t>Customization Request PPO 2-L Plan #2</t>
  </si>
  <si>
    <t>Standard Base Plan</t>
  </si>
  <si>
    <t>If Select PPO Network, out of state members must use the PPO network.
Requires two group suffixes.</t>
  </si>
  <si>
    <t>Out of Pocket Maximum</t>
  </si>
  <si>
    <t>PCP/Specialist Copays</t>
  </si>
  <si>
    <t>Urgent Care/Emergency Copays</t>
  </si>
  <si>
    <t>PAR/NonPAR Coinsurance</t>
  </si>
  <si>
    <t>Rx Copays/Formulary</t>
  </si>
  <si>
    <t>Plan Sold?</t>
  </si>
  <si>
    <t>Customization Request EPO 1-B Plan #1</t>
  </si>
  <si>
    <t>EPO</t>
  </si>
  <si>
    <t>Customization Request EPO 1-B Plan #2</t>
  </si>
  <si>
    <t>In-/Out-Patient Surgery Copays</t>
  </si>
  <si>
    <t>Customization Request HSA 3-RxC Plan #1</t>
  </si>
  <si>
    <t>HSA</t>
  </si>
  <si>
    <t>Customization Request HSA 3-RxC Plan #2</t>
  </si>
  <si>
    <t>ANTHEM HEALTH MARKETPLACE QUOTE REQUEST FOR CALIFORNIA</t>
  </si>
  <si>
    <t>Link to AHM Plan Families Information:</t>
  </si>
  <si>
    <t>AHM</t>
  </si>
  <si>
    <t>Select no more than 2 PLAN FAMILIES TO QUOTE</t>
  </si>
  <si>
    <t>#1</t>
  </si>
  <si>
    <t>#2</t>
  </si>
  <si>
    <t>PARTICIPATION CALCULATOR  (update based on 2015 11 factors)</t>
  </si>
  <si>
    <t>Total Eligible Employees Including Declinations</t>
  </si>
  <si>
    <t>HMO</t>
  </si>
  <si>
    <t>Recognized Opt Outs*</t>
  </si>
  <si>
    <t>Participation Adjustment</t>
  </si>
  <si>
    <t>Net-Eligibles</t>
  </si>
  <si>
    <t>Kaiser Adjustment</t>
  </si>
  <si>
    <t>Non-Kaiser Enrollment*</t>
  </si>
  <si>
    <t>Total Adjusment</t>
  </si>
  <si>
    <t>Kaiser Enrollment</t>
  </si>
  <si>
    <t>FIRST - Adjustment Factor Load</t>
  </si>
  <si>
    <t>Total Enrollment</t>
  </si>
  <si>
    <t>Kaiser as a % of Total Enrolled</t>
  </si>
  <si>
    <t>*Non-Kaiser enrollment is less than 40 lives;  do not quote alongside Kaiser.</t>
  </si>
  <si>
    <t>Participation based on total Eligibles</t>
  </si>
  <si>
    <t>Participation based on Net Eligibles</t>
  </si>
  <si>
    <t>Quote as Kaiser Replacement</t>
  </si>
  <si>
    <t>Name</t>
  </si>
  <si>
    <t>Function</t>
  </si>
  <si>
    <t xml:space="preserve">LGCaseImplementation@WellPoint.com </t>
  </si>
  <si>
    <t>Shared mailbox for implementation</t>
  </si>
  <si>
    <t xml:space="preserve">AnthemLife&amp;DisUW_West@wellpoint.com </t>
  </si>
  <si>
    <t>Life UW mailbox</t>
  </si>
  <si>
    <t>NetworkAnalysisUnit@wellpoint.com</t>
  </si>
  <si>
    <t>ARF submission mailbox</t>
  </si>
  <si>
    <t xml:space="preserve">QuoteAnthemSouth@Wellpoint.com </t>
  </si>
  <si>
    <t>Quoters mailbox South</t>
  </si>
  <si>
    <t>QuoteAnthemNorth@Wellpoint.com</t>
  </si>
  <si>
    <t>Quoters mailbox North</t>
  </si>
  <si>
    <t>Small Group Underwriting California-Wellpoint-SM</t>
  </si>
  <si>
    <t>Lg group quote approval mailbox (if group is inforce)</t>
  </si>
  <si>
    <t>LGPoolProspect</t>
  </si>
  <si>
    <t>101-300 UW mailbox</t>
  </si>
  <si>
    <t>CA SALES ACCOUNT EXECUTIVES - NEW BUSINESS</t>
  </si>
  <si>
    <t>SALES SUPPORT:</t>
  </si>
  <si>
    <t>CA OFFICE</t>
  </si>
  <si>
    <t>CA SPECIALTY SAES:</t>
  </si>
  <si>
    <t>Anita Vincent</t>
  </si>
  <si>
    <t>Christine Mouanoutoua</t>
  </si>
  <si>
    <t>Fresno SAE</t>
  </si>
  <si>
    <t>Mitch Kumagai</t>
  </si>
  <si>
    <t>Ashlee Johnson</t>
  </si>
  <si>
    <t>Jenn Scott</t>
  </si>
  <si>
    <t>Orange County SAE</t>
  </si>
  <si>
    <t>CJ Faust</t>
  </si>
  <si>
    <t>Asuncion Sanchez</t>
  </si>
  <si>
    <t>Jillian Young</t>
  </si>
  <si>
    <t>LA County SAE</t>
  </si>
  <si>
    <t>Gregg Hall</t>
  </si>
  <si>
    <t>Cynthia Khan</t>
  </si>
  <si>
    <t>Kellie Hoomalu</t>
  </si>
  <si>
    <t>John Walsh</t>
  </si>
  <si>
    <t>Debra Feuerman</t>
  </si>
  <si>
    <t>Nick Ralph</t>
  </si>
  <si>
    <t>Michael B. Williams</t>
  </si>
  <si>
    <t>Eric Windsor</t>
  </si>
  <si>
    <t>Sacramento SAE</t>
  </si>
  <si>
    <t>David Attarian</t>
  </si>
  <si>
    <t>San Diego SAE</t>
  </si>
  <si>
    <t>Jerry Connolly</t>
  </si>
  <si>
    <t>Sam Williams</t>
  </si>
  <si>
    <t>SF SAE</t>
  </si>
  <si>
    <t>Kerri DiCicco</t>
  </si>
  <si>
    <t>Jessie Gonzalez</t>
  </si>
  <si>
    <t>Kristin Fortney</t>
  </si>
  <si>
    <t>Nicole Kharrat</t>
  </si>
  <si>
    <t>Kristine Eagan</t>
  </si>
  <si>
    <t>Crystal Shepard</t>
  </si>
  <si>
    <t>Kristyn Nelms</t>
  </si>
  <si>
    <t>Olaf Pacheco</t>
  </si>
  <si>
    <t>Nicholas Shuck</t>
  </si>
  <si>
    <t>Blake Billinger</t>
  </si>
  <si>
    <t>Steve Cleeland</t>
  </si>
  <si>
    <t>Vanessa Rabay</t>
  </si>
  <si>
    <t>Tanya Coty</t>
  </si>
  <si>
    <t>Stacie Thomason</t>
  </si>
  <si>
    <t>WC SAE</t>
  </si>
  <si>
    <t>Alejandra Lam</t>
  </si>
  <si>
    <t>Yanet Galindo</t>
  </si>
  <si>
    <t>Resources</t>
  </si>
  <si>
    <t>Gary Groves</t>
  </si>
  <si>
    <t>Director II Sales Support (Statewide) New Sales</t>
  </si>
  <si>
    <t>Rick Groves</t>
  </si>
  <si>
    <t>Pooled UW</t>
  </si>
  <si>
    <t>Sara Weber</t>
  </si>
  <si>
    <t>Cede Requests</t>
  </si>
  <si>
    <t>Deborah Kellogg</t>
  </si>
  <si>
    <t>Assists with CEDE requests</t>
  </si>
  <si>
    <t>SIC Code</t>
  </si>
  <si>
    <t>Division</t>
  </si>
  <si>
    <t>Description</t>
  </si>
  <si>
    <t>Load</t>
  </si>
  <si>
    <t>Load Level</t>
  </si>
  <si>
    <t>Agriculture forestry fisheries</t>
  </si>
  <si>
    <t>Wheat</t>
  </si>
  <si>
    <t>Level 0 = 0.90</t>
  </si>
  <si>
    <t>Rice</t>
  </si>
  <si>
    <t>Level I =0.95</t>
  </si>
  <si>
    <t>Corn</t>
  </si>
  <si>
    <t>Level II = 1.0</t>
  </si>
  <si>
    <t>Soybeans</t>
  </si>
  <si>
    <t>Level III = 1.05</t>
  </si>
  <si>
    <t>Cash Grains, nec</t>
  </si>
  <si>
    <t>Level IV = 1.10</t>
  </si>
  <si>
    <t>Cotton</t>
  </si>
  <si>
    <t>Level V = 1.15</t>
  </si>
  <si>
    <t>Tobacco</t>
  </si>
  <si>
    <t>Level VI = 1.20</t>
  </si>
  <si>
    <t>Sugar Cane and Sugar Beets</t>
  </si>
  <si>
    <t>Level VII = &gt;1.20</t>
  </si>
  <si>
    <t>Irish Potatoes</t>
  </si>
  <si>
    <t>Field Crops, except Cash Grains, nec</t>
  </si>
  <si>
    <t>Vegetables and Melons</t>
  </si>
  <si>
    <t>Berry Crops</t>
  </si>
  <si>
    <t>Grapes</t>
  </si>
  <si>
    <t>Tree Nuts</t>
  </si>
  <si>
    <t>CitrusFfruits</t>
  </si>
  <si>
    <t>Deciduous Tree Fruits</t>
  </si>
  <si>
    <t>Fruits and Tree Nuts, nec</t>
  </si>
  <si>
    <t>Ornamental Nursery Products</t>
  </si>
  <si>
    <t>Food Crops Grown Under Cover</t>
  </si>
  <si>
    <t>General Farms, Primarily Crop</t>
  </si>
  <si>
    <t>Beef Cattle feedlots</t>
  </si>
  <si>
    <t>Beef Cattle, except Feedlots</t>
  </si>
  <si>
    <t>Hogs</t>
  </si>
  <si>
    <t>Sheep and Goats</t>
  </si>
  <si>
    <t>General Livestock, nec</t>
  </si>
  <si>
    <t>Dairy Farms</t>
  </si>
  <si>
    <t>Broiler, Fryer and Roaster Chicken</t>
  </si>
  <si>
    <t>Chicken Eggs</t>
  </si>
  <si>
    <t>Turkey and Turkey Eggs</t>
  </si>
  <si>
    <t>Poultry Hatcheries</t>
  </si>
  <si>
    <t>Poultry and Eggs, nec</t>
  </si>
  <si>
    <t>Fur-Bearing Animals and Rabbits</t>
  </si>
  <si>
    <t>Horses and Other Equines</t>
  </si>
  <si>
    <t>Animal Aquaculture</t>
  </si>
  <si>
    <t>Animal Specialties, nec</t>
  </si>
  <si>
    <t>General Farms, Primarily Animal</t>
  </si>
  <si>
    <t>Soil Preparation Services</t>
  </si>
  <si>
    <t>Crop Planting and Protecting</t>
  </si>
  <si>
    <t>Crop Harvesting</t>
  </si>
  <si>
    <t>Crop Preparation Services for Mrkt</t>
  </si>
  <si>
    <t>Cotton Ginning</t>
  </si>
  <si>
    <t>Veterinary Services for Livestock</t>
  </si>
  <si>
    <t>Veterinary Services, Specialties</t>
  </si>
  <si>
    <t>Livestock Services, except Veterin</t>
  </si>
  <si>
    <t>Animal Specialty Services</t>
  </si>
  <si>
    <t>Farm Labor Contractors</t>
  </si>
  <si>
    <t>Farm Management Services</t>
  </si>
  <si>
    <t>Landscape Counseling and Planning</t>
  </si>
  <si>
    <t>Lawn and Garden Services</t>
  </si>
  <si>
    <t>Ornamental Shrub and Tree Services</t>
  </si>
  <si>
    <t>Timber Tracs</t>
  </si>
  <si>
    <t>Forest Products</t>
  </si>
  <si>
    <t>Forestry Services</t>
  </si>
  <si>
    <t>Finfish</t>
  </si>
  <si>
    <t>Shellfish</t>
  </si>
  <si>
    <t>Miscellaneous Marine Products</t>
  </si>
  <si>
    <t>Fish Hatcheries and Preserves</t>
  </si>
  <si>
    <t>Hunting, Trapping, Game Propagation</t>
  </si>
  <si>
    <t>Mineral Industries</t>
  </si>
  <si>
    <t>Iron Ores</t>
  </si>
  <si>
    <t>Copper Ores</t>
  </si>
  <si>
    <t>Lead and Zinc Ores</t>
  </si>
  <si>
    <t>Gold Ores</t>
  </si>
  <si>
    <t>Silver Ores</t>
  </si>
  <si>
    <t>Ferroalloy Ores, except Vanadium</t>
  </si>
  <si>
    <t>Metal Mining Services</t>
  </si>
  <si>
    <t>Uranium, Radium, Vanadium, Ores</t>
  </si>
  <si>
    <t>Metal Ores, nec</t>
  </si>
  <si>
    <t>Bituminous Coal and Lignite - Surface</t>
  </si>
  <si>
    <t>Bituminous Coal - Underground</t>
  </si>
  <si>
    <t>Anthracite Mining</t>
  </si>
  <si>
    <t>Coal Mining Services</t>
  </si>
  <si>
    <t>Crude Petroleum and Natural Gas</t>
  </si>
  <si>
    <t>Natural Gas Liquids</t>
  </si>
  <si>
    <t>Drilling Oil and Gas Wells</t>
  </si>
  <si>
    <t>Oil and Gas Exploration Services</t>
  </si>
  <si>
    <t>Oil and Gas Field Services, nec</t>
  </si>
  <si>
    <t>Dimension Stone</t>
  </si>
  <si>
    <t>Crushed and Broken Limestone</t>
  </si>
  <si>
    <t>Crushed and Broken Granite</t>
  </si>
  <si>
    <t>Crushed and Broken Stone, nec</t>
  </si>
  <si>
    <t>Construction Sand and Gravel</t>
  </si>
  <si>
    <t>Industrial Sand</t>
  </si>
  <si>
    <t>Kaolin and Ball Clay</t>
  </si>
  <si>
    <t>Clay and Related Minerals, nec</t>
  </si>
  <si>
    <t>Potash, Soda and Borate Minerals</t>
  </si>
  <si>
    <t>Phosphate Rock</t>
  </si>
  <si>
    <t>Chemical and Fertilizer Mining, nec</t>
  </si>
  <si>
    <t>Nonmetallic Minerals Services</t>
  </si>
  <si>
    <t>Miscellaneous Nonmetallic Minerals</t>
  </si>
  <si>
    <t>Construction Industries</t>
  </si>
  <si>
    <t>Single-Family Housing Construction</t>
  </si>
  <si>
    <t>Residential Construction, nec</t>
  </si>
  <si>
    <t>Operative Builders</t>
  </si>
  <si>
    <t>Industrial Buildings and Warehouses</t>
  </si>
  <si>
    <t>Nonresidential Construction, nec</t>
  </si>
  <si>
    <t>Highway and Street Construction</t>
  </si>
  <si>
    <t>Bridge, Tunnel and Elevated Highway</t>
  </si>
  <si>
    <t>Water, Sewer and Utility Lines</t>
  </si>
  <si>
    <t>Heavy Construction, nec</t>
  </si>
  <si>
    <t>Plumbing, Heating and Air-condition</t>
  </si>
  <si>
    <t>Painting and Paper Hanging</t>
  </si>
  <si>
    <t>Electrical Work</t>
  </si>
  <si>
    <t>Masonry and other stonework</t>
  </si>
  <si>
    <t>Plastering, Drywall and Insulation</t>
  </si>
  <si>
    <t>Terrazzo, tile, Marble and Mosaic</t>
  </si>
  <si>
    <t>Carpentry Work</t>
  </si>
  <si>
    <t>Floor Laying and Floor Work, nec</t>
  </si>
  <si>
    <t>Roofing, Siding and Sheet Metal Work</t>
  </si>
  <si>
    <t>Concrete Work</t>
  </si>
  <si>
    <t>Water Well Drilling</t>
  </si>
  <si>
    <t>Structural Steel Erection</t>
  </si>
  <si>
    <t>Glass and Glazing Work</t>
  </si>
  <si>
    <t>Excavation Work</t>
  </si>
  <si>
    <t>Wreckingand Demolition Work</t>
  </si>
  <si>
    <t>Installing Building Equipment, nec</t>
  </si>
  <si>
    <t>Special Trade Contractors, nec</t>
  </si>
  <si>
    <t>Manufacturing</t>
  </si>
  <si>
    <t>Meat Packing Plants</t>
  </si>
  <si>
    <t>Sausages and Other Prepared Meats</t>
  </si>
  <si>
    <t>Poultry Slaughtering and Processing</t>
  </si>
  <si>
    <t>Creamy Butter</t>
  </si>
  <si>
    <t>Cheese, Natural and Processed</t>
  </si>
  <si>
    <t>Dry, Condensed and Evaporated Products</t>
  </si>
  <si>
    <t>Ice Cream and Frozen Desserts</t>
  </si>
  <si>
    <t>Fluid Milk</t>
  </si>
  <si>
    <t>Canned Specialties</t>
  </si>
  <si>
    <t>Canned Fruits and Vegetables</t>
  </si>
  <si>
    <t>Dehydrated Fruits, Vegetables, Soup</t>
  </si>
  <si>
    <t>Pickles, Sauces and Salad Dressing</t>
  </si>
  <si>
    <t>Frozen Fruits and Vegetables</t>
  </si>
  <si>
    <t>Frozen Specialties, nec</t>
  </si>
  <si>
    <t>Flour and other Grain Mill Products</t>
  </si>
  <si>
    <t>Cereal Breakfast Foods</t>
  </si>
  <si>
    <t>Rice Milling</t>
  </si>
  <si>
    <t>Prepared Flour Mixes and Doughs</t>
  </si>
  <si>
    <t>Wet Corn Milling</t>
  </si>
  <si>
    <t>Dog and Cat Food</t>
  </si>
  <si>
    <t>Prepared Feeds, nec</t>
  </si>
  <si>
    <t>Bread, Cake and Related Products</t>
  </si>
  <si>
    <t>Cookies and Crackers</t>
  </si>
  <si>
    <t>Frozen Bakery Products, except Brea</t>
  </si>
  <si>
    <t>Raw Cane Sugar</t>
  </si>
  <si>
    <t>Cane Sugar Refining</t>
  </si>
  <si>
    <t>Beet Sugar</t>
  </si>
  <si>
    <t>Candy and Other Confectionery Products</t>
  </si>
  <si>
    <t>Chocolate and Cocoa Products</t>
  </si>
  <si>
    <t>Chewing Gum</t>
  </si>
  <si>
    <t>Salted and Roasted Nuts and Seeds</t>
  </si>
  <si>
    <t>Cottonseed Oil Mills</t>
  </si>
  <si>
    <t>Soybean Oil Mills</t>
  </si>
  <si>
    <t>Vegetable Oil Mills, nec</t>
  </si>
  <si>
    <t>Animal and Marine Fats and Oils</t>
  </si>
  <si>
    <t>Edible Fats and Oils, nec</t>
  </si>
  <si>
    <t>Malt Beverages</t>
  </si>
  <si>
    <t xml:space="preserve">Malt  </t>
  </si>
  <si>
    <t>Wines, Brandy and Brandy Spirits</t>
  </si>
  <si>
    <t>Distilled and Blended Liquors</t>
  </si>
  <si>
    <t>Bottled and Canned Soft Drinks</t>
  </si>
  <si>
    <t>Flavoring Extracts and Syrups, nec</t>
  </si>
  <si>
    <t>Canned and Cured Fish and Seafoods</t>
  </si>
  <si>
    <t>Fresh or Frozen Prepared Fish</t>
  </si>
  <si>
    <t>Roasted Coffee</t>
  </si>
  <si>
    <t>Potato Chips and Similar Snacks</t>
  </si>
  <si>
    <t>Manufactured Ice</t>
  </si>
  <si>
    <t>Macaroni and Spaghetti</t>
  </si>
  <si>
    <t>Food Preparation, nec</t>
  </si>
  <si>
    <t>Cigarettes</t>
  </si>
  <si>
    <t>Cigars</t>
  </si>
  <si>
    <t>Chewing and Smoking Tobacco</t>
  </si>
  <si>
    <t>Tobacco Steming and Redrying</t>
  </si>
  <si>
    <t>Broadwoven Fabric Mills, Cotton</t>
  </si>
  <si>
    <t>Broadwoven Fabric Mills, Manmade</t>
  </si>
  <si>
    <t>Broadwoven Fabric Mills, Wool</t>
  </si>
  <si>
    <t>Narrow Fabric Mills</t>
  </si>
  <si>
    <t>Women's Hosiery, except Socks</t>
  </si>
  <si>
    <t>Hosiery, nec</t>
  </si>
  <si>
    <t>Knit Outerwear Mills</t>
  </si>
  <si>
    <t>Knit Underwear Mills</t>
  </si>
  <si>
    <t>Weft Knit Fabric Mills</t>
  </si>
  <si>
    <t>Lace and Wrap Knit Fabric Mills</t>
  </si>
  <si>
    <t>Knitting Mills, nec</t>
  </si>
  <si>
    <t>Finishing Plants, Cotton</t>
  </si>
  <si>
    <t>Finishing Plants, Manmade</t>
  </si>
  <si>
    <t>Finishing Plants, nec</t>
  </si>
  <si>
    <t>Carpets and Rugs</t>
  </si>
  <si>
    <t>Yarn Spinning Mills</t>
  </si>
  <si>
    <t>Throwing and Winding Mills</t>
  </si>
  <si>
    <t>Thread Mills</t>
  </si>
  <si>
    <t>Coated Fabrics, not Rubberized</t>
  </si>
  <si>
    <t>Tire Cord and Fabrics</t>
  </si>
  <si>
    <t>Nonwoven Fabrics</t>
  </si>
  <si>
    <t>Cordage</t>
  </si>
  <si>
    <t>Textile Goods, nec</t>
  </si>
  <si>
    <t>Men's and Boy's Suits and Coats</t>
  </si>
  <si>
    <t>Men's and Boy's Shirts</t>
  </si>
  <si>
    <t>Men's and Boy's Underwear and Nightwear</t>
  </si>
  <si>
    <t>Men's and Boy's Neckwear</t>
  </si>
  <si>
    <t>Men's and Boys's Trousers and Slacks</t>
  </si>
  <si>
    <t>Men's and Boy's Work Clothing</t>
  </si>
  <si>
    <t>Men's and Boy's Clothing, nec</t>
  </si>
  <si>
    <t>Women's and Misses' Blouses and Shirts</t>
  </si>
  <si>
    <t>Women's, Juniors and Misses' Dresses</t>
  </si>
  <si>
    <t>Women's and Misses' Suits and Coats</t>
  </si>
  <si>
    <t>Women's and Misses' Outerwear, nec</t>
  </si>
  <si>
    <t>Women's and Children's Underwear</t>
  </si>
  <si>
    <t>Bras, Girdles and Allied Garments</t>
  </si>
  <si>
    <t xml:space="preserve">Hats, Caps and Millinery </t>
  </si>
  <si>
    <t>Girl's and Childern's Dresses, Blouse</t>
  </si>
  <si>
    <t>Girl's and Children's Outerwear, nec</t>
  </si>
  <si>
    <t>Fur Goods</t>
  </si>
  <si>
    <t>Fabric Dress and Work Gloves</t>
  </si>
  <si>
    <t>Robes and Dressing Gowns</t>
  </si>
  <si>
    <t>Waterproof Outerwear</t>
  </si>
  <si>
    <t>Leather and Sheep-lined Clothing</t>
  </si>
  <si>
    <t>Apparel Belts</t>
  </si>
  <si>
    <t>Apparel and Accessories, nec</t>
  </si>
  <si>
    <t>Curtains and Draperies</t>
  </si>
  <si>
    <t>House Furnishings, nec</t>
  </si>
  <si>
    <t>Textile Bags</t>
  </si>
  <si>
    <t>Canvas and Related Products</t>
  </si>
  <si>
    <t>Pleating and Stitching</t>
  </si>
  <si>
    <t>Automotive and Apparel</t>
  </si>
  <si>
    <t>Schiffli Machine Embroderies</t>
  </si>
  <si>
    <t>Fabricated Textile Products, nec</t>
  </si>
  <si>
    <t>Logging</t>
  </si>
  <si>
    <t>Sawmills and Planning, General</t>
  </si>
  <si>
    <t>Hardwood Dimention and flooring Mil</t>
  </si>
  <si>
    <t>Special Products, Sawmills, nec</t>
  </si>
  <si>
    <t>Millwork</t>
  </si>
  <si>
    <t>Wood Kitchen Cabinets</t>
  </si>
  <si>
    <t>Hardwood Veneer and Plywood</t>
  </si>
  <si>
    <t>Softwood Veneer and Plywood</t>
  </si>
  <si>
    <t>Structural Wood Members, nec</t>
  </si>
  <si>
    <t>Nailed Wood Boxes and Shook</t>
  </si>
  <si>
    <t>Wood Pallets and Skids</t>
  </si>
  <si>
    <t>Wood Containers, nec</t>
  </si>
  <si>
    <t>Mobile Homes</t>
  </si>
  <si>
    <t>Pre-fabricated Wood Buildings</t>
  </si>
  <si>
    <t>Wood Preserving</t>
  </si>
  <si>
    <t>Reconstituted Wood Products</t>
  </si>
  <si>
    <t>Wood Products, nec</t>
  </si>
  <si>
    <t>Wood Household Furniture</t>
  </si>
  <si>
    <t>Upholstered Household Furniture</t>
  </si>
  <si>
    <t>Metal Household Furniture</t>
  </si>
  <si>
    <t>Mattresses and Bedsprings</t>
  </si>
  <si>
    <t>Wood TV and Radio Cabinets</t>
  </si>
  <si>
    <t>Household Furniture, nec</t>
  </si>
  <si>
    <t>Wood Office Furniture</t>
  </si>
  <si>
    <t>Office Furniture, except Wood</t>
  </si>
  <si>
    <t>Public Building and Related Furniture</t>
  </si>
  <si>
    <t>Wood Partitions and Fixtures</t>
  </si>
  <si>
    <t>Partitions and Fixtures, except Wood</t>
  </si>
  <si>
    <t>Drapery Hardware and Window Blinds</t>
  </si>
  <si>
    <t>Furniture and Fixtures, nec</t>
  </si>
  <si>
    <t>Pulp Mills</t>
  </si>
  <si>
    <t>Paper Mills</t>
  </si>
  <si>
    <t>Paper Board Mills</t>
  </si>
  <si>
    <t>Setup Paper Board Boxes</t>
  </si>
  <si>
    <t>Corregated and solid Fiber Boxes</t>
  </si>
  <si>
    <t>Fiber Cans, Drums and Similar Products</t>
  </si>
  <si>
    <t>Sanitary Food Containers</t>
  </si>
  <si>
    <t>Folding Paper Board Boxes</t>
  </si>
  <si>
    <t>Paper Coated and Laminated Packaging</t>
  </si>
  <si>
    <t>Paper Coated and Laminated, nec</t>
  </si>
  <si>
    <t>Bags: Plastics, Laminated, and Coat</t>
  </si>
  <si>
    <t>Bags: Uncoated Paper and Mutiwall</t>
  </si>
  <si>
    <t>Die-cut Paper and Board</t>
  </si>
  <si>
    <t>Sanitary Paper Products</t>
  </si>
  <si>
    <t>Envelopes</t>
  </si>
  <si>
    <t>Stationery Products</t>
  </si>
  <si>
    <t>Converted Paper Products, nec</t>
  </si>
  <si>
    <t>Newspapers</t>
  </si>
  <si>
    <t>Periodicals</t>
  </si>
  <si>
    <t>Book Publishing</t>
  </si>
  <si>
    <t>Book Printing</t>
  </si>
  <si>
    <t>Miscellaneous Publishing</t>
  </si>
  <si>
    <t>Commercial Printing, Lithographic</t>
  </si>
  <si>
    <t>Commercial Printing, Gravure</t>
  </si>
  <si>
    <t>Commercial Printing, nec</t>
  </si>
  <si>
    <t>Manifold Business Forms</t>
  </si>
  <si>
    <t>Greeting Cards</t>
  </si>
  <si>
    <t>Blankbooks and Looseleaf Binders</t>
  </si>
  <si>
    <t>Bookbinding and Related Work</t>
  </si>
  <si>
    <t>Typesetting</t>
  </si>
  <si>
    <t>Platemaking Services</t>
  </si>
  <si>
    <t>Alkalies and Chlorine</t>
  </si>
  <si>
    <t>Industrial Gases</t>
  </si>
  <si>
    <t>Ignorganic Pigments</t>
  </si>
  <si>
    <t>Industrial Inorganic Chemicals, nec</t>
  </si>
  <si>
    <t>Plastic Materials and Resins</t>
  </si>
  <si>
    <t>Synthetic Rubber</t>
  </si>
  <si>
    <t>Cellulosic Manmade Fibers</t>
  </si>
  <si>
    <t>Organic Fibers, Non-cellulosic</t>
  </si>
  <si>
    <t>Medicinals and Botanicals</t>
  </si>
  <si>
    <t>Pharmaceutical Preparations</t>
  </si>
  <si>
    <t>Diagnostic Substances</t>
  </si>
  <si>
    <t>Biological Products, except Diagnos</t>
  </si>
  <si>
    <t>Soap and other Detergents</t>
  </si>
  <si>
    <t>Polished and Sanitation Goods</t>
  </si>
  <si>
    <t>Surface Active Agents</t>
  </si>
  <si>
    <t>Toilet Preparations</t>
  </si>
  <si>
    <t>Paints and Allied Products</t>
  </si>
  <si>
    <t>Gum and Wood Chemicals</t>
  </si>
  <si>
    <t>Cyclic Crudes and Intermediates</t>
  </si>
  <si>
    <t>Industrial Organic Chemicals, nec</t>
  </si>
  <si>
    <t>Nitrogenious Fertilizers</t>
  </si>
  <si>
    <t>Phosphatic Fertilizers</t>
  </si>
  <si>
    <t>Fertilizers, Mixing only</t>
  </si>
  <si>
    <t>Agricultural Chemicals, nec</t>
  </si>
  <si>
    <t>Adhesives and Sealants</t>
  </si>
  <si>
    <t>Explosives</t>
  </si>
  <si>
    <t>Printing Ink</t>
  </si>
  <si>
    <t>Carbon Black</t>
  </si>
  <si>
    <t>Chemical Preparations, nec</t>
  </si>
  <si>
    <t>Petroleum Refining</t>
  </si>
  <si>
    <t>Asphalt Paving Mixtures and Blocks</t>
  </si>
  <si>
    <t>Asphalt Felts and Coatings</t>
  </si>
  <si>
    <t>Lubricating Oils and Greases</t>
  </si>
  <si>
    <t>Petroleum and Coal Products, nec</t>
  </si>
  <si>
    <t>Tires and Inner Tubes</t>
  </si>
  <si>
    <t xml:space="preserve">Rubber and Plastic Footwear </t>
  </si>
  <si>
    <t>Rubber and Plastic Hose and Belting</t>
  </si>
  <si>
    <t>Gaskets, Packing and Sealing Device</t>
  </si>
  <si>
    <t>Mechanical Rubber Goods</t>
  </si>
  <si>
    <t>Fabricated Rubber Products, nec</t>
  </si>
  <si>
    <t>Unsupported Plastics, Film and Shee</t>
  </si>
  <si>
    <t>Unsupported Plastics, Profile Shape</t>
  </si>
  <si>
    <t>Laminated Plastics</t>
  </si>
  <si>
    <t>Plastics, Pipe</t>
  </si>
  <si>
    <t>Plastics, Bottles</t>
  </si>
  <si>
    <t>Plastics, Foam Products</t>
  </si>
  <si>
    <t>Custom Compound Purchased Resins</t>
  </si>
  <si>
    <t>Plastics, Plumbing Fixtures</t>
  </si>
  <si>
    <t>Plastic Products, nec</t>
  </si>
  <si>
    <t>Leather Tanning and Finishing</t>
  </si>
  <si>
    <t>Footwear Cut Stock</t>
  </si>
  <si>
    <t>House Slippers</t>
  </si>
  <si>
    <t>Men's Footwear, except Athletic</t>
  </si>
  <si>
    <t>Women's Footwear, except Athletic</t>
  </si>
  <si>
    <t>Footwear, except Rubber, nec</t>
  </si>
  <si>
    <t>Leather Gloves and Mittens</t>
  </si>
  <si>
    <t>Luggage</t>
  </si>
  <si>
    <t>Women's Leather Handbags and Purses</t>
  </si>
  <si>
    <t>Personal Leather Goods, nec</t>
  </si>
  <si>
    <t>Leather Goods, nec</t>
  </si>
  <si>
    <t>Flat Glass</t>
  </si>
  <si>
    <t>Glass Containers</t>
  </si>
  <si>
    <t>Pressed and Blown Glass, nec</t>
  </si>
  <si>
    <t>Products of Purchased Glass</t>
  </si>
  <si>
    <t>Cement, Hydrolic</t>
  </si>
  <si>
    <t>Brick and Structural Clay Tile</t>
  </si>
  <si>
    <t>Ceramic Wall and Floor Tile</t>
  </si>
  <si>
    <t>Clay Refracturies</t>
  </si>
  <si>
    <t>Structural Clay Products, nec</t>
  </si>
  <si>
    <t>Vitreous Plumbing Fixtures</t>
  </si>
  <si>
    <t>Vitreous China Table and Kitchen Ware</t>
  </si>
  <si>
    <t>Semivitreous Table and Kitchen Ware</t>
  </si>
  <si>
    <t>Porcelain Electrical Supplies</t>
  </si>
  <si>
    <t>Pottery Products, nec</t>
  </si>
  <si>
    <t>Concrete Block and Brick</t>
  </si>
  <si>
    <t>Concrete Products, nec</t>
  </si>
  <si>
    <t>Ready-mix Concrete</t>
  </si>
  <si>
    <t>Lime</t>
  </si>
  <si>
    <t>Gypsum Products</t>
  </si>
  <si>
    <t>Cut Stone and Stone Products</t>
  </si>
  <si>
    <t>Abrasive Products</t>
  </si>
  <si>
    <t>Asbestos Products</t>
  </si>
  <si>
    <t>Minerals, Groud or Treated</t>
  </si>
  <si>
    <t>Mineral Wool</t>
  </si>
  <si>
    <t>Nonclay Refracturies</t>
  </si>
  <si>
    <t>Nonmetallic Mineral Products, nec</t>
  </si>
  <si>
    <t>Blast Furnaced and Steel Mills</t>
  </si>
  <si>
    <t>Electrometalurgical Products</t>
  </si>
  <si>
    <t>Steel Wire and Related Products</t>
  </si>
  <si>
    <t>Cold Finishing of Steel Shapes</t>
  </si>
  <si>
    <t>Steel Pipe and Tubes</t>
  </si>
  <si>
    <t>Gray and Ductile Iron Founderies</t>
  </si>
  <si>
    <t>Malleable Iron Founderies</t>
  </si>
  <si>
    <t>Steel Investment Founderies</t>
  </si>
  <si>
    <t>Steel Founderies, nec</t>
  </si>
  <si>
    <t>Primary Copper</t>
  </si>
  <si>
    <t>Primary Aluminum</t>
  </si>
  <si>
    <t>Primary Nonferous Metals, nec</t>
  </si>
  <si>
    <t>Secondary Nonferous Metals</t>
  </si>
  <si>
    <t>Copper Rolling and Drawing</t>
  </si>
  <si>
    <t>Aluminum Sheet, Plate and Foil</t>
  </si>
  <si>
    <t>Aluminum Extruded Products</t>
  </si>
  <si>
    <t>Aluminum Rolling and Drawing, nec</t>
  </si>
  <si>
    <t>Nonferous Rolling and Drawing, nec</t>
  </si>
  <si>
    <t>Nonferous Wire Drawing and Insulation</t>
  </si>
  <si>
    <t>Aluminum Die-castings</t>
  </si>
  <si>
    <t>Nonferous Die-casting, except Aluminum</t>
  </si>
  <si>
    <t>Aluminum Founderies</t>
  </si>
  <si>
    <t>Copper Founderies</t>
  </si>
  <si>
    <t>Nonferous Founderies, nec</t>
  </si>
  <si>
    <t>Metal Heat Treating</t>
  </si>
  <si>
    <t>Primary Metal Products, nec</t>
  </si>
  <si>
    <t>Metal Cans</t>
  </si>
  <si>
    <t>Metal Barrels, Drums and Pails</t>
  </si>
  <si>
    <t>Cutlery</t>
  </si>
  <si>
    <t>Hand and Edge Tools</t>
  </si>
  <si>
    <t>Saw Blades and Handsaws</t>
  </si>
  <si>
    <t>Hardware, nec</t>
  </si>
  <si>
    <t>Metal Sanitary Ware</t>
  </si>
  <si>
    <t>Plumbing Fixtures Fittings and Trim</t>
  </si>
  <si>
    <t>Heating Equipment, except Electrica</t>
  </si>
  <si>
    <t xml:space="preserve">Fabricated Structural Metal </t>
  </si>
  <si>
    <t>Metal Doors, Sash and trim</t>
  </si>
  <si>
    <t>Fabricated Plate Work (Boiler Shops</t>
  </si>
  <si>
    <t>Sheet Metal Work</t>
  </si>
  <si>
    <t>Architectural Metal Work</t>
  </si>
  <si>
    <t>Prefabricated Metal Buildings</t>
  </si>
  <si>
    <t>Miscellaneous Metal Work</t>
  </si>
  <si>
    <t>Screw Machine Products</t>
  </si>
  <si>
    <t>Bolts, Nuts, Rivets and Washers</t>
  </si>
  <si>
    <t>Iron and Steel Forgings</t>
  </si>
  <si>
    <t>Nonferrous Forgings</t>
  </si>
  <si>
    <t>Automotive Stampings</t>
  </si>
  <si>
    <t>Crowns and Closures</t>
  </si>
  <si>
    <t>Metal Stampings, nec</t>
  </si>
  <si>
    <t>Plating and Polishing</t>
  </si>
  <si>
    <t>Metal Coating and Allied Services</t>
  </si>
  <si>
    <t>Small Arms Ammunition</t>
  </si>
  <si>
    <t>Ammunition, except for Small Arms</t>
  </si>
  <si>
    <t xml:space="preserve">Small Arms  </t>
  </si>
  <si>
    <t>Ordinance and Accessories, nec</t>
  </si>
  <si>
    <t>Industrial Valves</t>
  </si>
  <si>
    <t>Fluid Power Valves and Hose Fitting</t>
  </si>
  <si>
    <t>Steel Springs, except Wire</t>
  </si>
  <si>
    <t>Valves and Pipe Fittings, nec</t>
  </si>
  <si>
    <t>Wire Springs</t>
  </si>
  <si>
    <t>Miscellaneous Fabricated Wire Products</t>
  </si>
  <si>
    <t>Metal Foil and Leaf</t>
  </si>
  <si>
    <t>Fabricated Pipe and Fittings</t>
  </si>
  <si>
    <t>Fabricated Metal Products, nec</t>
  </si>
  <si>
    <t>Turbines and Turbine Generator Sets</t>
  </si>
  <si>
    <t>Internal Combustion Engines, nec</t>
  </si>
  <si>
    <t>Farm Machinery and Equipment</t>
  </si>
  <si>
    <t>Lawn and Garden Equipment</t>
  </si>
  <si>
    <t>Construction Machinery</t>
  </si>
  <si>
    <t xml:space="preserve">Mining Machinery </t>
  </si>
  <si>
    <t>Oil and Gas Field Machinery</t>
  </si>
  <si>
    <t>Elevators and Moving Stairways</t>
  </si>
  <si>
    <t>Conveyors and Conveying Equipment</t>
  </si>
  <si>
    <t>Hoists, Cranes and Monorails</t>
  </si>
  <si>
    <t>Industrial Trucks and Tractors</t>
  </si>
  <si>
    <t>Machine Tools, Metal Cutting Types</t>
  </si>
  <si>
    <t>Machine Tools, Metal Forming Types</t>
  </si>
  <si>
    <t>Industrial Patterns</t>
  </si>
  <si>
    <t>Special Dies, Tools, Jogs and Fixtures</t>
  </si>
  <si>
    <t>Machine Tool Accessories</t>
  </si>
  <si>
    <t>Power-driven Handtools</t>
  </si>
  <si>
    <t>Rolling Mill Machinery</t>
  </si>
  <si>
    <t>Ewelding Apparatus</t>
  </si>
  <si>
    <t>Metalworking Machinery, nec</t>
  </si>
  <si>
    <t>Textile Machinery</t>
  </si>
  <si>
    <t>Woodworking Machinery</t>
  </si>
  <si>
    <t xml:space="preserve">Paper Industries Machinery </t>
  </si>
  <si>
    <t>Printing Trades Machinery</t>
  </si>
  <si>
    <t xml:space="preserve">Food Products Machinery </t>
  </si>
  <si>
    <t>Special Industry Machinery, nec</t>
  </si>
  <si>
    <t>Pumps and Pumping Equipment</t>
  </si>
  <si>
    <t>Ball and Roller Bearings</t>
  </si>
  <si>
    <t>Air and Gas Compressors</t>
  </si>
  <si>
    <t>Blowers and Fans</t>
  </si>
  <si>
    <t>Packaging Machinery</t>
  </si>
  <si>
    <t>Speed Changers, Drives and Gears</t>
  </si>
  <si>
    <t>Industrial Furnaces and Ovens</t>
  </si>
  <si>
    <t>Power Transmission Equipment, nec</t>
  </si>
  <si>
    <t>General Industrial Machinery, nec</t>
  </si>
  <si>
    <t>Electronic Computers</t>
  </si>
  <si>
    <t>Computer Storage Devices</t>
  </si>
  <si>
    <t>Computer Terminals</t>
  </si>
  <si>
    <t>Computer Peripheral Equipment, nec</t>
  </si>
  <si>
    <t>Calculating and Accounting Equipment</t>
  </si>
  <si>
    <t>Office Machines</t>
  </si>
  <si>
    <t>Automatic Vending Machines</t>
  </si>
  <si>
    <t>Commercial Laundry Equipment</t>
  </si>
  <si>
    <t>Refrigeration and Heating Equipment</t>
  </si>
  <si>
    <t>Measuring and Dispensing Pumps</t>
  </si>
  <si>
    <t>Service Industry Machinery, nec</t>
  </si>
  <si>
    <t>Carburetors, Pistons, Rings and Va</t>
  </si>
  <si>
    <t>Fluid Power Cylinders and Actuators</t>
  </si>
  <si>
    <t>Fluid Power Pumps and Motors</t>
  </si>
  <si>
    <t>Scales and Balances, except Laborat</t>
  </si>
  <si>
    <t>Industrial Machinery, nec</t>
  </si>
  <si>
    <t>Transformers, except Electronic</t>
  </si>
  <si>
    <t>Switchgear and Switchboard Apparatu</t>
  </si>
  <si>
    <t>Motors and Generators</t>
  </si>
  <si>
    <t>Carbon and Graphite Products</t>
  </si>
  <si>
    <t>Relays and Industrial Controls</t>
  </si>
  <si>
    <t>Electrical Industrial Apparatus, nec</t>
  </si>
  <si>
    <t>Household Cooking Equipment</t>
  </si>
  <si>
    <t>Household Refrigerators and Freezer</t>
  </si>
  <si>
    <t>Household Laundry Equipment</t>
  </si>
  <si>
    <t>Electrical Housewares and Fans</t>
  </si>
  <si>
    <t>Household Vaccuum Cleaners</t>
  </si>
  <si>
    <t>Household Appliances, nec</t>
  </si>
  <si>
    <t>Electric Lamps</t>
  </si>
  <si>
    <t>Current-carrying Wiring Devices</t>
  </si>
  <si>
    <t>Noncurrent - Carrying Wiring Device</t>
  </si>
  <si>
    <t>Residential Lighting Fixtures</t>
  </si>
  <si>
    <t>Commercial Lighting Fixtures</t>
  </si>
  <si>
    <t>Vehicular Lighting Equipment</t>
  </si>
  <si>
    <t>Lighting Equipment, nec</t>
  </si>
  <si>
    <t>Household Audio and Video Equipment</t>
  </si>
  <si>
    <t>Prerecorded Records and Tapes</t>
  </si>
  <si>
    <t>Telephone and Telegraph Apparatus</t>
  </si>
  <si>
    <t>Radio and Communications Equipment</t>
  </si>
  <si>
    <t>Communications Equipment, nec</t>
  </si>
  <si>
    <t>Electronic Tubes</t>
  </si>
  <si>
    <t>Printed Circuit Boards</t>
  </si>
  <si>
    <t>Semiconductors and Related Devices</t>
  </si>
  <si>
    <t>Electric Capacitors</t>
  </si>
  <si>
    <t>Electronic Resistors</t>
  </si>
  <si>
    <t>Electronic Coils and Transformers</t>
  </si>
  <si>
    <t>Electronic Connectors</t>
  </si>
  <si>
    <t>Electronic Components, nec</t>
  </si>
  <si>
    <t>Storage Batteries</t>
  </si>
  <si>
    <t>Primary Batteries, Dry and Wet</t>
  </si>
  <si>
    <t>Engine Electrical Equipment</t>
  </si>
  <si>
    <t>Magnetic and Optical Recording Medi</t>
  </si>
  <si>
    <t>Electrical Equipment &amp; Supplies</t>
  </si>
  <si>
    <t>Motor Vehicle and Car Bodies</t>
  </si>
  <si>
    <t>Truck and Bus Bodies</t>
  </si>
  <si>
    <t>Motor Vehicle Parts and Accessorie</t>
  </si>
  <si>
    <t>Truck Trailers</t>
  </si>
  <si>
    <t>Motor Homes</t>
  </si>
  <si>
    <t>Aircraft</t>
  </si>
  <si>
    <t>Aircraft Engines and Engine Parts</t>
  </si>
  <si>
    <t>Aircraft Parts and Equipment, nec</t>
  </si>
  <si>
    <t>Ship Building and Repairing</t>
  </si>
  <si>
    <t>Boat Building and Repairing</t>
  </si>
  <si>
    <t>Railroad Equipment</t>
  </si>
  <si>
    <t>Motorcycle, Bicycles and Parts</t>
  </si>
  <si>
    <t>Guided Missiles and Space Vehicles</t>
  </si>
  <si>
    <t>Space Propulsion Units and Parts</t>
  </si>
  <si>
    <t>Space Vehicle Equipment, nec</t>
  </si>
  <si>
    <t>Travel Trailers and Campers</t>
  </si>
  <si>
    <t>Tanks and Tank Components</t>
  </si>
  <si>
    <t>Transportation Equipment, nec</t>
  </si>
  <si>
    <t>Search and Navigation Equipment</t>
  </si>
  <si>
    <t>Laboratory Apparatus and Furniture</t>
  </si>
  <si>
    <t>Environmental Controls</t>
  </si>
  <si>
    <t>Process Control Instruments</t>
  </si>
  <si>
    <t>Fluid Meters and Counting Devices</t>
  </si>
  <si>
    <t>Instruments to measure Electricity</t>
  </si>
  <si>
    <t>Analytical Instruments</t>
  </si>
  <si>
    <t>Optical Instruments and Lenses</t>
  </si>
  <si>
    <t>Measuring Controlling Devices, nec</t>
  </si>
  <si>
    <t>Surgical and Medical Instruments</t>
  </si>
  <si>
    <t>Surgical Appliances and Supplies</t>
  </si>
  <si>
    <t>Dental Equipment and Supplies</t>
  </si>
  <si>
    <t>X-ray Apparatus and Tubes</t>
  </si>
  <si>
    <t>Electromedical Equipment</t>
  </si>
  <si>
    <t>Opfthalmic</t>
  </si>
  <si>
    <t>Photographic Equipment and Supplies</t>
  </si>
  <si>
    <t>Watches, Clocks, Watchcases and Pa</t>
  </si>
  <si>
    <t>Jewelry, Precious Metals</t>
  </si>
  <si>
    <t>Silverware and Plates Ware</t>
  </si>
  <si>
    <t>Jewelers' Materials and Lapidary Wo</t>
  </si>
  <si>
    <t>Musical Instruments</t>
  </si>
  <si>
    <t>Dolls and Stuffed Toys</t>
  </si>
  <si>
    <t>Games, Toys and Children Vehicle</t>
  </si>
  <si>
    <t>Sporting and Athletic Goods, nec</t>
  </si>
  <si>
    <t>Pens and Mechanical Pencils</t>
  </si>
  <si>
    <t>Lead Pencils and Art Goods</t>
  </si>
  <si>
    <t>Marking Devices</t>
  </si>
  <si>
    <t>Carbon Paper and Inked Ribbons</t>
  </si>
  <si>
    <t>Costume Jewelry</t>
  </si>
  <si>
    <t>Fasteners, Buttons, Needles and Pi</t>
  </si>
  <si>
    <t>Brooms and Brushes</t>
  </si>
  <si>
    <t>Signs and Advertising Specialties</t>
  </si>
  <si>
    <t>Bural Caskets</t>
  </si>
  <si>
    <t>Hard Surface Floor Coverings, nec</t>
  </si>
  <si>
    <t>Manufacturing Industries, nec</t>
  </si>
  <si>
    <t>Transportation Communication Utilities</t>
  </si>
  <si>
    <t>Railroad, Line Hauling Operatings</t>
  </si>
  <si>
    <t>Switching and Terminal Services</t>
  </si>
  <si>
    <t>Local and Suburban Transit</t>
  </si>
  <si>
    <t>Local Passenger Transportation, nec</t>
  </si>
  <si>
    <t>Taxicabs</t>
  </si>
  <si>
    <t>Intercity and Rural bus Transportation</t>
  </si>
  <si>
    <t>Local Bus Charter Service</t>
  </si>
  <si>
    <t>Bus Charter Service, except Local</t>
  </si>
  <si>
    <t>School Buses</t>
  </si>
  <si>
    <t>Bus Termina; and Service Facilities</t>
  </si>
  <si>
    <t>Local Trucking without Storage</t>
  </si>
  <si>
    <t>Trucking, except Local</t>
  </si>
  <si>
    <t>Local Trucking with Storage</t>
  </si>
  <si>
    <t>Courier Services, except by Air</t>
  </si>
  <si>
    <t>Farm Product Warehousing and Storage</t>
  </si>
  <si>
    <t>Refrigerated Warehousing and storag</t>
  </si>
  <si>
    <t>General Warehousing and Storage</t>
  </si>
  <si>
    <t>Special Warehousing and storage, nec</t>
  </si>
  <si>
    <t>Trucking Terminal Facilities</t>
  </si>
  <si>
    <t>U.S. Postal Service</t>
  </si>
  <si>
    <t>Deep Sea Foreign Transp. Of Freight</t>
  </si>
  <si>
    <t>Deep Sea Domestic Transp. Of Freight</t>
  </si>
  <si>
    <t>Freight Transp. On the Great Lakes</t>
  </si>
  <si>
    <t>Water Transportation of Freight, ne</t>
  </si>
  <si>
    <t>Deep Sea Passenger Transp., ex Ferr</t>
  </si>
  <si>
    <t>Ferries</t>
  </si>
  <si>
    <t>Water Passenger Transportation, nec</t>
  </si>
  <si>
    <t>Marine Cargo Handling</t>
  </si>
  <si>
    <t>Towing and Tugboat Servive</t>
  </si>
  <si>
    <t>Marinas</t>
  </si>
  <si>
    <t>Water Transportation Services, nec</t>
  </si>
  <si>
    <t>Air Transportation, Scheduled</t>
  </si>
  <si>
    <t>Air Courier Services</t>
  </si>
  <si>
    <t>Air Transportation, Nonscheduled</t>
  </si>
  <si>
    <t>Airports, Flying Fields and Service</t>
  </si>
  <si>
    <t>Crude Petroleum Pipelines</t>
  </si>
  <si>
    <t>Refined Petroleum Pipelines</t>
  </si>
  <si>
    <t>Pipelines, nec</t>
  </si>
  <si>
    <t>Travel Agencies</t>
  </si>
  <si>
    <t>Tour Operators</t>
  </si>
  <si>
    <t>Passenger Transport Arrangement, ne</t>
  </si>
  <si>
    <t>Freight Transportation Arrangement</t>
  </si>
  <si>
    <t>Rental of Railroad Cars</t>
  </si>
  <si>
    <t>Packing and Crating</t>
  </si>
  <si>
    <t>Inspection and Fixed Facilities</t>
  </si>
  <si>
    <t>Transportation Services, nec</t>
  </si>
  <si>
    <t>Radiotelephone Communications</t>
  </si>
  <si>
    <t>Telephone Communications, exc Radio</t>
  </si>
  <si>
    <t>Telegraph and other Communications</t>
  </si>
  <si>
    <t>Radio Broadcasting Stations</t>
  </si>
  <si>
    <t>Television Broadcasting Stations</t>
  </si>
  <si>
    <t>Cable and other Pay TV Services</t>
  </si>
  <si>
    <t>Communications Services, nec</t>
  </si>
  <si>
    <t>Electrical Services</t>
  </si>
  <si>
    <t>Natural gas Transmission</t>
  </si>
  <si>
    <t xml:space="preserve">Gas Transmission and Distribution </t>
  </si>
  <si>
    <t>Natural Gas Distribution</t>
  </si>
  <si>
    <t>Gas Production and/or Distribution</t>
  </si>
  <si>
    <t>Electrical and other Services Combi</t>
  </si>
  <si>
    <t>Gas and other Services Combined</t>
  </si>
  <si>
    <t>Combination and Utilities, nec</t>
  </si>
  <si>
    <t>Water Supply</t>
  </si>
  <si>
    <t>Sewerage Services</t>
  </si>
  <si>
    <t>Refuse Services</t>
  </si>
  <si>
    <t>Sanitary Services, nec</t>
  </si>
  <si>
    <t>Steam and Air Conditioning Supply</t>
  </si>
  <si>
    <t>Irrigation Systems</t>
  </si>
  <si>
    <t>Wholesale Trade</t>
  </si>
  <si>
    <t>Automobiles and other Motor Vehicl</t>
  </si>
  <si>
    <t>Motor Vehicle Supplies and New Par</t>
  </si>
  <si>
    <t>Tires and Tubes</t>
  </si>
  <si>
    <t>Motor Vehicle Parts, Used</t>
  </si>
  <si>
    <t>Furniture</t>
  </si>
  <si>
    <t>Home Furnishings</t>
  </si>
  <si>
    <t>Lumber, Plywood, and Millwork</t>
  </si>
  <si>
    <t>Brick, Stone and Related Materials</t>
  </si>
  <si>
    <t>Roofing, Siding and Insulation</t>
  </si>
  <si>
    <t>Construction Materials, nec</t>
  </si>
  <si>
    <t>Office Equipment</t>
  </si>
  <si>
    <t>Computers, Peripherals and Softwar</t>
  </si>
  <si>
    <t>Commercial Equipment, nec</t>
  </si>
  <si>
    <t>Medical and Hospital Equipment</t>
  </si>
  <si>
    <t>Ophtmalmic Goods</t>
  </si>
  <si>
    <t>Professional Equipment, nec</t>
  </si>
  <si>
    <t>Metal Service Centers and Offices</t>
  </si>
  <si>
    <t>Coal and other Minerals and Ores</t>
  </si>
  <si>
    <t>Electrical Apparatus and Equipment</t>
  </si>
  <si>
    <t>Electrical Appliances, TV and Radi</t>
  </si>
  <si>
    <t>Electrical Parts and Equipment</t>
  </si>
  <si>
    <t>Hardware</t>
  </si>
  <si>
    <t>Plumbing and Hydronic Heating Suppl</t>
  </si>
  <si>
    <t>Warm Aid Heating and Air Conditioni</t>
  </si>
  <si>
    <t>Refrigeration Equipment and Supplie</t>
  </si>
  <si>
    <t>Construction and Mining Machinery</t>
  </si>
  <si>
    <t>Farm and Garden Machinery</t>
  </si>
  <si>
    <t>Industrial Machinery and Equipment</t>
  </si>
  <si>
    <t>Industrial Supplies</t>
  </si>
  <si>
    <t>Service Establishment Equipment</t>
  </si>
  <si>
    <t>Transportation Equipment and Suppli</t>
  </si>
  <si>
    <t>Sporting and Recreational Goods</t>
  </si>
  <si>
    <t>Toys and Hobby Goods and Supplies</t>
  </si>
  <si>
    <t>Scrap and Waste Materials</t>
  </si>
  <si>
    <t>Jewelry and Precious Stones</t>
  </si>
  <si>
    <t>Durable Goods, nec</t>
  </si>
  <si>
    <t>Printing and Writing Paper</t>
  </si>
  <si>
    <t>Stationary and Office Supplies</t>
  </si>
  <si>
    <t>Industrial and Personal Service Pap</t>
  </si>
  <si>
    <t>Drugs, Propietaries and Sundries</t>
  </si>
  <si>
    <t>Piece Goods and Notions</t>
  </si>
  <si>
    <t>Men's and Boy's Clothing</t>
  </si>
  <si>
    <t>Women's and Children's Clothing</t>
  </si>
  <si>
    <t>Footwear</t>
  </si>
  <si>
    <t>Groceries, General Line</t>
  </si>
  <si>
    <t>Packaged Foods</t>
  </si>
  <si>
    <t>Dairy Products, except Dried or Can</t>
  </si>
  <si>
    <t>Poultry and Poultry Products</t>
  </si>
  <si>
    <t>Confectionery</t>
  </si>
  <si>
    <t>Fish and Seafood</t>
  </si>
  <si>
    <t>Meats and Meat Products</t>
  </si>
  <si>
    <t>Fresh Fruits and Vegetable</t>
  </si>
  <si>
    <t>Groceries and related Products, nec</t>
  </si>
  <si>
    <t>Grain</t>
  </si>
  <si>
    <t xml:space="preserve">Livestock </t>
  </si>
  <si>
    <t>Farm-Product Raw Materials</t>
  </si>
  <si>
    <t>Plastics Materials and Basic Shapes</t>
  </si>
  <si>
    <t>Chemicals and Allied Products, nec</t>
  </si>
  <si>
    <t>Petroleum Bulk Stations and Termina</t>
  </si>
  <si>
    <t>Petroleum Products, nec</t>
  </si>
  <si>
    <t>Beer and Ale</t>
  </si>
  <si>
    <t>Wine and Distilled Beverages</t>
  </si>
  <si>
    <t>Farms Supplies</t>
  </si>
  <si>
    <t>Books, Periodicals and Newspapers</t>
  </si>
  <si>
    <t>Flowers and Florist's Supplies</t>
  </si>
  <si>
    <t>Tobacco and Tobacco Products</t>
  </si>
  <si>
    <t>Paints, Varnishes and Supplies</t>
  </si>
  <si>
    <t>Nondurable Goods, nec</t>
  </si>
  <si>
    <t>Retail Trade</t>
  </si>
  <si>
    <t>Lumber and other Building Materials</t>
  </si>
  <si>
    <t>Paint, Glass and Wallpaper Stores</t>
  </si>
  <si>
    <t>Hardware Stores</t>
  </si>
  <si>
    <t>Retail Nurseries and Garden Stores</t>
  </si>
  <si>
    <t>Mobile Home Dealers</t>
  </si>
  <si>
    <t>Department Stores</t>
  </si>
  <si>
    <t>Variety Stores</t>
  </si>
  <si>
    <t>Misc. General Merchandise Stores</t>
  </si>
  <si>
    <t>Grocery Stores</t>
  </si>
  <si>
    <t>Meat and Fish Markets</t>
  </si>
  <si>
    <t>Fruit and Vegetable Markets</t>
  </si>
  <si>
    <t>Candy, Nut amnd Confectionery Store</t>
  </si>
  <si>
    <t>Dairy Product Stores</t>
  </si>
  <si>
    <t>Retail Bakeries</t>
  </si>
  <si>
    <t>Miscellaneous Food Stores</t>
  </si>
  <si>
    <t>New and Used Car Dealers</t>
  </si>
  <si>
    <t>Used Car Dealers</t>
  </si>
  <si>
    <t>Auto and Home Supply Stores</t>
  </si>
  <si>
    <t>Gasdoline Service Stations</t>
  </si>
  <si>
    <t>Boat Dealers</t>
  </si>
  <si>
    <t>Recreational Vehicle Dealers</t>
  </si>
  <si>
    <t>Motorcycle dealers</t>
  </si>
  <si>
    <t>Automotive Dealers, nec</t>
  </si>
  <si>
    <t>Men's and Boy's Clothing Stores</t>
  </si>
  <si>
    <t>Women's Clothing Stores</t>
  </si>
  <si>
    <t>Women's Accessory and Specialty Sto</t>
  </si>
  <si>
    <t>Children's and Infant's Wear Stores</t>
  </si>
  <si>
    <t>Family Clothing Stores</t>
  </si>
  <si>
    <t>Shoe Stores</t>
  </si>
  <si>
    <t>Misc. Apparel and Accessory Stores</t>
  </si>
  <si>
    <t>Furniture Stores</t>
  </si>
  <si>
    <t>Floor Covering Stores</t>
  </si>
  <si>
    <t>Drapery and Upholstery Stores</t>
  </si>
  <si>
    <t>Misc. Home Furnishings Stores</t>
  </si>
  <si>
    <t>Household Appliance Stores</t>
  </si>
  <si>
    <t>Radio, TV and Electronic Stores</t>
  </si>
  <si>
    <t>Computer and Software Stores</t>
  </si>
  <si>
    <t>Record and Prerecorded tape Stores</t>
  </si>
  <si>
    <t>Musical and Instrument Stores</t>
  </si>
  <si>
    <t>Eating Places</t>
  </si>
  <si>
    <t>Drinking Places</t>
  </si>
  <si>
    <t>Drug Store and Proprietary Stores</t>
  </si>
  <si>
    <t>Liquor Stores</t>
  </si>
  <si>
    <t>Used Merchandise Stores</t>
  </si>
  <si>
    <t>Sporting Goods and Bicycle Shops</t>
  </si>
  <si>
    <t>Book Stores</t>
  </si>
  <si>
    <t>Stationery Stores</t>
  </si>
  <si>
    <t>Jewelry Stores</t>
  </si>
  <si>
    <t>Hobby, Toy and Games Shops</t>
  </si>
  <si>
    <t>Camera and Photographic Supply Stor</t>
  </si>
  <si>
    <t>Gift, Novelty and Souvenir Shops</t>
  </si>
  <si>
    <t>Luggage and Leather Goods Stores</t>
  </si>
  <si>
    <t>Sewing, Needlework and Piece Goods</t>
  </si>
  <si>
    <t>Catalog and mail-Order Houses</t>
  </si>
  <si>
    <t>Merchandising Machine Operators</t>
  </si>
  <si>
    <t>Direct Selling Establishments</t>
  </si>
  <si>
    <t>Fuel Oil Dealers</t>
  </si>
  <si>
    <t>Liquefied Petroleum Gas Dealers</t>
  </si>
  <si>
    <t>Fuel Dealers, nec</t>
  </si>
  <si>
    <t>Florists</t>
  </si>
  <si>
    <t>Tobacco Stores and Stands</t>
  </si>
  <si>
    <t>News Dealers and Newsstands</t>
  </si>
  <si>
    <t>Optical Goods Stores</t>
  </si>
  <si>
    <t>Misc. Retail Stores, nec</t>
  </si>
  <si>
    <t>Finance Insurance Real Estate</t>
  </si>
  <si>
    <t>Federal Reserve Banks</t>
  </si>
  <si>
    <t>Central Reserve Depository, nec</t>
  </si>
  <si>
    <t>National Commercial Banks</t>
  </si>
  <si>
    <t>State Commercial Banks</t>
  </si>
  <si>
    <t>Commercial Banks, nec</t>
  </si>
  <si>
    <t>Federal Savings Institutions</t>
  </si>
  <si>
    <t>Savings Institutions, except Federa</t>
  </si>
  <si>
    <t>Federal Credit Unions</t>
  </si>
  <si>
    <t>State Credit Unions</t>
  </si>
  <si>
    <t>Foreign Bank and Branches and agencies</t>
  </si>
  <si>
    <t>Foreign Trade and International Bk</t>
  </si>
  <si>
    <t>Nondeposit Trust Facilities</t>
  </si>
  <si>
    <t>Functions Related to Deposit Bankin</t>
  </si>
  <si>
    <t>Federal and Fed-sponsored Credit</t>
  </si>
  <si>
    <t>Personal Credit Institutions</t>
  </si>
  <si>
    <t>Short-term Business Credit</t>
  </si>
  <si>
    <t>Misc. Business Credit Institutions</t>
  </si>
  <si>
    <t>Mortgage Bankers and Correspondents</t>
  </si>
  <si>
    <t>Loan Brokers</t>
  </si>
  <si>
    <t>Security Brokers and Dealers</t>
  </si>
  <si>
    <t>Commodity Contracts Brokers, Dealer</t>
  </si>
  <si>
    <t>Security and Commodity Exchanges</t>
  </si>
  <si>
    <t>Investment Advice</t>
  </si>
  <si>
    <t>Security and Commodity Services, ne</t>
  </si>
  <si>
    <t>Life Insurance</t>
  </si>
  <si>
    <t>Accident and Health Insurance</t>
  </si>
  <si>
    <t>Hospital and Medical Service Plans</t>
  </si>
  <si>
    <t>Fire, Marine and Casualty Insurance</t>
  </si>
  <si>
    <t>Surety Insurance</t>
  </si>
  <si>
    <t>Title Insurance</t>
  </si>
  <si>
    <t>Pension, Health and Welfare Funds</t>
  </si>
  <si>
    <t>Insurance Carriers, nec</t>
  </si>
  <si>
    <t>Insurance Agents, Brokers and Serv</t>
  </si>
  <si>
    <t>Nonresidential Building Operators</t>
  </si>
  <si>
    <t>Apartment Building Operators</t>
  </si>
  <si>
    <t>Dwelling Operators, exc. Apartments</t>
  </si>
  <si>
    <t>Mobile Home Site Operators</t>
  </si>
  <si>
    <t>Railroad Property Lessors</t>
  </si>
  <si>
    <t>Real Property Lessors, nec</t>
  </si>
  <si>
    <t>Real estate Agents and Managers</t>
  </si>
  <si>
    <t>Subdividers and Developers, nec</t>
  </si>
  <si>
    <t>Cemetery Subdividers and Developers</t>
  </si>
  <si>
    <t>Bank Holding Companies</t>
  </si>
  <si>
    <t>Holding Companies, nec</t>
  </si>
  <si>
    <t>Management Investment, Open-end</t>
  </si>
  <si>
    <t>Investment Offices, nec</t>
  </si>
  <si>
    <t>Educational, Religious, Etc. Trusts</t>
  </si>
  <si>
    <t>Trusts, nec</t>
  </si>
  <si>
    <t>Oil Royalty Traders</t>
  </si>
  <si>
    <t>Patent Owners and Lessors</t>
  </si>
  <si>
    <t>Real Estate Investment Trusts</t>
  </si>
  <si>
    <t>Investors, nec</t>
  </si>
  <si>
    <t>Service Industries</t>
  </si>
  <si>
    <t>Hotels and Motels</t>
  </si>
  <si>
    <t>Rooming and Boarding Houses</t>
  </si>
  <si>
    <t>Sporting and Recreational Camps</t>
  </si>
  <si>
    <t>Trailer Parks and Campsites</t>
  </si>
  <si>
    <t>Membership-basis Organization Hotel</t>
  </si>
  <si>
    <t>Power Laundries, Family and Commerc</t>
  </si>
  <si>
    <t>Garment Pressing and Cleaner's Agen</t>
  </si>
  <si>
    <t>Linen Supply</t>
  </si>
  <si>
    <t>Coin-operated Laundries and Cleanin</t>
  </si>
  <si>
    <t>Dry Cleaning Plants, except Rug</t>
  </si>
  <si>
    <t>Carpet and Upholstery Cleaning</t>
  </si>
  <si>
    <t>Industrial Launderes</t>
  </si>
  <si>
    <t>Laundry and Garment Services, nec</t>
  </si>
  <si>
    <t>Photographic Studios, Portrait</t>
  </si>
  <si>
    <t>Beauty Shops</t>
  </si>
  <si>
    <t>Barber Shops</t>
  </si>
  <si>
    <t>Shoe Repair and Shoeshine Parlors</t>
  </si>
  <si>
    <t>Funeral Service and Crematories</t>
  </si>
  <si>
    <t>Tax Return Preparation Services</t>
  </si>
  <si>
    <t>Miscellaneous Personal Services, ne</t>
  </si>
  <si>
    <t>Advertising Agencies</t>
  </si>
  <si>
    <t>Outdoor Advertising Services</t>
  </si>
  <si>
    <t>Radio, TV, Publisher Representative</t>
  </si>
  <si>
    <t>Advertising, nec</t>
  </si>
  <si>
    <t>Adjustment and Collection Services</t>
  </si>
  <si>
    <t>Credit Reporting Services</t>
  </si>
  <si>
    <t>Direct Mail Advertising Services</t>
  </si>
  <si>
    <t>Photocopying and Duplicating Servic</t>
  </si>
  <si>
    <t xml:space="preserve">Commercial Photography </t>
  </si>
  <si>
    <t>Commercial Art and Graphic Design</t>
  </si>
  <si>
    <t>Secretarial and Court Reporting</t>
  </si>
  <si>
    <t>Disinfecting and Pest Control Servi</t>
  </si>
  <si>
    <t>Building Maintenance Services, nec</t>
  </si>
  <si>
    <t>Medical Equipment Rental</t>
  </si>
  <si>
    <t>Heavy Construction Equipment Rental</t>
  </si>
  <si>
    <t>Equipment Rental and leasing</t>
  </si>
  <si>
    <t>Employment Services</t>
  </si>
  <si>
    <t>Help Supply Services</t>
  </si>
  <si>
    <t>Computer Programming Services</t>
  </si>
  <si>
    <t>Prepackaged Software</t>
  </si>
  <si>
    <t>Computer Integrated Systems Design</t>
  </si>
  <si>
    <t>Data Processing and Preparation</t>
  </si>
  <si>
    <t>Information Retrieval Services</t>
  </si>
  <si>
    <t>Computer Facilities Management</t>
  </si>
  <si>
    <t>Computer Rental and Leasing</t>
  </si>
  <si>
    <t>Computer Maintenance and Repair</t>
  </si>
  <si>
    <t>Computer Related Services, nec</t>
  </si>
  <si>
    <t>Detective and Armored Car Services</t>
  </si>
  <si>
    <t>Security Systems Services</t>
  </si>
  <si>
    <t>News Syndicates</t>
  </si>
  <si>
    <t>Photofinishing Laboratories</t>
  </si>
  <si>
    <t>Business Services, nec</t>
  </si>
  <si>
    <t>Truck Rental and leasing, no Driver</t>
  </si>
  <si>
    <t>Passenger Car Rental</t>
  </si>
  <si>
    <t>Passenger Car Leasing</t>
  </si>
  <si>
    <t>Utility Trailer Rental</t>
  </si>
  <si>
    <t>Automobile Parking</t>
  </si>
  <si>
    <t>Top and Body Repair and Paint Shops</t>
  </si>
  <si>
    <t>Auto Exhaust System Repair Shops</t>
  </si>
  <si>
    <t>Tire Retrading and Repair Shops</t>
  </si>
  <si>
    <t>Automotive Glass Replacement Shops</t>
  </si>
  <si>
    <t>Automotive Transmission Repair Shop</t>
  </si>
  <si>
    <t>General Automotive Repair Shops, ne</t>
  </si>
  <si>
    <t>Automotive Repair Shops</t>
  </si>
  <si>
    <t>Car Washes</t>
  </si>
  <si>
    <t>Automotive Services, nec</t>
  </si>
  <si>
    <t>Radio and Television Repair</t>
  </si>
  <si>
    <t>Refridgeration Service and repair</t>
  </si>
  <si>
    <t>Electrical Repair Shops, nec</t>
  </si>
  <si>
    <t>Watch, Clock and Jewelry Repair</t>
  </si>
  <si>
    <t>Reupholstery and Furniture Repair</t>
  </si>
  <si>
    <t>Welding repair</t>
  </si>
  <si>
    <t>Armature Rewinding Shops</t>
  </si>
  <si>
    <t>Repair Services, nec</t>
  </si>
  <si>
    <t>Motion Pictures and Video Production</t>
  </si>
  <si>
    <t>Service Allied to Motion Pictures</t>
  </si>
  <si>
    <t>Motion Pictures and Tape Distribution</t>
  </si>
  <si>
    <t>Motion Pictures Distribution Service</t>
  </si>
  <si>
    <t>Motion Picture Theaters, ex. Drv-in</t>
  </si>
  <si>
    <t>Drive-in Motion Picture Theaters</t>
  </si>
  <si>
    <t>Video Tape Rental</t>
  </si>
  <si>
    <t>Dance Studios, Schools and Halls</t>
  </si>
  <si>
    <t>Theatrical Producers and Services</t>
  </si>
  <si>
    <t>Entertainers and Entertainment Group</t>
  </si>
  <si>
    <t>Bowling Centers</t>
  </si>
  <si>
    <t>Sport Clubs, Managers and Promoters</t>
  </si>
  <si>
    <t>Racing, including Track Operation</t>
  </si>
  <si>
    <t>Physical Fitness Facilities</t>
  </si>
  <si>
    <t>Public Golf Courses</t>
  </si>
  <si>
    <t>Coin Operated Amusement Devices</t>
  </si>
  <si>
    <t>Amusement parks</t>
  </si>
  <si>
    <t>Membership Sports and Recreation Cl</t>
  </si>
  <si>
    <t>Amusement and Recreation, nec</t>
  </si>
  <si>
    <t>Offices and Clinics of Medical Doct</t>
  </si>
  <si>
    <t>Offices and Clinics of Dentists</t>
  </si>
  <si>
    <t>Offices of Osteopathic Physicians</t>
  </si>
  <si>
    <t>Offices and Clinics of Chiropractor</t>
  </si>
  <si>
    <t>Offices and Clinics of Optometrists</t>
  </si>
  <si>
    <t>Office and Clinics of Podiatrists</t>
  </si>
  <si>
    <t>Office of Health Practitioners, nec</t>
  </si>
  <si>
    <t>Skilled Nursing Care Facilities</t>
  </si>
  <si>
    <t>Intermediate Care Facilities</t>
  </si>
  <si>
    <t>Nursing and Personal Care, nec</t>
  </si>
  <si>
    <t>General Medical and Surgical Hospit</t>
  </si>
  <si>
    <t>Psychiatric Hospitals</t>
  </si>
  <si>
    <t>Specialty Hospitals exc. Psychiatric</t>
  </si>
  <si>
    <t>Medical Laboratories</t>
  </si>
  <si>
    <t>Dental Laboratories</t>
  </si>
  <si>
    <t>Home Health Care Services</t>
  </si>
  <si>
    <t>Kidney Dialysis Centers</t>
  </si>
  <si>
    <t>Specialty Outpatient Clinics, nec</t>
  </si>
  <si>
    <t>Health and Allied Services, nec</t>
  </si>
  <si>
    <t>Legal Services</t>
  </si>
  <si>
    <t>Educational Services</t>
  </si>
  <si>
    <t>Elementary and Secondary Schools</t>
  </si>
  <si>
    <t>Colleges and Univerities</t>
  </si>
  <si>
    <t>Junior Colleges</t>
  </si>
  <si>
    <t>Libraries</t>
  </si>
  <si>
    <t>Data Processing Schools</t>
  </si>
  <si>
    <t>Business and Secretarial Schools</t>
  </si>
  <si>
    <t>Vocational Schools, nec</t>
  </si>
  <si>
    <t>Schools and Educational Services, n</t>
  </si>
  <si>
    <t>Individual and Family Services</t>
  </si>
  <si>
    <t>Job Training and related Services</t>
  </si>
  <si>
    <t>Child and Day Care Services</t>
  </si>
  <si>
    <t>Residential Care</t>
  </si>
  <si>
    <t>Social Services, nec</t>
  </si>
  <si>
    <t>Museums and Art Galleries</t>
  </si>
  <si>
    <t>Botanical and Zoological Gardens</t>
  </si>
  <si>
    <t>Business Associations</t>
  </si>
  <si>
    <t>Professional Organizations</t>
  </si>
  <si>
    <t>Labor Organizations</t>
  </si>
  <si>
    <t>Civic and Social Associations</t>
  </si>
  <si>
    <t>Political Organizations</t>
  </si>
  <si>
    <t>Religious Organizations</t>
  </si>
  <si>
    <t>Membership Organizations, nec</t>
  </si>
  <si>
    <t>Engineering Services</t>
  </si>
  <si>
    <t>Architectural Services</t>
  </si>
  <si>
    <t>Surveying Services</t>
  </si>
  <si>
    <t>Accounting, Auditing and Bookkeepi</t>
  </si>
  <si>
    <t>Commercial Physical Research</t>
  </si>
  <si>
    <t>Commercial Nonphysical Research</t>
  </si>
  <si>
    <t>Noncommercial Research Organization</t>
  </si>
  <si>
    <t>Testing Laboratories</t>
  </si>
  <si>
    <t>Management Services</t>
  </si>
  <si>
    <t>Management Consulting Services</t>
  </si>
  <si>
    <t>Public Relations Services</t>
  </si>
  <si>
    <t>Facilities Support Services</t>
  </si>
  <si>
    <t>Business Consulting, nec</t>
  </si>
  <si>
    <t>Private Households</t>
  </si>
  <si>
    <t>Services, nec</t>
  </si>
  <si>
    <t>Public Administration</t>
  </si>
  <si>
    <t>Executive Offices</t>
  </si>
  <si>
    <t>Legislative Bodies</t>
  </si>
  <si>
    <t>Executive and Legislative Combined</t>
  </si>
  <si>
    <t>General Government, nec</t>
  </si>
  <si>
    <t>Courts</t>
  </si>
  <si>
    <t>Police Protection</t>
  </si>
  <si>
    <t>Legal Counsel and Prosecution</t>
  </si>
  <si>
    <t>Correctional Institutions</t>
  </si>
  <si>
    <t>Fire Protection</t>
  </si>
  <si>
    <t>Public Order and Safety, nec</t>
  </si>
  <si>
    <t>Finance, Taxation, and Monetary Pol</t>
  </si>
  <si>
    <t>Administration of Educational Progr</t>
  </si>
  <si>
    <t>Administration of Public Health Pro</t>
  </si>
  <si>
    <t>Admin. Of Social and Manpower Progr</t>
  </si>
  <si>
    <t>Admin. Of Veterans' Affair</t>
  </si>
  <si>
    <t>Air, Water, and Solid Waste Managem</t>
  </si>
  <si>
    <t>Land, Mineral and Wildlife Conserv</t>
  </si>
  <si>
    <t>Housing Programs</t>
  </si>
  <si>
    <t>Urban and Community Development</t>
  </si>
  <si>
    <t>Admin. Of General Economic Programs</t>
  </si>
  <si>
    <t>Regulation, Admin. Of Transportation</t>
  </si>
  <si>
    <t>Regulation, Admin. Of Utilities</t>
  </si>
  <si>
    <t>Regulation of Agricultural Marketing</t>
  </si>
  <si>
    <t>Regulation Misc. Commercial Sectors</t>
  </si>
  <si>
    <t>Space Research and Technology</t>
  </si>
  <si>
    <t>National Security</t>
  </si>
  <si>
    <t>International Affairs</t>
  </si>
  <si>
    <t>Non Classified Establishment</t>
  </si>
  <si>
    <t>Please Also Quote</t>
  </si>
  <si>
    <t>Life-SEE RFP</t>
  </si>
  <si>
    <t>SECTION 4:  CURRENT PLANS, BENEFITS AND RATES</t>
  </si>
  <si>
    <t>SECTION 5:  MEDICAL QUOTING OPTIONS ** MAXIMUM 4 OPTIONS</t>
  </si>
  <si>
    <t>SECTION 6:  COMMENTS TO UW</t>
  </si>
  <si>
    <t>SECTION 7:  SPECIALTY QUOTING OPTIONS</t>
  </si>
  <si>
    <t>SECTION 8:  LIFE &amp; DISABILITY QUOTE REQUEST (COPY/PASTE, EMAIL TO LIFE UW)</t>
  </si>
  <si>
    <t>Total Monthly</t>
  </si>
  <si>
    <t>Total Annual</t>
  </si>
  <si>
    <t>Cal Yr Ded</t>
  </si>
  <si>
    <t>Premier Plus 250/20/10; Infertility 8000 Cal Yr Max</t>
  </si>
  <si>
    <t>RX</t>
  </si>
  <si>
    <t>Vs. Current:</t>
  </si>
  <si>
    <t>Plan Code:</t>
  </si>
  <si>
    <t>Discount %:</t>
  </si>
  <si>
    <t>Monthly:</t>
  </si>
  <si>
    <t>RATE BANK</t>
  </si>
  <si>
    <t>BUNDLING DISCOUNT</t>
  </si>
  <si>
    <t>SSE:</t>
  </si>
  <si>
    <t>Effective Date</t>
  </si>
  <si>
    <t>Sales Representative</t>
  </si>
  <si>
    <t>Employer SIC:</t>
  </si>
  <si>
    <t>%</t>
  </si>
  <si>
    <t>$</t>
  </si>
  <si>
    <t>Network:</t>
  </si>
  <si>
    <t>Type of Plan Year:</t>
  </si>
  <si>
    <t>Standard-1x per 12 mnths &lt;18Y/O;1X per 24mnths &gt;=18Y/O</t>
  </si>
  <si>
    <t>Standard-Covered as Diagnostic &amp; Preventive</t>
  </si>
  <si>
    <t>Option 1</t>
  </si>
  <si>
    <t>Option 2</t>
  </si>
  <si>
    <t>Out-of-Network</t>
  </si>
  <si>
    <t>Scenario Description:</t>
  </si>
  <si>
    <t>SECTION 1:  RFP DETAILS</t>
  </si>
  <si>
    <t>SCENARIO 1</t>
  </si>
  <si>
    <t>SCENARIO 3</t>
  </si>
  <si>
    <t>SCENARIO 2</t>
  </si>
  <si>
    <t>Medical Plans</t>
  </si>
  <si>
    <t>Annually:</t>
  </si>
  <si>
    <t>Case Characteristics:</t>
  </si>
  <si>
    <t>Spousal Group Coverage</t>
  </si>
  <si>
    <t xml:space="preserve"> Military</t>
  </si>
  <si>
    <t xml:space="preserve"> FEP</t>
  </si>
  <si>
    <t xml:space="preserve"> Railroad</t>
  </si>
  <si>
    <t xml:space="preserve"> Medicare/Medicaid</t>
  </si>
  <si>
    <t xml:space="preserve"> Coverage thru prior Employer retiree plan</t>
  </si>
  <si>
    <t xml:space="preserve"> Coverage thru other employer</t>
  </si>
  <si>
    <t xml:space="preserve"> Total Recognized Opt Outs</t>
  </si>
  <si>
    <t>Opt Outs For reasons other than those above</t>
  </si>
  <si>
    <t xml:space="preserve"> (Net eligibles less total enrollment)</t>
  </si>
  <si>
    <t xml:space="preserve"> </t>
  </si>
  <si>
    <t>load factor floors</t>
  </si>
  <si>
    <t>Total Replacement</t>
  </si>
  <si>
    <t>Partial Replacement</t>
  </si>
  <si>
    <t>CC</t>
  </si>
  <si>
    <t>HMO cap</t>
  </si>
  <si>
    <t>varies</t>
  </si>
  <si>
    <t>PB</t>
  </si>
  <si>
    <t>SC</t>
  </si>
  <si>
    <t>POS cap</t>
  </si>
  <si>
    <t>Implemented on 11/13</t>
  </si>
  <si>
    <t>Old</t>
  </si>
  <si>
    <t>% Difference</t>
  </si>
  <si>
    <t>DELETE IND</t>
  </si>
  <si>
    <t>ACTUARY CODE</t>
  </si>
  <si>
    <t>AUXILIARY CODE</t>
  </si>
  <si>
    <t>VERSION</t>
  </si>
  <si>
    <t>PARTICIPATION PCT</t>
  </si>
  <si>
    <t>DISCOUNT FLOOR FCTR</t>
  </si>
  <si>
    <t>LOAD FLOOR FCTR</t>
  </si>
  <si>
    <t>ADJ FCTR</t>
  </si>
  <si>
    <t>002-KAISERPARTICIP</t>
  </si>
  <si>
    <t>B</t>
  </si>
  <si>
    <t>Q</t>
  </si>
  <si>
    <t>Total Participation based on Net Eligibles</t>
  </si>
  <si>
    <t>Anthem Participation based on Net Eligibles</t>
  </si>
  <si>
    <t>Total Participation Factor</t>
  </si>
  <si>
    <t>Anthem Participation Factor</t>
  </si>
  <si>
    <t>Kaiser Replacement</t>
  </si>
  <si>
    <t>Partial</t>
  </si>
  <si>
    <t>Total</t>
  </si>
  <si>
    <t>HMO Partial Min load - Ranges</t>
  </si>
  <si>
    <t>HMO Kaiser Load Factor</t>
  </si>
  <si>
    <t>PPO Kaiser Load Factor</t>
  </si>
  <si>
    <t>Participation Rate</t>
  </si>
  <si>
    <t>Participation Adjustment Factor</t>
  </si>
  <si>
    <t>Plans to see</t>
  </si>
  <si>
    <t>Participation Adjustment Factors 2</t>
  </si>
  <si>
    <t>Participation Adjustment Factors 1</t>
  </si>
  <si>
    <t>SECTION 8:  PARTICIPATION CALCULATIONS</t>
  </si>
  <si>
    <t>Total Adjustment</t>
  </si>
  <si>
    <t>Kaiser Replacement Adjustment</t>
  </si>
  <si>
    <t>Alongside Kaiser Adjustment</t>
  </si>
  <si>
    <t>N/A</t>
  </si>
  <si>
    <t>3x Individual</t>
  </si>
  <si>
    <t>Children to Age 26</t>
  </si>
  <si>
    <t>Standard-Covered</t>
  </si>
  <si>
    <t>Dental Net Scenarios to Run:</t>
  </si>
  <si>
    <t>DPPO Scenarios to Run:</t>
  </si>
  <si>
    <t>SECTION 2:  COMMENTS OR STRATEGY</t>
  </si>
  <si>
    <t>DENTAL NET COMPARISON</t>
  </si>
  <si>
    <t>VISION COMPARISON</t>
  </si>
  <si>
    <t>SOL</t>
  </si>
  <si>
    <t>Plan Type:</t>
  </si>
  <si>
    <t>CDHP</t>
  </si>
  <si>
    <t>Passive</t>
  </si>
  <si>
    <t>Adult &amp; Dependent Children</t>
  </si>
  <si>
    <t>Printed Quote Option:</t>
  </si>
  <si>
    <t>Kaiser or SIMNSA:</t>
  </si>
  <si>
    <t>BUNDLING DISCOUNT (Check Below Plans that Sold)</t>
  </si>
  <si>
    <t>Dual Option PPO</t>
  </si>
  <si>
    <t>90th percentile</t>
  </si>
  <si>
    <t>Outpatient Hospital</t>
  </si>
  <si>
    <t>Active</t>
  </si>
  <si>
    <t>Plan and Rate Confirmation</t>
  </si>
  <si>
    <t>Company Name:</t>
  </si>
  <si>
    <t>Medical Commission Rate:</t>
  </si>
  <si>
    <r>
      <t xml:space="preserve">Ancillary Plans Sold </t>
    </r>
    <r>
      <rPr>
        <b/>
        <sz val="11"/>
        <color rgb="FFFF0000"/>
        <rFont val="Calibri"/>
        <family val="2"/>
        <scheme val="minor"/>
      </rPr>
      <t>(Please Check if plan sold):</t>
    </r>
  </si>
  <si>
    <t>Discount</t>
  </si>
  <si>
    <t>SOLD RATES FROM PROPOSAL</t>
  </si>
  <si>
    <t>COMM RATE</t>
  </si>
  <si>
    <t>DISCOUNTED RATES</t>
  </si>
  <si>
    <t>Plan Names</t>
  </si>
  <si>
    <t>EE + SP</t>
  </si>
  <si>
    <t>EE+CH</t>
  </si>
  <si>
    <t>EE+FAM</t>
  </si>
  <si>
    <t>EXAMPLE:  Classic PPO 250/20/10</t>
  </si>
  <si>
    <t>Riders (Please Specify Rider Name)</t>
  </si>
  <si>
    <t>Rider Rates are Not Discounted</t>
  </si>
  <si>
    <t>Dental DPPO</t>
  </si>
  <si>
    <t>Dental HMO</t>
  </si>
  <si>
    <t>Basic Life</t>
  </si>
  <si>
    <t>Basic AD&amp;D</t>
  </si>
  <si>
    <t>Optional Life - Employee &amp; Spouse</t>
  </si>
  <si>
    <t>Optional Life - Dependent</t>
  </si>
  <si>
    <t>Optional AD&amp;D - Employee &amp; Spouse</t>
  </si>
  <si>
    <t>Optional AD&amp;D - Dependent</t>
  </si>
  <si>
    <t>EAP</t>
  </si>
  <si>
    <t>CLASSIC HMO</t>
  </si>
  <si>
    <t>VALUE HMO COPAY</t>
  </si>
  <si>
    <t>VALUE HMO COINSURANCE</t>
  </si>
  <si>
    <t>VALUE HMO DEDUCTIBLE</t>
  </si>
  <si>
    <t>HEALTHY SUPPORT HMO</t>
  </si>
  <si>
    <t>ELEMENTS CHOICE HMO</t>
  </si>
  <si>
    <t>Ded/Mbr</t>
  </si>
  <si>
    <t>EXCLUSIVE CLASSIC - NON CA ONLY</t>
  </si>
  <si>
    <t>EXCLUSIVE VALUE - NON CA ONLY</t>
  </si>
  <si>
    <t>EPO PLAN - CA OR NON-CA (Rich In-Network benefits, no gatekeeper, no out-of-network benefits)</t>
  </si>
  <si>
    <t>Anthem PPO HSA 1350/4500 10/30 LHSA287H</t>
  </si>
  <si>
    <t>$1350/$2700/$3000 in; $4050/$4050/$8100 out</t>
  </si>
  <si>
    <t>$1500/$2700/$3000 in; $4500/$4500/$9000 out</t>
  </si>
  <si>
    <t>$2000/$2700/$4000 in; $6000/$6000/$12000 out</t>
  </si>
  <si>
    <t>Anthem PPO HSA 2700/0</t>
  </si>
  <si>
    <t>Anthem PPO HSA 2700/20</t>
  </si>
  <si>
    <t>$6950/$13300</t>
  </si>
  <si>
    <t>BenRevo Quote:</t>
  </si>
  <si>
    <t>THMO</t>
  </si>
  <si>
    <t>SHMO</t>
  </si>
  <si>
    <t>PSHMO</t>
  </si>
  <si>
    <t>VIVITY</t>
  </si>
  <si>
    <t>X</t>
  </si>
  <si>
    <t>Annual:</t>
  </si>
  <si>
    <t>No. of Medical Plans:</t>
  </si>
  <si>
    <t>EXHIBIT</t>
  </si>
  <si>
    <t>Enter Renewal %</t>
  </si>
  <si>
    <t>Rate Bank Rate:</t>
  </si>
  <si>
    <t>Check Below Plans that Sold (drop downs)</t>
  </si>
  <si>
    <t>Dental Tab</t>
  </si>
  <si>
    <t># of Tiers:</t>
  </si>
  <si>
    <t>RB Plans</t>
  </si>
  <si>
    <t>RB Rates</t>
  </si>
  <si>
    <t>Co-Brokerage/Producer Name:</t>
  </si>
  <si>
    <t>NUMBER OF TIERS TO QUOTE:</t>
  </si>
  <si>
    <t>NUMBER OF PLANS:</t>
  </si>
  <si>
    <t>OPTIONS:  HMOs: THMO, SHMO, PSHMO,VIVITY; PPOs: PPO, SOL, EPO, CDHP, BCE; EQ;  AHM or ABF (see tabs)</t>
  </si>
  <si>
    <t>Current:</t>
  </si>
  <si>
    <t>Enrolled:</t>
  </si>
  <si>
    <t>24 months</t>
  </si>
  <si>
    <t>Fully Insured</t>
  </si>
  <si>
    <t>KAISER</t>
  </si>
  <si>
    <t>DPPO PLAN 1</t>
  </si>
  <si>
    <t>DPPO PLAN 2</t>
  </si>
  <si>
    <t>DHMO PLAN</t>
  </si>
  <si>
    <t>SECTION 3:  CURRENT DENTAL PLANS</t>
  </si>
  <si>
    <t>SECTION 4:  RENEWAL RATES</t>
  </si>
  <si>
    <t>DPPO - SCENARIO 1:</t>
  </si>
  <si>
    <t>Ancillary Plan Comparisons</t>
  </si>
  <si>
    <t>Enter Percentage ONLY (e.g., 2%)</t>
  </si>
  <si>
    <t>MedDropDowns</t>
  </si>
  <si>
    <t>AGE-BANDED?</t>
  </si>
  <si>
    <t>ALL PLANS</t>
  </si>
  <si>
    <t>Pre-populate</t>
  </si>
  <si>
    <t>AGE-BANDED (CURRENT AND RENWAL MONTHLY RATES)</t>
  </si>
  <si>
    <t>Rate Bank Subtotal:</t>
  </si>
  <si>
    <t>Total Rate Bank Dollars:</t>
  </si>
  <si>
    <t>SALES NOTES</t>
  </si>
  <si>
    <t>No. of Kaiser Lives:</t>
  </si>
  <si>
    <t>Broker Contact Email for Benrevo Quote:</t>
  </si>
  <si>
    <t>Rate Bank Request:</t>
  </si>
  <si>
    <t>2018 PLAN NAME</t>
  </si>
  <si>
    <t>HAVE YOU RECEIVED ATTESTATION FROM BROKER?</t>
  </si>
  <si>
    <t>Number of COBRA:</t>
  </si>
  <si>
    <t>EPO4</t>
  </si>
  <si>
    <t>EPO 3000/25/20</t>
  </si>
  <si>
    <t>$7350/$14700</t>
  </si>
  <si>
    <t>$5/$15/$25/$40/30% with Inf National</t>
  </si>
  <si>
    <t>$5/$15/$25/$45/30% National</t>
  </si>
  <si>
    <t>CLASSIC SELECT PPO (NON-CA ONLY)</t>
  </si>
  <si>
    <t>PPOC8</t>
  </si>
  <si>
    <t>PPOC9</t>
  </si>
  <si>
    <t>Classic SELECT PPO 250/20/10</t>
  </si>
  <si>
    <t>Classic SELECT PPO 500/30/20</t>
  </si>
  <si>
    <t>SOL6</t>
  </si>
  <si>
    <t>Solution PPO 5500/30/30</t>
  </si>
  <si>
    <t>PPOEC3</t>
  </si>
  <si>
    <t>Elements Choice PPO 6500</t>
  </si>
  <si>
    <t>$35x3 then Ded</t>
  </si>
  <si>
    <t xml:space="preserve">$5/$20/$50/$65/30% $500 Ded Essential </t>
  </si>
  <si>
    <t>$5/$20/$40/$60/30% $150 Ded Essential</t>
  </si>
  <si>
    <t xml:space="preserve">$5/$20/$40/$60/30% $150 Ded Essential </t>
  </si>
  <si>
    <t>Value Deductible HMO 750 25/40/25%</t>
  </si>
  <si>
    <t>$3500/$6000</t>
  </si>
  <si>
    <t>$250 Ded then 10% of charges</t>
  </si>
  <si>
    <t>$500 Ded then 20% of charges</t>
  </si>
  <si>
    <t>$1500 Ded then 25% of charges</t>
  </si>
  <si>
    <t>$750 Ded then 25% of charges</t>
  </si>
  <si>
    <t>$2000 Ded then 20% of charges</t>
  </si>
  <si>
    <t>$2000 Ded then 25% of charges</t>
  </si>
  <si>
    <t>$5/$20/$40/$75/30% $250 Ded Essential</t>
  </si>
  <si>
    <t>$1500 Ded then 30% of charges</t>
  </si>
  <si>
    <t>$3000 Ded then 20% of charges</t>
  </si>
  <si>
    <t>$5900 Ded then 30% of charges</t>
  </si>
  <si>
    <t>$5/$20/$50/$65/30% $500 Ded Essential</t>
  </si>
  <si>
    <t>$5/$15/$40/$60/30% National</t>
  </si>
  <si>
    <t>If commission or contribution is 0, please put 0 don't leave blank.</t>
  </si>
  <si>
    <t xml:space="preserve">For "Broker Contact Email for Benrevo Quote" put down the email of the person who sent in the RFP request </t>
  </si>
  <si>
    <t>OPTION 1:</t>
  </si>
  <si>
    <t>OPTION 2:</t>
  </si>
  <si>
    <t>OPTION 3:</t>
  </si>
  <si>
    <t xml:space="preserve">1) </t>
  </si>
  <si>
    <t xml:space="preserve">2) </t>
  </si>
  <si>
    <t xml:space="preserve">3) </t>
  </si>
  <si>
    <t xml:space="preserve">4) </t>
  </si>
  <si>
    <t xml:space="preserve">5) </t>
  </si>
  <si>
    <t>ANTHEM PROPOSED</t>
  </si>
  <si>
    <t>Annual Rates</t>
  </si>
  <si>
    <t>Current Rates</t>
  </si>
  <si>
    <t>Renewal Rates</t>
  </si>
  <si>
    <t>$ Anthem vs. Renewal</t>
  </si>
  <si>
    <t>% Anthem vs. Renewal</t>
  </si>
  <si>
    <t>CURRENT - INCUMBENT</t>
  </si>
  <si>
    <t>RENEWAL - INCUMBENT</t>
  </si>
  <si>
    <t>RECOMMENDED MEDICAL PLANS (EXAMPLE:  PSHMO/THMO/PPO/CDHP)</t>
  </si>
  <si>
    <t>RECOMMENDED VISION PLANS (EXAMPLE:  Blue View Vision BV6B)</t>
  </si>
  <si>
    <t>INITIAL PROPOSAL COMPARISON - TOTAL BY MONTH/YEAR</t>
  </si>
  <si>
    <t>INITIAL PROPOSAL COMPARISON - MONTHLY RATES BY PLAN</t>
  </si>
  <si>
    <t># OF TIERS</t>
  </si>
  <si>
    <t>INTAKE TAB</t>
  </si>
  <si>
    <t>Anthem Rates:</t>
  </si>
  <si>
    <t>SECTION 5:  CURRENT VISION PLANS</t>
  </si>
  <si>
    <t>Current Vision Carrier:</t>
  </si>
  <si>
    <t>VISION PLAN</t>
  </si>
  <si>
    <t>Current Rates:</t>
  </si>
  <si>
    <t>Current Enrolled:</t>
  </si>
  <si>
    <t>Renewal Rates:</t>
  </si>
  <si>
    <t>Rates/Enrolled</t>
  </si>
  <si>
    <t>Rates</t>
  </si>
  <si>
    <t>All cells populate form Ancillary Intake Page</t>
  </si>
  <si>
    <t>ANTHEM DISCOUNTED</t>
  </si>
  <si>
    <t>DISCOUNTED RATES PROPOSAL COMPARISON - MONTHLY RATES BY PLAN</t>
  </si>
  <si>
    <t>All Quote Options</t>
  </si>
  <si>
    <t>Current Premium Per Month:</t>
  </si>
  <si>
    <t>Renewal Premium Per Month:</t>
  </si>
  <si>
    <t>% Anthem vs. Current</t>
  </si>
  <si>
    <t>$ Anthem vs. Current</t>
  </si>
  <si>
    <t>RATE BANKED / DISCOUNTED RATES COMPARISON - TOTAL BY MONTH/YEAR</t>
  </si>
  <si>
    <t>ANTHEM WITH BUNDLING DISCOUNT</t>
  </si>
  <si>
    <t>COVER LETTER COMMENTS (Optional - See Comment for Example):</t>
  </si>
  <si>
    <t>All fields highlighted in Green must be filled out.</t>
  </si>
  <si>
    <t>On the EXHIBIT tab, plan codes and HMO networks are required if you would like BenRevo to illustrate for the broker.</t>
  </si>
  <si>
    <t>**PLEASE READ BEFORE SENDING OPTIMIZER TO BENREVO**</t>
  </si>
  <si>
    <t>RECOMMENDED DENTAL PLANS (EXAMPLE:  Dental Complete / Dental Net 2000B)</t>
  </si>
  <si>
    <t>FINAL SALES STRATEGY FOR BENREVO</t>
  </si>
  <si>
    <t>DPPO SCENARIO 1 - OPTION 1</t>
  </si>
  <si>
    <t>SUBSCRIBERS</t>
  </si>
  <si>
    <t>DPPO SCENARIO 1 - OPTION 2</t>
  </si>
  <si>
    <t>ANTHEM vs CURRENT</t>
  </si>
  <si>
    <t>ANTHEM vs RENEWAL</t>
  </si>
  <si>
    <t>ANTHEM</t>
  </si>
  <si>
    <t>INCUMBENT CURRENT</t>
  </si>
  <si>
    <t>INCUMBENT RENEWAL</t>
  </si>
  <si>
    <t>UW Approval Not Required</t>
  </si>
  <si>
    <t>DPPO Only</t>
  </si>
  <si>
    <t>CA Dental Rate Request Form / Vision Intake</t>
  </si>
  <si>
    <t>Complete cells with a white and green backgrounds.</t>
  </si>
  <si>
    <t xml:space="preserve">On the ANCILLARY INTAKE tab, Vision Carrier is required if you are replacing. </t>
  </si>
  <si>
    <r>
      <t>1.</t>
    </r>
    <r>
      <rPr>
        <sz val="7"/>
        <color theme="1"/>
        <rFont val="Times New Roman"/>
        <family val="1"/>
      </rPr>
      <t xml:space="preserve">      </t>
    </r>
    <r>
      <rPr>
        <sz val="11"/>
        <color theme="1"/>
        <rFont val="Calibri"/>
        <family val="2"/>
        <scheme val="minor"/>
      </rPr>
      <t>BENREVO instructions tab added.  Jenn explained the BenRevo requirements on the call, but they are included here for your reference.</t>
    </r>
  </si>
  <si>
    <r>
      <t>2.</t>
    </r>
    <r>
      <rPr>
        <sz val="7"/>
        <color theme="1"/>
        <rFont val="Times New Roman"/>
        <family val="1"/>
      </rPr>
      <t xml:space="preserve">      </t>
    </r>
    <r>
      <rPr>
        <sz val="11"/>
        <color theme="1"/>
        <rFont val="Calibri"/>
        <family val="2"/>
        <scheme val="minor"/>
      </rPr>
      <t>Benrevo required cells are highlighted green.</t>
    </r>
  </si>
  <si>
    <r>
      <t>3.</t>
    </r>
    <r>
      <rPr>
        <sz val="7"/>
        <color theme="1"/>
        <rFont val="Times New Roman"/>
        <family val="1"/>
      </rPr>
      <t xml:space="preserve">      </t>
    </r>
    <r>
      <rPr>
        <sz val="11"/>
        <color theme="1"/>
        <rFont val="Calibri"/>
        <family val="2"/>
        <scheme val="minor"/>
      </rPr>
      <t>INTAKE TAB, Cell L2: added Attestation options. </t>
    </r>
  </si>
  <si>
    <r>
      <t>4.</t>
    </r>
    <r>
      <rPr>
        <sz val="7"/>
        <color theme="1"/>
        <rFont val="Times New Roman"/>
        <family val="1"/>
      </rPr>
      <t xml:space="preserve">      </t>
    </r>
    <r>
      <rPr>
        <sz val="11"/>
        <color theme="1"/>
        <rFont val="Calibri"/>
        <family val="2"/>
        <scheme val="minor"/>
      </rPr>
      <t>EXHIBIT TAB, Cells Q83-101AE:  added Final Sales Strategy. Option 1 plans listed here will determine the plans shown to broker on the BenRevo quote and must tie to the plans exhibited. </t>
    </r>
  </si>
  <si>
    <r>
      <t>5.</t>
    </r>
    <r>
      <rPr>
        <sz val="7"/>
        <color theme="1"/>
        <rFont val="Times New Roman"/>
        <family val="1"/>
      </rPr>
      <t xml:space="preserve">      </t>
    </r>
    <r>
      <rPr>
        <sz val="11"/>
        <color theme="1"/>
        <rFont val="Calibri"/>
        <family val="2"/>
        <scheme val="minor"/>
      </rPr>
      <t>INTAKE TAB, Cell I8: added Select One, No GA, LISI, or Warner Pacific.</t>
    </r>
  </si>
  <si>
    <r>
      <t>6.</t>
    </r>
    <r>
      <rPr>
        <sz val="7"/>
        <color theme="1"/>
        <rFont val="Times New Roman"/>
        <family val="1"/>
      </rPr>
      <t xml:space="preserve">      </t>
    </r>
    <r>
      <rPr>
        <sz val="11"/>
        <color theme="1"/>
        <rFont val="Calibri"/>
        <family val="2"/>
        <scheme val="minor"/>
      </rPr>
      <t>INTAKE TAB, Cell I9: must enter GA email, if GA is involved.</t>
    </r>
  </si>
  <si>
    <r>
      <t>7.</t>
    </r>
    <r>
      <rPr>
        <sz val="7"/>
        <color theme="1"/>
        <rFont val="Times New Roman"/>
        <family val="1"/>
      </rPr>
      <t xml:space="preserve">      </t>
    </r>
    <r>
      <rPr>
        <sz val="11"/>
        <color theme="1"/>
        <rFont val="Calibri"/>
        <family val="2"/>
        <scheme val="minor"/>
      </rPr>
      <t>DENTAL INTAKE TAB:  added Vision so that input is no longer required on the ANCILLARY EXHIBIT TAB. If vision is quoted, Vision provider is now required.</t>
    </r>
  </si>
  <si>
    <t>Made horizontal scroll bar viewable – this should help when working on the right side of the EXHIBIT tab.</t>
  </si>
  <si>
    <t>INTAKE TAB, Cell L15 (# of tiers) affects:  1) cells J16-L16 – headers change; 2) columns change color; 3) EXHIBIT TAB, subscribers change in column B.</t>
  </si>
  <si>
    <t>EXHIBIT TAB, columns Q thru AE:  added comparison to renewal rates.</t>
  </si>
  <si>
    <t>DENTAL INTAKE TAB:  added rows to enter Anthem Rates in Section 3.</t>
  </si>
  <si>
    <t>DENTAL INTAKE TAB:  removed the rows to enter Renewal subscribers in Section 4 since it was unnecessary.</t>
  </si>
  <si>
    <t>ANCILLARY EXHIBIT TAB:  added dental and vision comparison to renewal rates.  No input is necessary on this page – all fields will populate.</t>
  </si>
  <si>
    <t>10/16/2017 Rev 18b</t>
  </si>
  <si>
    <t>10/14/2017 Rev 18</t>
  </si>
  <si>
    <t>Changed SAR/SAE assigments:  Kristine Eagan w/ Ale; Kristin Fortney w/Crystal.</t>
  </si>
  <si>
    <t>Corrected typos on BenRevo Tab (ancillary misspelled and Intake misspelled)</t>
  </si>
  <si>
    <t>If the renewal is under 1%, must enter the number with a "0" and decimal point in front of it as follows:  "0.5".</t>
  </si>
  <si>
    <t>TO HIDE/UNHIDE COLUMNS Q-T, CLICK ON +/- SIGN ABOVE COLUMN T.</t>
  </si>
  <si>
    <t>UHC</t>
  </si>
  <si>
    <t>HMO Plan</t>
  </si>
  <si>
    <t>Blue View Vision</t>
  </si>
  <si>
    <t>CIGNA</t>
  </si>
  <si>
    <t>test@domain.com</t>
  </si>
  <si>
    <t>DHMO &amp; DPPO</t>
  </si>
  <si>
    <t>test@domain.test</t>
  </si>
  <si>
    <t>Test Broker</t>
  </si>
  <si>
    <t>Test Client</t>
  </si>
  <si>
    <t>Test Agent</t>
  </si>
  <si>
    <t>DEVSALE_FIRST_NAME DEVSALE_LAST_NAME</t>
  </si>
  <si>
    <t>DEVPRESALE_FIRST_NAME DEVPRESALE_LAST_NAME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</si>
</sst>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6" formatCode="&quot;$&quot;#,##0_);[Red]\(&quot;$&quot;#,##0\)"/>
    <numFmt numFmtId="44" formatCode="_(&quot;$&quot;* #,##0.00_);_(&quot;$&quot;* \(#,##0.00\);_(&quot;$&quot;* &quot;-&quot;??_);_(@_)"/>
    <numFmt numFmtId="43" formatCode="_(* #,##0.00_);_(* \(#,##0.00\);_(* &quot;-&quot;??_);_(@_)"/>
    <numFmt numFmtId="164" formatCode="m/d/yy;@"/>
    <numFmt numFmtId="165" formatCode="&quot;$&quot;#,##0.00"/>
    <numFmt numFmtId="166" formatCode="0.0%"/>
    <numFmt numFmtId="167" formatCode="&quot;$&quot;#,##0"/>
    <numFmt numFmtId="168" formatCode="m/d/yyyy;@"/>
    <numFmt numFmtId="169" formatCode="_(* #,##0.000_);_(* \(#,##0.000\);_(* &quot;-&quot;??_);_(@_)"/>
  </numFmts>
  <fonts count="103"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2"/>
      <color theme="0"/>
      <name val="Calibri"/>
      <family val="2"/>
      <scheme val="minor"/>
    </font>
    <font>
      <b/>
      <sz val="11"/>
      <color rgb="FFFF0000"/>
      <name val="Calibri"/>
      <family val="2"/>
      <scheme val="minor"/>
    </font>
    <font>
      <b/>
      <sz val="11"/>
      <color theme="3" tint="-0.249977111117893"/>
      <name val="Calibri"/>
      <family val="2"/>
      <scheme val="minor"/>
    </font>
    <font>
      <sz val="10"/>
      <color theme="3" tint="-0.249977111117893"/>
      <name val="Calibri"/>
      <family val="2"/>
      <scheme val="minor"/>
    </font>
    <font>
      <b/>
      <sz val="10"/>
      <color theme="3" tint="-0.249977111117893"/>
      <name val="Calibri"/>
      <family val="2"/>
      <scheme val="minor"/>
    </font>
    <font>
      <b/>
      <sz val="10"/>
      <color theme="1"/>
      <name val="Calibri"/>
      <family val="2"/>
      <scheme val="minor"/>
    </font>
    <font>
      <i/>
      <sz val="11"/>
      <color theme="1"/>
      <name val="Calibri"/>
      <family val="2"/>
      <scheme val="minor"/>
    </font>
    <font>
      <sz val="10"/>
      <color rgb="FF0000CC"/>
      <name val="Calibri"/>
      <family val="2"/>
      <scheme val="minor"/>
    </font>
    <font>
      <sz val="11"/>
      <name val="Calibri"/>
      <family val="2"/>
      <scheme val="minor"/>
    </font>
    <font>
      <b/>
      <sz val="11"/>
      <name val="Calibri"/>
      <family val="2"/>
      <scheme val="minor"/>
    </font>
    <font>
      <b/>
      <sz val="11"/>
      <color theme="4" tint="-0.499984740745262"/>
      <name val="Calibri"/>
      <family val="2"/>
      <scheme val="minor"/>
    </font>
    <font>
      <b/>
      <sz val="18"/>
      <color rgb="FF0070C0"/>
      <name val="Calibri"/>
      <family val="2"/>
      <scheme val="minor"/>
    </font>
    <font>
      <sz val="11"/>
      <color theme="4" tint="-0.499984740745262"/>
      <name val="Calibri"/>
      <family val="2"/>
      <scheme val="minor"/>
    </font>
    <font>
      <b/>
      <sz val="8"/>
      <color theme="1"/>
      <name val="Calibri"/>
      <family val="2"/>
      <scheme val="minor"/>
    </font>
    <font>
      <sz val="11"/>
      <color theme="3" tint="-0.249977111117893"/>
      <name val="Calibri"/>
      <family val="2"/>
      <scheme val="minor"/>
    </font>
    <font>
      <sz val="10"/>
      <name val="Arial"/>
      <family val="2"/>
    </font>
    <font>
      <b/>
      <sz val="10"/>
      <name val="Calibri"/>
      <family val="2"/>
      <scheme val="minor"/>
    </font>
    <font>
      <sz val="10"/>
      <name val="Calibri"/>
      <family val="2"/>
      <scheme val="minor"/>
    </font>
    <font>
      <b/>
      <sz val="18"/>
      <color rgb="FF0070C0"/>
      <name val="Helvetica Condensed"/>
      <family val="2"/>
    </font>
    <font>
      <b/>
      <sz val="18"/>
      <name val="Century Gothic"/>
      <family val="2"/>
    </font>
    <font>
      <b/>
      <i/>
      <sz val="11"/>
      <color theme="3" tint="-0.249977111117893"/>
      <name val="Calibri"/>
      <family val="2"/>
      <scheme val="minor"/>
    </font>
    <font>
      <b/>
      <sz val="18"/>
      <color theme="3" tint="-0.249977111117893"/>
      <name val="Calibri"/>
      <family val="2"/>
      <scheme val="minor"/>
    </font>
    <font>
      <b/>
      <sz val="14"/>
      <color theme="3" tint="-0.249977111117893"/>
      <name val="Calibri"/>
      <family val="2"/>
      <scheme val="minor"/>
    </font>
    <font>
      <sz val="10"/>
      <color theme="1"/>
      <name val="Calibri Light"/>
      <family val="2"/>
      <scheme val="major"/>
    </font>
    <font>
      <sz val="10"/>
      <name val="Calibri Light"/>
      <family val="2"/>
      <scheme val="major"/>
    </font>
    <font>
      <sz val="12"/>
      <color rgb="FF000000"/>
      <name val="Calibri"/>
      <family val="2"/>
      <scheme val="minor"/>
    </font>
    <font>
      <b/>
      <sz val="12"/>
      <color theme="3" tint="-0.249977111117893"/>
      <name val="Calibri"/>
      <family val="2"/>
      <scheme val="minor"/>
    </font>
    <font>
      <sz val="11"/>
      <color rgb="FF000000"/>
      <name val="Calibri"/>
      <family val="2"/>
      <scheme val="minor"/>
    </font>
    <font>
      <b/>
      <sz val="12"/>
      <color theme="1"/>
      <name val="Calibri"/>
      <family val="2"/>
      <scheme val="minor"/>
    </font>
    <font>
      <u/>
      <sz val="10"/>
      <color indexed="12"/>
      <name val="Arial"/>
      <family val="2"/>
    </font>
    <font>
      <b/>
      <sz val="12"/>
      <color rgb="FFFF0000"/>
      <name val="Calibri"/>
      <family val="2"/>
      <scheme val="minor"/>
    </font>
    <font>
      <b/>
      <u/>
      <sz val="12"/>
      <name val="Arial"/>
      <family val="2"/>
    </font>
    <font>
      <b/>
      <sz val="10"/>
      <name val="Arial"/>
      <family val="2"/>
    </font>
    <font>
      <b/>
      <sz val="12"/>
      <name val="Arial"/>
      <family val="2"/>
    </font>
    <font>
      <b/>
      <u/>
      <sz val="10"/>
      <name val="Arial"/>
      <family val="2"/>
    </font>
    <font>
      <b/>
      <sz val="10"/>
      <color rgb="FFC00000"/>
      <name val="Arial"/>
      <family val="2"/>
    </font>
    <font>
      <b/>
      <u/>
      <sz val="11"/>
      <name val="Calibri"/>
      <family val="2"/>
      <scheme val="minor"/>
    </font>
    <font>
      <u/>
      <sz val="11"/>
      <color indexed="12"/>
      <name val="Calibri"/>
      <family val="2"/>
      <scheme val="minor"/>
    </font>
    <font>
      <b/>
      <sz val="5.5"/>
      <color theme="4" tint="-0.499984740745262"/>
      <name val="Calibri"/>
      <family val="2"/>
      <scheme val="minor"/>
    </font>
    <font>
      <b/>
      <sz val="9"/>
      <color theme="3" tint="-0.249977111117893"/>
      <name val="Calibri"/>
      <family val="2"/>
      <scheme val="minor"/>
    </font>
    <font>
      <b/>
      <sz val="5.5"/>
      <color theme="1"/>
      <name val="Calibri"/>
      <family val="2"/>
      <scheme val="minor"/>
    </font>
    <font>
      <b/>
      <sz val="10"/>
      <color theme="0"/>
      <name val="Calibri"/>
      <family val="2"/>
      <scheme val="minor"/>
    </font>
    <font>
      <b/>
      <sz val="12"/>
      <color theme="4" tint="-0.499984740745262"/>
      <name val="Calibri"/>
      <family val="2"/>
      <scheme val="minor"/>
    </font>
    <font>
      <b/>
      <sz val="12"/>
      <name val="Calibri"/>
      <family val="2"/>
      <scheme val="minor"/>
    </font>
    <font>
      <b/>
      <sz val="18"/>
      <name val="Calibri"/>
      <family val="2"/>
      <scheme val="minor"/>
    </font>
    <font>
      <b/>
      <sz val="10"/>
      <color rgb="FF366092"/>
      <name val="Calibri"/>
      <family val="2"/>
      <scheme val="minor"/>
    </font>
    <font>
      <b/>
      <sz val="12"/>
      <name val="Century Gothic"/>
      <family val="2"/>
    </font>
    <font>
      <b/>
      <sz val="12"/>
      <color rgb="FF366092"/>
      <name val="Century Gothic"/>
      <family val="2"/>
    </font>
    <font>
      <b/>
      <sz val="16"/>
      <name val="Century Gothic"/>
      <family val="2"/>
    </font>
    <font>
      <b/>
      <sz val="12"/>
      <color theme="4" tint="-0.499984740745262"/>
      <name val="Century Gothic"/>
      <family val="2"/>
    </font>
    <font>
      <b/>
      <sz val="16"/>
      <color theme="4" tint="-0.499984740745262"/>
      <name val="Century Gothic"/>
      <family val="2"/>
    </font>
    <font>
      <b/>
      <sz val="12"/>
      <color rgb="FF0070C0"/>
      <name val="Calibri"/>
      <family val="2"/>
      <scheme val="minor"/>
    </font>
    <font>
      <sz val="12"/>
      <color theme="1"/>
      <name val="Calibri"/>
      <family val="2"/>
      <scheme val="minor"/>
    </font>
    <font>
      <sz val="12"/>
      <name val="Calibri"/>
      <family val="2"/>
      <scheme val="minor"/>
    </font>
    <font>
      <b/>
      <sz val="14"/>
      <color indexed="10"/>
      <name val="Arial"/>
      <family val="2"/>
    </font>
    <font>
      <b/>
      <sz val="10"/>
      <color rgb="FF0000FF"/>
      <name val="Arial"/>
      <family val="2"/>
    </font>
    <font>
      <b/>
      <u/>
      <sz val="12"/>
      <color indexed="10"/>
      <name val="Arial"/>
      <family val="2"/>
    </font>
    <font>
      <b/>
      <sz val="10"/>
      <color indexed="18"/>
      <name val="Arial"/>
      <family val="2"/>
    </font>
    <font>
      <b/>
      <sz val="10"/>
      <color indexed="10"/>
      <name val="Arial"/>
      <family val="2"/>
    </font>
    <font>
      <b/>
      <sz val="10"/>
      <color indexed="12"/>
      <name val="Arial"/>
      <family val="2"/>
    </font>
    <font>
      <b/>
      <sz val="10"/>
      <color rgb="FFFF0000"/>
      <name val="Arial"/>
      <family val="2"/>
    </font>
    <font>
      <u/>
      <sz val="10"/>
      <name val="Arial"/>
      <family val="2"/>
    </font>
    <font>
      <sz val="10"/>
      <color indexed="12"/>
      <name val="Arial"/>
      <family val="2"/>
    </font>
    <font>
      <b/>
      <sz val="9"/>
      <color indexed="81"/>
      <name val="Tahoma"/>
      <family val="2"/>
    </font>
    <font>
      <b/>
      <sz val="12"/>
      <color rgb="FFEEECE1"/>
      <name val="Century Gothic"/>
      <family val="2"/>
    </font>
    <font>
      <b/>
      <sz val="18"/>
      <color rgb="FFEEECE1"/>
      <name val="Helvetica Condensed"/>
      <family val="2"/>
    </font>
    <font>
      <sz val="11"/>
      <color rgb="FFEEECE1"/>
      <name val="Calibri"/>
      <family val="2"/>
      <scheme val="minor"/>
    </font>
    <font>
      <b/>
      <sz val="14"/>
      <color theme="0"/>
      <name val="Calibri"/>
      <family val="2"/>
      <scheme val="minor"/>
    </font>
    <font>
      <sz val="11"/>
      <color rgb="FFFF0000"/>
      <name val="Calibri"/>
      <family val="2"/>
      <scheme val="minor"/>
    </font>
    <font>
      <b/>
      <sz val="14"/>
      <name val="Calibri"/>
      <family val="2"/>
      <scheme val="minor"/>
    </font>
    <font>
      <b/>
      <sz val="14"/>
      <color theme="1"/>
      <name val="Calibri"/>
      <family val="2"/>
      <scheme val="minor"/>
    </font>
    <font>
      <b/>
      <sz val="11"/>
      <color rgb="FFC00000"/>
      <name val="Calibri"/>
      <family val="2"/>
      <scheme val="minor"/>
    </font>
    <font>
      <b/>
      <sz val="16"/>
      <color theme="0"/>
      <name val="Calibri"/>
      <family val="2"/>
      <scheme val="minor"/>
    </font>
    <font>
      <b/>
      <sz val="12"/>
      <color theme="1"/>
      <name val="Calibri"/>
      <family val="2"/>
    </font>
    <font>
      <b/>
      <sz val="11"/>
      <color rgb="FFFFFFFF"/>
      <name val="Calibri"/>
      <family val="2"/>
    </font>
    <font>
      <sz val="11"/>
      <color theme="1"/>
      <name val="Calibri"/>
      <family val="2"/>
    </font>
    <font>
      <sz val="11"/>
      <color theme="0"/>
      <name val="Calibri"/>
      <family val="2"/>
    </font>
    <font>
      <b/>
      <sz val="9"/>
      <name val="Calibri"/>
      <family val="2"/>
      <scheme val="minor"/>
    </font>
    <font>
      <b/>
      <sz val="10.5"/>
      <name val="Calibri"/>
      <family val="2"/>
      <scheme val="minor"/>
    </font>
    <font>
      <sz val="10.5"/>
      <name val="Calibri"/>
      <family val="2"/>
      <scheme val="minor"/>
    </font>
    <font>
      <b/>
      <sz val="8"/>
      <name val="Calibri"/>
      <family val="2"/>
      <scheme val="minor"/>
    </font>
    <font>
      <b/>
      <sz val="10"/>
      <name val="Century Gothic"/>
      <family val="2"/>
    </font>
    <font>
      <b/>
      <sz val="10"/>
      <name val="Helvetica Condensed"/>
      <family val="2"/>
    </font>
    <font>
      <b/>
      <sz val="8"/>
      <color theme="3" tint="-0.249977111117893"/>
      <name val="Calibri"/>
      <family val="2"/>
      <scheme val="minor"/>
    </font>
    <font>
      <b/>
      <sz val="11"/>
      <color rgb="FF002060"/>
      <name val="Calibri"/>
      <family val="2"/>
      <scheme val="minor"/>
    </font>
    <font>
      <sz val="8"/>
      <name val="Calibri"/>
      <family val="2"/>
      <scheme val="minor"/>
    </font>
    <font>
      <b/>
      <sz val="14"/>
      <color rgb="FFFF0000"/>
      <name val="Calibri"/>
      <family val="2"/>
      <scheme val="minor"/>
    </font>
    <font>
      <b/>
      <sz val="10"/>
      <color rgb="FFFF0000"/>
      <name val="Calibri"/>
      <family val="2"/>
      <scheme val="minor"/>
    </font>
    <font>
      <b/>
      <sz val="16"/>
      <color rgb="FFFF0000"/>
      <name val="Calibri"/>
      <family val="2"/>
      <scheme val="minor"/>
    </font>
    <font>
      <b/>
      <sz val="12"/>
      <color rgb="FFFF0000"/>
      <name val="Century Gothic"/>
      <family val="2"/>
    </font>
    <font>
      <b/>
      <sz val="16"/>
      <color rgb="FFFF0000"/>
      <name val="Century Gothic"/>
      <family val="2"/>
    </font>
    <font>
      <sz val="8"/>
      <color theme="3" tint="-0.249977111117893"/>
      <name val="Calibri"/>
      <family val="2"/>
      <scheme val="minor"/>
    </font>
    <font>
      <b/>
      <sz val="12"/>
      <color rgb="FFC00000"/>
      <name val="Calibri"/>
      <family val="2"/>
      <scheme val="minor"/>
    </font>
    <font>
      <sz val="7"/>
      <color theme="1"/>
      <name val="Times New Roman"/>
      <family val="1"/>
    </font>
    <font>
      <b/>
      <sz val="10"/>
      <color rgb="FF92D050"/>
      <name val="Helvetica Condensed"/>
      <family val="2"/>
    </font>
    <font>
      <sz val="11"/>
      <color rgb="FF92D050"/>
      <name val="Calibri"/>
      <family val="2"/>
      <scheme val="minor"/>
    </font>
    <font>
      <sz val="8"/>
      <color rgb="FF000000"/>
      <name val="Tahoma"/>
      <family val="2"/>
      <charset val="204"/>
    </font>
  </fonts>
  <fills count="36">
    <fill>
      <patternFill patternType="none"/>
    </fill>
    <fill>
      <patternFill patternType="gray125"/>
    </fill>
    <fill>
      <patternFill patternType="solid">
        <fgColor theme="4"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rgb="FFEEECE1"/>
        <bgColor indexed="64"/>
      </patternFill>
    </fill>
    <fill>
      <patternFill patternType="solid">
        <fgColor rgb="FFFFFF00"/>
        <bgColor indexed="64"/>
      </patternFill>
    </fill>
    <fill>
      <patternFill patternType="solid">
        <fgColor rgb="FFF6F5F0"/>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366092"/>
        <bgColor indexed="64"/>
      </patternFill>
    </fill>
    <fill>
      <patternFill patternType="solid">
        <fgColor theme="7" tint="0.79998168889431442"/>
        <bgColor indexed="64"/>
      </patternFill>
    </fill>
    <fill>
      <patternFill patternType="solid">
        <fgColor rgb="FFDCE6F1"/>
        <bgColor indexed="64"/>
      </patternFill>
    </fill>
    <fill>
      <patternFill patternType="solid">
        <fgColor theme="7" tint="0.39997558519241921"/>
        <bgColor indexed="64"/>
      </patternFill>
    </fill>
    <fill>
      <patternFill patternType="solid">
        <fgColor rgb="FFC5D9F1"/>
        <bgColor indexed="64"/>
      </patternFill>
    </fill>
    <fill>
      <patternFill patternType="solid">
        <fgColor rgb="FFB8CCE4"/>
        <bgColor indexed="64"/>
      </patternFill>
    </fill>
    <fill>
      <patternFill patternType="solid">
        <fgColor rgb="FFDFDCC7"/>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8CADD4"/>
        <bgColor indexed="64"/>
      </patternFill>
    </fill>
    <fill>
      <patternFill patternType="solid">
        <fgColor rgb="FFD5E1EF"/>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indexed="43"/>
        <bgColor indexed="64"/>
      </patternFill>
    </fill>
    <fill>
      <patternFill patternType="solid">
        <fgColor rgb="FFFFFF99"/>
        <bgColor indexed="64"/>
      </patternFill>
    </fill>
    <fill>
      <patternFill patternType="solid">
        <fgColor indexed="47"/>
        <bgColor indexed="64"/>
      </patternFill>
    </fill>
    <fill>
      <patternFill patternType="solid">
        <fgColor theme="3" tint="0.59999389629810485"/>
        <bgColor indexed="64"/>
      </patternFill>
    </fill>
    <fill>
      <patternFill patternType="solid">
        <fgColor rgb="FFECF1F8"/>
        <bgColor indexed="64"/>
      </patternFill>
    </fill>
    <fill>
      <patternFill patternType="solid">
        <fgColor rgb="FF4F81BD"/>
        <bgColor indexed="64"/>
      </patternFill>
    </fill>
    <fill>
      <patternFill patternType="solid">
        <fgColor rgb="FFFFFFFF"/>
        <bgColor indexed="64"/>
      </patternFill>
    </fill>
    <fill>
      <patternFill patternType="solid">
        <fgColor rgb="FF95B3D7"/>
        <bgColor indexed="64"/>
      </patternFill>
    </fill>
    <fill>
      <patternFill patternType="solid">
        <fgColor theme="0" tint="-0.249977111117893"/>
        <bgColor indexed="64"/>
      </patternFill>
    </fill>
    <fill>
      <patternFill patternType="solid">
        <fgColor theme="1"/>
        <bgColor indexed="64"/>
      </patternFill>
    </fill>
    <fill>
      <patternFill patternType="solid">
        <fgColor theme="8" tint="0.39997558519241921"/>
        <bgColor indexed="64"/>
      </patternFill>
    </fill>
    <fill>
      <patternFill patternType="solid">
        <fgColor theme="8" tint="0.59999389629810485"/>
        <bgColor indexed="64"/>
      </patternFill>
    </fill>
  </fills>
  <borders count="370">
    <border>
      <left/>
      <right/>
      <top/>
      <bottom/>
      <diagonal/>
    </border>
    <border>
      <left style="thin">
        <color auto="1"/>
      </left>
      <right/>
      <top/>
      <bottom/>
      <diagonal/>
    </border>
    <border>
      <left style="thin">
        <color theme="4" tint="0.59996337778862885"/>
      </left>
      <right/>
      <top/>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thin">
        <color theme="4" tint="-0.24994659260841701"/>
      </left>
      <right/>
      <top style="thin">
        <color theme="4" tint="-0.24994659260841701"/>
      </top>
      <bottom style="thin">
        <color theme="4" tint="-0.24994659260841701"/>
      </bottom>
      <diagonal/>
    </border>
    <border>
      <left style="thin">
        <color theme="4" tint="-0.24994659260841701"/>
      </left>
      <right style="thin">
        <color theme="4" tint="-0.24994659260841701"/>
      </right>
      <top style="thin">
        <color theme="4" tint="-0.24994659260841701"/>
      </top>
      <bottom/>
      <diagonal/>
    </border>
    <border>
      <left style="thin">
        <color theme="4" tint="-0.24994659260841701"/>
      </left>
      <right style="thin">
        <color theme="4" tint="-0.24994659260841701"/>
      </right>
      <top/>
      <bottom style="thin">
        <color theme="4" tint="-0.24994659260841701"/>
      </bottom>
      <diagonal/>
    </border>
    <border>
      <left style="thin">
        <color theme="4" tint="-0.24994659260841701"/>
      </left>
      <right/>
      <top style="thin">
        <color theme="4" tint="-0.24994659260841701"/>
      </top>
      <bottom/>
      <diagonal/>
    </border>
    <border>
      <left style="thin">
        <color theme="4" tint="-0.24994659260841701"/>
      </left>
      <right/>
      <top/>
      <bottom style="thin">
        <color theme="4" tint="-0.24994659260841701"/>
      </bottom>
      <diagonal/>
    </border>
    <border>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right/>
      <top style="thin">
        <color theme="4" tint="-0.24994659260841701"/>
      </top>
      <bottom/>
      <diagonal/>
    </border>
    <border>
      <left style="thin">
        <color theme="4" tint="-0.24994659260841701"/>
      </left>
      <right style="medium">
        <color theme="4" tint="-0.24994659260841701"/>
      </right>
      <top style="thin">
        <color theme="4" tint="-0.24994659260841701"/>
      </top>
      <bottom style="thin">
        <color theme="4" tint="-0.24994659260841701"/>
      </bottom>
      <diagonal/>
    </border>
    <border>
      <left style="thin">
        <color theme="4" tint="-0.24994659260841701"/>
      </left>
      <right style="thin">
        <color theme="4" tint="-0.24994659260841701"/>
      </right>
      <top style="thin">
        <color theme="4" tint="-0.24994659260841701"/>
      </top>
      <bottom style="thin">
        <color theme="4" tint="0.59996337778862885"/>
      </bottom>
      <diagonal/>
    </border>
    <border>
      <left style="medium">
        <color theme="4" tint="-0.24994659260841701"/>
      </left>
      <right style="thin">
        <color theme="4" tint="-0.24994659260841701"/>
      </right>
      <top style="medium">
        <color theme="4" tint="-0.24994659260841701"/>
      </top>
      <bottom style="thin">
        <color theme="4" tint="-0.24994659260841701"/>
      </bottom>
      <diagonal/>
    </border>
    <border>
      <left style="thin">
        <color theme="4" tint="-0.24994659260841701"/>
      </left>
      <right style="thin">
        <color theme="4" tint="-0.24994659260841701"/>
      </right>
      <top style="medium">
        <color theme="4" tint="-0.24994659260841701"/>
      </top>
      <bottom style="thin">
        <color theme="4" tint="-0.24994659260841701"/>
      </bottom>
      <diagonal/>
    </border>
    <border>
      <left style="thin">
        <color theme="4" tint="-0.24994659260841701"/>
      </left>
      <right style="medium">
        <color theme="4" tint="-0.24994659260841701"/>
      </right>
      <top style="medium">
        <color theme="4" tint="-0.24994659260841701"/>
      </top>
      <bottom style="thin">
        <color theme="4" tint="-0.24994659260841701"/>
      </bottom>
      <diagonal/>
    </border>
    <border>
      <left style="medium">
        <color theme="4" tint="-0.24994659260841701"/>
      </left>
      <right style="thin">
        <color theme="4" tint="-0.24994659260841701"/>
      </right>
      <top style="thin">
        <color theme="4" tint="-0.24994659260841701"/>
      </top>
      <bottom style="thin">
        <color theme="4" tint="-0.24994659260841701"/>
      </bottom>
      <diagonal/>
    </border>
    <border>
      <left/>
      <right style="medium">
        <color theme="4" tint="-0.24994659260841701"/>
      </right>
      <top style="thin">
        <color theme="4" tint="-0.24994659260841701"/>
      </top>
      <bottom/>
      <diagonal/>
    </border>
    <border>
      <left/>
      <right style="medium">
        <color theme="4" tint="-0.24994659260841701"/>
      </right>
      <top/>
      <bottom/>
      <diagonal/>
    </border>
    <border>
      <left/>
      <right style="medium">
        <color theme="4" tint="-0.24994659260841701"/>
      </right>
      <top/>
      <bottom style="thin">
        <color theme="4" tint="-0.24994659260841701"/>
      </bottom>
      <diagonal/>
    </border>
    <border>
      <left style="medium">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top style="thin">
        <color theme="4" tint="-0.24994659260841701"/>
      </top>
      <bottom style="medium">
        <color theme="4" tint="-0.24994659260841701"/>
      </bottom>
      <diagonal/>
    </border>
    <border>
      <left/>
      <right style="medium">
        <color theme="4" tint="-0.24994659260841701"/>
      </right>
      <top style="thin">
        <color theme="4" tint="-0.24994659260841701"/>
      </top>
      <bottom style="medium">
        <color theme="4" tint="-0.24994659260841701"/>
      </bottom>
      <diagonal/>
    </border>
    <border>
      <left style="thin">
        <color theme="4" tint="-0.24994659260841701"/>
      </left>
      <right style="medium">
        <color theme="4" tint="-0.24994659260841701"/>
      </right>
      <top style="thin">
        <color theme="4" tint="-0.24994659260841701"/>
      </top>
      <bottom style="medium">
        <color theme="4" tint="-0.24994659260841701"/>
      </bottom>
      <diagonal/>
    </border>
    <border>
      <left/>
      <right style="thin">
        <color theme="4" tint="-0.24994659260841701"/>
      </right>
      <top style="thin">
        <color theme="4" tint="-0.24994659260841701"/>
      </top>
      <bottom style="medium">
        <color theme="4" tint="-0.24994659260841701"/>
      </bottom>
      <diagonal/>
    </border>
    <border>
      <left style="thin">
        <color theme="4" tint="-0.24994659260841701"/>
      </left>
      <right style="thin">
        <color theme="4" tint="-0.24994659260841701"/>
      </right>
      <top/>
      <bottom style="medium">
        <color theme="4" tint="-0.24994659260841701"/>
      </bottom>
      <diagonal/>
    </border>
    <border>
      <left/>
      <right style="medium">
        <color theme="4" tint="-0.24994659260841701"/>
      </right>
      <top style="thin">
        <color theme="4" tint="-0.24994659260841701"/>
      </top>
      <bottom style="thin">
        <color theme="4" tint="-0.24994659260841701"/>
      </bottom>
      <diagonal/>
    </border>
    <border>
      <left/>
      <right style="medium">
        <color theme="4" tint="-0.24994659260841701"/>
      </right>
      <top/>
      <bottom style="medium">
        <color theme="4" tint="-0.24994659260841701"/>
      </bottom>
      <diagonal/>
    </border>
    <border>
      <left/>
      <right/>
      <top/>
      <bottom style="medium">
        <color theme="4" tint="-0.24994659260841701"/>
      </bottom>
      <diagonal/>
    </border>
    <border>
      <left/>
      <right style="thin">
        <color theme="4" tint="-0.24994659260841701"/>
      </right>
      <top/>
      <bottom style="thin">
        <color theme="4" tint="-0.24994659260841701"/>
      </bottom>
      <diagonal/>
    </border>
    <border>
      <left/>
      <right/>
      <top style="medium">
        <color theme="4" tint="-0.24994659260841701"/>
      </top>
      <bottom/>
      <diagonal/>
    </border>
    <border>
      <left style="thick">
        <color theme="3"/>
      </left>
      <right/>
      <top style="thick">
        <color theme="3"/>
      </top>
      <bottom/>
      <diagonal/>
    </border>
    <border>
      <left/>
      <right/>
      <top style="thick">
        <color theme="3"/>
      </top>
      <bottom/>
      <diagonal/>
    </border>
    <border>
      <left/>
      <right style="thick">
        <color theme="3"/>
      </right>
      <top style="thick">
        <color theme="3"/>
      </top>
      <bottom/>
      <diagonal/>
    </border>
    <border>
      <left style="thick">
        <color theme="3"/>
      </left>
      <right/>
      <top/>
      <bottom/>
      <diagonal/>
    </border>
    <border>
      <left/>
      <right style="thick">
        <color theme="3"/>
      </right>
      <top/>
      <bottom/>
      <diagonal/>
    </border>
    <border>
      <left style="thick">
        <color theme="3"/>
      </left>
      <right style="medium">
        <color theme="4" tint="-0.24994659260841701"/>
      </right>
      <top/>
      <bottom/>
      <diagonal/>
    </border>
    <border>
      <left/>
      <right/>
      <top/>
      <bottom style="thick">
        <color theme="3"/>
      </bottom>
      <diagonal/>
    </border>
    <border>
      <left/>
      <right style="thick">
        <color theme="3"/>
      </right>
      <top/>
      <bottom style="thick">
        <color theme="3"/>
      </bottom>
      <diagonal/>
    </border>
    <border>
      <left style="medium">
        <color theme="4" tint="-0.24994659260841701"/>
      </left>
      <right/>
      <top/>
      <bottom/>
      <diagonal/>
    </border>
    <border>
      <left style="medium">
        <color theme="4" tint="-0.24994659260841701"/>
      </left>
      <right/>
      <top style="medium">
        <color theme="4" tint="-0.24994659260841701"/>
      </top>
      <bottom/>
      <diagonal/>
    </border>
    <border>
      <left/>
      <right style="medium">
        <color theme="4" tint="-0.24994659260841701"/>
      </right>
      <top style="medium">
        <color theme="4" tint="-0.24994659260841701"/>
      </top>
      <bottom/>
      <diagonal/>
    </border>
    <border>
      <left style="medium">
        <color theme="4" tint="-0.24994659260841701"/>
      </left>
      <right/>
      <top/>
      <bottom style="medium">
        <color theme="4" tint="-0.24994659260841701"/>
      </bottom>
      <diagonal/>
    </border>
    <border>
      <left style="thin">
        <color auto="1"/>
      </left>
      <right style="thin">
        <color auto="1"/>
      </right>
      <top style="thin">
        <color auto="1"/>
      </top>
      <bottom style="thin">
        <color auto="1"/>
      </bottom>
      <diagonal/>
    </border>
    <border>
      <left/>
      <right/>
      <top/>
      <bottom style="thin">
        <color auto="1"/>
      </bottom>
      <diagonal/>
    </border>
    <border>
      <left style="medium">
        <color theme="4" tint="0.39994506668294322"/>
      </left>
      <right style="thin">
        <color theme="4" tint="0.39994506668294322"/>
      </right>
      <top style="medium">
        <color theme="4" tint="0.39994506668294322"/>
      </top>
      <bottom style="thin">
        <color theme="4" tint="0.39994506668294322"/>
      </bottom>
      <diagonal/>
    </border>
    <border>
      <left style="thin">
        <color theme="4" tint="0.39994506668294322"/>
      </left>
      <right style="medium">
        <color theme="4" tint="0.39994506668294322"/>
      </right>
      <top style="medium">
        <color theme="4" tint="0.39994506668294322"/>
      </top>
      <bottom style="thin">
        <color theme="4" tint="0.39994506668294322"/>
      </bottom>
      <diagonal/>
    </border>
    <border>
      <left style="medium">
        <color theme="4" tint="0.39994506668294322"/>
      </left>
      <right style="thin">
        <color theme="4" tint="0.39994506668294322"/>
      </right>
      <top style="thin">
        <color theme="4" tint="0.39994506668294322"/>
      </top>
      <bottom style="thin">
        <color theme="4" tint="0.39994506668294322"/>
      </bottom>
      <diagonal/>
    </border>
    <border>
      <left style="thin">
        <color theme="4" tint="0.39994506668294322"/>
      </left>
      <right style="medium">
        <color theme="4" tint="0.39994506668294322"/>
      </right>
      <top style="thin">
        <color theme="4" tint="0.39994506668294322"/>
      </top>
      <bottom style="thin">
        <color theme="4" tint="0.39994506668294322"/>
      </bottom>
      <diagonal/>
    </border>
    <border>
      <left style="medium">
        <color theme="4" tint="0.39994506668294322"/>
      </left>
      <right style="thin">
        <color theme="4" tint="0.39994506668294322"/>
      </right>
      <top style="thin">
        <color theme="4" tint="0.39994506668294322"/>
      </top>
      <bottom style="medium">
        <color theme="4" tint="0.39994506668294322"/>
      </bottom>
      <diagonal/>
    </border>
    <border>
      <left style="thin">
        <color theme="4" tint="0.39994506668294322"/>
      </left>
      <right style="medium">
        <color theme="4" tint="0.39994506668294322"/>
      </right>
      <top style="thin">
        <color theme="4" tint="0.39994506668294322"/>
      </top>
      <bottom style="medium">
        <color theme="4" tint="0.39994506668294322"/>
      </bottom>
      <diagonal/>
    </border>
    <border>
      <left style="medium">
        <color auto="1"/>
      </left>
      <right style="thin">
        <color auto="1"/>
      </right>
      <top style="medium">
        <color auto="1"/>
      </top>
      <bottom/>
      <diagonal/>
    </border>
    <border>
      <left style="thin">
        <color auto="1"/>
      </left>
      <right/>
      <top style="medium">
        <color auto="1"/>
      </top>
      <bottom/>
      <diagonal/>
    </border>
    <border>
      <left style="medium">
        <color auto="1"/>
      </left>
      <right style="medium">
        <color auto="1"/>
      </right>
      <top style="medium">
        <color auto="1"/>
      </top>
      <bottom style="medium">
        <color auto="1"/>
      </bottom>
      <diagonal/>
    </border>
    <border>
      <left style="medium">
        <color auto="1"/>
      </left>
      <right style="thin">
        <color auto="1"/>
      </right>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top/>
      <bottom/>
      <diagonal/>
    </border>
    <border>
      <left style="medium">
        <color auto="1"/>
      </left>
      <right style="medium">
        <color auto="1"/>
      </right>
      <top style="medium">
        <color auto="1"/>
      </top>
      <bottom style="thin">
        <color theme="4" tint="0.39994506668294322"/>
      </bottom>
      <diagonal/>
    </border>
    <border>
      <left style="medium">
        <color auto="1"/>
      </left>
      <right style="medium">
        <color auto="1"/>
      </right>
      <top style="thin">
        <color theme="4" tint="0.39994506668294322"/>
      </top>
      <bottom style="thin">
        <color theme="4" tint="0.39994506668294322"/>
      </bottom>
      <diagonal/>
    </border>
    <border>
      <left style="medium">
        <color auto="1"/>
      </left>
      <right/>
      <top/>
      <bottom style="medium">
        <color auto="1"/>
      </bottom>
      <diagonal/>
    </border>
    <border>
      <left style="medium">
        <color auto="1"/>
      </left>
      <right style="medium">
        <color auto="1"/>
      </right>
      <top style="thin">
        <color theme="4" tint="0.39994506668294322"/>
      </top>
      <bottom style="medium">
        <color auto="1"/>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thin">
        <color theme="4" tint="0.39994506668294322"/>
      </bottom>
      <diagonal/>
    </border>
    <border>
      <left/>
      <right style="medium">
        <color auto="1"/>
      </right>
      <top style="medium">
        <color auto="1"/>
      </top>
      <bottom style="thin">
        <color theme="4" tint="0.39994506668294322"/>
      </bottom>
      <diagonal/>
    </border>
    <border>
      <left style="thin">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top style="thin">
        <color theme="4" tint="0.39994506668294322"/>
      </top>
      <bottom style="thin">
        <color theme="4" tint="0.39994506668294322"/>
      </bottom>
      <diagonal/>
    </border>
    <border>
      <left/>
      <right style="medium">
        <color auto="1"/>
      </right>
      <top style="thin">
        <color theme="4" tint="0.39994506668294322"/>
      </top>
      <bottom style="thin">
        <color theme="4" tint="0.39994506668294322"/>
      </bottom>
      <diagonal/>
    </border>
    <border>
      <left style="medium">
        <color auto="1"/>
      </left>
      <right/>
      <top style="thin">
        <color theme="4" tint="0.39994506668294322"/>
      </top>
      <bottom style="medium">
        <color auto="1"/>
      </bottom>
      <diagonal/>
    </border>
    <border>
      <left/>
      <right style="medium">
        <color auto="1"/>
      </right>
      <top style="thin">
        <color theme="4" tint="0.39994506668294322"/>
      </top>
      <bottom style="medium">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theme="4" tint="-0.24994659260841701"/>
      </right>
      <top style="medium">
        <color theme="4" tint="-0.24994659260841701"/>
      </top>
      <bottom style="thin">
        <color theme="4" tint="-0.24994659260841701"/>
      </bottom>
      <diagonal/>
    </border>
    <border>
      <left style="medium">
        <color theme="4" tint="-0.24994659260841701"/>
      </left>
      <right/>
      <top style="thin">
        <color theme="4" tint="-0.24994659260841701"/>
      </top>
      <bottom style="thin">
        <color theme="4" tint="-0.24994659260841701"/>
      </bottom>
      <diagonal/>
    </border>
    <border>
      <left/>
      <right style="thin">
        <color theme="4" tint="-0.24994659260841701"/>
      </right>
      <top style="thin">
        <color theme="4" tint="-0.24994659260841701"/>
      </top>
      <bottom/>
      <diagonal/>
    </border>
    <border>
      <left/>
      <right/>
      <top/>
      <bottom style="thin">
        <color theme="4" tint="-0.24994659260841701"/>
      </bottom>
      <diagonal/>
    </border>
    <border>
      <left/>
      <right/>
      <top style="thin">
        <color theme="4" tint="-0.24994659260841701"/>
      </top>
      <bottom style="medium">
        <color theme="4" tint="-0.24994659260841701"/>
      </bottom>
      <diagonal/>
    </border>
    <border>
      <left style="medium">
        <color theme="4" tint="-0.24994659260841701"/>
      </left>
      <right style="thin">
        <color theme="4" tint="-0.24994659260841701"/>
      </right>
      <top style="medium">
        <color theme="4" tint="-0.24994659260841701"/>
      </top>
      <bottom/>
      <diagonal/>
    </border>
    <border>
      <left/>
      <right style="thin">
        <color theme="4" tint="-0.24994659260841701"/>
      </right>
      <top style="medium">
        <color theme="4" tint="-0.24994659260841701"/>
      </top>
      <bottom/>
      <diagonal/>
    </border>
    <border>
      <left style="thin">
        <color theme="4" tint="-0.24994659260841701"/>
      </left>
      <right style="thin">
        <color theme="4" tint="-0.24994659260841701"/>
      </right>
      <top style="medium">
        <color theme="4" tint="-0.24994659260841701"/>
      </top>
      <bottom/>
      <diagonal/>
    </border>
    <border>
      <left style="medium">
        <color theme="4" tint="-0.24994659260841701"/>
      </left>
      <right style="thin">
        <color theme="4" tint="-0.24994659260841701"/>
      </right>
      <top/>
      <bottom style="thin">
        <color theme="4" tint="-0.24994659260841701"/>
      </bottom>
      <diagonal/>
    </border>
    <border>
      <left style="medium">
        <color theme="4" tint="-0.24994659260841701"/>
      </left>
      <right/>
      <top style="medium">
        <color theme="4" tint="-0.24994659260841701"/>
      </top>
      <bottom style="medium">
        <color theme="4" tint="-0.24994659260841701"/>
      </bottom>
      <diagonal/>
    </border>
    <border>
      <left/>
      <right/>
      <top style="medium">
        <color theme="4" tint="-0.24994659260841701"/>
      </top>
      <bottom style="medium">
        <color theme="4" tint="-0.24994659260841701"/>
      </bottom>
      <diagonal/>
    </border>
    <border>
      <left/>
      <right style="medium">
        <color theme="4" tint="-0.24994659260841701"/>
      </right>
      <top style="medium">
        <color theme="4" tint="-0.24994659260841701"/>
      </top>
      <bottom style="medium">
        <color theme="4" tint="-0.24994659260841701"/>
      </bottom>
      <diagonal/>
    </border>
    <border>
      <left/>
      <right style="thin">
        <color theme="0" tint="-0.499984740745262"/>
      </right>
      <top style="thin">
        <color theme="0" tint="-0.499984740745262"/>
      </top>
      <bottom/>
      <diagonal/>
    </border>
    <border>
      <left/>
      <right style="thin">
        <color theme="0" tint="-0.499984740745262"/>
      </right>
      <top/>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rgb="FF366092"/>
      </right>
      <top style="thin">
        <color rgb="FF366092"/>
      </top>
      <bottom style="thin">
        <color rgb="FF366092"/>
      </bottom>
      <diagonal/>
    </border>
    <border>
      <left style="thin">
        <color rgb="FF366092"/>
      </left>
      <right/>
      <top style="thin">
        <color rgb="FF366092"/>
      </top>
      <bottom style="thin">
        <color rgb="FF366092"/>
      </bottom>
      <diagonal/>
    </border>
    <border>
      <left/>
      <right/>
      <top style="thin">
        <color rgb="FF366092"/>
      </top>
      <bottom style="thin">
        <color rgb="FF366092"/>
      </bottom>
      <diagonal/>
    </border>
    <border>
      <left style="thin">
        <color rgb="FF366092"/>
      </left>
      <right style="thick">
        <color theme="0"/>
      </right>
      <top style="thin">
        <color rgb="FF366092"/>
      </top>
      <bottom style="thin">
        <color rgb="FF366092"/>
      </bottom>
      <diagonal/>
    </border>
    <border>
      <left style="thick">
        <color theme="0"/>
      </left>
      <right style="thin">
        <color rgb="FF366092"/>
      </right>
      <top style="thin">
        <color rgb="FF366092"/>
      </top>
      <bottom style="thin">
        <color rgb="FF366092"/>
      </bottom>
      <diagonal/>
    </border>
    <border>
      <left style="thin">
        <color theme="0" tint="-0.499984740745262"/>
      </left>
      <right style="thin">
        <color theme="0" tint="-0.499984740745262"/>
      </right>
      <top/>
      <bottom/>
      <diagonal/>
    </border>
    <border>
      <left style="thin">
        <color rgb="FF366092"/>
      </left>
      <right style="thick">
        <color theme="0"/>
      </right>
      <top/>
      <bottom style="thin">
        <color rgb="FF366092"/>
      </bottom>
      <diagonal/>
    </border>
    <border>
      <left style="thin">
        <color rgb="FF366092"/>
      </left>
      <right style="thick">
        <color theme="0"/>
      </right>
      <top style="thin">
        <color rgb="FF366092"/>
      </top>
      <bottom/>
      <diagonal/>
    </border>
    <border>
      <left/>
      <right style="thin">
        <color rgb="FF366092"/>
      </right>
      <top style="thin">
        <color rgb="FF366092"/>
      </top>
      <bottom/>
      <diagonal/>
    </border>
    <border>
      <left style="thin">
        <color rgb="FF366092"/>
      </left>
      <right/>
      <top style="thin">
        <color rgb="FF366092"/>
      </top>
      <bottom/>
      <diagonal/>
    </border>
    <border>
      <left style="thick">
        <color theme="0"/>
      </left>
      <right style="thin">
        <color rgb="FF366092"/>
      </right>
      <top style="thin">
        <color rgb="FF366092"/>
      </top>
      <bottom/>
      <diagonal/>
    </border>
    <border>
      <left style="thin">
        <color rgb="FF366092"/>
      </left>
      <right style="thin">
        <color rgb="FF366092"/>
      </right>
      <top style="thick">
        <color theme="0"/>
      </top>
      <bottom style="thick">
        <color theme="0"/>
      </bottom>
      <diagonal/>
    </border>
    <border>
      <left style="thin">
        <color rgb="FF366092"/>
      </left>
      <right style="thick">
        <color theme="0"/>
      </right>
      <top style="thick">
        <color theme="0"/>
      </top>
      <bottom style="thick">
        <color theme="0"/>
      </bottom>
      <diagonal/>
    </border>
    <border>
      <left style="thin">
        <color theme="0" tint="-0.499984740745262"/>
      </left>
      <right style="thick">
        <color theme="0"/>
      </right>
      <top style="thin">
        <color theme="0" tint="-0.499984740745262"/>
      </top>
      <bottom style="thin">
        <color theme="0" tint="-0.499984740745262"/>
      </bottom>
      <diagonal/>
    </border>
    <border>
      <left style="thick">
        <color theme="0"/>
      </left>
      <right style="thin">
        <color theme="0" tint="-0.499984740745262"/>
      </right>
      <top style="thick">
        <color theme="0"/>
      </top>
      <bottom style="thin">
        <color theme="0" tint="-0.499984740745262"/>
      </bottom>
      <diagonal/>
    </border>
    <border>
      <left style="thin">
        <color theme="0" tint="-0.499984740745262"/>
      </left>
      <right style="thick">
        <color theme="0"/>
      </right>
      <top style="thick">
        <color theme="0"/>
      </top>
      <bottom style="thin">
        <color theme="0" tint="-0.499984740745262"/>
      </bottom>
      <diagonal/>
    </border>
    <border>
      <left style="thick">
        <color theme="0"/>
      </left>
      <right style="thin">
        <color theme="0" tint="-0.499984740745262"/>
      </right>
      <top style="thin">
        <color theme="0" tint="-0.499984740745262"/>
      </top>
      <bottom style="thin">
        <color theme="0" tint="-0.499984740745262"/>
      </bottom>
      <diagonal/>
    </border>
    <border>
      <left style="thin">
        <color theme="0" tint="-0.499984740745262"/>
      </left>
      <right style="thick">
        <color theme="0"/>
      </right>
      <top style="thin">
        <color theme="0" tint="-0.499984740745262"/>
      </top>
      <bottom/>
      <diagonal/>
    </border>
    <border>
      <left style="thin">
        <color theme="0" tint="-0.499984740745262"/>
      </left>
      <right style="thick">
        <color theme="0"/>
      </right>
      <top/>
      <bottom/>
      <diagonal/>
    </border>
    <border>
      <left style="thick">
        <color theme="0"/>
      </left>
      <right style="thin">
        <color theme="0" tint="-0.499984740745262"/>
      </right>
      <top style="thin">
        <color theme="0" tint="-0.499984740745262"/>
      </top>
      <bottom style="thick">
        <color theme="0"/>
      </bottom>
      <diagonal/>
    </border>
    <border>
      <left style="thin">
        <color theme="0" tint="-0.499984740745262"/>
      </left>
      <right style="thick">
        <color theme="0"/>
      </right>
      <top style="thin">
        <color theme="0" tint="-0.499984740745262"/>
      </top>
      <bottom style="thick">
        <color theme="0"/>
      </bottom>
      <diagonal/>
    </border>
    <border>
      <left style="thick">
        <color theme="0"/>
      </left>
      <right/>
      <top style="thick">
        <color theme="0"/>
      </top>
      <bottom/>
      <diagonal/>
    </border>
    <border>
      <left/>
      <right style="thick">
        <color theme="0"/>
      </right>
      <top style="thick">
        <color theme="0"/>
      </top>
      <bottom/>
      <diagonal/>
    </border>
    <border>
      <left/>
      <right style="thin">
        <color rgb="FF366092"/>
      </right>
      <top style="thin">
        <color rgb="FF366092"/>
      </top>
      <bottom style="thick">
        <color theme="0"/>
      </bottom>
      <diagonal/>
    </border>
    <border>
      <left style="thin">
        <color rgb="FF366092"/>
      </left>
      <right style="thick">
        <color theme="0"/>
      </right>
      <top style="thin">
        <color rgb="FF366092"/>
      </top>
      <bottom style="thick">
        <color theme="0"/>
      </bottom>
      <diagonal/>
    </border>
    <border>
      <left style="thick">
        <color theme="0"/>
      </left>
      <right style="thin">
        <color theme="0" tint="-0.499984740745262"/>
      </right>
      <top/>
      <bottom style="thin">
        <color theme="0" tint="-0.499984740745262"/>
      </bottom>
      <diagonal/>
    </border>
    <border>
      <left style="thin">
        <color theme="0" tint="-0.499984740745262"/>
      </left>
      <right style="thick">
        <color theme="0"/>
      </right>
      <top/>
      <bottom style="thin">
        <color theme="0" tint="-0.499984740745262"/>
      </bottom>
      <diagonal/>
    </border>
    <border>
      <left/>
      <right style="thin">
        <color rgb="FF366092"/>
      </right>
      <top/>
      <bottom style="thick">
        <color theme="0"/>
      </bottom>
      <diagonal/>
    </border>
    <border>
      <left style="thin">
        <color rgb="FF366092"/>
      </left>
      <right style="thin">
        <color rgb="FF366092"/>
      </right>
      <top/>
      <bottom style="thick">
        <color theme="0"/>
      </bottom>
      <diagonal/>
    </border>
    <border>
      <left style="thin">
        <color rgb="FF366092"/>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style="thick">
        <color theme="0"/>
      </left>
      <right style="thin">
        <color theme="0" tint="-0.499984740745262"/>
      </right>
      <top style="thick">
        <color theme="0"/>
      </top>
      <bottom style="thick">
        <color theme="0"/>
      </bottom>
      <diagonal/>
    </border>
    <border>
      <left/>
      <right style="thin">
        <color rgb="FF366092"/>
      </right>
      <top style="thick">
        <color theme="0"/>
      </top>
      <bottom style="thick">
        <color theme="0"/>
      </bottom>
      <diagonal/>
    </border>
    <border>
      <left style="thick">
        <color theme="0"/>
      </left>
      <right style="thin">
        <color theme="0" tint="-0.499984740745262"/>
      </right>
      <top style="thick">
        <color theme="0"/>
      </top>
      <bottom/>
      <diagonal/>
    </border>
    <border>
      <left style="thin">
        <color theme="0" tint="-0.499984740745262"/>
      </left>
      <right style="thick">
        <color theme="0"/>
      </right>
      <top style="thick">
        <color theme="0"/>
      </top>
      <bottom/>
      <diagonal/>
    </border>
    <border>
      <left style="thick">
        <color theme="0"/>
      </left>
      <right style="thin">
        <color theme="0" tint="-0.499984740745262"/>
      </right>
      <top/>
      <bottom/>
      <diagonal/>
    </border>
    <border>
      <left style="thick">
        <color theme="0"/>
      </left>
      <right style="thin">
        <color theme="0" tint="-0.499984740745262"/>
      </right>
      <top/>
      <bottom style="thick">
        <color theme="0"/>
      </bottom>
      <diagonal/>
    </border>
    <border>
      <left style="thin">
        <color theme="0" tint="-0.499984740745262"/>
      </left>
      <right style="thick">
        <color theme="0"/>
      </right>
      <top/>
      <bottom style="thick">
        <color theme="0"/>
      </bottom>
      <diagonal/>
    </border>
    <border>
      <left style="thick">
        <color theme="0"/>
      </left>
      <right/>
      <top/>
      <bottom/>
      <diagonal/>
    </border>
    <border>
      <left/>
      <right style="thick">
        <color theme="0"/>
      </right>
      <top style="thin">
        <color rgb="FF4E81BE"/>
      </top>
      <bottom style="thin">
        <color rgb="FF4E81BE"/>
      </bottom>
      <diagonal/>
    </border>
    <border>
      <left style="thick">
        <color theme="0"/>
      </left>
      <right style="thick">
        <color theme="0"/>
      </right>
      <top style="thin">
        <color rgb="FF4E81BE"/>
      </top>
      <bottom style="thin">
        <color rgb="FF4E81BE"/>
      </bottom>
      <diagonal/>
    </border>
    <border>
      <left style="thick">
        <color theme="0"/>
      </left>
      <right/>
      <top style="thin">
        <color rgb="FF4E81BE"/>
      </top>
      <bottom style="thin">
        <color rgb="FF4E81BE"/>
      </bottom>
      <diagonal/>
    </border>
    <border>
      <left/>
      <right style="thick">
        <color theme="0"/>
      </right>
      <top/>
      <bottom style="thin">
        <color rgb="FF4E81BE"/>
      </bottom>
      <diagonal/>
    </border>
    <border>
      <left style="thick">
        <color theme="0"/>
      </left>
      <right style="thick">
        <color theme="0"/>
      </right>
      <top/>
      <bottom style="thin">
        <color rgb="FF4E81BE"/>
      </bottom>
      <diagonal/>
    </border>
    <border>
      <left style="thick">
        <color theme="0"/>
      </left>
      <right/>
      <top/>
      <bottom style="thin">
        <color rgb="FF4E81BE"/>
      </bottom>
      <diagonal/>
    </border>
    <border>
      <left/>
      <right style="thick">
        <color theme="0"/>
      </right>
      <top/>
      <bottom/>
      <diagonal/>
    </border>
    <border>
      <left/>
      <right/>
      <top/>
      <bottom style="thin">
        <color rgb="FF366092"/>
      </bottom>
      <diagonal/>
    </border>
    <border>
      <left/>
      <right style="thick">
        <color theme="0"/>
      </right>
      <top style="thick">
        <color theme="0"/>
      </top>
      <bottom style="thin">
        <color theme="0" tint="-0.499984740745262"/>
      </bottom>
      <diagonal/>
    </border>
    <border>
      <left/>
      <right style="thick">
        <color theme="0"/>
      </right>
      <top/>
      <bottom style="thin">
        <color rgb="FF366092"/>
      </bottom>
      <diagonal/>
    </border>
    <border>
      <left style="thick">
        <color theme="0"/>
      </left>
      <right/>
      <top/>
      <bottom style="thin">
        <color rgb="FF366092"/>
      </bottom>
      <diagonal/>
    </border>
    <border>
      <left/>
      <right style="thick">
        <color theme="0"/>
      </right>
      <top style="thin">
        <color theme="0" tint="-0.499984740745262"/>
      </top>
      <bottom style="thick">
        <color theme="0"/>
      </bottom>
      <diagonal/>
    </border>
    <border>
      <left/>
      <right style="thick">
        <color theme="0"/>
      </right>
      <top style="thin">
        <color theme="0" tint="-0.499984740745262"/>
      </top>
      <bottom style="thin">
        <color theme="0" tint="-0.499984740745262"/>
      </bottom>
      <diagonal/>
    </border>
    <border>
      <left style="thick">
        <color theme="4" tint="-0.24994659260841701"/>
      </left>
      <right/>
      <top style="thick">
        <color theme="4" tint="-0.24994659260841701"/>
      </top>
      <bottom/>
      <diagonal/>
    </border>
    <border>
      <left/>
      <right style="thick">
        <color theme="4" tint="-0.24994659260841701"/>
      </right>
      <top style="thick">
        <color theme="4" tint="-0.24994659260841701"/>
      </top>
      <bottom/>
      <diagonal/>
    </border>
    <border>
      <left style="thick">
        <color theme="4" tint="-0.24994659260841701"/>
      </left>
      <right style="thin">
        <color theme="4" tint="-0.24994659260841701"/>
      </right>
      <top style="thin">
        <color theme="4" tint="-0.24994659260841701"/>
      </top>
      <bottom style="thin">
        <color theme="4" tint="-0.24994659260841701"/>
      </bottom>
      <diagonal/>
    </border>
    <border>
      <left style="thin">
        <color theme="4" tint="-0.24994659260841701"/>
      </left>
      <right style="thick">
        <color theme="4" tint="-0.24994659260841701"/>
      </right>
      <top style="thin">
        <color theme="4" tint="-0.24994659260841701"/>
      </top>
      <bottom style="thin">
        <color theme="4" tint="-0.24994659260841701"/>
      </bottom>
      <diagonal/>
    </border>
    <border>
      <left style="thick">
        <color theme="4" tint="-0.24994659260841701"/>
      </left>
      <right style="thin">
        <color theme="4" tint="-0.24994659260841701"/>
      </right>
      <top style="thin">
        <color theme="4" tint="-0.24994659260841701"/>
      </top>
      <bottom style="thick">
        <color theme="4" tint="-0.24994659260841701"/>
      </bottom>
      <diagonal/>
    </border>
    <border>
      <left style="thin">
        <color theme="4" tint="-0.24994659260841701"/>
      </left>
      <right style="thick">
        <color theme="4" tint="-0.24994659260841701"/>
      </right>
      <top style="thin">
        <color theme="4" tint="-0.24994659260841701"/>
      </top>
      <bottom style="thick">
        <color theme="4" tint="-0.24994659260841701"/>
      </bottom>
      <diagonal/>
    </border>
    <border>
      <left/>
      <right style="thick">
        <color theme="4" tint="-0.24994659260841701"/>
      </right>
      <top style="thin">
        <color theme="4" tint="-0.24994659260841701"/>
      </top>
      <bottom style="thin">
        <color theme="4" tint="-0.24994659260841701"/>
      </bottom>
      <diagonal/>
    </border>
    <border>
      <left/>
      <right style="thick">
        <color theme="4" tint="-0.24994659260841701"/>
      </right>
      <top/>
      <bottom/>
      <diagonal/>
    </border>
    <border>
      <left/>
      <right style="thick">
        <color theme="4" tint="-0.24994659260841701"/>
      </right>
      <top/>
      <bottom style="thick">
        <color theme="4" tint="-0.24994659260841701"/>
      </bottom>
      <diagonal/>
    </border>
    <border>
      <left/>
      <right style="thick">
        <color theme="4" tint="-0.24994659260841701"/>
      </right>
      <top style="thin">
        <color theme="4" tint="-0.24994659260841701"/>
      </top>
      <bottom style="thick">
        <color theme="4" tint="-0.24994659260841701"/>
      </bottom>
      <diagonal/>
    </border>
    <border>
      <left/>
      <right/>
      <top/>
      <bottom style="thin">
        <color theme="0" tint="-0.499984740745262"/>
      </bottom>
      <diagonal/>
    </border>
    <border>
      <left style="thick">
        <color theme="0"/>
      </left>
      <right/>
      <top style="thin">
        <color theme="0" tint="-0.499984740745262"/>
      </top>
      <bottom/>
      <diagonal/>
    </border>
    <border>
      <left/>
      <right style="thick">
        <color theme="0"/>
      </right>
      <top style="thin">
        <color theme="0" tint="-0.499984740745262"/>
      </top>
      <bottom/>
      <diagonal/>
    </border>
    <border>
      <left style="thick">
        <color theme="0"/>
      </left>
      <right/>
      <top/>
      <bottom style="thick">
        <color theme="0"/>
      </bottom>
      <diagonal/>
    </border>
    <border>
      <left/>
      <right style="thick">
        <color theme="0"/>
      </right>
      <top/>
      <bottom style="thick">
        <color theme="0"/>
      </bottom>
      <diagonal/>
    </border>
    <border>
      <left style="thick">
        <color theme="0"/>
      </left>
      <right style="thin">
        <color theme="1" tint="0.499984740745262"/>
      </right>
      <top style="thin">
        <color theme="1" tint="0.499984740745262"/>
      </top>
      <bottom style="thin">
        <color theme="1" tint="0.499984740745262"/>
      </bottom>
      <diagonal/>
    </border>
    <border>
      <left/>
      <right style="thick">
        <color theme="0"/>
      </right>
      <top style="thin">
        <color rgb="FF366092"/>
      </top>
      <bottom style="thin">
        <color rgb="FF366092"/>
      </bottom>
      <diagonal/>
    </border>
    <border>
      <left/>
      <right style="thin">
        <color rgb="FF366092"/>
      </right>
      <top/>
      <bottom style="thin">
        <color rgb="FF366092"/>
      </bottom>
      <diagonal/>
    </border>
    <border>
      <left/>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ck">
        <color theme="3"/>
      </left>
      <right/>
      <top/>
      <bottom style="thick">
        <color theme="3"/>
      </bottom>
      <diagonal/>
    </border>
    <border>
      <left style="thick">
        <color theme="4" tint="-0.24994659260841701"/>
      </left>
      <right/>
      <top/>
      <bottom/>
      <diagonal/>
    </border>
    <border>
      <left style="thick">
        <color theme="4" tint="-0.24994659260841701"/>
      </left>
      <right/>
      <top/>
      <bottom style="thick">
        <color theme="4" tint="-0.24994659260841701"/>
      </bottom>
      <diagonal/>
    </border>
    <border>
      <left style="thick">
        <color theme="4" tint="-0.24994659260841701"/>
      </left>
      <right style="thin">
        <color theme="4" tint="-0.24994659260841701"/>
      </right>
      <top/>
      <bottom style="thin">
        <color theme="4" tint="-0.24994659260841701"/>
      </bottom>
      <diagonal/>
    </border>
    <border>
      <left style="thin">
        <color theme="4" tint="-0.24994659260841701"/>
      </left>
      <right style="thick">
        <color theme="4" tint="-0.24994659260841701"/>
      </right>
      <top/>
      <bottom style="thin">
        <color theme="4" tint="-0.24994659260841701"/>
      </bottom>
      <diagonal/>
    </border>
    <border>
      <left style="thick">
        <color theme="4" tint="-0.24994659260841701"/>
      </left>
      <right style="thin">
        <color theme="4" tint="-0.24994659260841701"/>
      </right>
      <top style="thin">
        <color theme="4" tint="-0.24994659260841701"/>
      </top>
      <bottom/>
      <diagonal/>
    </border>
    <border>
      <left style="thin">
        <color rgb="FF366092"/>
      </left>
      <right style="thick">
        <color theme="0"/>
      </right>
      <top style="thick">
        <color theme="0"/>
      </top>
      <bottom style="thin">
        <color rgb="FF366092"/>
      </bottom>
      <diagonal/>
    </border>
    <border>
      <left style="thin">
        <color theme="4" tint="-0.24994659260841701"/>
      </left>
      <right style="thick">
        <color theme="4" tint="-0.24994659260841701"/>
      </right>
      <top style="thin">
        <color theme="4" tint="-0.24994659260841701"/>
      </top>
      <bottom/>
      <diagonal/>
    </border>
    <border>
      <left style="thin">
        <color theme="4" tint="-0.24994659260841701"/>
      </left>
      <right/>
      <top style="thin">
        <color theme="4" tint="-0.24994659260841701"/>
      </top>
      <bottom style="thick">
        <color theme="4" tint="-0.24994659260841701"/>
      </bottom>
      <diagonal/>
    </border>
    <border>
      <left/>
      <right style="thin">
        <color theme="0" tint="-0.499984740745262"/>
      </right>
      <top style="thin">
        <color theme="0" tint="-0.499984740745262"/>
      </top>
      <bottom style="thick">
        <color theme="0"/>
      </bottom>
      <diagonal/>
    </border>
    <border>
      <left style="thick">
        <color theme="0"/>
      </left>
      <right/>
      <top/>
      <bottom style="thin">
        <color theme="0" tint="-0.499984740745262"/>
      </bottom>
      <diagonal/>
    </border>
    <border>
      <left/>
      <right style="thick">
        <color theme="0"/>
      </right>
      <top/>
      <bottom style="thin">
        <color theme="0" tint="-0.499984740745262"/>
      </bottom>
      <diagonal/>
    </border>
    <border>
      <left/>
      <right/>
      <top style="thick">
        <color theme="0"/>
      </top>
      <bottom/>
      <diagonal/>
    </border>
    <border>
      <left/>
      <right/>
      <top/>
      <bottom style="thick">
        <color theme="0"/>
      </bottom>
      <diagonal/>
    </border>
    <border>
      <left style="thin">
        <color theme="4" tint="-0.24994659260841701"/>
      </left>
      <right style="thick">
        <color theme="0"/>
      </right>
      <top style="thick">
        <color theme="0"/>
      </top>
      <bottom style="thin">
        <color theme="4" tint="-0.24994659260841701"/>
      </bottom>
      <diagonal/>
    </border>
    <border>
      <left style="medium">
        <color theme="4" tint="-0.24994659260841701"/>
      </left>
      <right/>
      <top style="thin">
        <color theme="4" tint="-0.24994659260841701"/>
      </top>
      <bottom style="medium">
        <color theme="4" tint="-0.24994659260841701"/>
      </bottom>
      <diagonal/>
    </border>
    <border>
      <left/>
      <right style="thin">
        <color theme="4" tint="-0.24994659260841701"/>
      </right>
      <top/>
      <bottom/>
      <diagonal/>
    </border>
    <border>
      <left/>
      <right style="thick">
        <color theme="4" tint="-0.24994659260841701"/>
      </right>
      <top style="medium">
        <color theme="4" tint="-0.24994659260841701"/>
      </top>
      <bottom style="medium">
        <color theme="4" tint="-0.24994659260841701"/>
      </bottom>
      <diagonal/>
    </border>
    <border>
      <left style="thick">
        <color theme="4" tint="-0.24994659260841701"/>
      </left>
      <right style="thin">
        <color theme="4" tint="-0.24994659260841701"/>
      </right>
      <top style="medium">
        <color theme="4" tint="-0.24994659260841701"/>
      </top>
      <bottom style="thin">
        <color theme="4" tint="-0.24994659260841701"/>
      </bottom>
      <diagonal/>
    </border>
    <border>
      <left/>
      <right style="thick">
        <color theme="4" tint="-0.24994659260841701"/>
      </right>
      <top style="medium">
        <color theme="4" tint="-0.24994659260841701"/>
      </top>
      <bottom style="thin">
        <color theme="4" tint="-0.24994659260841701"/>
      </bottom>
      <diagonal/>
    </border>
    <border>
      <left style="thin">
        <color theme="4" tint="-0.24994659260841701"/>
      </left>
      <right/>
      <top style="medium">
        <color theme="4" tint="-0.24994659260841701"/>
      </top>
      <bottom style="thin">
        <color theme="4" tint="-0.24994659260841701"/>
      </bottom>
      <diagonal/>
    </border>
    <border>
      <left style="thick">
        <color theme="4" tint="-0.24994659260841701"/>
      </left>
      <right style="thin">
        <color theme="4" tint="-0.24994659260841701"/>
      </right>
      <top style="medium">
        <color theme="4" tint="-0.24994659260841701"/>
      </top>
      <bottom/>
      <diagonal/>
    </border>
    <border>
      <left style="thick">
        <color theme="4" tint="-0.24994659260841701"/>
      </left>
      <right style="thin">
        <color theme="4" tint="-0.24994659260841701"/>
      </right>
      <top style="medium">
        <color theme="4" tint="-0.24994659260841701"/>
      </top>
      <bottom style="medium">
        <color theme="4" tint="-0.24994659260841701"/>
      </bottom>
      <diagonal/>
    </border>
    <border>
      <left style="medium">
        <color theme="4" tint="-0.24994659260841701"/>
      </left>
      <right style="thin">
        <color theme="4" tint="-0.24994659260841701"/>
      </right>
      <top/>
      <bottom/>
      <diagonal/>
    </border>
    <border>
      <left/>
      <right style="medium">
        <color rgb="FF000000"/>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diagonal/>
    </border>
    <border>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ck">
        <color theme="0"/>
      </right>
      <top style="thin">
        <color auto="1"/>
      </top>
      <bottom/>
      <diagonal/>
    </border>
    <border>
      <left style="thick">
        <color theme="0"/>
      </left>
      <right style="thick">
        <color theme="0"/>
      </right>
      <top style="thick">
        <color theme="0"/>
      </top>
      <bottom/>
      <diagonal/>
    </border>
    <border>
      <left style="thin">
        <color rgb="FF366092"/>
      </left>
      <right/>
      <top/>
      <bottom style="thin">
        <color rgb="FF366092"/>
      </bottom>
      <diagonal/>
    </border>
    <border>
      <left style="medium">
        <color rgb="FFC00000"/>
      </left>
      <right style="medium">
        <color rgb="FFC00000"/>
      </right>
      <top style="medium">
        <color rgb="FFC00000"/>
      </top>
      <bottom style="medium">
        <color rgb="FFC00000"/>
      </bottom>
      <diagonal/>
    </border>
    <border>
      <left style="medium">
        <color rgb="FFC00000"/>
      </left>
      <right style="medium">
        <color rgb="FFC00000"/>
      </right>
      <top/>
      <bottom style="medium">
        <color rgb="FFC00000"/>
      </bottom>
      <diagonal/>
    </border>
    <border>
      <left style="thick">
        <color theme="0"/>
      </left>
      <right/>
      <top/>
      <bottom style="thin">
        <color auto="1"/>
      </bottom>
      <diagonal/>
    </border>
    <border>
      <left style="thin">
        <color theme="0" tint="-0.499984740745262"/>
      </left>
      <right style="thin">
        <color theme="0" tint="-0.499984740745262"/>
      </right>
      <top style="thick">
        <color theme="0"/>
      </top>
      <bottom style="thick">
        <color theme="0"/>
      </bottom>
      <diagonal/>
    </border>
    <border>
      <left style="thin">
        <color theme="0" tint="-0.499984740745262"/>
      </left>
      <right style="thick">
        <color theme="0"/>
      </right>
      <top style="thick">
        <color theme="0"/>
      </top>
      <bottom style="thick">
        <color theme="0"/>
      </bottom>
      <diagonal/>
    </border>
    <border>
      <left style="thick">
        <color theme="0"/>
      </left>
      <right style="thin">
        <color auto="1"/>
      </right>
      <top style="thin">
        <color auto="1"/>
      </top>
      <bottom style="thick">
        <color theme="0"/>
      </bottom>
      <diagonal/>
    </border>
    <border>
      <left/>
      <right style="thin">
        <color auto="1"/>
      </right>
      <top style="thin">
        <color auto="1"/>
      </top>
      <bottom style="thick">
        <color theme="0"/>
      </bottom>
      <diagonal/>
    </border>
    <border>
      <left style="thick">
        <color theme="0"/>
      </left>
      <right style="thick">
        <color theme="0"/>
      </right>
      <top style="thin">
        <color rgb="FF4E81BE"/>
      </top>
      <bottom style="thick">
        <color theme="0"/>
      </bottom>
      <diagonal/>
    </border>
    <border>
      <left style="thick">
        <color theme="0"/>
      </left>
      <right/>
      <top style="thin">
        <color rgb="FF4E81BE"/>
      </top>
      <bottom style="thick">
        <color theme="0"/>
      </bottom>
      <diagonal/>
    </border>
    <border>
      <left/>
      <right style="thick">
        <color theme="0"/>
      </right>
      <top style="thin">
        <color rgb="FF4E81BE"/>
      </top>
      <bottom style="thick">
        <color theme="0"/>
      </bottom>
      <diagonal/>
    </border>
    <border>
      <left/>
      <right/>
      <top style="thin">
        <color rgb="FF0070C0"/>
      </top>
      <bottom style="thin">
        <color rgb="FF0070C0"/>
      </bottom>
      <diagonal/>
    </border>
    <border>
      <left/>
      <right style="thick">
        <color theme="0"/>
      </right>
      <top style="thin">
        <color rgb="FF0070C0"/>
      </top>
      <bottom style="thin">
        <color rgb="FF0070C0"/>
      </bottom>
      <diagonal/>
    </border>
    <border>
      <left style="thick">
        <color theme="0"/>
      </left>
      <right style="thick">
        <color theme="0"/>
      </right>
      <top/>
      <bottom/>
      <diagonal/>
    </border>
    <border>
      <left style="medium">
        <color theme="4" tint="-0.24994659260841701"/>
      </left>
      <right/>
      <top style="medium">
        <color theme="4" tint="-0.24994659260841701"/>
      </top>
      <bottom style="thick">
        <color theme="4" tint="-0.24994659260841701"/>
      </bottom>
      <diagonal/>
    </border>
    <border>
      <left/>
      <right/>
      <top style="medium">
        <color theme="4" tint="-0.24994659260841701"/>
      </top>
      <bottom style="thick">
        <color theme="4" tint="-0.24994659260841701"/>
      </bottom>
      <diagonal/>
    </border>
    <border>
      <left/>
      <right style="medium">
        <color theme="4" tint="-0.24994659260841701"/>
      </right>
      <top style="medium">
        <color theme="4" tint="-0.24994659260841701"/>
      </top>
      <bottom style="thick">
        <color theme="4" tint="-0.24994659260841701"/>
      </bottom>
      <diagonal/>
    </border>
    <border>
      <left/>
      <right style="thick">
        <color theme="4" tint="-0.24994659260841701"/>
      </right>
      <top style="thin">
        <color theme="4" tint="-0.24994659260841701"/>
      </top>
      <bottom style="medium">
        <color theme="4" tint="-0.24994659260841701"/>
      </bottom>
      <diagonal/>
    </border>
    <border>
      <left/>
      <right/>
      <top style="medium">
        <color theme="4" tint="-0.24994659260841701"/>
      </top>
      <bottom style="thin">
        <color theme="4" tint="-0.24994659260841701"/>
      </bottom>
      <diagonal/>
    </border>
    <border>
      <left/>
      <right/>
      <top style="thin">
        <color theme="4" tint="-0.24994659260841701"/>
      </top>
      <bottom style="thick">
        <color theme="4" tint="-0.24994659260841701"/>
      </bottom>
      <diagonal/>
    </border>
    <border>
      <left style="thin">
        <color theme="4" tint="-0.24994659260841701"/>
      </left>
      <right/>
      <top style="medium">
        <color theme="4" tint="-0.24994659260841701"/>
      </top>
      <bottom style="medium">
        <color theme="4" tint="-0.24994659260841701"/>
      </bottom>
      <diagonal/>
    </border>
    <border>
      <left style="thin">
        <color theme="4" tint="-0.24994659260841701"/>
      </left>
      <right style="thin">
        <color theme="4" tint="-0.24994659260841701"/>
      </right>
      <top/>
      <bottom/>
      <diagonal/>
    </border>
    <border>
      <left/>
      <right style="medium">
        <color theme="4" tint="-0.24994659260841701"/>
      </right>
      <top style="medium">
        <color theme="4" tint="-0.24994659260841701"/>
      </top>
      <bottom style="thin">
        <color theme="4" tint="-0.24994659260841701"/>
      </bottom>
      <diagonal/>
    </border>
    <border>
      <left/>
      <right style="medium">
        <color theme="4" tint="-0.24994659260841701"/>
      </right>
      <top style="thin">
        <color theme="4" tint="-0.24994659260841701"/>
      </top>
      <bottom style="thick">
        <color theme="4" tint="-0.24994659260841701"/>
      </bottom>
      <diagonal/>
    </border>
    <border>
      <left style="medium">
        <color theme="4" tint="-0.24994659260841701"/>
      </left>
      <right/>
      <top style="medium">
        <color theme="4" tint="-0.24994659260841701"/>
      </top>
      <bottom style="thin">
        <color theme="4" tint="-0.24994659260841701"/>
      </bottom>
      <diagonal/>
    </border>
    <border>
      <left style="medium">
        <color theme="4" tint="-0.24994659260841701"/>
      </left>
      <right/>
      <top style="thin">
        <color theme="4" tint="-0.24994659260841701"/>
      </top>
      <bottom style="thick">
        <color theme="4" tint="-0.24994659260841701"/>
      </bottom>
      <diagonal/>
    </border>
    <border>
      <left/>
      <right/>
      <top style="medium">
        <color rgb="FF366092"/>
      </top>
      <bottom/>
      <diagonal/>
    </border>
    <border>
      <left style="thick">
        <color rgb="FF366092"/>
      </left>
      <right/>
      <top style="thick">
        <color rgb="FF366092"/>
      </top>
      <bottom/>
      <diagonal/>
    </border>
    <border>
      <left/>
      <right/>
      <top style="thick">
        <color rgb="FF366092"/>
      </top>
      <bottom/>
      <diagonal/>
    </border>
    <border>
      <left/>
      <right style="thick">
        <color rgb="FF366092"/>
      </right>
      <top style="thick">
        <color rgb="FF366092"/>
      </top>
      <bottom/>
      <diagonal/>
    </border>
    <border>
      <left style="thick">
        <color rgb="FF366092"/>
      </left>
      <right style="thin">
        <color theme="4" tint="-0.24994659260841701"/>
      </right>
      <top style="thin">
        <color theme="4" tint="-0.24994659260841701"/>
      </top>
      <bottom style="thin">
        <color theme="4" tint="-0.24994659260841701"/>
      </bottom>
      <diagonal/>
    </border>
    <border>
      <left/>
      <right style="thick">
        <color rgb="FF366092"/>
      </right>
      <top/>
      <bottom/>
      <diagonal/>
    </border>
    <border>
      <left style="thick">
        <color rgb="FF366092"/>
      </left>
      <right style="thin">
        <color theme="4" tint="-0.24994659260841701"/>
      </right>
      <top style="thin">
        <color theme="4" tint="-0.24994659260841701"/>
      </top>
      <bottom/>
      <diagonal/>
    </border>
    <border>
      <left style="thick">
        <color rgb="FF366092"/>
      </left>
      <right style="thin">
        <color theme="4" tint="-0.24994659260841701"/>
      </right>
      <top style="medium">
        <color theme="4" tint="-0.24994659260841701"/>
      </top>
      <bottom/>
      <diagonal/>
    </border>
    <border>
      <left style="thick">
        <color rgb="FF366092"/>
      </left>
      <right style="thin">
        <color theme="4" tint="-0.24994659260841701"/>
      </right>
      <top/>
      <bottom/>
      <diagonal/>
    </border>
    <border>
      <left style="thick">
        <color rgb="FF366092"/>
      </left>
      <right style="thin">
        <color theme="4" tint="-0.24994659260841701"/>
      </right>
      <top style="medium">
        <color theme="4" tint="-0.24994659260841701"/>
      </top>
      <bottom style="medium">
        <color theme="4" tint="-0.24994659260841701"/>
      </bottom>
      <diagonal/>
    </border>
    <border>
      <left style="thick">
        <color rgb="FF366092"/>
      </left>
      <right style="thin">
        <color theme="4" tint="-0.24994659260841701"/>
      </right>
      <top/>
      <bottom style="thin">
        <color theme="4" tint="-0.24994659260841701"/>
      </bottom>
      <diagonal/>
    </border>
    <border>
      <left style="thick">
        <color rgb="FF366092"/>
      </left>
      <right style="thin">
        <color theme="4" tint="-0.24994659260841701"/>
      </right>
      <top style="medium">
        <color theme="4" tint="-0.24994659260841701"/>
      </top>
      <bottom style="thin">
        <color theme="4" tint="-0.24994659260841701"/>
      </bottom>
      <diagonal/>
    </border>
    <border>
      <left style="thick">
        <color rgb="FF366092"/>
      </left>
      <right style="thin">
        <color theme="4" tint="-0.24994659260841701"/>
      </right>
      <top style="thin">
        <color theme="4" tint="-0.24994659260841701"/>
      </top>
      <bottom style="thick">
        <color rgb="FF366092"/>
      </bottom>
      <diagonal/>
    </border>
    <border>
      <left style="thin">
        <color theme="4" tint="-0.24994659260841701"/>
      </left>
      <right/>
      <top style="thin">
        <color theme="4" tint="-0.24994659260841701"/>
      </top>
      <bottom style="thick">
        <color rgb="FF366092"/>
      </bottom>
      <diagonal/>
    </border>
    <border>
      <left/>
      <right/>
      <top style="thin">
        <color theme="4" tint="-0.24994659260841701"/>
      </top>
      <bottom style="thick">
        <color rgb="FF366092"/>
      </bottom>
      <diagonal/>
    </border>
    <border>
      <left style="thin">
        <color theme="4" tint="-0.24994659260841701"/>
      </left>
      <right/>
      <top/>
      <bottom style="medium">
        <color theme="4" tint="-0.24994659260841701"/>
      </bottom>
      <diagonal/>
    </border>
    <border>
      <left/>
      <right style="medium">
        <color theme="4" tint="-0.24994659260841701"/>
      </right>
      <top style="thin">
        <color theme="4" tint="-0.24994659260841701"/>
      </top>
      <bottom style="thick">
        <color rgb="FF366092"/>
      </bottom>
      <diagonal/>
    </border>
    <border>
      <left style="thin">
        <color theme="4" tint="-0.24994659260841701"/>
      </left>
      <right style="thick">
        <color rgb="FF366092"/>
      </right>
      <top style="thin">
        <color theme="4" tint="-0.24994659260841701"/>
      </top>
      <bottom style="thin">
        <color theme="4" tint="-0.24994659260841701"/>
      </bottom>
      <diagonal/>
    </border>
    <border>
      <left style="thin">
        <color theme="4" tint="-0.24994659260841701"/>
      </left>
      <right style="thick">
        <color rgb="FF366092"/>
      </right>
      <top style="thin">
        <color theme="4" tint="-0.24994659260841701"/>
      </top>
      <bottom/>
      <diagonal/>
    </border>
    <border>
      <left style="thin">
        <color theme="4" tint="-0.24994659260841701"/>
      </left>
      <right style="thick">
        <color rgb="FF366092"/>
      </right>
      <top style="medium">
        <color theme="4" tint="-0.24994659260841701"/>
      </top>
      <bottom/>
      <diagonal/>
    </border>
    <border>
      <left style="thin">
        <color theme="4" tint="-0.24994659260841701"/>
      </left>
      <right style="thick">
        <color rgb="FF366092"/>
      </right>
      <top style="medium">
        <color theme="4" tint="-0.24994659260841701"/>
      </top>
      <bottom style="thin">
        <color theme="4" tint="-0.24994659260841701"/>
      </bottom>
      <diagonal/>
    </border>
    <border>
      <left/>
      <right style="thin">
        <color theme="4" tint="-0.24994659260841701"/>
      </right>
      <top style="thin">
        <color theme="4" tint="-0.24994659260841701"/>
      </top>
      <bottom style="thick">
        <color rgb="FF366092"/>
      </bottom>
      <diagonal/>
    </border>
    <border>
      <left style="thin">
        <color theme="4" tint="-0.24994659260841701"/>
      </left>
      <right style="thin">
        <color theme="4" tint="-0.24994659260841701"/>
      </right>
      <top style="thin">
        <color theme="4" tint="-0.24994659260841701"/>
      </top>
      <bottom style="thick">
        <color rgb="FF366092"/>
      </bottom>
      <diagonal/>
    </border>
    <border>
      <left style="thin">
        <color theme="4" tint="-0.24994659260841701"/>
      </left>
      <right style="thick">
        <color rgb="FF366092"/>
      </right>
      <top style="thin">
        <color theme="4" tint="-0.24994659260841701"/>
      </top>
      <bottom style="thick">
        <color rgb="FF366092"/>
      </bottom>
      <diagonal/>
    </border>
    <border>
      <left/>
      <right style="thick">
        <color rgb="FF366092"/>
      </right>
      <top style="thin">
        <color theme="4" tint="-0.24994659260841701"/>
      </top>
      <bottom style="thin">
        <color theme="4" tint="-0.24994659260841701"/>
      </bottom>
      <diagonal/>
    </border>
    <border>
      <left/>
      <right style="thick">
        <color rgb="FF366092"/>
      </right>
      <top style="thin">
        <color theme="4" tint="-0.24994659260841701"/>
      </top>
      <bottom style="medium">
        <color theme="4" tint="-0.24994659260841701"/>
      </bottom>
      <diagonal/>
    </border>
    <border>
      <left style="thick">
        <color rgb="FF366092"/>
      </left>
      <right style="thin">
        <color theme="4" tint="-0.24994659260841701"/>
      </right>
      <top style="medium">
        <color theme="4" tint="-0.24994659260841701"/>
      </top>
      <bottom style="thick">
        <color rgb="FF366092"/>
      </bottom>
      <diagonal/>
    </border>
    <border>
      <left style="thin">
        <color theme="4" tint="-0.24994659260841701"/>
      </left>
      <right/>
      <top style="medium">
        <color theme="4" tint="-0.24994659260841701"/>
      </top>
      <bottom style="thick">
        <color rgb="FF366092"/>
      </bottom>
      <diagonal/>
    </border>
    <border>
      <left/>
      <right/>
      <top style="medium">
        <color theme="4" tint="-0.24994659260841701"/>
      </top>
      <bottom style="thick">
        <color rgb="FF366092"/>
      </bottom>
      <diagonal/>
    </border>
    <border>
      <left/>
      <right style="medium">
        <color theme="4" tint="-0.24994659260841701"/>
      </right>
      <top style="medium">
        <color theme="4" tint="-0.24994659260841701"/>
      </top>
      <bottom style="thick">
        <color rgb="FF366092"/>
      </bottom>
      <diagonal/>
    </border>
    <border>
      <left style="medium">
        <color theme="4" tint="-0.24994659260841701"/>
      </left>
      <right/>
      <top style="medium">
        <color theme="4" tint="-0.24994659260841701"/>
      </top>
      <bottom style="thick">
        <color rgb="FF366092"/>
      </bottom>
      <diagonal/>
    </border>
    <border>
      <left/>
      <right style="thick">
        <color rgb="FF366092"/>
      </right>
      <top style="medium">
        <color theme="4" tint="-0.24994659260841701"/>
      </top>
      <bottom style="thick">
        <color rgb="FF366092"/>
      </bottom>
      <diagonal/>
    </border>
    <border>
      <left style="thick">
        <color rgb="FF366092"/>
      </left>
      <right/>
      <top style="thick">
        <color rgb="FF366092"/>
      </top>
      <bottom style="thick">
        <color rgb="FF366092"/>
      </bottom>
      <diagonal/>
    </border>
    <border>
      <left/>
      <right/>
      <top style="thick">
        <color rgb="FF366092"/>
      </top>
      <bottom style="thick">
        <color rgb="FF366092"/>
      </bottom>
      <diagonal/>
    </border>
    <border>
      <left/>
      <right style="thick">
        <color rgb="FF366092"/>
      </right>
      <top style="thick">
        <color rgb="FF366092"/>
      </top>
      <bottom style="thick">
        <color rgb="FF366092"/>
      </bottom>
      <diagonal/>
    </border>
    <border>
      <left/>
      <right/>
      <top style="thin">
        <color rgb="FF0070C0"/>
      </top>
      <bottom/>
      <diagonal/>
    </border>
    <border>
      <left/>
      <right/>
      <top style="medium">
        <color rgb="FF366092"/>
      </top>
      <bottom style="thin">
        <color rgb="FF0070C0"/>
      </bottom>
      <diagonal/>
    </border>
    <border>
      <left/>
      <right style="thick">
        <color rgb="FF366092"/>
      </right>
      <top style="thin">
        <color rgb="FF0070C0"/>
      </top>
      <bottom style="thin">
        <color rgb="FF0070C0"/>
      </bottom>
      <diagonal/>
    </border>
    <border>
      <left/>
      <right style="thick">
        <color rgb="FF366092"/>
      </right>
      <top style="medium">
        <color rgb="FF366092"/>
      </top>
      <bottom/>
      <diagonal/>
    </border>
    <border>
      <left/>
      <right style="thick">
        <color rgb="FF366092"/>
      </right>
      <top style="medium">
        <color rgb="FF366092"/>
      </top>
      <bottom style="thin">
        <color rgb="FF0070C0"/>
      </bottom>
      <diagonal/>
    </border>
    <border>
      <left/>
      <right style="thick">
        <color rgb="FF366092"/>
      </right>
      <top style="thin">
        <color rgb="FF0070C0"/>
      </top>
      <bottom/>
      <diagonal/>
    </border>
    <border>
      <left/>
      <right/>
      <top style="thin">
        <color rgb="FF0070C0"/>
      </top>
      <bottom style="thick">
        <color rgb="FF366092"/>
      </bottom>
      <diagonal/>
    </border>
    <border>
      <left/>
      <right style="thick">
        <color rgb="FF366092"/>
      </right>
      <top style="thin">
        <color rgb="FF0070C0"/>
      </top>
      <bottom style="thick">
        <color rgb="FF366092"/>
      </bottom>
      <diagonal/>
    </border>
    <border>
      <left/>
      <right/>
      <top style="medium">
        <color theme="4" tint="-0.24994659260841701"/>
      </top>
      <bottom style="thin">
        <color rgb="FF0070C0"/>
      </bottom>
      <diagonal/>
    </border>
    <border>
      <left/>
      <right style="thick">
        <color rgb="FF366092"/>
      </right>
      <top style="medium">
        <color theme="4" tint="-0.24994659260841701"/>
      </top>
      <bottom style="thin">
        <color rgb="FF0070C0"/>
      </bottom>
      <diagonal/>
    </border>
    <border>
      <left style="medium">
        <color theme="4" tint="-0.24994659260841701"/>
      </left>
      <right/>
      <top style="medium">
        <color rgb="FF366092"/>
      </top>
      <bottom/>
      <diagonal/>
    </border>
    <border>
      <left/>
      <right style="thin">
        <color theme="4" tint="-0.24994659260841701"/>
      </right>
      <top style="medium">
        <color rgb="FF366092"/>
      </top>
      <bottom/>
      <diagonal/>
    </border>
    <border>
      <left style="medium">
        <color theme="4" tint="-0.24994659260841701"/>
      </left>
      <right/>
      <top style="medium">
        <color rgb="FF366092"/>
      </top>
      <bottom style="thin">
        <color rgb="FF0070C0"/>
      </bottom>
      <diagonal/>
    </border>
    <border>
      <left/>
      <right style="thin">
        <color theme="4" tint="-0.24994659260841701"/>
      </right>
      <top style="medium">
        <color rgb="FF366092"/>
      </top>
      <bottom style="thin">
        <color rgb="FF0070C0"/>
      </bottom>
      <diagonal/>
    </border>
    <border>
      <left style="medium">
        <color theme="4" tint="-0.24994659260841701"/>
      </left>
      <right/>
      <top style="thin">
        <color rgb="FF0070C0"/>
      </top>
      <bottom style="thin">
        <color rgb="FF0070C0"/>
      </bottom>
      <diagonal/>
    </border>
    <border>
      <left/>
      <right style="thin">
        <color theme="4" tint="-0.24994659260841701"/>
      </right>
      <top style="thin">
        <color rgb="FF0070C0"/>
      </top>
      <bottom style="thin">
        <color rgb="FF0070C0"/>
      </bottom>
      <diagonal/>
    </border>
    <border>
      <left style="medium">
        <color theme="4" tint="-0.24994659260841701"/>
      </left>
      <right/>
      <top/>
      <bottom style="medium">
        <color rgb="FF366092"/>
      </bottom>
      <diagonal/>
    </border>
    <border>
      <left/>
      <right style="thin">
        <color theme="4" tint="-0.24994659260841701"/>
      </right>
      <top/>
      <bottom style="medium">
        <color rgb="FF366092"/>
      </bottom>
      <diagonal/>
    </border>
    <border>
      <left style="thin">
        <color theme="4" tint="-0.24994659260841701"/>
      </left>
      <right style="medium">
        <color theme="4" tint="-0.24994659260841701"/>
      </right>
      <top style="thin">
        <color theme="4" tint="-0.24994659260841701"/>
      </top>
      <bottom/>
      <diagonal/>
    </border>
    <border>
      <left style="thin">
        <color theme="4" tint="-0.24994659260841701"/>
      </left>
      <right style="medium">
        <color theme="4" tint="-0.24994659260841701"/>
      </right>
      <top/>
      <bottom style="thin">
        <color theme="4" tint="-0.24994659260841701"/>
      </bottom>
      <diagonal/>
    </border>
    <border>
      <left style="thin">
        <color theme="0" tint="-0.499984740745262"/>
      </left>
      <right style="medium">
        <color theme="0"/>
      </right>
      <top style="thin">
        <color theme="0" tint="-0.499984740745262"/>
      </top>
      <bottom style="thin">
        <color theme="0" tint="-0.499984740745262"/>
      </bottom>
      <diagonal/>
    </border>
    <border>
      <left style="thick">
        <color theme="0"/>
      </left>
      <right/>
      <top style="thin">
        <color theme="0" tint="-0.499984740745262"/>
      </top>
      <bottom style="thin">
        <color theme="0" tint="-0.499984740745262"/>
      </bottom>
      <diagonal/>
    </border>
    <border>
      <left style="thick">
        <color theme="0"/>
      </left>
      <right style="thick">
        <color theme="0"/>
      </right>
      <top style="thin">
        <color rgb="FF4E81BE"/>
      </top>
      <bottom/>
      <diagonal/>
    </border>
    <border>
      <left style="thick">
        <color theme="0"/>
      </left>
      <right/>
      <top style="thin">
        <color rgb="FF4E81BE"/>
      </top>
      <bottom/>
      <diagonal/>
    </border>
    <border>
      <left/>
      <right style="thick">
        <color theme="0"/>
      </right>
      <top style="thin">
        <color rgb="FF0070C0"/>
      </top>
      <bottom/>
      <diagonal/>
    </border>
    <border>
      <left/>
      <right/>
      <top style="thin">
        <color rgb="FF0070C0"/>
      </top>
      <bottom style="thick">
        <color theme="0"/>
      </bottom>
      <diagonal/>
    </border>
    <border>
      <left/>
      <right style="thick">
        <color theme="0"/>
      </right>
      <top style="thin">
        <color rgb="FF0070C0"/>
      </top>
      <bottom style="thick">
        <color theme="0"/>
      </bottom>
      <diagonal/>
    </border>
    <border>
      <left style="medium">
        <color theme="0"/>
      </left>
      <right style="thin">
        <color theme="0" tint="-0.499984740745262"/>
      </right>
      <top style="thin">
        <color theme="0" tint="-0.499984740745262"/>
      </top>
      <bottom style="thin">
        <color theme="0" tint="-0.499984740745262"/>
      </bottom>
      <diagonal/>
    </border>
    <border>
      <left/>
      <right/>
      <top style="thin">
        <color theme="5" tint="-0.24994659260841701"/>
      </top>
      <bottom/>
      <diagonal/>
    </border>
    <border>
      <left/>
      <right/>
      <top/>
      <bottom style="thin">
        <color theme="5" tint="-0.24994659260841701"/>
      </bottom>
      <diagonal/>
    </border>
    <border>
      <left style="thin">
        <color theme="5" tint="-0.24994659260841701"/>
      </left>
      <right/>
      <top style="thin">
        <color theme="5" tint="-0.24994659260841701"/>
      </top>
      <bottom style="thin">
        <color theme="5" tint="-0.24994659260841701"/>
      </bottom>
      <diagonal/>
    </border>
    <border>
      <left/>
      <right/>
      <top style="thin">
        <color theme="5" tint="-0.24994659260841701"/>
      </top>
      <bottom style="thin">
        <color theme="5" tint="-0.24994659260841701"/>
      </bottom>
      <diagonal/>
    </border>
    <border>
      <left/>
      <right style="thin">
        <color theme="5" tint="-0.24994659260841701"/>
      </right>
      <top style="thin">
        <color theme="5" tint="-0.24994659260841701"/>
      </top>
      <bottom style="thin">
        <color theme="5" tint="-0.24994659260841701"/>
      </bottom>
      <diagonal/>
    </border>
    <border>
      <left style="thin">
        <color theme="4" tint="-0.24994659260841701"/>
      </left>
      <right style="thin">
        <color theme="4" tint="-0.24994659260841701"/>
      </right>
      <top style="thin">
        <color theme="4" tint="0.59996337778862885"/>
      </top>
      <bottom style="medium">
        <color theme="4" tint="-0.24994659260841701"/>
      </bottom>
      <diagonal/>
    </border>
    <border>
      <left style="medium">
        <color rgb="FF366092"/>
      </left>
      <right/>
      <top style="medium">
        <color rgb="FF366092"/>
      </top>
      <bottom/>
      <diagonal/>
    </border>
    <border>
      <left/>
      <right style="medium">
        <color rgb="FF366092"/>
      </right>
      <top style="medium">
        <color rgb="FF366092"/>
      </top>
      <bottom/>
      <diagonal/>
    </border>
    <border>
      <left/>
      <right style="medium">
        <color rgb="FF366092"/>
      </right>
      <top style="thin">
        <color theme="5" tint="-0.24994659260841701"/>
      </top>
      <bottom/>
      <diagonal/>
    </border>
    <border>
      <left/>
      <right style="medium">
        <color rgb="FF366092"/>
      </right>
      <top style="thin">
        <color theme="5" tint="-0.24994659260841701"/>
      </top>
      <bottom style="thin">
        <color theme="5" tint="-0.24994659260841701"/>
      </bottom>
      <diagonal/>
    </border>
    <border>
      <left style="medium">
        <color rgb="FF366092"/>
      </left>
      <right/>
      <top style="thin">
        <color theme="5" tint="-0.24994659260841701"/>
      </top>
      <bottom/>
      <diagonal/>
    </border>
    <border>
      <left style="medium">
        <color rgb="FF366092"/>
      </left>
      <right/>
      <top/>
      <bottom/>
      <diagonal/>
    </border>
    <border>
      <left/>
      <right style="medium">
        <color rgb="FF366092"/>
      </right>
      <top/>
      <bottom/>
      <diagonal/>
    </border>
    <border>
      <left style="medium">
        <color rgb="FF366092"/>
      </left>
      <right/>
      <top/>
      <bottom style="medium">
        <color rgb="FF366092"/>
      </bottom>
      <diagonal/>
    </border>
    <border>
      <left/>
      <right/>
      <top/>
      <bottom style="medium">
        <color rgb="FF366092"/>
      </bottom>
      <diagonal/>
    </border>
    <border>
      <left/>
      <right style="medium">
        <color rgb="FF366092"/>
      </right>
      <top/>
      <bottom style="medium">
        <color rgb="FF366092"/>
      </bottom>
      <diagonal/>
    </border>
    <border>
      <left style="thick">
        <color theme="0"/>
      </left>
      <right/>
      <top style="thick">
        <color theme="0"/>
      </top>
      <bottom style="thin">
        <color rgb="FF4E81BE"/>
      </bottom>
      <diagonal/>
    </border>
    <border>
      <left/>
      <right style="thick">
        <color theme="0"/>
      </right>
      <top style="thick">
        <color theme="0"/>
      </top>
      <bottom style="thin">
        <color rgb="FF4E81BE"/>
      </bottom>
      <diagonal/>
    </border>
    <border>
      <left/>
      <right style="thin">
        <color theme="5" tint="-0.24994659260841701"/>
      </right>
      <top/>
      <bottom/>
      <diagonal/>
    </border>
    <border>
      <left style="medium">
        <color rgb="FF366092"/>
      </left>
      <right/>
      <top/>
      <bottom style="thin">
        <color theme="5" tint="-0.24994659260841701"/>
      </bottom>
      <diagonal/>
    </border>
    <border>
      <left/>
      <right style="thin">
        <color theme="5" tint="-0.24994659260841701"/>
      </right>
      <top/>
      <bottom style="thin">
        <color theme="5" tint="-0.24994659260841701"/>
      </bottom>
      <diagonal/>
    </border>
    <border>
      <left style="medium">
        <color rgb="FF366092"/>
      </left>
      <right/>
      <top style="thin">
        <color rgb="FF366092"/>
      </top>
      <bottom/>
      <diagonal/>
    </border>
    <border>
      <left/>
      <right/>
      <top style="thin">
        <color rgb="FF366092"/>
      </top>
      <bottom/>
      <diagonal/>
    </border>
    <border>
      <left/>
      <right style="thin">
        <color theme="5" tint="-0.24994659260841701"/>
      </right>
      <top style="thin">
        <color rgb="FF366092"/>
      </top>
      <bottom/>
      <diagonal/>
    </border>
    <border>
      <left/>
      <right style="thick">
        <color theme="0"/>
      </right>
      <top style="thin">
        <color auto="1"/>
      </top>
      <bottom style="thick">
        <color theme="0"/>
      </bottom>
      <diagonal/>
    </border>
    <border>
      <left style="thin">
        <color auto="1"/>
      </left>
      <right style="thin">
        <color auto="1"/>
      </right>
      <top style="thin">
        <color auto="1"/>
      </top>
      <bottom style="thick">
        <color theme="0"/>
      </bottom>
      <diagonal/>
    </border>
    <border>
      <left/>
      <right style="thin">
        <color theme="4" tint="-0.24994659260841701"/>
      </right>
      <top style="thin">
        <color theme="4" tint="-0.24994659260841701"/>
      </top>
      <bottom style="thin">
        <color theme="4" tint="0.59996337778862885"/>
      </bottom>
      <diagonal/>
    </border>
    <border>
      <left style="medium">
        <color theme="4" tint="-0.24994659260841701"/>
      </left>
      <right style="thin">
        <color theme="4" tint="-0.24994659260841701"/>
      </right>
      <top style="thin">
        <color theme="4" tint="-0.24994659260841701"/>
      </top>
      <bottom/>
      <diagonal/>
    </border>
    <border>
      <left style="medium">
        <color theme="4" tint="-0.24994659260841701"/>
      </left>
      <right style="thin">
        <color theme="4" tint="-0.24994659260841701"/>
      </right>
      <top/>
      <bottom style="medium">
        <color theme="4" tint="-0.24994659260841701"/>
      </bottom>
      <diagonal/>
    </border>
    <border>
      <left style="thin">
        <color theme="4" tint="-0.24994659260841701"/>
      </left>
      <right style="thin">
        <color theme="4" tint="-0.24994659260841701"/>
      </right>
      <top style="thin">
        <color theme="4" tint="0.59996337778862885"/>
      </top>
      <bottom style="thin">
        <color theme="4" tint="-0.24994659260841701"/>
      </bottom>
      <diagonal/>
    </border>
    <border>
      <left style="thin">
        <color theme="4" tint="-0.24994659260841701"/>
      </left>
      <right style="medium">
        <color theme="4" tint="-0.24994659260841701"/>
      </right>
      <top/>
      <bottom/>
      <diagonal/>
    </border>
    <border>
      <left style="thin">
        <color theme="4" tint="-0.24994659260841701"/>
      </left>
      <right style="medium">
        <color theme="4" tint="-0.24994659260841701"/>
      </right>
      <top/>
      <bottom style="medium">
        <color theme="4" tint="-0.24994659260841701"/>
      </bottom>
      <diagonal/>
    </border>
    <border>
      <left/>
      <right/>
      <top style="thick">
        <color theme="4" tint="-0.24994659260841701"/>
      </top>
      <bottom style="thin">
        <color theme="4" tint="-0.24994659260841701"/>
      </bottom>
      <diagonal/>
    </border>
    <border>
      <left/>
      <right style="thin">
        <color theme="4" tint="-0.24994659260841701"/>
      </right>
      <top style="thick">
        <color theme="4" tint="-0.24994659260841701"/>
      </top>
      <bottom style="thin">
        <color theme="4" tint="-0.24994659260841701"/>
      </bottom>
      <diagonal/>
    </border>
    <border>
      <left style="medium">
        <color theme="4" tint="-0.24994659260841701"/>
      </left>
      <right/>
      <top style="thick">
        <color theme="4" tint="-0.24994659260841701"/>
      </top>
      <bottom style="thin">
        <color theme="4" tint="-0.24994659260841701"/>
      </bottom>
      <diagonal/>
    </border>
    <border>
      <left/>
      <right style="medium">
        <color theme="4" tint="-0.24994659260841701"/>
      </right>
      <top style="thick">
        <color theme="4" tint="-0.24994659260841701"/>
      </top>
      <bottom style="thin">
        <color theme="4" tint="-0.24994659260841701"/>
      </bottom>
      <diagonal/>
    </border>
    <border>
      <left style="thin">
        <color theme="4" tint="-0.24994659260841701"/>
      </left>
      <right style="thin">
        <color theme="4" tint="-0.24994659260841701"/>
      </right>
      <top style="thin">
        <color theme="4" tint="0.59996337778862885"/>
      </top>
      <bottom/>
      <diagonal/>
    </border>
    <border>
      <left style="thin">
        <color theme="4" tint="-0.24994659260841701"/>
      </left>
      <right style="thin">
        <color theme="4" tint="-0.24994659260841701"/>
      </right>
      <top style="thin">
        <color theme="4" tint="0.59996337778862885"/>
      </top>
      <bottom style="thin">
        <color theme="4" tint="0.59996337778862885"/>
      </bottom>
      <diagonal/>
    </border>
    <border>
      <left style="thin">
        <color theme="4" tint="-0.24994659260841701"/>
      </left>
      <right style="thin">
        <color theme="4" tint="-0.24994659260841701"/>
      </right>
      <top style="thin">
        <color theme="5" tint="0.39994506668294322"/>
      </top>
      <bottom style="medium">
        <color theme="4" tint="-0.24994659260841701"/>
      </bottom>
      <diagonal/>
    </border>
    <border>
      <left style="thin">
        <color theme="4" tint="-0.24994659260841701"/>
      </left>
      <right style="thin">
        <color theme="4" tint="-0.24994659260841701"/>
      </right>
      <top style="thin">
        <color theme="5" tint="0.39994506668294322"/>
      </top>
      <bottom style="thin">
        <color theme="5" tint="0.39994506668294322"/>
      </bottom>
      <diagonal/>
    </border>
    <border>
      <left style="medium">
        <color theme="4" tint="-0.24994659260841701"/>
      </left>
      <right/>
      <top style="thick">
        <color rgb="FF366092"/>
      </top>
      <bottom style="medium">
        <color theme="4" tint="-0.24994659260841701"/>
      </bottom>
      <diagonal/>
    </border>
    <border>
      <left/>
      <right style="thin">
        <color theme="4" tint="-0.24994659260841701"/>
      </right>
      <top style="thick">
        <color rgb="FF366092"/>
      </top>
      <bottom style="medium">
        <color theme="4" tint="-0.24994659260841701"/>
      </bottom>
      <diagonal/>
    </border>
    <border>
      <left style="medium">
        <color theme="4" tint="-0.24994659260841701"/>
      </left>
      <right/>
      <top style="thick">
        <color rgb="FF366092"/>
      </top>
      <bottom style="thin">
        <color theme="4" tint="-0.24994659260841701"/>
      </bottom>
      <diagonal/>
    </border>
    <border>
      <left/>
      <right/>
      <top style="thick">
        <color rgb="FF366092"/>
      </top>
      <bottom style="thin">
        <color theme="4" tint="-0.24994659260841701"/>
      </bottom>
      <diagonal/>
    </border>
    <border>
      <left/>
      <right style="thick">
        <color rgb="FF366092"/>
      </right>
      <top style="thick">
        <color rgb="FF366092"/>
      </top>
      <bottom style="thin">
        <color theme="4" tint="-0.24994659260841701"/>
      </bottom>
      <diagonal/>
    </border>
    <border>
      <left style="thin">
        <color theme="4" tint="-0.24994659260841701"/>
      </left>
      <right/>
      <top style="thick">
        <color rgb="FF366092"/>
      </top>
      <bottom style="medium">
        <color theme="4" tint="-0.24994659260841701"/>
      </bottom>
      <diagonal/>
    </border>
    <border>
      <left/>
      <right style="thick">
        <color theme="4" tint="-0.24994659260841701"/>
      </right>
      <top style="thick">
        <color rgb="FF366092"/>
      </top>
      <bottom style="medium">
        <color theme="4" tint="-0.24994659260841701"/>
      </bottom>
      <diagonal/>
    </border>
    <border>
      <left/>
      <right style="thin">
        <color theme="4" tint="-0.24994659260841701"/>
      </right>
      <top style="medium">
        <color theme="4" tint="-0.24994659260841701"/>
      </top>
      <bottom style="medium">
        <color theme="4" tint="-0.24994659260841701"/>
      </bottom>
      <diagonal/>
    </border>
    <border>
      <left style="thick">
        <color theme="0"/>
      </left>
      <right/>
      <top style="thin">
        <color theme="0"/>
      </top>
      <bottom/>
      <diagonal/>
    </border>
    <border>
      <left/>
      <right style="thick">
        <color theme="0"/>
      </right>
      <top style="thin">
        <color theme="0"/>
      </top>
      <bottom/>
      <diagonal/>
    </border>
    <border>
      <left style="thick">
        <color theme="0"/>
      </left>
      <right/>
      <top style="thick">
        <color theme="0"/>
      </top>
      <bottom style="thin">
        <color theme="0"/>
      </bottom>
      <diagonal/>
    </border>
    <border>
      <left/>
      <right/>
      <top style="thick">
        <color theme="0"/>
      </top>
      <bottom style="thin">
        <color theme="0"/>
      </bottom>
      <diagonal/>
    </border>
    <border>
      <left style="thin">
        <color theme="0" tint="-0.499984740745262"/>
      </left>
      <right style="medium">
        <color theme="0"/>
      </right>
      <top style="thin">
        <color theme="0" tint="-0.499984740745262"/>
      </top>
      <bottom style="thick">
        <color theme="0"/>
      </bottom>
      <diagonal/>
    </border>
    <border>
      <left style="medium">
        <color theme="0"/>
      </left>
      <right style="thin">
        <color theme="0" tint="-0.499984740745262"/>
      </right>
      <top style="thin">
        <color theme="0" tint="-0.499984740745262"/>
      </top>
      <bottom style="thick">
        <color theme="0"/>
      </bottom>
      <diagonal/>
    </border>
    <border>
      <left/>
      <right style="thick">
        <color theme="0"/>
      </right>
      <top style="thick">
        <color theme="0"/>
      </top>
      <bottom style="thin">
        <color theme="0"/>
      </bottom>
      <diagonal/>
    </border>
    <border>
      <left style="thin">
        <color rgb="FF366092"/>
      </left>
      <right style="thin">
        <color rgb="FF366092"/>
      </right>
      <top style="thin">
        <color rgb="FF366092"/>
      </top>
      <bottom style="thin">
        <color rgb="FF366092"/>
      </bottom>
      <diagonal/>
    </border>
    <border>
      <left style="thin">
        <color rgb="FF366092"/>
      </left>
      <right style="thin">
        <color rgb="FF366092"/>
      </right>
      <top style="thin">
        <color rgb="FF366092"/>
      </top>
      <bottom/>
      <diagonal/>
    </border>
    <border>
      <left style="thin">
        <color rgb="FF366092"/>
      </left>
      <right style="thin">
        <color rgb="FF366092"/>
      </right>
      <top style="thin">
        <color rgb="FF366092"/>
      </top>
      <bottom style="thick">
        <color theme="0"/>
      </bottom>
      <diagonal/>
    </border>
    <border>
      <left/>
      <right style="medium">
        <color rgb="FFC00000"/>
      </right>
      <top style="medium">
        <color rgb="FFC00000"/>
      </top>
      <bottom style="medium">
        <color rgb="FFC00000"/>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24994659260841701"/>
      </left>
      <right/>
      <top style="thin">
        <color theme="4" tint="-0.24994659260841701"/>
      </top>
      <bottom style="thin">
        <color rgb="FF0C5394"/>
      </bottom>
      <diagonal/>
    </border>
    <border>
      <left/>
      <right/>
      <top style="thin">
        <color theme="4" tint="-0.24994659260841701"/>
      </top>
      <bottom style="thin">
        <color rgb="FF0C5394"/>
      </bottom>
      <diagonal/>
    </border>
    <border>
      <left/>
      <right style="thin">
        <color theme="4" tint="-0.24994659260841701"/>
      </right>
      <top style="thin">
        <color theme="4" tint="-0.24994659260841701"/>
      </top>
      <bottom style="thin">
        <color rgb="FF0C5394"/>
      </bottom>
      <diagonal/>
    </border>
    <border>
      <left style="thin">
        <color theme="4" tint="-0.24994659260841701"/>
      </left>
      <right/>
      <top style="thin">
        <color rgb="FF0C5394"/>
      </top>
      <bottom style="thin">
        <color theme="4" tint="-0.24994659260841701"/>
      </bottom>
      <diagonal/>
    </border>
    <border>
      <left/>
      <right/>
      <top style="thin">
        <color rgb="FF0C5394"/>
      </top>
      <bottom style="thin">
        <color theme="4" tint="-0.24994659260841701"/>
      </bottom>
      <diagonal/>
    </border>
    <border>
      <left/>
      <right style="thin">
        <color theme="4" tint="-0.24994659260841701"/>
      </right>
      <top style="thin">
        <color rgb="FF0C5394"/>
      </top>
      <bottom style="thin">
        <color theme="4" tint="-0.24994659260841701"/>
      </bottom>
      <diagonal/>
    </border>
  </borders>
  <cellStyleXfs count="14">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4" fontId="21" fillId="0" borderId="0" applyFont="0" applyFill="0" applyBorder="0" applyAlignment="0" applyProtection="0"/>
    <xf numFmtId="0" fontId="21" fillId="0" borderId="0"/>
    <xf numFmtId="0" fontId="1" fillId="0" borderId="0"/>
    <xf numFmtId="0" fontId="1" fillId="0" borderId="0"/>
    <xf numFmtId="0" fontId="21" fillId="0" borderId="0"/>
    <xf numFmtId="0" fontId="35" fillId="0" borderId="0" applyNumberFormat="0" applyFill="0" applyBorder="0" applyAlignment="0" applyProtection="0">
      <alignment vertical="top"/>
      <protection locked="0"/>
    </xf>
    <xf numFmtId="43" fontId="21" fillId="0" borderId="0" applyFont="0" applyFill="0" applyBorder="0" applyAlignment="0" applyProtection="0"/>
    <xf numFmtId="9" fontId="21" fillId="0" borderId="0" applyFont="0" applyFill="0" applyBorder="0" applyAlignment="0" applyProtection="0"/>
    <xf numFmtId="0" fontId="1" fillId="0" borderId="0"/>
    <xf numFmtId="9" fontId="1" fillId="0" borderId="0" applyFont="0" applyFill="0" applyBorder="0" applyAlignment="0" applyProtection="0"/>
  </cellStyleXfs>
  <cellXfs count="1603">
    <xf numFmtId="0" fontId="0" fillId="0" borderId="0" xfId="0"/>
    <xf numFmtId="9" fontId="0" fillId="5" borderId="0" xfId="2" applyFont="1" applyFill="1" applyBorder="1" applyAlignment="1">
      <alignment horizontal="center" vertical="center"/>
    </xf>
    <xf numFmtId="164" fontId="3" fillId="5" borderId="0" xfId="0" applyNumberFormat="1" applyFont="1" applyFill="1" applyBorder="1" applyAlignment="1">
      <alignment horizontal="center" vertical="center"/>
    </xf>
    <xf numFmtId="0" fontId="0" fillId="0" borderId="0" xfId="0" applyFont="1" applyFill="1" applyAlignment="1">
      <alignment vertical="center"/>
    </xf>
    <xf numFmtId="0" fontId="0" fillId="5" borderId="0" xfId="0" applyFont="1" applyFill="1" applyBorder="1"/>
    <xf numFmtId="0" fontId="0" fillId="5" borderId="0" xfId="0" applyFont="1" applyFill="1" applyBorder="1" applyAlignment="1">
      <alignment horizontal="center"/>
    </xf>
    <xf numFmtId="0" fontId="0" fillId="0" borderId="0" xfId="0" applyFont="1" applyFill="1"/>
    <xf numFmtId="0" fontId="0" fillId="5" borderId="0" xfId="0" applyFont="1" applyFill="1" applyBorder="1" applyAlignment="1">
      <alignment horizontal="center" vertical="center"/>
    </xf>
    <xf numFmtId="0" fontId="0" fillId="5" borderId="0" xfId="0" applyFont="1" applyFill="1" applyBorder="1" applyAlignment="1"/>
    <xf numFmtId="0" fontId="0" fillId="5" borderId="0" xfId="0" applyFont="1" applyFill="1" applyBorder="1" applyAlignment="1">
      <alignment horizontal="left" vertical="center"/>
    </xf>
    <xf numFmtId="0" fontId="0" fillId="0" borderId="0" xfId="0" applyFont="1" applyFill="1" applyAlignment="1">
      <alignment horizontal="center"/>
    </xf>
    <xf numFmtId="0" fontId="8" fillId="3" borderId="3" xfId="0" applyFont="1" applyFill="1" applyBorder="1" applyAlignment="1">
      <alignment horizontal="center" vertical="center"/>
    </xf>
    <xf numFmtId="0" fontId="8" fillId="3" borderId="3" xfId="0" applyFont="1" applyFill="1" applyBorder="1" applyAlignment="1">
      <alignment horizontal="center" vertical="center" wrapText="1"/>
    </xf>
    <xf numFmtId="0" fontId="3" fillId="3" borderId="3" xfId="0" applyFont="1" applyFill="1" applyBorder="1" applyAlignment="1">
      <alignment horizontal="center" wrapText="1"/>
    </xf>
    <xf numFmtId="0" fontId="0" fillId="5" borderId="8" xfId="0" applyFont="1" applyFill="1" applyBorder="1" applyAlignment="1">
      <alignment horizontal="center"/>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xf>
    <xf numFmtId="0" fontId="8" fillId="3" borderId="12"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3" borderId="10" xfId="0" applyFont="1" applyFill="1" applyBorder="1" applyAlignment="1">
      <alignment horizontal="center" vertical="center"/>
    </xf>
    <xf numFmtId="0" fontId="3" fillId="3" borderId="5" xfId="0" applyFont="1" applyFill="1" applyBorder="1" applyAlignment="1">
      <alignment horizontal="center" wrapText="1"/>
    </xf>
    <xf numFmtId="9" fontId="10" fillId="3" borderId="6" xfId="2" applyFont="1" applyFill="1" applyBorder="1" applyAlignment="1">
      <alignment horizontal="right" vertical="center"/>
    </xf>
    <xf numFmtId="9" fontId="10" fillId="3" borderId="13" xfId="2" applyFont="1" applyFill="1" applyBorder="1" applyAlignment="1">
      <alignment horizontal="right" vertical="center"/>
    </xf>
    <xf numFmtId="165" fontId="9" fillId="0" borderId="13" xfId="0" applyNumberFormat="1" applyFont="1" applyFill="1" applyBorder="1" applyAlignment="1">
      <alignment horizontal="center" vertical="center"/>
    </xf>
    <xf numFmtId="0" fontId="16" fillId="5" borderId="0" xfId="0" applyFont="1" applyFill="1" applyBorder="1"/>
    <xf numFmtId="0" fontId="0" fillId="0" borderId="12" xfId="0" applyFont="1" applyFill="1" applyBorder="1" applyAlignment="1">
      <alignment horizontal="right" vertical="center"/>
    </xf>
    <xf numFmtId="0" fontId="0" fillId="5" borderId="20" xfId="0" applyFont="1" applyFill="1" applyBorder="1" applyAlignment="1">
      <alignment horizontal="center"/>
    </xf>
    <xf numFmtId="0" fontId="6" fillId="8" borderId="14" xfId="0" applyFont="1" applyFill="1" applyBorder="1"/>
    <xf numFmtId="0" fontId="4" fillId="8" borderId="15" xfId="0" applyFont="1" applyFill="1" applyBorder="1"/>
    <xf numFmtId="0" fontId="4" fillId="8" borderId="16" xfId="0" applyFont="1" applyFill="1" applyBorder="1"/>
    <xf numFmtId="0" fontId="2" fillId="8" borderId="14" xfId="0" applyFont="1" applyFill="1" applyBorder="1"/>
    <xf numFmtId="0" fontId="3" fillId="3" borderId="21" xfId="0" applyFont="1" applyFill="1" applyBorder="1" applyAlignment="1">
      <alignment vertical="center"/>
    </xf>
    <xf numFmtId="0" fontId="3" fillId="3" borderId="17" xfId="0" applyFont="1" applyFill="1" applyBorder="1" applyAlignment="1">
      <alignment horizontal="center"/>
    </xf>
    <xf numFmtId="0" fontId="3" fillId="3" borderId="21" xfId="0" applyFont="1" applyFill="1" applyBorder="1" applyAlignment="1">
      <alignment horizontal="center"/>
    </xf>
    <xf numFmtId="0" fontId="11" fillId="3" borderId="6" xfId="0" applyFont="1" applyFill="1" applyBorder="1" applyAlignment="1">
      <alignment horizontal="left" vertical="center"/>
    </xf>
    <xf numFmtId="0" fontId="11" fillId="3" borderId="6" xfId="0" applyFont="1" applyFill="1" applyBorder="1" applyAlignment="1">
      <alignment horizontal="right" vertical="center"/>
    </xf>
    <xf numFmtId="3" fontId="3" fillId="3" borderId="6" xfId="0" applyNumberFormat="1" applyFont="1" applyFill="1" applyBorder="1" applyAlignment="1">
      <alignment horizontal="center"/>
    </xf>
    <xf numFmtId="0" fontId="2" fillId="8" borderId="15" xfId="0" applyFont="1" applyFill="1" applyBorder="1"/>
    <xf numFmtId="0" fontId="4" fillId="8" borderId="15" xfId="0" applyFont="1" applyFill="1" applyBorder="1" applyAlignment="1"/>
    <xf numFmtId="0" fontId="4" fillId="8" borderId="15" xfId="0" applyFont="1" applyFill="1" applyBorder="1" applyAlignment="1">
      <alignment horizontal="left"/>
    </xf>
    <xf numFmtId="0" fontId="8" fillId="3" borderId="17" xfId="0" applyFont="1" applyFill="1" applyBorder="1" applyAlignment="1">
      <alignment horizontal="center" vertical="center"/>
    </xf>
    <xf numFmtId="0" fontId="0" fillId="5" borderId="19" xfId="0" applyFont="1" applyFill="1" applyBorder="1" applyAlignment="1">
      <alignment horizontal="center" vertical="center"/>
    </xf>
    <xf numFmtId="0" fontId="0" fillId="5" borderId="19" xfId="0" applyFont="1" applyFill="1" applyBorder="1"/>
    <xf numFmtId="0" fontId="3" fillId="3" borderId="21" xfId="0" applyFont="1" applyFill="1" applyBorder="1" applyAlignment="1"/>
    <xf numFmtId="0" fontId="0" fillId="5" borderId="29" xfId="0" applyFont="1" applyFill="1" applyBorder="1"/>
    <xf numFmtId="0" fontId="0" fillId="5" borderId="30" xfId="0" applyFont="1" applyFill="1" applyBorder="1"/>
    <xf numFmtId="0" fontId="17" fillId="5" borderId="33" xfId="0" applyFont="1" applyFill="1" applyBorder="1" applyAlignment="1">
      <alignment horizontal="center" vertical="center"/>
    </xf>
    <xf numFmtId="0" fontId="17" fillId="5" borderId="35" xfId="0" applyFont="1" applyFill="1" applyBorder="1" applyAlignment="1">
      <alignment horizontal="center" vertical="center"/>
    </xf>
    <xf numFmtId="0" fontId="0" fillId="5" borderId="36" xfId="0" applyFont="1" applyFill="1" applyBorder="1"/>
    <xf numFmtId="0" fontId="0" fillId="5" borderId="37" xfId="0" applyFont="1" applyFill="1" applyBorder="1"/>
    <xf numFmtId="0" fontId="0" fillId="5" borderId="38" xfId="0" applyFont="1" applyFill="1" applyBorder="1"/>
    <xf numFmtId="0" fontId="3" fillId="5" borderId="37" xfId="0" applyFont="1" applyFill="1" applyBorder="1" applyAlignment="1">
      <alignment horizontal="left"/>
    </xf>
    <xf numFmtId="0" fontId="12" fillId="5" borderId="37" xfId="0" applyFont="1" applyFill="1" applyBorder="1" applyAlignment="1"/>
    <xf numFmtId="0" fontId="0" fillId="5" borderId="39" xfId="0" applyFont="1" applyFill="1" applyBorder="1"/>
    <xf numFmtId="0" fontId="0" fillId="5" borderId="39" xfId="0" applyFont="1" applyFill="1" applyBorder="1" applyAlignment="1">
      <alignment horizontal="center" vertical="center"/>
    </xf>
    <xf numFmtId="0" fontId="0" fillId="5" borderId="40" xfId="0" applyFont="1" applyFill="1" applyBorder="1"/>
    <xf numFmtId="0" fontId="0" fillId="5" borderId="0" xfId="0" applyFont="1" applyFill="1" applyBorder="1" applyAlignment="1">
      <alignment horizontal="left" vertical="top"/>
    </xf>
    <xf numFmtId="0" fontId="0" fillId="4" borderId="0" xfId="0" applyFont="1" applyFill="1" applyBorder="1" applyAlignment="1">
      <alignment horizontal="left" vertical="top"/>
    </xf>
    <xf numFmtId="0" fontId="3" fillId="6" borderId="0" xfId="0" applyFont="1" applyFill="1"/>
    <xf numFmtId="0" fontId="0" fillId="6" borderId="0" xfId="0" applyFill="1"/>
    <xf numFmtId="0" fontId="0" fillId="0" borderId="0" xfId="0" applyBorder="1"/>
    <xf numFmtId="0" fontId="14" fillId="0" borderId="0" xfId="0" applyFont="1" applyBorder="1"/>
    <xf numFmtId="0" fontId="23" fillId="0" borderId="0" xfId="0" applyFont="1" applyBorder="1" applyAlignment="1">
      <alignment vertical="center" wrapText="1"/>
    </xf>
    <xf numFmtId="0" fontId="23" fillId="0" borderId="0" xfId="0" applyFont="1" applyFill="1" applyBorder="1" applyAlignment="1">
      <alignment vertical="center" wrapText="1"/>
    </xf>
    <xf numFmtId="0" fontId="23" fillId="0" borderId="0" xfId="0" applyFont="1" applyFill="1" applyBorder="1" applyAlignment="1">
      <alignment horizontal="left" vertical="center" wrapText="1"/>
    </xf>
    <xf numFmtId="0" fontId="23" fillId="0" borderId="0" xfId="6"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Alignment="1">
      <alignment horizontal="left" vertical="center"/>
    </xf>
    <xf numFmtId="0" fontId="23" fillId="0" borderId="0" xfId="0" applyFont="1" applyFill="1" applyAlignment="1">
      <alignment horizontal="left" vertical="center" wrapText="1"/>
    </xf>
    <xf numFmtId="6" fontId="23" fillId="0" borderId="0" xfId="0" applyNumberFormat="1" applyFont="1" applyFill="1" applyAlignment="1">
      <alignment horizontal="left" vertical="center" wrapText="1"/>
    </xf>
    <xf numFmtId="9" fontId="23" fillId="0" borderId="0" xfId="2" applyFont="1" applyFill="1" applyAlignment="1">
      <alignment horizontal="left" vertical="center"/>
    </xf>
    <xf numFmtId="9" fontId="23" fillId="0" borderId="0" xfId="6" applyNumberFormat="1" applyFont="1" applyFill="1" applyBorder="1" applyAlignment="1">
      <alignment horizontal="left" vertical="center" wrapText="1"/>
    </xf>
    <xf numFmtId="0" fontId="20" fillId="0" borderId="0" xfId="0" applyFont="1"/>
    <xf numFmtId="0" fontId="9" fillId="0" borderId="0" xfId="5" applyFont="1" applyBorder="1" applyAlignment="1">
      <alignment horizontal="center"/>
    </xf>
    <xf numFmtId="0" fontId="23" fillId="0" borderId="0" xfId="0" applyFont="1" applyFill="1" applyProtection="1">
      <protection hidden="1"/>
    </xf>
    <xf numFmtId="0" fontId="5" fillId="0" borderId="0" xfId="0" applyFont="1"/>
    <xf numFmtId="0" fontId="5" fillId="0" borderId="0" xfId="0" applyFont="1" applyFill="1"/>
    <xf numFmtId="0" fontId="11" fillId="0" borderId="0" xfId="0" applyFont="1" applyAlignment="1">
      <alignment horizontal="center"/>
    </xf>
    <xf numFmtId="0" fontId="5" fillId="2" borderId="0" xfId="0" applyFont="1" applyFill="1"/>
    <xf numFmtId="0" fontId="5" fillId="12" borderId="0" xfId="0" applyFont="1" applyFill="1"/>
    <xf numFmtId="0" fontId="11" fillId="14" borderId="0" xfId="0" applyFont="1" applyFill="1" applyAlignment="1">
      <alignment horizontal="center"/>
    </xf>
    <xf numFmtId="0" fontId="11" fillId="9" borderId="0" xfId="0" applyFont="1" applyFill="1" applyAlignment="1">
      <alignment horizontal="center"/>
    </xf>
    <xf numFmtId="0" fontId="11" fillId="12" borderId="0" xfId="0" applyFont="1" applyFill="1"/>
    <xf numFmtId="0" fontId="0" fillId="16" borderId="0" xfId="0" applyFont="1" applyFill="1" applyProtection="1"/>
    <xf numFmtId="0" fontId="27" fillId="16" borderId="0" xfId="8" applyFont="1" applyFill="1" applyProtection="1"/>
    <xf numFmtId="0" fontId="8" fillId="16" borderId="0" xfId="8" applyFont="1" applyFill="1" applyProtection="1"/>
    <xf numFmtId="0" fontId="28" fillId="16" borderId="0" xfId="8" applyFont="1" applyFill="1" applyBorder="1" applyProtection="1"/>
    <xf numFmtId="0" fontId="8" fillId="16" borderId="0" xfId="8" applyFont="1" applyFill="1" applyBorder="1" applyProtection="1"/>
    <xf numFmtId="0" fontId="0" fillId="0" borderId="0" xfId="0" applyFont="1" applyProtection="1"/>
    <xf numFmtId="0" fontId="28" fillId="0" borderId="0" xfId="8" applyFont="1" applyFill="1" applyBorder="1" applyProtection="1"/>
    <xf numFmtId="0" fontId="8" fillId="0" borderId="0" xfId="8" applyFont="1" applyFill="1" applyBorder="1" applyProtection="1"/>
    <xf numFmtId="0" fontId="8" fillId="0" borderId="0" xfId="8" applyFont="1" applyFill="1" applyProtection="1"/>
    <xf numFmtId="0" fontId="29" fillId="0" borderId="0" xfId="0" applyFont="1" applyBorder="1" applyAlignment="1" applyProtection="1">
      <alignment vertical="center" wrapText="1"/>
    </xf>
    <xf numFmtId="16" fontId="0" fillId="0" borderId="0" xfId="0" quotePrefix="1" applyNumberFormat="1" applyFont="1" applyAlignment="1" applyProtection="1">
      <alignment horizontal="right"/>
    </xf>
    <xf numFmtId="167" fontId="14" fillId="0" borderId="0" xfId="0" applyNumberFormat="1" applyFont="1" applyFill="1" applyAlignment="1" applyProtection="1">
      <alignment horizontal="right"/>
    </xf>
    <xf numFmtId="9" fontId="14" fillId="0" borderId="0" xfId="0" applyNumberFormat="1" applyFont="1" applyFill="1" applyAlignment="1" applyProtection="1">
      <alignment horizontal="right"/>
    </xf>
    <xf numFmtId="167" fontId="14" fillId="0" borderId="0" xfId="0" applyNumberFormat="1" applyFont="1" applyFill="1" applyAlignment="1" applyProtection="1">
      <alignment horizontal="left"/>
    </xf>
    <xf numFmtId="0" fontId="30" fillId="0" borderId="0" xfId="0" applyFont="1" applyFill="1" applyAlignment="1" applyProtection="1">
      <alignment wrapText="1"/>
    </xf>
    <xf numFmtId="0" fontId="29" fillId="0" borderId="0" xfId="0" applyFont="1" applyFill="1" applyProtection="1"/>
    <xf numFmtId="0" fontId="29" fillId="0" borderId="0" xfId="0" applyFont="1" applyFill="1" applyBorder="1" applyAlignment="1" applyProtection="1">
      <alignment vertical="center" wrapText="1"/>
    </xf>
    <xf numFmtId="9" fontId="0" fillId="0" borderId="0" xfId="0" applyNumberFormat="1" applyFont="1" applyProtection="1"/>
    <xf numFmtId="0" fontId="20" fillId="16" borderId="0" xfId="8" applyFont="1" applyFill="1" applyProtection="1"/>
    <xf numFmtId="0" fontId="20" fillId="0" borderId="0" xfId="8" applyFont="1" applyFill="1" applyBorder="1" applyProtection="1"/>
    <xf numFmtId="0" fontId="20" fillId="0" borderId="0" xfId="8" applyFont="1" applyFill="1" applyProtection="1"/>
    <xf numFmtId="0" fontId="31" fillId="0" borderId="0" xfId="0" applyFont="1" applyAlignment="1" applyProtection="1">
      <alignment horizontal="left" vertical="center" readingOrder="1"/>
    </xf>
    <xf numFmtId="0" fontId="2" fillId="0" borderId="0" xfId="8" applyFont="1" applyFill="1" applyBorder="1" applyAlignment="1" applyProtection="1">
      <alignment horizontal="center"/>
    </xf>
    <xf numFmtId="0" fontId="0" fillId="0" borderId="0" xfId="0" applyFont="1" applyFill="1" applyBorder="1" applyProtection="1"/>
    <xf numFmtId="0" fontId="20" fillId="0" borderId="0" xfId="8" applyFont="1" applyProtection="1"/>
    <xf numFmtId="0" fontId="8" fillId="16" borderId="0" xfId="8" applyFont="1" applyFill="1" applyAlignment="1" applyProtection="1">
      <alignment horizontal="center"/>
    </xf>
    <xf numFmtId="0" fontId="32" fillId="0" borderId="0" xfId="8" applyFont="1" applyFill="1" applyBorder="1" applyAlignment="1" applyProtection="1">
      <alignment horizontal="left" vertical="top"/>
    </xf>
    <xf numFmtId="0" fontId="0" fillId="0" borderId="0" xfId="0" applyFont="1" applyFill="1" applyBorder="1" applyAlignment="1" applyProtection="1">
      <alignment horizontal="center"/>
    </xf>
    <xf numFmtId="0" fontId="31" fillId="0" borderId="0" xfId="0" applyFont="1" applyAlignment="1" applyProtection="1">
      <alignment horizontal="left" vertical="center" indent="1" readingOrder="1"/>
    </xf>
    <xf numFmtId="0" fontId="32" fillId="0" borderId="0" xfId="8" applyFont="1" applyFill="1" applyBorder="1" applyProtection="1"/>
    <xf numFmtId="0" fontId="8" fillId="0" borderId="0" xfId="8" applyFont="1" applyFill="1" applyAlignment="1" applyProtection="1">
      <alignment horizontal="center"/>
    </xf>
    <xf numFmtId="0" fontId="8" fillId="0" borderId="0" xfId="8" applyFont="1" applyFill="1" applyAlignment="1" applyProtection="1">
      <alignment horizontal="center" vertical="top" wrapText="1"/>
    </xf>
    <xf numFmtId="0" fontId="2" fillId="16" borderId="0" xfId="8" applyFont="1" applyFill="1" applyBorder="1" applyAlignment="1" applyProtection="1">
      <alignment horizontal="center"/>
    </xf>
    <xf numFmtId="0" fontId="0" fillId="16" borderId="0" xfId="0" applyFont="1" applyFill="1" applyBorder="1" applyProtection="1"/>
    <xf numFmtId="0" fontId="32" fillId="16" borderId="0" xfId="8" applyFont="1" applyFill="1" applyBorder="1" applyAlignment="1" applyProtection="1">
      <alignment horizontal="left" vertical="top"/>
    </xf>
    <xf numFmtId="0" fontId="0" fillId="16" borderId="0" xfId="0" applyFont="1" applyFill="1" applyBorder="1" applyAlignment="1" applyProtection="1">
      <alignment horizontal="center"/>
    </xf>
    <xf numFmtId="0" fontId="32" fillId="13" borderId="49" xfId="8" applyFont="1" applyFill="1" applyBorder="1" applyProtection="1"/>
    <xf numFmtId="0" fontId="0" fillId="0" borderId="50" xfId="0" applyFont="1" applyFill="1" applyBorder="1" applyProtection="1">
      <protection locked="0"/>
    </xf>
    <xf numFmtId="0" fontId="32" fillId="16" borderId="0" xfId="8" applyFont="1" applyFill="1" applyBorder="1" applyProtection="1"/>
    <xf numFmtId="0" fontId="28" fillId="16" borderId="0" xfId="8" applyFont="1" applyFill="1" applyBorder="1" applyAlignment="1" applyProtection="1">
      <alignment wrapText="1"/>
    </xf>
    <xf numFmtId="0" fontId="28" fillId="0" borderId="0" xfId="8" applyFont="1" applyFill="1" applyBorder="1" applyAlignment="1" applyProtection="1">
      <alignment wrapText="1"/>
    </xf>
    <xf numFmtId="0" fontId="31" fillId="0" borderId="0" xfId="0" applyFont="1" applyAlignment="1" applyProtection="1">
      <alignment horizontal="left" vertical="center"/>
    </xf>
    <xf numFmtId="0" fontId="20" fillId="0" borderId="50" xfId="8" applyFont="1" applyFill="1" applyBorder="1" applyProtection="1">
      <protection locked="0"/>
    </xf>
    <xf numFmtId="0" fontId="32" fillId="13" borderId="51" xfId="8" applyFont="1" applyFill="1" applyBorder="1" applyProtection="1"/>
    <xf numFmtId="0" fontId="20" fillId="0" borderId="52" xfId="8" applyFont="1" applyFill="1" applyBorder="1" applyProtection="1">
      <protection locked="0"/>
    </xf>
    <xf numFmtId="0" fontId="0" fillId="0" borderId="0" xfId="0" applyFont="1" applyAlignment="1" applyProtection="1">
      <alignment horizontal="left"/>
    </xf>
    <xf numFmtId="0" fontId="33" fillId="16" borderId="0" xfId="0" applyFont="1" applyFill="1" applyAlignment="1" applyProtection="1">
      <alignment horizontal="left" wrapText="1"/>
    </xf>
    <xf numFmtId="0" fontId="32" fillId="16" borderId="54" xfId="8" applyFont="1" applyFill="1" applyBorder="1" applyAlignment="1" applyProtection="1">
      <alignment horizontal="left"/>
    </xf>
    <xf numFmtId="0" fontId="32" fillId="16" borderId="55" xfId="8" applyFont="1" applyFill="1" applyBorder="1" applyAlignment="1" applyProtection="1">
      <alignment horizontal="left"/>
    </xf>
    <xf numFmtId="0" fontId="32" fillId="13" borderId="57" xfId="8" applyFont="1" applyFill="1" applyBorder="1" applyAlignment="1" applyProtection="1">
      <alignment horizontal="left"/>
    </xf>
    <xf numFmtId="0" fontId="32" fillId="0" borderId="55" xfId="8" applyFont="1" applyFill="1" applyBorder="1" applyAlignment="1" applyProtection="1">
      <alignment horizontal="left"/>
      <protection locked="0"/>
    </xf>
    <xf numFmtId="0" fontId="0" fillId="13" borderId="60" xfId="0" applyFont="1" applyFill="1" applyBorder="1" applyProtection="1"/>
    <xf numFmtId="0" fontId="0" fillId="0" borderId="60" xfId="0" applyFont="1" applyFill="1" applyBorder="1" applyProtection="1">
      <protection locked="0"/>
    </xf>
    <xf numFmtId="0" fontId="0" fillId="13" borderId="61" xfId="0" applyFont="1" applyFill="1" applyBorder="1" applyProtection="1"/>
    <xf numFmtId="0" fontId="0" fillId="0" borderId="61" xfId="0" applyFont="1" applyFill="1" applyBorder="1" applyProtection="1">
      <protection locked="0"/>
    </xf>
    <xf numFmtId="0" fontId="0" fillId="13" borderId="63" xfId="0" applyFont="1" applyFill="1" applyBorder="1" applyProtection="1"/>
    <xf numFmtId="0" fontId="0" fillId="0" borderId="63" xfId="0" applyFont="1" applyFill="1" applyBorder="1" applyProtection="1">
      <protection locked="0"/>
    </xf>
    <xf numFmtId="0" fontId="32" fillId="16" borderId="0" xfId="8" applyFont="1" applyFill="1" applyBorder="1" applyAlignment="1" applyProtection="1">
      <alignment horizontal="center" vertical="center" textRotation="90"/>
    </xf>
    <xf numFmtId="0" fontId="20" fillId="16" borderId="0" xfId="8" applyFont="1" applyFill="1" applyBorder="1" applyProtection="1"/>
    <xf numFmtId="0" fontId="32" fillId="16" borderId="64" xfId="8" applyFont="1" applyFill="1" applyBorder="1" applyAlignment="1" applyProtection="1">
      <alignment horizontal="left"/>
    </xf>
    <xf numFmtId="6" fontId="0" fillId="0" borderId="0" xfId="0" applyNumberFormat="1" applyFont="1" applyProtection="1"/>
    <xf numFmtId="0" fontId="32" fillId="13" borderId="65" xfId="8" applyFont="1" applyFill="1" applyBorder="1" applyAlignment="1" applyProtection="1">
      <alignment horizontal="left"/>
    </xf>
    <xf numFmtId="0" fontId="32" fillId="0" borderId="66" xfId="8" applyFont="1" applyFill="1" applyBorder="1" applyAlignment="1" applyProtection="1">
      <alignment horizontal="left"/>
      <protection locked="0"/>
    </xf>
    <xf numFmtId="0" fontId="0" fillId="13" borderId="67" xfId="0" applyFont="1" applyFill="1" applyBorder="1" applyProtection="1"/>
    <xf numFmtId="0" fontId="0" fillId="0" borderId="68" xfId="0" applyFont="1" applyFill="1" applyBorder="1" applyProtection="1">
      <protection locked="0"/>
    </xf>
    <xf numFmtId="0" fontId="0" fillId="13" borderId="69" xfId="0" applyFont="1" applyFill="1" applyBorder="1" applyProtection="1"/>
    <xf numFmtId="0" fontId="0" fillId="0" borderId="70" xfId="0" applyFont="1" applyFill="1" applyBorder="1" applyProtection="1">
      <protection locked="0"/>
    </xf>
    <xf numFmtId="0" fontId="0" fillId="13" borderId="71" xfId="0" applyFont="1" applyFill="1" applyBorder="1" applyProtection="1"/>
    <xf numFmtId="0" fontId="0" fillId="0" borderId="72" xfId="0" applyFont="1" applyFill="1" applyBorder="1" applyProtection="1">
      <protection locked="0"/>
    </xf>
    <xf numFmtId="0" fontId="31" fillId="0" borderId="0" xfId="0" applyFont="1" applyProtection="1"/>
    <xf numFmtId="0" fontId="0" fillId="13" borderId="73" xfId="0" applyFont="1" applyFill="1" applyBorder="1" applyProtection="1"/>
    <xf numFmtId="0" fontId="0" fillId="0" borderId="74" xfId="0" applyFont="1" applyFill="1" applyBorder="1" applyProtection="1">
      <protection locked="0"/>
    </xf>
    <xf numFmtId="0" fontId="31" fillId="16" borderId="0" xfId="0" applyFont="1" applyFill="1" applyProtection="1"/>
    <xf numFmtId="0" fontId="0" fillId="16" borderId="0" xfId="0" applyFill="1"/>
    <xf numFmtId="0" fontId="34" fillId="16" borderId="0" xfId="0" applyFont="1" applyFill="1"/>
    <xf numFmtId="0" fontId="3" fillId="16" borderId="0" xfId="0" applyFont="1" applyFill="1"/>
    <xf numFmtId="0" fontId="35" fillId="16" borderId="0" xfId="9" applyFill="1" applyAlignment="1" applyProtection="1"/>
    <xf numFmtId="0" fontId="36" fillId="16" borderId="0" xfId="0" applyFont="1" applyFill="1"/>
    <xf numFmtId="0" fontId="7" fillId="16" borderId="0" xfId="0" applyFont="1" applyFill="1"/>
    <xf numFmtId="0" fontId="0" fillId="16" borderId="45" xfId="0" applyFill="1" applyBorder="1"/>
    <xf numFmtId="0" fontId="0" fillId="0" borderId="45" xfId="0" applyFill="1" applyBorder="1"/>
    <xf numFmtId="0" fontId="21" fillId="0" borderId="0" xfId="5" applyFont="1" applyProtection="1"/>
    <xf numFmtId="0" fontId="42" fillId="2" borderId="0" xfId="0" applyFont="1" applyFill="1"/>
    <xf numFmtId="0" fontId="0" fillId="0" borderId="0" xfId="0" applyFont="1"/>
    <xf numFmtId="0" fontId="42" fillId="0" borderId="0" xfId="0" applyFont="1"/>
    <xf numFmtId="0" fontId="43" fillId="0" borderId="0" xfId="9" applyFont="1" applyAlignment="1" applyProtection="1"/>
    <xf numFmtId="0" fontId="14" fillId="0" borderId="0" xfId="0" applyFont="1"/>
    <xf numFmtId="0" fontId="15" fillId="2" borderId="0" xfId="0" applyFont="1" applyFill="1"/>
    <xf numFmtId="0" fontId="3" fillId="2" borderId="0" xfId="0" applyFont="1" applyFill="1"/>
    <xf numFmtId="0" fontId="0" fillId="2" borderId="0" xfId="0" applyFont="1" applyFill="1"/>
    <xf numFmtId="0" fontId="21" fillId="0" borderId="76" xfId="5" applyBorder="1" applyAlignment="1">
      <alignment horizontal="center" vertical="center"/>
    </xf>
    <xf numFmtId="0" fontId="21" fillId="0" borderId="45" xfId="5" applyBorder="1" applyAlignment="1">
      <alignment horizontal="center"/>
    </xf>
    <xf numFmtId="0" fontId="21" fillId="0" borderId="45" xfId="5" applyFill="1" applyBorder="1" applyAlignment="1">
      <alignment horizontal="center" vertical="center"/>
    </xf>
    <xf numFmtId="0" fontId="21" fillId="0" borderId="0" xfId="5"/>
    <xf numFmtId="0" fontId="21" fillId="0" borderId="76" xfId="5" applyBorder="1" applyAlignment="1">
      <alignment horizontal="right"/>
    </xf>
    <xf numFmtId="0" fontId="21" fillId="0" borderId="76" xfId="5" applyBorder="1"/>
    <xf numFmtId="2" fontId="21" fillId="0" borderId="76" xfId="5" applyNumberFormat="1" applyBorder="1"/>
    <xf numFmtId="0" fontId="21" fillId="0" borderId="77" xfId="5" applyBorder="1" applyAlignment="1">
      <alignment horizontal="right"/>
    </xf>
    <xf numFmtId="0" fontId="21" fillId="0" borderId="77" xfId="5" applyBorder="1"/>
    <xf numFmtId="2" fontId="21" fillId="0" borderId="77" xfId="5" applyNumberFormat="1" applyBorder="1"/>
    <xf numFmtId="0" fontId="21" fillId="0" borderId="75" xfId="5" applyBorder="1" applyAlignment="1">
      <alignment horizontal="right"/>
    </xf>
    <xf numFmtId="0" fontId="21" fillId="0" borderId="75" xfId="5" applyBorder="1"/>
    <xf numFmtId="2" fontId="21" fillId="0" borderId="75" xfId="5" applyNumberFormat="1" applyBorder="1"/>
    <xf numFmtId="0" fontId="21" fillId="0" borderId="0" xfId="5" applyBorder="1" applyAlignment="1">
      <alignment horizontal="right"/>
    </xf>
    <xf numFmtId="0" fontId="21" fillId="0" borderId="0" xfId="5" applyBorder="1"/>
    <xf numFmtId="2" fontId="21" fillId="0" borderId="0" xfId="5" applyNumberFormat="1" applyBorder="1"/>
    <xf numFmtId="0" fontId="21" fillId="0" borderId="0" xfId="5" applyAlignment="1">
      <alignment horizontal="right"/>
    </xf>
    <xf numFmtId="0" fontId="0" fillId="17" borderId="12" xfId="0" applyFont="1" applyFill="1" applyBorder="1" applyAlignment="1">
      <alignment horizontal="right" vertical="center"/>
    </xf>
    <xf numFmtId="0" fontId="6" fillId="8" borderId="78" xfId="0" applyFont="1" applyFill="1" applyBorder="1"/>
    <xf numFmtId="0" fontId="18" fillId="5" borderId="0" xfId="0" applyFont="1" applyFill="1" applyBorder="1"/>
    <xf numFmtId="0" fontId="16" fillId="5" borderId="2" xfId="0" applyFont="1" applyFill="1" applyBorder="1"/>
    <xf numFmtId="0" fontId="3" fillId="3" borderId="79" xfId="0" applyFont="1" applyFill="1" applyBorder="1" applyAlignment="1">
      <alignment vertical="top"/>
    </xf>
    <xf numFmtId="0" fontId="3" fillId="3" borderId="9" xfId="0" applyFont="1" applyFill="1" applyBorder="1" applyAlignment="1">
      <alignment vertical="top"/>
    </xf>
    <xf numFmtId="0" fontId="3" fillId="3" borderId="28" xfId="0" applyFont="1" applyFill="1" applyBorder="1" applyAlignment="1">
      <alignment vertical="top"/>
    </xf>
    <xf numFmtId="0" fontId="45" fillId="3" borderId="10" xfId="0" applyFont="1" applyFill="1" applyBorder="1" applyAlignment="1">
      <alignment horizontal="center" vertical="center" wrapText="1"/>
    </xf>
    <xf numFmtId="0" fontId="22" fillId="0" borderId="0" xfId="0" applyFont="1" applyFill="1" applyAlignment="1">
      <alignment horizontal="center" vertical="center" wrapText="1"/>
    </xf>
    <xf numFmtId="0" fontId="22" fillId="0" borderId="0" xfId="0" applyFont="1" applyFill="1" applyAlignment="1">
      <alignment horizontal="center" vertical="center"/>
    </xf>
    <xf numFmtId="0" fontId="22" fillId="0" borderId="0" xfId="0" applyFont="1" applyFill="1" applyAlignment="1">
      <alignment horizontal="left" vertical="center"/>
    </xf>
    <xf numFmtId="167" fontId="23" fillId="0" borderId="0" xfId="3" applyNumberFormat="1" applyFont="1" applyFill="1" applyAlignment="1">
      <alignment horizontal="left" vertical="center" wrapText="1"/>
    </xf>
    <xf numFmtId="0" fontId="23" fillId="2" borderId="0" xfId="0" applyFont="1" applyFill="1" applyAlignment="1">
      <alignment horizontal="left" vertical="center"/>
    </xf>
    <xf numFmtId="167" fontId="23" fillId="2" borderId="0" xfId="3" applyNumberFormat="1" applyFont="1" applyFill="1" applyAlignment="1">
      <alignment horizontal="left" vertical="center" wrapText="1"/>
    </xf>
    <xf numFmtId="6" fontId="23" fillId="2" borderId="0" xfId="0" applyNumberFormat="1" applyFont="1" applyFill="1" applyAlignment="1">
      <alignment horizontal="left" vertical="center" wrapText="1"/>
    </xf>
    <xf numFmtId="0" fontId="23" fillId="2" borderId="0" xfId="0" applyFont="1" applyFill="1" applyBorder="1" applyAlignment="1">
      <alignment vertical="center" wrapText="1"/>
    </xf>
    <xf numFmtId="0" fontId="23" fillId="2" borderId="0" xfId="0" applyFont="1" applyFill="1" applyAlignment="1">
      <alignment horizontal="left" vertical="center" wrapText="1"/>
    </xf>
    <xf numFmtId="9" fontId="23" fillId="2" borderId="0" xfId="2" applyFont="1" applyFill="1" applyAlignment="1">
      <alignment horizontal="left" vertical="center"/>
    </xf>
    <xf numFmtId="0" fontId="23" fillId="2" borderId="0" xfId="0" applyFont="1" applyFill="1" applyAlignment="1">
      <alignment vertical="center" wrapText="1"/>
    </xf>
    <xf numFmtId="0" fontId="23" fillId="0" borderId="0" xfId="0" applyFont="1" applyFill="1" applyAlignment="1">
      <alignment vertical="center" wrapText="1"/>
    </xf>
    <xf numFmtId="0" fontId="23" fillId="0" borderId="0" xfId="0" applyFont="1" applyFill="1" applyAlignment="1">
      <alignment vertical="center"/>
    </xf>
    <xf numFmtId="0" fontId="23" fillId="2" borderId="0" xfId="6" applyFont="1" applyFill="1" applyBorder="1" applyAlignment="1">
      <alignment vertical="center" wrapText="1"/>
    </xf>
    <xf numFmtId="0" fontId="23" fillId="2" borderId="0" xfId="0" applyFont="1" applyFill="1" applyBorder="1" applyAlignment="1">
      <alignment vertical="center"/>
    </xf>
    <xf numFmtId="9" fontId="23" fillId="0" borderId="0" xfId="0" applyNumberFormat="1" applyFont="1" applyFill="1" applyAlignment="1">
      <alignment horizontal="left" vertical="center"/>
    </xf>
    <xf numFmtId="9" fontId="23" fillId="2" borderId="0" xfId="0" applyNumberFormat="1" applyFont="1" applyFill="1" applyAlignment="1">
      <alignment horizontal="left" vertical="center"/>
    </xf>
    <xf numFmtId="9" fontId="23" fillId="2" borderId="0" xfId="6" applyNumberFormat="1" applyFont="1" applyFill="1" applyBorder="1" applyAlignment="1">
      <alignment horizontal="left" vertical="center" wrapText="1"/>
    </xf>
    <xf numFmtId="165" fontId="14" fillId="21" borderId="94" xfId="0" applyNumberFormat="1" applyFont="1" applyFill="1" applyBorder="1"/>
    <xf numFmtId="165" fontId="14" fillId="10" borderId="107" xfId="0" applyNumberFormat="1" applyFont="1" applyFill="1" applyBorder="1"/>
    <xf numFmtId="165" fontId="14" fillId="10" borderId="93" xfId="0" applyNumberFormat="1" applyFont="1" applyFill="1" applyBorder="1"/>
    <xf numFmtId="0" fontId="14" fillId="10" borderId="107" xfId="0" applyNumberFormat="1" applyFont="1" applyFill="1" applyBorder="1" applyAlignment="1">
      <alignment horizontal="center"/>
    </xf>
    <xf numFmtId="0" fontId="49" fillId="10" borderId="107" xfId="0" applyFont="1" applyFill="1" applyBorder="1" applyAlignment="1" applyProtection="1">
      <alignment horizontal="right"/>
    </xf>
    <xf numFmtId="0" fontId="49" fillId="10" borderId="110" xfId="0" applyFont="1" applyFill="1" applyBorder="1" applyAlignment="1" applyProtection="1">
      <alignment horizontal="right"/>
    </xf>
    <xf numFmtId="165" fontId="14" fillId="20" borderId="97" xfId="0" applyNumberFormat="1" applyFont="1" applyFill="1" applyBorder="1"/>
    <xf numFmtId="165" fontId="14" fillId="20" borderId="94" xfId="0" applyNumberFormat="1" applyFont="1" applyFill="1" applyBorder="1"/>
    <xf numFmtId="0" fontId="15" fillId="10" borderId="93" xfId="0" applyFont="1" applyFill="1" applyBorder="1" applyAlignment="1">
      <alignment horizontal="center"/>
    </xf>
    <xf numFmtId="0" fontId="15" fillId="10" borderId="107" xfId="0" applyFont="1" applyFill="1" applyBorder="1" applyAlignment="1">
      <alignment horizontal="center"/>
    </xf>
    <xf numFmtId="0" fontId="15" fillId="20" borderId="97" xfId="0" applyFont="1" applyFill="1" applyBorder="1" applyAlignment="1">
      <alignment horizontal="center"/>
    </xf>
    <xf numFmtId="0" fontId="15" fillId="21" borderId="94" xfId="0" applyFont="1" applyFill="1" applyBorder="1" applyAlignment="1">
      <alignment horizontal="center"/>
    </xf>
    <xf numFmtId="0" fontId="15" fillId="21" borderId="95" xfId="0" applyFont="1" applyFill="1" applyBorder="1" applyAlignment="1">
      <alignment horizontal="center"/>
    </xf>
    <xf numFmtId="0" fontId="15" fillId="20" borderId="98" xfId="0" applyFont="1" applyFill="1" applyBorder="1" applyAlignment="1">
      <alignment horizontal="center"/>
    </xf>
    <xf numFmtId="0" fontId="15" fillId="20" borderId="117" xfId="0" applyFont="1" applyFill="1" applyBorder="1" applyAlignment="1">
      <alignment horizontal="center"/>
    </xf>
    <xf numFmtId="0" fontId="51" fillId="0" borderId="0" xfId="0" applyFont="1" applyFill="1" applyAlignment="1">
      <alignment horizontal="left" vertical="center"/>
    </xf>
    <xf numFmtId="0" fontId="51" fillId="2" borderId="0" xfId="0" applyFont="1" applyFill="1" applyAlignment="1">
      <alignment horizontal="left" vertical="center"/>
    </xf>
    <xf numFmtId="0" fontId="51" fillId="2" borderId="0" xfId="0" applyFont="1" applyFill="1" applyAlignment="1">
      <alignment vertical="center"/>
    </xf>
    <xf numFmtId="0" fontId="51" fillId="0" borderId="0" xfId="0" applyFont="1" applyFill="1" applyAlignment="1">
      <alignment vertical="center"/>
    </xf>
    <xf numFmtId="0" fontId="51" fillId="4" borderId="0" xfId="0" applyFont="1" applyFill="1" applyAlignment="1">
      <alignment horizontal="left" vertical="center"/>
    </xf>
    <xf numFmtId="0" fontId="23" fillId="4" borderId="0" xfId="0" applyFont="1" applyFill="1" applyAlignment="1">
      <alignment horizontal="left" vertical="center"/>
    </xf>
    <xf numFmtId="0" fontId="23" fillId="4" borderId="0" xfId="0" applyFont="1" applyFill="1" applyAlignment="1">
      <alignment horizontal="left" vertical="center" wrapText="1"/>
    </xf>
    <xf numFmtId="6" fontId="23" fillId="4" borderId="0" xfId="0" applyNumberFormat="1" applyFont="1" applyFill="1" applyAlignment="1">
      <alignment horizontal="left" vertical="center" wrapText="1"/>
    </xf>
    <xf numFmtId="9" fontId="23" fillId="4" borderId="0" xfId="2" applyFont="1" applyFill="1" applyAlignment="1">
      <alignment horizontal="left" vertical="center"/>
    </xf>
    <xf numFmtId="0" fontId="23" fillId="4" borderId="0" xfId="0" applyFont="1" applyFill="1" applyBorder="1" applyAlignment="1">
      <alignment vertical="center" wrapText="1"/>
    </xf>
    <xf numFmtId="0" fontId="51" fillId="11" borderId="0" xfId="0" applyFont="1" applyFill="1" applyAlignment="1">
      <alignment horizontal="left" vertical="center"/>
    </xf>
    <xf numFmtId="0" fontId="51" fillId="11" borderId="0" xfId="0" applyFont="1" applyFill="1" applyAlignment="1">
      <alignment horizontal="left" vertical="center" wrapText="1"/>
    </xf>
    <xf numFmtId="167" fontId="22" fillId="11" borderId="0" xfId="3" applyNumberFormat="1" applyFont="1" applyFill="1" applyAlignment="1">
      <alignment horizontal="left" vertical="center" wrapText="1"/>
    </xf>
    <xf numFmtId="0" fontId="23" fillId="11" borderId="0" xfId="0" applyFont="1" applyFill="1" applyAlignment="1">
      <alignment horizontal="left" vertical="center"/>
    </xf>
    <xf numFmtId="0" fontId="23" fillId="11" borderId="0" xfId="0" applyFont="1" applyFill="1" applyAlignment="1">
      <alignment horizontal="left" vertical="center" wrapText="1"/>
    </xf>
    <xf numFmtId="167" fontId="23" fillId="11" borderId="0" xfId="3" applyNumberFormat="1" applyFont="1" applyFill="1" applyAlignment="1">
      <alignment horizontal="left" vertical="center" wrapText="1"/>
    </xf>
    <xf numFmtId="9" fontId="23" fillId="11" borderId="0" xfId="2" applyFont="1" applyFill="1" applyAlignment="1">
      <alignment horizontal="left" vertical="center"/>
    </xf>
    <xf numFmtId="0" fontId="51" fillId="11" borderId="0" xfId="0" applyFont="1" applyFill="1" applyAlignment="1">
      <alignment vertical="center"/>
    </xf>
    <xf numFmtId="0" fontId="22" fillId="11" borderId="0" xfId="0" applyFont="1" applyFill="1" applyAlignment="1">
      <alignment vertical="center"/>
    </xf>
    <xf numFmtId="0" fontId="23" fillId="11" borderId="0" xfId="0" applyFont="1" applyFill="1" applyAlignment="1">
      <alignment vertical="center" wrapText="1"/>
    </xf>
    <xf numFmtId="0" fontId="23" fillId="11" borderId="0" xfId="0" applyFont="1" applyFill="1" applyAlignment="1">
      <alignment vertical="center"/>
    </xf>
    <xf numFmtId="0" fontId="22" fillId="11" borderId="0" xfId="0" applyFont="1" applyFill="1" applyAlignment="1">
      <alignment horizontal="left" vertical="center" wrapText="1"/>
    </xf>
    <xf numFmtId="9" fontId="22" fillId="11" borderId="0" xfId="2" applyFont="1" applyFill="1" applyAlignment="1">
      <alignment horizontal="left" vertical="center"/>
    </xf>
    <xf numFmtId="0" fontId="47" fillId="11" borderId="0" xfId="0" applyFont="1" applyFill="1" applyAlignment="1">
      <alignment horizontal="left" vertical="center"/>
    </xf>
    <xf numFmtId="0" fontId="47" fillId="11" borderId="0" xfId="0" applyFont="1" applyFill="1" applyAlignment="1">
      <alignment horizontal="left" vertical="center" wrapText="1"/>
    </xf>
    <xf numFmtId="0" fontId="24" fillId="19" borderId="0" xfId="0" applyFont="1" applyFill="1" applyBorder="1" applyAlignment="1">
      <alignment horizontal="center" vertical="center"/>
    </xf>
    <xf numFmtId="0" fontId="24" fillId="5" borderId="0" xfId="0" applyFont="1" applyFill="1" applyBorder="1" applyAlignment="1">
      <alignment horizontal="center" vertical="center"/>
    </xf>
    <xf numFmtId="0" fontId="25" fillId="5" borderId="0" xfId="0" applyFont="1" applyFill="1" applyBorder="1" applyAlignment="1">
      <alignment horizontal="left" vertical="center"/>
    </xf>
    <xf numFmtId="0" fontId="26" fillId="5" borderId="0" xfId="5" applyFont="1" applyFill="1" applyBorder="1" applyAlignment="1">
      <alignment horizontal="left"/>
    </xf>
    <xf numFmtId="0" fontId="20" fillId="5" borderId="0" xfId="0" applyFont="1" applyFill="1"/>
    <xf numFmtId="0" fontId="9" fillId="0" borderId="0" xfId="5" applyFont="1" applyFill="1" applyBorder="1" applyAlignment="1">
      <alignment horizontal="left"/>
    </xf>
    <xf numFmtId="0" fontId="9" fillId="5" borderId="0" xfId="5" applyFont="1" applyFill="1" applyBorder="1" applyAlignment="1">
      <alignment horizontal="left"/>
    </xf>
    <xf numFmtId="0" fontId="8" fillId="0" borderId="151" xfId="5" applyNumberFormat="1" applyFont="1" applyFill="1" applyBorder="1" applyAlignment="1">
      <alignment horizontal="center"/>
    </xf>
    <xf numFmtId="9" fontId="8" fillId="0" borderId="151" xfId="5" applyNumberFormat="1" applyFont="1" applyFill="1" applyBorder="1" applyAlignment="1">
      <alignment horizontal="center"/>
    </xf>
    <xf numFmtId="0" fontId="15" fillId="5" borderId="150" xfId="0" applyFont="1" applyFill="1" applyBorder="1" applyAlignment="1">
      <alignment horizontal="right"/>
    </xf>
    <xf numFmtId="0" fontId="15" fillId="5" borderId="152" xfId="0" applyFont="1" applyFill="1" applyBorder="1" applyAlignment="1">
      <alignment horizontal="right"/>
    </xf>
    <xf numFmtId="0" fontId="8" fillId="17" borderId="151" xfId="5" applyFont="1" applyFill="1" applyBorder="1" applyAlignment="1">
      <alignment horizontal="center"/>
    </xf>
    <xf numFmtId="0" fontId="8" fillId="17" borderId="151" xfId="5" applyNumberFormat="1" applyFont="1" applyFill="1" applyBorder="1" applyAlignment="1">
      <alignment horizontal="center"/>
    </xf>
    <xf numFmtId="0" fontId="15" fillId="3" borderId="150" xfId="5" applyFont="1" applyFill="1" applyBorder="1" applyAlignment="1">
      <alignment horizontal="right" shrinkToFit="1"/>
    </xf>
    <xf numFmtId="0" fontId="15" fillId="3" borderId="150" xfId="5" applyFont="1" applyFill="1" applyBorder="1" applyAlignment="1">
      <alignment horizontal="right"/>
    </xf>
    <xf numFmtId="0" fontId="15" fillId="3" borderId="152" xfId="5" applyFont="1" applyFill="1" applyBorder="1" applyAlignment="1">
      <alignment horizontal="right"/>
    </xf>
    <xf numFmtId="0" fontId="15" fillId="3" borderId="150" xfId="0" applyFont="1" applyFill="1" applyBorder="1" applyAlignment="1">
      <alignment horizontal="right"/>
    </xf>
    <xf numFmtId="3" fontId="8" fillId="17" borderId="151" xfId="5" applyNumberFormat="1" applyFont="1" applyFill="1" applyBorder="1" applyAlignment="1">
      <alignment horizontal="center"/>
    </xf>
    <xf numFmtId="14" fontId="8" fillId="17" borderId="151" xfId="5" applyNumberFormat="1" applyFont="1" applyFill="1" applyBorder="1" applyAlignment="1">
      <alignment horizontal="center"/>
    </xf>
    <xf numFmtId="0" fontId="53" fillId="4" borderId="0" xfId="0" applyFont="1" applyFill="1" applyBorder="1" applyAlignment="1">
      <alignment horizontal="left" vertical="center"/>
    </xf>
    <xf numFmtId="0" fontId="25" fillId="4" borderId="0" xfId="0" applyFont="1" applyFill="1" applyBorder="1" applyAlignment="1">
      <alignment horizontal="left" vertical="center"/>
    </xf>
    <xf numFmtId="0" fontId="54" fillId="5" borderId="0" xfId="0" applyFont="1" applyFill="1" applyBorder="1" applyAlignment="1">
      <alignment horizontal="left" vertical="center"/>
    </xf>
    <xf numFmtId="0" fontId="26" fillId="5" borderId="0" xfId="5" applyFont="1" applyFill="1" applyBorder="1" applyAlignment="1"/>
    <xf numFmtId="0" fontId="20" fillId="5" borderId="0" xfId="0" applyFont="1" applyFill="1" applyAlignment="1"/>
    <xf numFmtId="0" fontId="25" fillId="5" borderId="0" xfId="0" applyFont="1" applyFill="1" applyBorder="1" applyAlignment="1">
      <alignment vertical="center"/>
    </xf>
    <xf numFmtId="0" fontId="20" fillId="0" borderId="0" xfId="0" applyFont="1" applyAlignment="1"/>
    <xf numFmtId="0" fontId="55" fillId="5" borderId="0" xfId="0" applyFont="1" applyFill="1" applyBorder="1" applyAlignment="1">
      <alignment horizontal="left" vertical="center"/>
    </xf>
    <xf numFmtId="0" fontId="57" fillId="5" borderId="36" xfId="0" applyFont="1" applyFill="1" applyBorder="1" applyAlignment="1">
      <alignment horizontal="center" vertical="center"/>
    </xf>
    <xf numFmtId="0" fontId="57" fillId="5" borderId="37" xfId="0" applyFont="1" applyFill="1" applyBorder="1" applyAlignment="1">
      <alignment horizontal="center" vertical="center"/>
    </xf>
    <xf numFmtId="0" fontId="58" fillId="0" borderId="0" xfId="0" applyFont="1" applyFill="1" applyAlignment="1">
      <alignment vertical="center"/>
    </xf>
    <xf numFmtId="0" fontId="52" fillId="4" borderId="0" xfId="0" applyFont="1" applyFill="1" applyBorder="1" applyAlignment="1">
      <alignment horizontal="left" vertical="center"/>
    </xf>
    <xf numFmtId="0" fontId="55" fillId="4" borderId="0" xfId="0" applyFont="1" applyFill="1" applyBorder="1" applyAlignment="1">
      <alignment horizontal="left" vertical="center"/>
    </xf>
    <xf numFmtId="0" fontId="9" fillId="5" borderId="0" xfId="5" applyFont="1" applyFill="1" applyBorder="1" applyAlignment="1">
      <alignment horizontal="left" vertical="center"/>
    </xf>
    <xf numFmtId="0" fontId="15" fillId="21" borderId="139" xfId="0" applyFont="1" applyFill="1" applyBorder="1" applyAlignment="1">
      <alignment horizontal="center" vertical="center"/>
    </xf>
    <xf numFmtId="0" fontId="22" fillId="20" borderId="96" xfId="0" applyFont="1" applyFill="1" applyBorder="1" applyAlignment="1">
      <alignment vertical="center"/>
    </xf>
    <xf numFmtId="165" fontId="15" fillId="20" borderId="94" xfId="0" applyNumberFormat="1" applyFont="1" applyFill="1" applyBorder="1" applyAlignment="1">
      <alignment horizontal="right"/>
    </xf>
    <xf numFmtId="165" fontId="15" fillId="20" borderId="97" xfId="0" applyNumberFormat="1" applyFont="1" applyFill="1" applyBorder="1"/>
    <xf numFmtId="165" fontId="15" fillId="20" borderId="102" xfId="0" applyNumberFormat="1" applyFont="1" applyFill="1" applyBorder="1" applyAlignment="1">
      <alignment horizontal="right"/>
    </xf>
    <xf numFmtId="165" fontId="15" fillId="20" borderId="101" xfId="0" applyNumberFormat="1" applyFont="1" applyFill="1" applyBorder="1"/>
    <xf numFmtId="165" fontId="15" fillId="20" borderId="98" xfId="0" applyNumberFormat="1" applyFont="1" applyFill="1" applyBorder="1" applyAlignment="1">
      <alignment horizontal="right"/>
    </xf>
    <xf numFmtId="165" fontId="15" fillId="20" borderId="104" xfId="0" applyNumberFormat="1" applyFont="1" applyFill="1" applyBorder="1" applyAlignment="1">
      <alignment horizontal="right"/>
    </xf>
    <xf numFmtId="165" fontId="15" fillId="10" borderId="147" xfId="0" applyNumberFormat="1" applyFont="1" applyFill="1" applyBorder="1"/>
    <xf numFmtId="165" fontId="14" fillId="10" borderId="90" xfId="0" applyNumberFormat="1" applyFont="1" applyFill="1" applyBorder="1"/>
    <xf numFmtId="165" fontId="15" fillId="10" borderId="160" xfId="0" applyNumberFormat="1" applyFont="1" applyFill="1" applyBorder="1"/>
    <xf numFmtId="165" fontId="14" fillId="10" borderId="92" xfId="0" applyNumberFormat="1" applyFont="1" applyFill="1" applyBorder="1"/>
    <xf numFmtId="165" fontId="14" fillId="20" borderId="164" xfId="0" applyNumberFormat="1" applyFont="1" applyFill="1" applyBorder="1"/>
    <xf numFmtId="0" fontId="15" fillId="20" borderId="102" xfId="0" applyFont="1" applyFill="1" applyBorder="1" applyAlignment="1">
      <alignment horizontal="center"/>
    </xf>
    <xf numFmtId="165" fontId="14" fillId="20" borderId="165" xfId="0" applyNumberFormat="1" applyFont="1" applyFill="1" applyBorder="1"/>
    <xf numFmtId="0" fontId="5" fillId="2" borderId="0" xfId="0" applyFont="1" applyFill="1" applyAlignment="1">
      <alignment horizontal="center"/>
    </xf>
    <xf numFmtId="0" fontId="15" fillId="17" borderId="107" xfId="0" applyFont="1" applyFill="1" applyBorder="1" applyAlignment="1">
      <alignment horizontal="center"/>
    </xf>
    <xf numFmtId="165" fontId="15" fillId="17" borderId="107" xfId="0" applyNumberFormat="1" applyFont="1" applyFill="1" applyBorder="1"/>
    <xf numFmtId="165" fontId="15" fillId="21" borderId="107" xfId="0" applyNumberFormat="1" applyFont="1" applyFill="1" applyBorder="1"/>
    <xf numFmtId="0" fontId="15" fillId="21" borderId="107" xfId="0" applyFont="1" applyFill="1" applyBorder="1" applyAlignment="1">
      <alignment horizontal="center"/>
    </xf>
    <xf numFmtId="0" fontId="22" fillId="17" borderId="107" xfId="0" applyFont="1" applyFill="1" applyBorder="1" applyAlignment="1">
      <alignment horizontal="center"/>
    </xf>
    <xf numFmtId="0" fontId="21" fillId="0" borderId="0" xfId="5" applyProtection="1"/>
    <xf numFmtId="0" fontId="39" fillId="0" borderId="0" xfId="5" applyFont="1" applyProtection="1"/>
    <xf numFmtId="0" fontId="37" fillId="0" borderId="0" xfId="5" applyFont="1" applyFill="1" applyBorder="1" applyAlignment="1" applyProtection="1"/>
    <xf numFmtId="0" fontId="38" fillId="0" borderId="0" xfId="5" applyFont="1" applyFill="1" applyBorder="1" applyAlignment="1" applyProtection="1">
      <alignment horizontal="left"/>
    </xf>
    <xf numFmtId="0" fontId="62" fillId="0" borderId="0" xfId="5" applyFont="1" applyFill="1" applyBorder="1" applyAlignment="1" applyProtection="1">
      <alignment horizontal="left"/>
    </xf>
    <xf numFmtId="0" fontId="62" fillId="0" borderId="0" xfId="5" applyFont="1" applyFill="1" applyBorder="1" applyAlignment="1" applyProtection="1">
      <alignment horizontal="center"/>
    </xf>
    <xf numFmtId="0" fontId="21" fillId="0" borderId="0" xfId="5" applyAlignment="1" applyProtection="1">
      <alignment horizontal="center"/>
    </xf>
    <xf numFmtId="0" fontId="40" fillId="0" borderId="0" xfId="5" applyFont="1" applyProtection="1"/>
    <xf numFmtId="0" fontId="40" fillId="0" borderId="0" xfId="5" applyFont="1" applyBorder="1" applyProtection="1"/>
    <xf numFmtId="0" fontId="21" fillId="0" borderId="0" xfId="5" applyBorder="1" applyAlignment="1" applyProtection="1">
      <alignment horizontal="center"/>
    </xf>
    <xf numFmtId="0" fontId="21" fillId="0" borderId="0" xfId="5" applyBorder="1" applyProtection="1"/>
    <xf numFmtId="0" fontId="61" fillId="24" borderId="45" xfId="5" applyFont="1" applyFill="1" applyBorder="1" applyAlignment="1" applyProtection="1">
      <alignment horizontal="center"/>
      <protection locked="0"/>
    </xf>
    <xf numFmtId="0" fontId="63" fillId="0" borderId="45" xfId="5" applyFont="1" applyFill="1" applyBorder="1" applyAlignment="1" applyProtection="1">
      <alignment horizontal="center"/>
    </xf>
    <xf numFmtId="0" fontId="38" fillId="0" borderId="0" xfId="5" applyFont="1" applyBorder="1" applyProtection="1"/>
    <xf numFmtId="0" fontId="38" fillId="0" borderId="45" xfId="5" applyFont="1" applyFill="1" applyBorder="1" applyAlignment="1" applyProtection="1">
      <alignment horizontal="center"/>
    </xf>
    <xf numFmtId="0" fontId="61" fillId="23" borderId="45" xfId="5" applyFont="1" applyFill="1" applyBorder="1" applyAlignment="1" applyProtection="1">
      <alignment horizontal="center"/>
      <protection locked="0"/>
    </xf>
    <xf numFmtId="0" fontId="38" fillId="0" borderId="45" xfId="5" applyFont="1" applyBorder="1" applyAlignment="1" applyProtection="1">
      <alignment horizontal="center"/>
    </xf>
    <xf numFmtId="0" fontId="64" fillId="0" borderId="0" xfId="5" applyFont="1" applyProtection="1"/>
    <xf numFmtId="9" fontId="38" fillId="0" borderId="45" xfId="5" applyNumberFormat="1" applyFont="1" applyBorder="1" applyAlignment="1" applyProtection="1">
      <alignment horizontal="center"/>
    </xf>
    <xf numFmtId="0" fontId="21" fillId="0" borderId="0" xfId="5" quotePrefix="1" applyBorder="1" applyAlignment="1" applyProtection="1">
      <alignment horizontal="center"/>
    </xf>
    <xf numFmtId="166" fontId="0" fillId="0" borderId="0" xfId="11" applyNumberFormat="1" applyFont="1" applyBorder="1" applyProtection="1"/>
    <xf numFmtId="0" fontId="21" fillId="0" borderId="0" xfId="5" applyFont="1" applyBorder="1" applyProtection="1"/>
    <xf numFmtId="0" fontId="61" fillId="25" borderId="45" xfId="5" applyFont="1" applyFill="1" applyBorder="1" applyAlignment="1" applyProtection="1">
      <alignment horizontal="center"/>
      <protection locked="0"/>
    </xf>
    <xf numFmtId="0" fontId="37" fillId="0" borderId="0" xfId="5" applyFont="1" applyFill="1" applyBorder="1" applyProtection="1"/>
    <xf numFmtId="2" fontId="65" fillId="0" borderId="0" xfId="10" applyNumberFormat="1" applyFont="1" applyBorder="1" applyAlignment="1" applyProtection="1">
      <alignment horizontal="center" vertical="center"/>
    </xf>
    <xf numFmtId="0" fontId="38" fillId="0" borderId="0" xfId="5" applyFont="1" applyFill="1" applyBorder="1" applyProtection="1"/>
    <xf numFmtId="2" fontId="38" fillId="0" borderId="0" xfId="10" applyNumberFormat="1" applyFont="1" applyBorder="1" applyAlignment="1" applyProtection="1">
      <alignment horizontal="center" vertical="center"/>
    </xf>
    <xf numFmtId="0" fontId="38" fillId="0" borderId="0" xfId="5" applyFont="1" applyAlignment="1" applyProtection="1">
      <alignment horizontal="center"/>
    </xf>
    <xf numFmtId="2" fontId="38" fillId="0" borderId="167" xfId="10" applyNumberFormat="1" applyFont="1" applyBorder="1" applyAlignment="1" applyProtection="1">
      <alignment horizontal="center" vertical="center"/>
    </xf>
    <xf numFmtId="2" fontId="38" fillId="0" borderId="168" xfId="10" applyNumberFormat="1" applyFont="1" applyBorder="1" applyAlignment="1" applyProtection="1">
      <alignment horizontal="center" vertical="center"/>
    </xf>
    <xf numFmtId="0" fontId="66" fillId="0" borderId="0" xfId="5" applyFont="1" applyProtection="1"/>
    <xf numFmtId="0" fontId="40" fillId="0" borderId="0" xfId="5" applyFont="1" applyFill="1" applyBorder="1" applyProtection="1"/>
    <xf numFmtId="0" fontId="67" fillId="0" borderId="0" xfId="5" quotePrefix="1" applyFont="1" applyBorder="1" applyAlignment="1" applyProtection="1">
      <alignment horizontal="center"/>
    </xf>
    <xf numFmtId="2" fontId="40" fillId="0" borderId="59" xfId="10" applyNumberFormat="1" applyFont="1" applyBorder="1" applyAlignment="1" applyProtection="1">
      <alignment horizontal="center" vertical="center"/>
    </xf>
    <xf numFmtId="2" fontId="40" fillId="0" borderId="58" xfId="10" applyNumberFormat="1" applyFont="1" applyBorder="1" applyAlignment="1" applyProtection="1">
      <alignment horizontal="center" vertical="center"/>
    </xf>
    <xf numFmtId="0" fontId="38" fillId="0" borderId="46" xfId="5" applyFont="1" applyFill="1" applyBorder="1" applyProtection="1"/>
    <xf numFmtId="0" fontId="21" fillId="0" borderId="46" xfId="5" quotePrefix="1" applyBorder="1" applyAlignment="1" applyProtection="1">
      <alignment horizontal="center"/>
    </xf>
    <xf numFmtId="2" fontId="38" fillId="0" borderId="169" xfId="10" applyNumberFormat="1" applyFont="1" applyBorder="1" applyAlignment="1" applyProtection="1">
      <alignment horizontal="center" vertical="center"/>
    </xf>
    <xf numFmtId="2" fontId="38" fillId="0" borderId="170" xfId="10" applyNumberFormat="1" applyFont="1" applyBorder="1" applyAlignment="1" applyProtection="1">
      <alignment horizontal="center" vertical="center"/>
    </xf>
    <xf numFmtId="166" fontId="38" fillId="0" borderId="62" xfId="11" applyNumberFormat="1" applyFont="1" applyBorder="1" applyAlignment="1" applyProtection="1">
      <alignment horizontal="center" vertical="center"/>
    </xf>
    <xf numFmtId="166" fontId="38" fillId="0" borderId="171" xfId="11" applyNumberFormat="1" applyFont="1" applyBorder="1" applyAlignment="1" applyProtection="1">
      <alignment horizontal="center" vertical="center"/>
    </xf>
    <xf numFmtId="0" fontId="1" fillId="0" borderId="0" xfId="12"/>
    <xf numFmtId="0" fontId="1" fillId="26" borderId="0" xfId="12" applyFill="1"/>
    <xf numFmtId="0" fontId="1" fillId="26" borderId="0" xfId="12" applyFill="1" applyAlignment="1"/>
    <xf numFmtId="2" fontId="1" fillId="0" borderId="0" xfId="12" applyNumberFormat="1"/>
    <xf numFmtId="166" fontId="0" fillId="0" borderId="0" xfId="13" applyNumberFormat="1" applyFont="1"/>
    <xf numFmtId="0" fontId="21" fillId="0" borderId="0" xfId="5" applyFont="1"/>
    <xf numFmtId="166" fontId="21" fillId="0" borderId="0" xfId="5" applyNumberFormat="1"/>
    <xf numFmtId="43" fontId="0" fillId="0" borderId="0" xfId="10" applyNumberFormat="1" applyFont="1"/>
    <xf numFmtId="169" fontId="0" fillId="0" borderId="0" xfId="10" applyNumberFormat="1" applyFont="1"/>
    <xf numFmtId="9" fontId="0" fillId="0" borderId="0" xfId="11" applyFont="1"/>
    <xf numFmtId="9" fontId="21" fillId="0" borderId="0" xfId="11" applyFont="1" applyAlignment="1">
      <alignment horizontal="center"/>
    </xf>
    <xf numFmtId="0" fontId="21" fillId="0" borderId="0" xfId="5" applyFont="1" applyBorder="1"/>
    <xf numFmtId="4" fontId="21" fillId="0" borderId="0" xfId="5" applyNumberFormat="1"/>
    <xf numFmtId="4" fontId="68" fillId="0" borderId="0" xfId="5" applyNumberFormat="1" applyFont="1"/>
    <xf numFmtId="9" fontId="21" fillId="0" borderId="172" xfId="11" applyFont="1" applyBorder="1"/>
    <xf numFmtId="9" fontId="0" fillId="0" borderId="173" xfId="11" applyFont="1" applyBorder="1"/>
    <xf numFmtId="43" fontId="68" fillId="0" borderId="76" xfId="10" applyFont="1" applyBorder="1"/>
    <xf numFmtId="9" fontId="21" fillId="0" borderId="1" xfId="11" applyFont="1" applyBorder="1"/>
    <xf numFmtId="9" fontId="0" fillId="0" borderId="0" xfId="11" applyFont="1" applyBorder="1"/>
    <xf numFmtId="43" fontId="68" fillId="0" borderId="77" xfId="10" applyFont="1" applyBorder="1"/>
    <xf numFmtId="9" fontId="21" fillId="0" borderId="174" xfId="11" applyFont="1" applyBorder="1"/>
    <xf numFmtId="9" fontId="0" fillId="0" borderId="46" xfId="11" applyFont="1" applyBorder="1"/>
    <xf numFmtId="43" fontId="68" fillId="0" borderId="75" xfId="10" applyFont="1" applyBorder="1"/>
    <xf numFmtId="0" fontId="21" fillId="27" borderId="175" xfId="5" applyFont="1" applyFill="1" applyBorder="1" applyAlignment="1">
      <alignment horizontal="center" wrapText="1"/>
    </xf>
    <xf numFmtId="0" fontId="21" fillId="27" borderId="176" xfId="5" applyFont="1" applyFill="1" applyBorder="1" applyAlignment="1">
      <alignment horizontal="center" wrapText="1"/>
    </xf>
    <xf numFmtId="9" fontId="21" fillId="0" borderId="175" xfId="5" applyNumberFormat="1" applyBorder="1"/>
    <xf numFmtId="0" fontId="21" fillId="0" borderId="177" xfId="5" applyBorder="1"/>
    <xf numFmtId="43" fontId="0" fillId="0" borderId="176" xfId="10" applyFont="1" applyBorder="1"/>
    <xf numFmtId="9" fontId="21" fillId="4" borderId="172" xfId="5" applyNumberFormat="1" applyFill="1" applyBorder="1" applyAlignment="1">
      <alignment horizontal="left"/>
    </xf>
    <xf numFmtId="4" fontId="68" fillId="4" borderId="178" xfId="5" applyNumberFormat="1" applyFont="1" applyFill="1" applyBorder="1" applyAlignment="1">
      <alignment horizontal="center" vertical="center"/>
    </xf>
    <xf numFmtId="9" fontId="21" fillId="4" borderId="1" xfId="5" applyNumberFormat="1" applyFill="1" applyBorder="1" applyAlignment="1">
      <alignment horizontal="left"/>
    </xf>
    <xf numFmtId="4" fontId="68" fillId="4" borderId="179" xfId="5" applyNumberFormat="1" applyFont="1" applyFill="1" applyBorder="1" applyAlignment="1">
      <alignment horizontal="center" vertical="center"/>
    </xf>
    <xf numFmtId="16" fontId="21" fillId="0" borderId="0" xfId="5" applyNumberFormat="1"/>
    <xf numFmtId="0" fontId="21" fillId="0" borderId="0" xfId="5" quotePrefix="1"/>
    <xf numFmtId="43" fontId="21" fillId="0" borderId="0" xfId="5" applyNumberFormat="1"/>
    <xf numFmtId="9" fontId="21" fillId="4" borderId="174" xfId="5" applyNumberFormat="1" applyFont="1" applyFill="1" applyBorder="1" applyAlignment="1">
      <alignment horizontal="left"/>
    </xf>
    <xf numFmtId="4" fontId="68" fillId="4" borderId="180" xfId="5" applyNumberFormat="1" applyFont="1" applyFill="1" applyBorder="1" applyAlignment="1">
      <alignment horizontal="center" vertical="center"/>
    </xf>
    <xf numFmtId="3" fontId="61" fillId="24" borderId="45" xfId="5" applyNumberFormat="1" applyFont="1" applyFill="1" applyBorder="1" applyAlignment="1" applyProtection="1">
      <alignment horizontal="center"/>
      <protection locked="0"/>
    </xf>
    <xf numFmtId="3" fontId="38" fillId="17" borderId="16" xfId="5" applyNumberFormat="1" applyFont="1" applyFill="1" applyBorder="1" applyAlignment="1" applyProtection="1">
      <alignment horizontal="center"/>
      <protection locked="0"/>
    </xf>
    <xf numFmtId="0" fontId="38" fillId="17" borderId="12" xfId="5" applyFont="1" applyFill="1" applyBorder="1" applyAlignment="1" applyProtection="1">
      <alignment horizontal="center"/>
    </xf>
    <xf numFmtId="9" fontId="38" fillId="17" borderId="12" xfId="5" applyNumberFormat="1" applyFont="1" applyFill="1" applyBorder="1" applyAlignment="1" applyProtection="1">
      <alignment horizontal="center"/>
    </xf>
    <xf numFmtId="9" fontId="38" fillId="17" borderId="25" xfId="5" applyNumberFormat="1" applyFont="1" applyFill="1" applyBorder="1" applyAlignment="1" applyProtection="1">
      <alignment horizontal="center"/>
    </xf>
    <xf numFmtId="0" fontId="0" fillId="5" borderId="181" xfId="0" applyFont="1" applyFill="1" applyBorder="1"/>
    <xf numFmtId="0" fontId="38" fillId="4" borderId="12" xfId="5" applyFont="1" applyFill="1" applyBorder="1" applyAlignment="1" applyProtection="1">
      <alignment horizontal="center"/>
      <protection locked="0"/>
    </xf>
    <xf numFmtId="0" fontId="70" fillId="5" borderId="0" xfId="0" applyFont="1" applyFill="1" applyBorder="1" applyAlignment="1">
      <alignment horizontal="left" vertical="center"/>
    </xf>
    <xf numFmtId="0" fontId="15" fillId="5" borderId="184" xfId="0" applyFont="1" applyFill="1" applyBorder="1" applyAlignment="1">
      <alignment horizontal="right"/>
    </xf>
    <xf numFmtId="0" fontId="71" fillId="5" borderId="0" xfId="0" applyFont="1" applyFill="1" applyBorder="1" applyAlignment="1">
      <alignment horizontal="center" vertical="center"/>
    </xf>
    <xf numFmtId="0" fontId="71" fillId="5" borderId="0" xfId="0" applyFont="1" applyFill="1" applyBorder="1" applyAlignment="1">
      <alignment vertical="center"/>
    </xf>
    <xf numFmtId="0" fontId="72" fillId="5" borderId="0" xfId="0" applyFont="1" applyFill="1"/>
    <xf numFmtId="0" fontId="9" fillId="5" borderId="0" xfId="5" applyFont="1" applyFill="1" applyBorder="1" applyAlignment="1">
      <alignment horizontal="center"/>
    </xf>
    <xf numFmtId="0" fontId="0" fillId="5" borderId="0" xfId="0" applyFill="1" applyBorder="1" applyAlignment="1">
      <alignment vertical="center"/>
    </xf>
    <xf numFmtId="0" fontId="10" fillId="5" borderId="0" xfId="5" applyFont="1" applyFill="1" applyBorder="1" applyAlignment="1">
      <alignment horizontal="left" vertical="center"/>
    </xf>
    <xf numFmtId="0" fontId="6" fillId="8" borderId="148" xfId="0" applyFont="1" applyFill="1" applyBorder="1" applyAlignment="1">
      <alignment horizontal="left"/>
    </xf>
    <xf numFmtId="0" fontId="6" fillId="8" borderId="149" xfId="0" applyFont="1" applyFill="1" applyBorder="1" applyAlignment="1">
      <alignment horizontal="left"/>
    </xf>
    <xf numFmtId="0" fontId="49" fillId="10" borderId="113" xfId="0" applyFont="1" applyFill="1" applyBorder="1" applyAlignment="1" applyProtection="1">
      <alignment horizontal="right"/>
    </xf>
    <xf numFmtId="0" fontId="49" fillId="10" borderId="114" xfId="0" applyFont="1" applyFill="1" applyBorder="1" applyAlignment="1" applyProtection="1">
      <alignment horizontal="right"/>
    </xf>
    <xf numFmtId="0" fontId="15" fillId="17" borderId="190" xfId="0" applyFont="1" applyFill="1" applyBorder="1" applyAlignment="1" applyProtection="1">
      <alignment horizontal="center"/>
    </xf>
    <xf numFmtId="165" fontId="15" fillId="17" borderId="114" xfId="0" applyNumberFormat="1" applyFont="1" applyFill="1" applyBorder="1"/>
    <xf numFmtId="0" fontId="15" fillId="21" borderId="113" xfId="0" applyFont="1" applyFill="1" applyBorder="1" applyAlignment="1" applyProtection="1">
      <alignment horizontal="center"/>
    </xf>
    <xf numFmtId="165" fontId="15" fillId="21" borderId="114" xfId="0" applyNumberFormat="1" applyFont="1" applyFill="1" applyBorder="1"/>
    <xf numFmtId="0" fontId="15" fillId="17" borderId="113" xfId="0" applyFont="1" applyFill="1" applyBorder="1" applyAlignment="1" applyProtection="1">
      <alignment horizontal="center"/>
    </xf>
    <xf numFmtId="0" fontId="15" fillId="21" borderId="190" xfId="0" applyFont="1" applyFill="1" applyBorder="1" applyAlignment="1" applyProtection="1">
      <alignment horizontal="center"/>
    </xf>
    <xf numFmtId="9" fontId="0" fillId="0" borderId="0" xfId="2" applyFont="1" applyFill="1"/>
    <xf numFmtId="0" fontId="49" fillId="20" borderId="0" xfId="0" applyFont="1" applyFill="1" applyBorder="1" applyAlignment="1">
      <alignment horizontal="center" vertical="center"/>
    </xf>
    <xf numFmtId="0" fontId="49" fillId="20" borderId="162" xfId="0" applyFont="1" applyFill="1" applyBorder="1" applyAlignment="1">
      <alignment horizontal="center" vertical="center"/>
    </xf>
    <xf numFmtId="0" fontId="15" fillId="20" borderId="0" xfId="0" applyFont="1" applyFill="1" applyBorder="1" applyAlignment="1">
      <alignment horizontal="left"/>
    </xf>
    <xf numFmtId="0" fontId="49" fillId="20" borderId="134" xfId="0" applyFont="1" applyFill="1" applyBorder="1" applyAlignment="1">
      <alignment horizontal="center" vertical="center"/>
    </xf>
    <xf numFmtId="9" fontId="0" fillId="0" borderId="0" xfId="2" applyFont="1"/>
    <xf numFmtId="49" fontId="0" fillId="0" borderId="0" xfId="0" applyNumberFormat="1"/>
    <xf numFmtId="0" fontId="3" fillId="3" borderId="10" xfId="0" applyFont="1" applyFill="1" applyBorder="1" applyAlignment="1">
      <alignment horizontal="left"/>
    </xf>
    <xf numFmtId="0" fontId="0" fillId="5" borderId="11" xfId="0" applyFont="1" applyFill="1" applyBorder="1" applyAlignment="1"/>
    <xf numFmtId="0" fontId="0" fillId="5" borderId="18" xfId="0" applyFont="1" applyFill="1" applyBorder="1" applyAlignment="1"/>
    <xf numFmtId="0" fontId="3" fillId="3" borderId="79" xfId="0" applyFont="1" applyFill="1" applyBorder="1" applyAlignment="1">
      <alignment horizontal="left"/>
    </xf>
    <xf numFmtId="0" fontId="3" fillId="3" borderId="9" xfId="0" applyFont="1" applyFill="1" applyBorder="1" applyAlignment="1">
      <alignment horizontal="left"/>
    </xf>
    <xf numFmtId="0" fontId="3" fillId="3" borderId="196" xfId="0" applyFont="1" applyFill="1" applyBorder="1" applyAlignment="1">
      <alignment horizontal="left"/>
    </xf>
    <xf numFmtId="0" fontId="3" fillId="3" borderId="82" xfId="0" applyFont="1" applyFill="1" applyBorder="1" applyAlignment="1">
      <alignment horizontal="left"/>
    </xf>
    <xf numFmtId="0" fontId="3" fillId="3" borderId="26" xfId="0" applyFont="1" applyFill="1" applyBorder="1" applyAlignment="1">
      <alignment horizontal="left"/>
    </xf>
    <xf numFmtId="3" fontId="0" fillId="0" borderId="0" xfId="0" applyNumberFormat="1" applyFont="1" applyFill="1" applyAlignment="1">
      <alignment vertical="center"/>
    </xf>
    <xf numFmtId="3" fontId="38" fillId="17" borderId="12" xfId="5" applyNumberFormat="1" applyFont="1" applyFill="1" applyBorder="1" applyAlignment="1" applyProtection="1">
      <alignment horizontal="center"/>
      <protection locked="0"/>
    </xf>
    <xf numFmtId="0" fontId="15" fillId="3" borderId="186" xfId="5" applyFont="1" applyFill="1" applyBorder="1" applyAlignment="1">
      <alignment horizontal="right" shrinkToFit="1"/>
    </xf>
    <xf numFmtId="0" fontId="8" fillId="0" borderId="188" xfId="5" applyFont="1" applyFill="1" applyBorder="1" applyAlignment="1">
      <alignment horizontal="center"/>
    </xf>
    <xf numFmtId="0" fontId="15" fillId="3" borderId="184" xfId="5" applyFont="1" applyFill="1" applyBorder="1" applyAlignment="1">
      <alignment horizontal="right" shrinkToFit="1"/>
    </xf>
    <xf numFmtId="0" fontId="20" fillId="5" borderId="88" xfId="0" applyFont="1" applyFill="1" applyBorder="1"/>
    <xf numFmtId="0" fontId="22" fillId="11" borderId="0" xfId="0" applyFont="1" applyFill="1" applyAlignment="1">
      <alignment horizontal="left" vertical="center"/>
    </xf>
    <xf numFmtId="0" fontId="15" fillId="3" borderId="186" xfId="0" applyFont="1" applyFill="1" applyBorder="1" applyAlignment="1">
      <alignment horizontal="right"/>
    </xf>
    <xf numFmtId="0" fontId="15" fillId="5" borderId="186" xfId="0" applyFont="1" applyFill="1" applyBorder="1" applyAlignment="1">
      <alignment horizontal="right"/>
    </xf>
    <xf numFmtId="0" fontId="15" fillId="5" borderId="199" xfId="0" applyFont="1" applyFill="1" applyBorder="1" applyAlignment="1">
      <alignment horizontal="right"/>
    </xf>
    <xf numFmtId="0" fontId="15" fillId="3" borderId="199" xfId="0" applyFont="1" applyFill="1" applyBorder="1" applyAlignment="1">
      <alignment horizontal="right"/>
    </xf>
    <xf numFmtId="0" fontId="15" fillId="5" borderId="202" xfId="0" applyFont="1" applyFill="1" applyBorder="1" applyAlignment="1">
      <alignment horizontal="right"/>
    </xf>
    <xf numFmtId="0" fontId="15" fillId="3" borderId="202" xfId="0" applyFont="1" applyFill="1" applyBorder="1" applyAlignment="1">
      <alignment horizontal="right"/>
    </xf>
    <xf numFmtId="0" fontId="15" fillId="5" borderId="204" xfId="0" applyFont="1" applyFill="1" applyBorder="1" applyAlignment="1">
      <alignment horizontal="right"/>
    </xf>
    <xf numFmtId="0" fontId="15" fillId="3" borderId="203" xfId="0" applyFont="1" applyFill="1" applyBorder="1" applyAlignment="1">
      <alignment horizontal="right"/>
    </xf>
    <xf numFmtId="0" fontId="77" fillId="4" borderId="41" xfId="0" applyFont="1" applyFill="1" applyBorder="1" applyAlignment="1">
      <alignment horizontal="left" vertical="top"/>
    </xf>
    <xf numFmtId="0" fontId="77" fillId="4" borderId="20" xfId="0" applyFont="1" applyFill="1" applyBorder="1" applyAlignment="1">
      <alignment horizontal="right" vertical="top" indent="1"/>
    </xf>
    <xf numFmtId="0" fontId="0" fillId="0" borderId="0" xfId="0" applyAlignment="1">
      <alignment vertical="center"/>
    </xf>
    <xf numFmtId="0" fontId="34" fillId="0" borderId="45" xfId="0" applyFont="1" applyBorder="1"/>
    <xf numFmtId="0" fontId="58" fillId="0" borderId="0" xfId="0" applyFont="1"/>
    <xf numFmtId="0" fontId="0" fillId="3" borderId="45" xfId="0" applyFill="1" applyBorder="1"/>
    <xf numFmtId="0" fontId="3" fillId="3" borderId="45" xfId="0" applyFont="1" applyFill="1" applyBorder="1" applyAlignment="1">
      <alignment horizontal="center"/>
    </xf>
    <xf numFmtId="0" fontId="0" fillId="3" borderId="0" xfId="0" applyFill="1"/>
    <xf numFmtId="0" fontId="3" fillId="0" borderId="45" xfId="0" applyFont="1" applyBorder="1"/>
    <xf numFmtId="0" fontId="0" fillId="0" borderId="45" xfId="0" applyBorder="1" applyAlignment="1">
      <alignment horizontal="center"/>
    </xf>
    <xf numFmtId="0" fontId="0" fillId="18" borderId="45" xfId="0" applyFill="1" applyBorder="1" applyAlignment="1">
      <alignment horizontal="center"/>
    </xf>
    <xf numFmtId="0" fontId="80" fillId="29" borderId="66" xfId="0" applyFont="1" applyFill="1" applyBorder="1" applyAlignment="1">
      <alignment horizontal="center" vertical="center" wrapText="1"/>
    </xf>
    <xf numFmtId="0" fontId="81" fillId="13" borderId="55" xfId="0" applyFont="1" applyFill="1" applyBorder="1" applyAlignment="1">
      <alignment horizontal="center" vertical="center"/>
    </xf>
    <xf numFmtId="0" fontId="81" fillId="13" borderId="66" xfId="0" applyFont="1" applyFill="1" applyBorder="1" applyAlignment="1">
      <alignment horizontal="center" vertical="center"/>
    </xf>
    <xf numFmtId="9" fontId="81" fillId="13" borderId="66" xfId="2" applyFont="1" applyFill="1" applyBorder="1" applyAlignment="1">
      <alignment horizontal="center" vertical="center"/>
    </xf>
    <xf numFmtId="0" fontId="82" fillId="22" borderId="75" xfId="0" applyFont="1" applyFill="1" applyBorder="1" applyAlignment="1">
      <alignment vertical="center"/>
    </xf>
    <xf numFmtId="43" fontId="82" fillId="22" borderId="75" xfId="1" applyFont="1" applyFill="1" applyBorder="1" applyAlignment="1">
      <alignment horizontal="center" vertical="center"/>
    </xf>
    <xf numFmtId="9" fontId="82" fillId="22" borderId="75" xfId="0" applyNumberFormat="1" applyFont="1" applyFill="1" applyBorder="1" applyAlignment="1">
      <alignment horizontal="center" vertical="center"/>
    </xf>
    <xf numFmtId="0" fontId="81" fillId="0" borderId="75" xfId="0" applyFont="1" applyBorder="1" applyAlignment="1">
      <alignment vertical="center"/>
    </xf>
    <xf numFmtId="43" fontId="81" fillId="0" borderId="75" xfId="1" applyFont="1" applyBorder="1" applyAlignment="1">
      <alignment horizontal="center" vertical="center"/>
    </xf>
    <xf numFmtId="9" fontId="81" fillId="30" borderId="75" xfId="0" applyNumberFormat="1" applyFont="1" applyFill="1" applyBorder="1" applyAlignment="1">
      <alignment horizontal="center" vertical="center"/>
    </xf>
    <xf numFmtId="0" fontId="81" fillId="0" borderId="45" xfId="0" applyFont="1" applyBorder="1" applyAlignment="1">
      <alignment vertical="center"/>
    </xf>
    <xf numFmtId="43" fontId="81" fillId="0" borderId="45" xfId="1" applyFont="1" applyBorder="1" applyAlignment="1">
      <alignment horizontal="center" vertical="center"/>
    </xf>
    <xf numFmtId="0" fontId="81" fillId="29" borderId="206" xfId="0" applyFont="1" applyFill="1" applyBorder="1" applyAlignment="1">
      <alignment vertical="center"/>
    </xf>
    <xf numFmtId="43" fontId="81" fillId="29" borderId="45" xfId="1" applyFont="1" applyFill="1" applyBorder="1" applyAlignment="1">
      <alignment horizontal="center" vertical="center"/>
    </xf>
    <xf numFmtId="9" fontId="81" fillId="29" borderId="45" xfId="0" applyNumberFormat="1" applyFont="1" applyFill="1" applyBorder="1" applyAlignment="1">
      <alignment horizontal="center" vertical="center"/>
    </xf>
    <xf numFmtId="2" fontId="81" fillId="29" borderId="45" xfId="0" applyNumberFormat="1" applyFont="1" applyFill="1" applyBorder="1" applyAlignment="1">
      <alignment horizontal="center" vertical="center"/>
    </xf>
    <xf numFmtId="2" fontId="81" fillId="29" borderId="207" xfId="0" applyNumberFormat="1" applyFont="1" applyFill="1" applyBorder="1" applyAlignment="1">
      <alignment horizontal="center" vertical="center"/>
    </xf>
    <xf numFmtId="0" fontId="81" fillId="4" borderId="208" xfId="0" applyFont="1" applyFill="1" applyBorder="1" applyAlignment="1">
      <alignment vertical="center"/>
    </xf>
    <xf numFmtId="43" fontId="81" fillId="4" borderId="76" xfId="1" applyFont="1" applyFill="1" applyBorder="1" applyAlignment="1">
      <alignment horizontal="center" vertical="center"/>
    </xf>
    <xf numFmtId="0" fontId="81" fillId="2" borderId="206" xfId="0" applyFont="1" applyFill="1" applyBorder="1" applyAlignment="1">
      <alignment vertical="center"/>
    </xf>
    <xf numFmtId="43" fontId="81" fillId="4" borderId="45" xfId="1" applyFont="1" applyFill="1" applyBorder="1" applyAlignment="1">
      <alignment horizontal="center" vertical="center"/>
    </xf>
    <xf numFmtId="9" fontId="81" fillId="0" borderId="45" xfId="0" applyNumberFormat="1" applyFont="1" applyFill="1" applyBorder="1" applyAlignment="1">
      <alignment horizontal="center" vertical="center"/>
    </xf>
    <xf numFmtId="0" fontId="81" fillId="31" borderId="45" xfId="0" applyFont="1" applyFill="1" applyBorder="1" applyAlignment="1">
      <alignment horizontal="center" vertical="center"/>
    </xf>
    <xf numFmtId="0" fontId="81" fillId="31" borderId="207" xfId="0" applyFont="1" applyFill="1" applyBorder="1" applyAlignment="1">
      <alignment horizontal="center" vertical="center"/>
    </xf>
    <xf numFmtId="0" fontId="81" fillId="2" borderId="208" xfId="0" applyFont="1" applyFill="1" applyBorder="1" applyAlignment="1">
      <alignment vertical="center"/>
    </xf>
    <xf numFmtId="9" fontId="81" fillId="0" borderId="76" xfId="0" applyNumberFormat="1" applyFont="1" applyFill="1" applyBorder="1" applyAlignment="1">
      <alignment horizontal="center" vertical="center"/>
    </xf>
    <xf numFmtId="0" fontId="81" fillId="31" borderId="76" xfId="0" applyFont="1" applyFill="1" applyBorder="1" applyAlignment="1">
      <alignment horizontal="center" vertical="center"/>
    </xf>
    <xf numFmtId="0" fontId="81" fillId="31" borderId="69" xfId="0" applyFont="1" applyFill="1" applyBorder="1" applyAlignment="1">
      <alignment horizontal="center" vertical="center"/>
    </xf>
    <xf numFmtId="0" fontId="81" fillId="2" borderId="210" xfId="0" applyFont="1" applyFill="1" applyBorder="1" applyAlignment="1">
      <alignment vertical="center" wrapText="1"/>
    </xf>
    <xf numFmtId="169" fontId="81" fillId="4" borderId="211" xfId="1" applyNumberFormat="1" applyFont="1" applyFill="1" applyBorder="1" applyAlignment="1">
      <alignment horizontal="center" vertical="center"/>
    </xf>
    <xf numFmtId="9" fontId="81" fillId="0" borderId="211" xfId="0" applyNumberFormat="1" applyFont="1" applyFill="1" applyBorder="1" applyAlignment="1">
      <alignment horizontal="center" vertical="center"/>
    </xf>
    <xf numFmtId="0" fontId="81" fillId="31" borderId="211" xfId="0" applyFont="1" applyFill="1" applyBorder="1" applyAlignment="1">
      <alignment vertical="center"/>
    </xf>
    <xf numFmtId="0" fontId="81" fillId="31" borderId="212" xfId="0" applyFont="1" applyFill="1" applyBorder="1" applyAlignment="1">
      <alignment vertical="center"/>
    </xf>
    <xf numFmtId="0" fontId="1" fillId="0" borderId="0" xfId="0" applyFont="1" applyAlignment="1">
      <alignment vertical="center"/>
    </xf>
    <xf numFmtId="43" fontId="0" fillId="0" borderId="0" xfId="0" applyNumberFormat="1"/>
    <xf numFmtId="0" fontId="15" fillId="10" borderId="110" xfId="0" applyFont="1" applyFill="1" applyBorder="1" applyAlignment="1" applyProtection="1">
      <alignment horizontal="right"/>
    </xf>
    <xf numFmtId="1" fontId="3" fillId="0" borderId="0" xfId="0" applyNumberFormat="1" applyFont="1" applyFill="1" applyAlignment="1">
      <alignment vertical="center"/>
    </xf>
    <xf numFmtId="0" fontId="14" fillId="32" borderId="143" xfId="0" applyFont="1" applyFill="1" applyBorder="1" applyAlignment="1">
      <alignment horizontal="center" wrapText="1"/>
    </xf>
    <xf numFmtId="0" fontId="15" fillId="32" borderId="93" xfId="0" applyFont="1" applyFill="1" applyBorder="1" applyAlignment="1">
      <alignment horizontal="center"/>
    </xf>
    <xf numFmtId="0" fontId="15" fillId="32" borderId="107" xfId="0" applyFont="1" applyFill="1" applyBorder="1" applyAlignment="1">
      <alignment horizontal="center"/>
    </xf>
    <xf numFmtId="165" fontId="14" fillId="32" borderId="93" xfId="0" applyNumberFormat="1" applyFont="1" applyFill="1" applyBorder="1"/>
    <xf numFmtId="165" fontId="14" fillId="32" borderId="107" xfId="0" applyNumberFormat="1" applyFont="1" applyFill="1" applyBorder="1"/>
    <xf numFmtId="165" fontId="14" fillId="32" borderId="90" xfId="0" applyNumberFormat="1" applyFont="1" applyFill="1" applyBorder="1"/>
    <xf numFmtId="165" fontId="15" fillId="32" borderId="147" xfId="0" applyNumberFormat="1" applyFont="1" applyFill="1" applyBorder="1"/>
    <xf numFmtId="165" fontId="15" fillId="32" borderId="160" xfId="0" applyNumberFormat="1" applyFont="1" applyFill="1" applyBorder="1"/>
    <xf numFmtId="0" fontId="49" fillId="20" borderId="0" xfId="0" applyFont="1" applyFill="1" applyBorder="1" applyAlignment="1">
      <alignment horizontal="right" vertical="center"/>
    </xf>
    <xf numFmtId="0" fontId="84" fillId="32" borderId="108" xfId="0" applyFont="1" applyFill="1" applyBorder="1" applyAlignment="1">
      <alignment wrapText="1"/>
    </xf>
    <xf numFmtId="0" fontId="84" fillId="20" borderId="96" xfId="0" applyFont="1" applyFill="1" applyBorder="1" applyAlignment="1">
      <alignment vertical="center"/>
    </xf>
    <xf numFmtId="0" fontId="84" fillId="20" borderId="142" xfId="0" applyFont="1" applyFill="1" applyBorder="1" applyAlignment="1">
      <alignment vertical="center"/>
    </xf>
    <xf numFmtId="0" fontId="84" fillId="21" borderId="142" xfId="0" applyFont="1" applyFill="1" applyBorder="1" applyAlignment="1">
      <alignment vertical="center"/>
    </xf>
    <xf numFmtId="0" fontId="85" fillId="32" borderId="143" xfId="0" applyFont="1" applyFill="1" applyBorder="1" applyAlignment="1">
      <alignment horizontal="center" wrapText="1"/>
    </xf>
    <xf numFmtId="0" fontId="49" fillId="10" borderId="45" xfId="0" applyFont="1" applyFill="1" applyBorder="1" applyAlignment="1">
      <alignment horizontal="center" vertical="center"/>
    </xf>
    <xf numFmtId="0" fontId="49" fillId="10" borderId="213" xfId="0" applyFont="1" applyFill="1" applyBorder="1" applyAlignment="1">
      <alignment horizontal="center" vertical="center"/>
    </xf>
    <xf numFmtId="0" fontId="49" fillId="10" borderId="76" xfId="0" applyFont="1" applyFill="1" applyBorder="1" applyAlignment="1">
      <alignment horizontal="center" vertical="center"/>
    </xf>
    <xf numFmtId="0" fontId="86" fillId="10" borderId="158" xfId="0" applyFont="1" applyFill="1" applyBorder="1" applyAlignment="1">
      <alignment horizontal="center" vertical="center"/>
    </xf>
    <xf numFmtId="0" fontId="83" fillId="20" borderId="117" xfId="0" applyFont="1" applyFill="1" applyBorder="1" applyAlignment="1">
      <alignment horizontal="center"/>
    </xf>
    <xf numFmtId="0" fontId="83" fillId="21" borderId="117" xfId="0" applyFont="1" applyFill="1" applyBorder="1" applyAlignment="1">
      <alignment horizontal="center"/>
    </xf>
    <xf numFmtId="165" fontId="83" fillId="20" borderId="94" xfId="0" applyNumberFormat="1" applyFont="1" applyFill="1" applyBorder="1" applyAlignment="1">
      <alignment horizontal="right"/>
    </xf>
    <xf numFmtId="165" fontId="83" fillId="20" borderId="102" xfId="0" applyNumberFormat="1" applyFont="1" applyFill="1" applyBorder="1" applyAlignment="1">
      <alignment horizontal="right"/>
    </xf>
    <xf numFmtId="165" fontId="83" fillId="21" borderId="94" xfId="0" applyNumberFormat="1" applyFont="1" applyFill="1" applyBorder="1" applyAlignment="1">
      <alignment horizontal="right"/>
    </xf>
    <xf numFmtId="165" fontId="83" fillId="21" borderId="102" xfId="0" applyNumberFormat="1" applyFont="1" applyFill="1" applyBorder="1" applyAlignment="1">
      <alignment horizontal="right"/>
    </xf>
    <xf numFmtId="165" fontId="83" fillId="10" borderId="163" xfId="0" applyNumberFormat="1" applyFont="1" applyFill="1" applyBorder="1" applyAlignment="1">
      <alignment horizontal="right"/>
    </xf>
    <xf numFmtId="165" fontId="83" fillId="32" borderId="163" xfId="0" applyNumberFormat="1" applyFont="1" applyFill="1" applyBorder="1" applyAlignment="1">
      <alignment horizontal="right"/>
    </xf>
    <xf numFmtId="0" fontId="15" fillId="20" borderId="94" xfId="0" applyFont="1" applyFill="1" applyBorder="1" applyAlignment="1">
      <alignment horizontal="center"/>
    </xf>
    <xf numFmtId="0" fontId="15" fillId="21" borderId="97" xfId="0" applyFont="1" applyFill="1" applyBorder="1" applyAlignment="1">
      <alignment horizontal="center"/>
    </xf>
    <xf numFmtId="165" fontId="14" fillId="21" borderId="97" xfId="0" applyNumberFormat="1" applyFont="1" applyFill="1" applyBorder="1"/>
    <xf numFmtId="165" fontId="15" fillId="21" borderId="97" xfId="0" applyNumberFormat="1" applyFont="1" applyFill="1" applyBorder="1"/>
    <xf numFmtId="0" fontId="15" fillId="20" borderId="95" xfId="0" applyFont="1" applyFill="1" applyBorder="1" applyAlignment="1">
      <alignment horizontal="center"/>
    </xf>
    <xf numFmtId="165" fontId="14" fillId="20" borderId="96" xfId="0" applyNumberFormat="1" applyFont="1" applyFill="1" applyBorder="1"/>
    <xf numFmtId="165" fontId="14" fillId="20" borderId="95" xfId="0" applyNumberFormat="1" applyFont="1" applyFill="1" applyBorder="1"/>
    <xf numFmtId="165" fontId="15" fillId="20" borderId="95" xfId="0" applyNumberFormat="1" applyFont="1" applyFill="1" applyBorder="1"/>
    <xf numFmtId="165" fontId="15" fillId="20" borderId="103" xfId="0" applyNumberFormat="1" applyFont="1" applyFill="1" applyBorder="1"/>
    <xf numFmtId="0" fontId="15" fillId="21" borderId="164" xfId="0" applyFont="1" applyFill="1" applyBorder="1" applyAlignment="1">
      <alignment horizontal="center"/>
    </xf>
    <xf numFmtId="165" fontId="14" fillId="21" borderId="164" xfId="0" applyNumberFormat="1" applyFont="1" applyFill="1" applyBorder="1"/>
    <xf numFmtId="165" fontId="83" fillId="21" borderId="95" xfId="0" applyNumberFormat="1" applyFont="1" applyFill="1" applyBorder="1" applyAlignment="1">
      <alignment horizontal="right"/>
    </xf>
    <xf numFmtId="165" fontId="14" fillId="4" borderId="216" xfId="2" applyNumberFormat="1" applyFont="1" applyFill="1" applyBorder="1" applyAlignment="1">
      <alignment horizontal="right"/>
    </xf>
    <xf numFmtId="0" fontId="84" fillId="21" borderId="96" xfId="0" applyFont="1" applyFill="1" applyBorder="1" applyAlignment="1">
      <alignment vertical="center"/>
    </xf>
    <xf numFmtId="0" fontId="25" fillId="5" borderId="161" xfId="0" applyFont="1" applyFill="1" applyBorder="1" applyAlignment="1">
      <alignment horizontal="left" vertical="center"/>
    </xf>
    <xf numFmtId="0" fontId="11" fillId="21" borderId="136" xfId="0" applyFont="1" applyFill="1" applyBorder="1" applyAlignment="1">
      <alignment vertical="center"/>
    </xf>
    <xf numFmtId="0" fontId="11" fillId="21" borderId="223" xfId="0" applyFont="1" applyFill="1" applyBorder="1" applyAlignment="1">
      <alignment vertical="center"/>
    </xf>
    <xf numFmtId="0" fontId="14" fillId="4" borderId="223" xfId="0" applyFont="1" applyFill="1" applyBorder="1" applyAlignment="1">
      <alignment horizontal="center" vertical="center"/>
    </xf>
    <xf numFmtId="0" fontId="11" fillId="21" borderId="136" xfId="0" applyFont="1" applyFill="1" applyBorder="1" applyAlignment="1">
      <alignment horizontal="left" vertical="center"/>
    </xf>
    <xf numFmtId="0" fontId="11" fillId="21" borderId="223" xfId="0" applyFont="1" applyFill="1" applyBorder="1" applyAlignment="1">
      <alignment horizontal="left" vertical="center"/>
    </xf>
    <xf numFmtId="0" fontId="0" fillId="0" borderId="0" xfId="0" applyAlignment="1">
      <alignment horizontal="center"/>
    </xf>
    <xf numFmtId="0" fontId="84" fillId="32" borderId="108" xfId="0" applyFont="1" applyFill="1" applyBorder="1" applyAlignment="1">
      <alignment horizontal="right" wrapText="1"/>
    </xf>
    <xf numFmtId="0" fontId="22" fillId="4" borderId="221" xfId="0" applyFont="1" applyFill="1" applyBorder="1" applyAlignment="1">
      <alignment horizontal="left" vertical="center"/>
    </xf>
    <xf numFmtId="0" fontId="22" fillId="21" borderId="228" xfId="0" applyFont="1" applyFill="1" applyBorder="1" applyAlignment="1">
      <alignment horizontal="center" vertical="center"/>
    </xf>
    <xf numFmtId="1" fontId="0" fillId="0" borderId="0" xfId="0" applyNumberFormat="1"/>
    <xf numFmtId="0" fontId="88" fillId="5" borderId="0" xfId="0" applyFont="1" applyFill="1" applyBorder="1" applyAlignment="1">
      <alignment horizontal="right" vertical="center"/>
    </xf>
    <xf numFmtId="0" fontId="6" fillId="8" borderId="229" xfId="5" applyFont="1" applyFill="1" applyBorder="1" applyAlignment="1">
      <alignment horizontal="left" vertical="center"/>
    </xf>
    <xf numFmtId="0" fontId="6" fillId="8" borderId="230" xfId="5" applyFont="1" applyFill="1" applyBorder="1" applyAlignment="1">
      <alignment horizontal="left" vertical="center"/>
    </xf>
    <xf numFmtId="0" fontId="6" fillId="8" borderId="231" xfId="5" applyFont="1" applyFill="1" applyBorder="1" applyAlignment="1">
      <alignment horizontal="left" vertical="center"/>
    </xf>
    <xf numFmtId="165" fontId="15" fillId="21" borderId="101" xfId="0" applyNumberFormat="1" applyFont="1" applyFill="1" applyBorder="1"/>
    <xf numFmtId="0" fontId="16" fillId="7" borderId="12" xfId="0" applyFont="1" applyFill="1" applyBorder="1" applyAlignment="1">
      <alignment vertical="center"/>
    </xf>
    <xf numFmtId="0" fontId="89" fillId="3" borderId="3" xfId="0" applyFont="1" applyFill="1" applyBorder="1" applyAlignment="1">
      <alignment horizontal="center" vertical="center" wrapText="1"/>
    </xf>
    <xf numFmtId="166" fontId="8" fillId="17" borderId="151" xfId="2" applyNumberFormat="1" applyFont="1" applyFill="1" applyBorder="1" applyAlignment="1">
      <alignment horizontal="center"/>
    </xf>
    <xf numFmtId="166" fontId="49" fillId="4" borderId="45" xfId="2" applyNumberFormat="1" applyFont="1" applyFill="1" applyBorder="1" applyAlignment="1">
      <alignment horizontal="center" vertical="center"/>
    </xf>
    <xf numFmtId="166" fontId="14" fillId="10" borderId="109" xfId="2" applyNumberFormat="1" applyFont="1" applyFill="1" applyBorder="1" applyAlignment="1">
      <alignment horizontal="center"/>
    </xf>
    <xf numFmtId="166" fontId="15" fillId="20" borderId="118" xfId="2" applyNumberFormat="1" applyFont="1" applyFill="1" applyBorder="1" applyAlignment="1">
      <alignment horizontal="center"/>
    </xf>
    <xf numFmtId="166" fontId="15" fillId="21" borderId="118" xfId="2" applyNumberFormat="1" applyFont="1" applyFill="1" applyBorder="1" applyAlignment="1">
      <alignment horizontal="center"/>
    </xf>
    <xf numFmtId="166" fontId="15" fillId="4" borderId="222" xfId="2" applyNumberFormat="1" applyFont="1" applyFill="1" applyBorder="1" applyAlignment="1">
      <alignment horizontal="center" vertical="center"/>
    </xf>
    <xf numFmtId="0" fontId="9" fillId="5" borderId="0" xfId="5" applyFont="1" applyFill="1" applyBorder="1" applyAlignment="1">
      <alignment horizontal="right" vertical="center"/>
    </xf>
    <xf numFmtId="0" fontId="24" fillId="5" borderId="0" xfId="0" applyFont="1" applyFill="1" applyBorder="1" applyAlignment="1">
      <alignment horizontal="right" vertical="center"/>
    </xf>
    <xf numFmtId="0" fontId="10" fillId="5" borderId="0" xfId="5" applyFont="1" applyFill="1" applyBorder="1" applyAlignment="1">
      <alignment horizontal="right" vertical="center"/>
    </xf>
    <xf numFmtId="0" fontId="9" fillId="5" borderId="0" xfId="5" applyFont="1" applyFill="1" applyBorder="1" applyAlignment="1">
      <alignment horizontal="right"/>
    </xf>
    <xf numFmtId="0" fontId="14" fillId="0" borderId="0" xfId="0" applyFont="1" applyBorder="1" applyAlignment="1">
      <alignment horizontal="right"/>
    </xf>
    <xf numFmtId="0" fontId="9" fillId="33" borderId="0" xfId="5" applyFont="1" applyFill="1" applyBorder="1" applyAlignment="1">
      <alignment horizontal="left" vertical="center"/>
    </xf>
    <xf numFmtId="0" fontId="24" fillId="33" borderId="0" xfId="0" applyFont="1" applyFill="1" applyBorder="1" applyAlignment="1">
      <alignment horizontal="center" vertical="center"/>
    </xf>
    <xf numFmtId="1" fontId="8" fillId="17" borderId="185" xfId="5" applyNumberFormat="1" applyFont="1" applyFill="1" applyBorder="1" applyAlignment="1">
      <alignment horizontal="center"/>
    </xf>
    <xf numFmtId="0" fontId="90" fillId="0" borderId="151" xfId="5" applyFont="1" applyFill="1" applyBorder="1" applyAlignment="1">
      <alignment horizontal="center"/>
    </xf>
    <xf numFmtId="0" fontId="90" fillId="4" borderId="153" xfId="0" applyFont="1" applyFill="1" applyBorder="1" applyAlignment="1">
      <alignment horizontal="center"/>
    </xf>
    <xf numFmtId="0" fontId="83" fillId="10" borderId="117" xfId="0" applyFont="1" applyFill="1" applyBorder="1" applyAlignment="1">
      <alignment horizontal="center"/>
    </xf>
    <xf numFmtId="166" fontId="59" fillId="21" borderId="195" xfId="2" applyNumberFormat="1" applyFont="1" applyFill="1" applyBorder="1" applyAlignment="1">
      <alignment horizontal="center" vertical="center"/>
    </xf>
    <xf numFmtId="166" fontId="59" fillId="20" borderId="187" xfId="2" applyNumberFormat="1" applyFont="1" applyFill="1" applyBorder="1" applyAlignment="1">
      <alignment horizontal="center" vertical="center"/>
    </xf>
    <xf numFmtId="166" fontId="15" fillId="10" borderId="118" xfId="2" applyNumberFormat="1" applyFont="1" applyFill="1" applyBorder="1" applyAlignment="1">
      <alignment horizontal="center"/>
    </xf>
    <xf numFmtId="0" fontId="15" fillId="3" borderId="245" xfId="5" applyFont="1" applyFill="1" applyBorder="1" applyAlignment="1">
      <alignment horizontal="right"/>
    </xf>
    <xf numFmtId="0" fontId="15" fillId="3" borderId="247" xfId="5" applyFont="1" applyFill="1" applyBorder="1" applyAlignment="1">
      <alignment horizontal="right"/>
    </xf>
    <xf numFmtId="0" fontId="15" fillId="5" borderId="248" xfId="0" applyFont="1" applyFill="1" applyBorder="1" applyAlignment="1">
      <alignment horizontal="right"/>
    </xf>
    <xf numFmtId="0" fontId="15" fillId="5" borderId="249" xfId="0" applyFont="1" applyFill="1" applyBorder="1" applyAlignment="1">
      <alignment horizontal="right"/>
    </xf>
    <xf numFmtId="0" fontId="15" fillId="3" borderId="250" xfId="0" applyFont="1" applyFill="1" applyBorder="1" applyAlignment="1">
      <alignment horizontal="right"/>
    </xf>
    <xf numFmtId="0" fontId="15" fillId="5" borderId="251" xfId="0" applyFont="1" applyFill="1" applyBorder="1" applyAlignment="1">
      <alignment horizontal="right"/>
    </xf>
    <xf numFmtId="0" fontId="15" fillId="5" borderId="245" xfId="0" applyFont="1" applyFill="1" applyBorder="1" applyAlignment="1">
      <alignment horizontal="right"/>
    </xf>
    <xf numFmtId="0" fontId="15" fillId="5" borderId="247" xfId="0" applyFont="1" applyFill="1" applyBorder="1" applyAlignment="1">
      <alignment horizontal="right"/>
    </xf>
    <xf numFmtId="0" fontId="15" fillId="3" borderId="252" xfId="0" applyFont="1" applyFill="1" applyBorder="1" applyAlignment="1">
      <alignment horizontal="right"/>
    </xf>
    <xf numFmtId="0" fontId="15" fillId="3" borderId="245" xfId="0" applyFont="1" applyFill="1" applyBorder="1" applyAlignment="1">
      <alignment horizontal="right"/>
    </xf>
    <xf numFmtId="0" fontId="15" fillId="3" borderId="247" xfId="0" applyFont="1" applyFill="1" applyBorder="1" applyAlignment="1">
      <alignment horizontal="right"/>
    </xf>
    <xf numFmtId="0" fontId="15" fillId="5" borderId="252" xfId="0" applyFont="1" applyFill="1" applyBorder="1" applyAlignment="1">
      <alignment horizontal="right"/>
    </xf>
    <xf numFmtId="0" fontId="15" fillId="3" borderId="248" xfId="0" applyFont="1" applyFill="1" applyBorder="1" applyAlignment="1">
      <alignment horizontal="right"/>
    </xf>
    <xf numFmtId="0" fontId="15" fillId="5" borderId="253" xfId="0" applyFont="1" applyFill="1" applyBorder="1" applyAlignment="1">
      <alignment horizontal="right"/>
    </xf>
    <xf numFmtId="0" fontId="15" fillId="3" borderId="251" xfId="5" applyFont="1" applyFill="1" applyBorder="1" applyAlignment="1">
      <alignment horizontal="right"/>
    </xf>
    <xf numFmtId="0" fontId="15" fillId="5" borderId="267" xfId="0" applyFont="1" applyFill="1" applyBorder="1" applyAlignment="1">
      <alignment horizontal="right"/>
    </xf>
    <xf numFmtId="165" fontId="14" fillId="17" borderId="93" xfId="0" applyNumberFormat="1" applyFont="1" applyFill="1" applyBorder="1"/>
    <xf numFmtId="0" fontId="14" fillId="10" borderId="296" xfId="0" applyNumberFormat="1" applyFont="1" applyFill="1" applyBorder="1" applyAlignment="1">
      <alignment horizontal="center"/>
    </xf>
    <xf numFmtId="0" fontId="15" fillId="17" borderId="93" xfId="0" applyFont="1" applyFill="1" applyBorder="1" applyAlignment="1" applyProtection="1">
      <alignment horizontal="center"/>
    </xf>
    <xf numFmtId="0" fontId="49" fillId="10" borderId="296" xfId="0" applyFont="1" applyFill="1" applyBorder="1" applyAlignment="1" applyProtection="1">
      <alignment horizontal="right"/>
    </xf>
    <xf numFmtId="0" fontId="15" fillId="10" borderId="297" xfId="0" applyFont="1" applyFill="1" applyBorder="1" applyAlignment="1" applyProtection="1">
      <alignment horizontal="right"/>
    </xf>
    <xf numFmtId="0" fontId="15" fillId="10" borderId="159" xfId="0" applyFont="1" applyFill="1" applyBorder="1" applyAlignment="1" applyProtection="1">
      <alignment horizontal="right"/>
    </xf>
    <xf numFmtId="0" fontId="15" fillId="10" borderId="111" xfId="0" applyFont="1" applyFill="1" applyBorder="1" applyAlignment="1" applyProtection="1">
      <alignment horizontal="center"/>
    </xf>
    <xf numFmtId="165" fontId="14" fillId="17" borderId="296" xfId="0" applyNumberFormat="1" applyFont="1" applyFill="1" applyBorder="1"/>
    <xf numFmtId="165" fontId="15" fillId="17" borderId="296" xfId="0" applyNumberFormat="1" applyFont="1" applyFill="1" applyBorder="1"/>
    <xf numFmtId="0" fontId="15" fillId="21" borderId="296" xfId="0" applyFont="1" applyFill="1" applyBorder="1" applyAlignment="1">
      <alignment horizontal="center"/>
    </xf>
    <xf numFmtId="165" fontId="14" fillId="21" borderId="296" xfId="0" applyNumberFormat="1" applyFont="1" applyFill="1" applyBorder="1"/>
    <xf numFmtId="165" fontId="15" fillId="21" borderId="296" xfId="0" applyNumberFormat="1" applyFont="1" applyFill="1" applyBorder="1"/>
    <xf numFmtId="165" fontId="14" fillId="17" borderId="93" xfId="0" applyNumberFormat="1" applyFont="1" applyFill="1" applyBorder="1" applyAlignment="1">
      <alignment horizontal="right"/>
    </xf>
    <xf numFmtId="0" fontId="6" fillId="8" borderId="0" xfId="0" applyFont="1" applyFill="1" applyBorder="1" applyAlignment="1">
      <alignment horizontal="left"/>
    </xf>
    <xf numFmtId="0" fontId="8" fillId="17" borderId="0" xfId="5" applyFont="1" applyFill="1" applyBorder="1" applyAlignment="1">
      <alignment horizontal="center"/>
    </xf>
    <xf numFmtId="0" fontId="8" fillId="17" borderId="0" xfId="5" applyNumberFormat="1" applyFont="1" applyFill="1" applyBorder="1" applyAlignment="1">
      <alignment horizontal="center"/>
    </xf>
    <xf numFmtId="3" fontId="8" fillId="17" borderId="0" xfId="5" applyNumberFormat="1" applyFont="1" applyFill="1" applyBorder="1" applyAlignment="1">
      <alignment horizontal="center"/>
    </xf>
    <xf numFmtId="14" fontId="8" fillId="17" borderId="0" xfId="5" applyNumberFormat="1" applyFont="1" applyFill="1" applyBorder="1" applyAlignment="1">
      <alignment horizontal="center"/>
    </xf>
    <xf numFmtId="166" fontId="8" fillId="17" borderId="0" xfId="2" applyNumberFormat="1" applyFont="1" applyFill="1" applyBorder="1" applyAlignment="1">
      <alignment horizontal="center"/>
    </xf>
    <xf numFmtId="1" fontId="8" fillId="17" borderId="0" xfId="5" applyNumberFormat="1" applyFont="1" applyFill="1" applyBorder="1" applyAlignment="1">
      <alignment horizontal="center"/>
    </xf>
    <xf numFmtId="0" fontId="20" fillId="5" borderId="0" xfId="0" applyFont="1" applyFill="1" applyBorder="1"/>
    <xf numFmtId="0" fontId="8" fillId="0" borderId="0" xfId="5" applyFont="1" applyFill="1" applyBorder="1" applyAlignment="1">
      <alignment horizontal="center"/>
    </xf>
    <xf numFmtId="0" fontId="8" fillId="0" borderId="0" xfId="5" applyNumberFormat="1" applyFont="1" applyFill="1" applyBorder="1" applyAlignment="1">
      <alignment horizontal="center"/>
    </xf>
    <xf numFmtId="9" fontId="8" fillId="0" borderId="0" xfId="5" applyNumberFormat="1" applyFont="1" applyFill="1" applyBorder="1" applyAlignment="1">
      <alignment horizontal="center"/>
    </xf>
    <xf numFmtId="0" fontId="90" fillId="0" borderId="0" xfId="5" applyFont="1" applyFill="1" applyBorder="1" applyAlignment="1">
      <alignment horizontal="center"/>
    </xf>
    <xf numFmtId="0" fontId="90" fillId="4" borderId="0" xfId="0" applyFont="1" applyFill="1" applyBorder="1" applyAlignment="1">
      <alignment horizontal="center"/>
    </xf>
    <xf numFmtId="0" fontId="20" fillId="4" borderId="0" xfId="0" applyFont="1" applyFill="1" applyBorder="1" applyAlignment="1">
      <alignment horizontal="center" vertical="top"/>
    </xf>
    <xf numFmtId="0" fontId="91" fillId="10" borderId="77" xfId="0" applyFont="1" applyFill="1" applyBorder="1" applyAlignment="1">
      <alignment horizontal="center" vertical="center"/>
    </xf>
    <xf numFmtId="0" fontId="91" fillId="10" borderId="75" xfId="0" applyFont="1" applyFill="1" applyBorder="1" applyAlignment="1">
      <alignment horizontal="center" vertical="center"/>
    </xf>
    <xf numFmtId="0" fontId="91" fillId="10" borderId="141" xfId="0" applyFont="1" applyFill="1" applyBorder="1" applyAlignment="1">
      <alignment horizontal="center" vertical="center"/>
    </xf>
    <xf numFmtId="0" fontId="0" fillId="4" borderId="0" xfId="0" applyFont="1" applyFill="1"/>
    <xf numFmtId="0" fontId="14" fillId="4" borderId="0" xfId="0" applyFont="1" applyFill="1"/>
    <xf numFmtId="0" fontId="0" fillId="0" borderId="0" xfId="0" quotePrefix="1" applyFont="1"/>
    <xf numFmtId="0" fontId="36" fillId="5" borderId="46" xfId="0" applyFont="1" applyFill="1" applyBorder="1" applyAlignment="1">
      <alignment vertical="center"/>
    </xf>
    <xf numFmtId="0" fontId="95" fillId="5" borderId="218" xfId="0" applyFont="1" applyFill="1" applyBorder="1" applyAlignment="1">
      <alignment horizontal="right" vertical="center"/>
    </xf>
    <xf numFmtId="0" fontId="3" fillId="3" borderId="21" xfId="0" applyFont="1" applyFill="1" applyBorder="1" applyAlignment="1">
      <alignment horizontal="left" vertical="center"/>
    </xf>
    <xf numFmtId="0" fontId="3" fillId="3" borderId="22" xfId="0" applyFont="1" applyFill="1" applyBorder="1" applyAlignment="1">
      <alignment horizontal="left" vertical="center"/>
    </xf>
    <xf numFmtId="0" fontId="7" fillId="3" borderId="83" xfId="0" applyFont="1" applyFill="1" applyBorder="1" applyAlignment="1">
      <alignment horizontal="left" vertical="center"/>
    </xf>
    <xf numFmtId="0" fontId="7" fillId="3" borderId="85" xfId="0" applyFont="1" applyFill="1" applyBorder="1" applyAlignment="1">
      <alignment horizontal="left" vertical="center"/>
    </xf>
    <xf numFmtId="0" fontId="7" fillId="3" borderId="21" xfId="0" applyFont="1" applyFill="1" applyBorder="1" applyAlignment="1">
      <alignment horizontal="left" vertical="center"/>
    </xf>
    <xf numFmtId="0" fontId="7" fillId="3" borderId="22" xfId="0" applyFont="1" applyFill="1" applyBorder="1" applyAlignment="1">
      <alignment horizontal="left" vertical="center"/>
    </xf>
    <xf numFmtId="0" fontId="56" fillId="5" borderId="34" xfId="0" applyFont="1" applyFill="1" applyBorder="1" applyAlignment="1">
      <alignment vertical="center"/>
    </xf>
    <xf numFmtId="0" fontId="96" fillId="5" borderId="0" xfId="0" applyFont="1" applyFill="1" applyBorder="1" applyAlignment="1">
      <alignment horizontal="left" vertical="center"/>
    </xf>
    <xf numFmtId="0" fontId="49" fillId="10" borderId="120" xfId="0" applyFont="1" applyFill="1" applyBorder="1" applyAlignment="1" applyProtection="1">
      <alignment horizontal="right"/>
    </xf>
    <xf numFmtId="0" fontId="97" fillId="5" borderId="0" xfId="5" applyFont="1" applyFill="1" applyBorder="1" applyAlignment="1">
      <alignment horizontal="left"/>
    </xf>
    <xf numFmtId="0" fontId="6" fillId="8" borderId="193" xfId="0" applyFont="1" applyFill="1" applyBorder="1" applyAlignment="1">
      <alignment horizontal="left"/>
    </xf>
    <xf numFmtId="0" fontId="0" fillId="0" borderId="0" xfId="0" applyAlignment="1">
      <alignment wrapText="1"/>
    </xf>
    <xf numFmtId="0" fontId="7" fillId="35" borderId="7" xfId="0" applyFont="1" applyFill="1" applyBorder="1" applyAlignment="1">
      <alignment horizontal="center" vertical="center" wrapText="1"/>
    </xf>
    <xf numFmtId="165" fontId="9" fillId="35" borderId="13" xfId="0" applyNumberFormat="1" applyFont="1" applyFill="1" applyBorder="1" applyAlignment="1">
      <alignment horizontal="center" vertical="center"/>
    </xf>
    <xf numFmtId="0" fontId="9" fillId="34" borderId="6" xfId="0" applyFont="1" applyFill="1" applyBorder="1" applyAlignment="1">
      <alignment horizontal="center" vertical="center"/>
    </xf>
    <xf numFmtId="9" fontId="0" fillId="35" borderId="3" xfId="2" applyFont="1" applyFill="1" applyBorder="1" applyAlignment="1">
      <alignment horizontal="center" vertical="center"/>
    </xf>
    <xf numFmtId="9" fontId="0" fillId="35" borderId="22" xfId="2" applyFont="1" applyFill="1" applyBorder="1" applyAlignment="1">
      <alignment horizontal="center" vertical="center"/>
    </xf>
    <xf numFmtId="1" fontId="94" fillId="35" borderId="216" xfId="0" applyNumberFormat="1" applyFont="1" applyFill="1" applyBorder="1" applyAlignment="1">
      <alignment horizontal="center" vertical="center"/>
    </xf>
    <xf numFmtId="0" fontId="59" fillId="35" borderId="216" xfId="0" applyFont="1" applyFill="1" applyBorder="1" applyAlignment="1">
      <alignment horizontal="center" vertical="center"/>
    </xf>
    <xf numFmtId="0" fontId="59" fillId="35" borderId="217" xfId="0" applyFont="1" applyFill="1" applyBorder="1" applyAlignment="1">
      <alignment horizontal="center" vertical="center"/>
    </xf>
    <xf numFmtId="0" fontId="8" fillId="3" borderId="3" xfId="0" applyFont="1" applyFill="1" applyBorder="1" applyAlignment="1">
      <alignment horizontal="center" vertical="center"/>
    </xf>
    <xf numFmtId="3" fontId="10" fillId="3" borderId="294" xfId="0" applyNumberFormat="1" applyFont="1" applyFill="1" applyBorder="1" applyAlignment="1">
      <alignment horizontal="center" vertical="center"/>
    </xf>
    <xf numFmtId="9" fontId="10" fillId="3" borderId="309" xfId="2" applyFont="1" applyFill="1" applyBorder="1" applyAlignment="1">
      <alignment horizontal="right" vertical="center"/>
    </xf>
    <xf numFmtId="0" fontId="9" fillId="34" borderId="309" xfId="0" applyFont="1" applyFill="1" applyBorder="1" applyAlignment="1">
      <alignment horizontal="center" vertical="center"/>
    </xf>
    <xf numFmtId="0" fontId="0" fillId="5" borderId="23" xfId="0" applyFont="1" applyFill="1" applyBorder="1" applyAlignment="1">
      <alignment horizontal="center"/>
    </xf>
    <xf numFmtId="0" fontId="0" fillId="5" borderId="24" xfId="0" applyFont="1" applyFill="1" applyBorder="1" applyAlignment="1">
      <alignment horizontal="center"/>
    </xf>
    <xf numFmtId="0" fontId="9" fillId="5" borderId="194" xfId="5" applyFont="1" applyFill="1" applyBorder="1" applyAlignment="1">
      <alignment horizontal="left"/>
    </xf>
    <xf numFmtId="166" fontId="15" fillId="4" borderId="328" xfId="2" applyNumberFormat="1" applyFont="1" applyFill="1" applyBorder="1" applyAlignment="1">
      <alignment horizontal="center" vertical="center"/>
    </xf>
    <xf numFmtId="0" fontId="9" fillId="5" borderId="161" xfId="5" applyFont="1" applyFill="1" applyBorder="1" applyAlignment="1">
      <alignment horizontal="left"/>
    </xf>
    <xf numFmtId="0" fontId="14" fillId="4" borderId="221" xfId="0" applyFont="1" applyFill="1" applyBorder="1" applyAlignment="1">
      <alignment horizontal="center" vertical="center"/>
    </xf>
    <xf numFmtId="0" fontId="14" fillId="4" borderId="329" xfId="0" applyFont="1" applyFill="1" applyBorder="1" applyAlignment="1">
      <alignment horizontal="center" vertical="center"/>
    </xf>
    <xf numFmtId="0" fontId="9" fillId="5" borderId="162" xfId="5" applyFont="1" applyFill="1" applyBorder="1" applyAlignment="1">
      <alignment horizontal="left"/>
    </xf>
    <xf numFmtId="49" fontId="0" fillId="35" borderId="0" xfId="0" applyNumberFormat="1" applyFill="1"/>
    <xf numFmtId="0" fontId="0" fillId="35" borderId="0" xfId="0" applyFill="1"/>
    <xf numFmtId="0" fontId="89" fillId="3" borderId="17" xfId="0" applyFont="1" applyFill="1" applyBorder="1" applyAlignment="1">
      <alignment horizontal="center" vertical="center" wrapText="1"/>
    </xf>
    <xf numFmtId="9" fontId="10" fillId="3" borderId="22" xfId="2" applyFont="1" applyFill="1" applyBorder="1" applyAlignment="1">
      <alignment horizontal="right" vertical="center"/>
    </xf>
    <xf numFmtId="9" fontId="10" fillId="3" borderId="236" xfId="2" applyFont="1" applyFill="1" applyBorder="1" applyAlignment="1">
      <alignment horizontal="right" vertical="center"/>
    </xf>
    <xf numFmtId="9" fontId="10" fillId="3" borderId="333" xfId="2" applyFont="1" applyFill="1" applyBorder="1" applyAlignment="1">
      <alignment horizontal="right" vertical="center"/>
    </xf>
    <xf numFmtId="3" fontId="10" fillId="3" borderId="25" xfId="0" applyNumberFormat="1" applyFont="1" applyFill="1" applyBorder="1" applyAlignment="1">
      <alignment horizontal="center" vertical="center"/>
    </xf>
    <xf numFmtId="165" fontId="9" fillId="0" borderId="22" xfId="0" applyNumberFormat="1" applyFont="1" applyFill="1" applyBorder="1" applyAlignment="1">
      <alignment horizontal="center" vertical="center"/>
    </xf>
    <xf numFmtId="165" fontId="10" fillId="0" borderId="331" xfId="0" applyNumberFormat="1" applyFont="1" applyFill="1" applyBorder="1" applyAlignment="1">
      <alignment horizontal="center" vertical="center"/>
    </xf>
    <xf numFmtId="165" fontId="10" fillId="0" borderId="21" xfId="0" applyNumberFormat="1" applyFont="1" applyFill="1" applyBorder="1" applyAlignment="1">
      <alignment horizontal="center" vertical="center"/>
    </xf>
    <xf numFmtId="0" fontId="15" fillId="21" borderId="110" xfId="0" applyFont="1" applyFill="1" applyBorder="1" applyAlignment="1">
      <alignment horizontal="center"/>
    </xf>
    <xf numFmtId="165" fontId="14" fillId="21" borderId="110" xfId="0" applyNumberFormat="1" applyFont="1" applyFill="1" applyBorder="1"/>
    <xf numFmtId="165" fontId="14" fillId="17" borderId="303" xfId="0" applyNumberFormat="1" applyFont="1" applyFill="1" applyBorder="1"/>
    <xf numFmtId="165" fontId="14" fillId="21" borderId="303" xfId="0" applyNumberFormat="1" applyFont="1" applyFill="1" applyBorder="1"/>
    <xf numFmtId="9" fontId="10" fillId="3" borderId="340" xfId="2" applyFont="1" applyFill="1" applyBorder="1" applyAlignment="1">
      <alignment horizontal="right" vertical="center"/>
    </xf>
    <xf numFmtId="0" fontId="9" fillId="34" borderId="341" xfId="0" applyFont="1" applyFill="1" applyBorder="1" applyAlignment="1">
      <alignment horizontal="center" vertical="center"/>
    </xf>
    <xf numFmtId="165" fontId="9" fillId="4" borderId="333" xfId="0" applyNumberFormat="1" applyFont="1" applyFill="1" applyBorder="1" applyAlignment="1">
      <alignment horizontal="center" vertical="center"/>
    </xf>
    <xf numFmtId="165" fontId="9" fillId="4" borderId="309" xfId="0" applyNumberFormat="1" applyFont="1" applyFill="1" applyBorder="1" applyAlignment="1">
      <alignment horizontal="center" vertical="center"/>
    </xf>
    <xf numFmtId="0" fontId="9" fillId="34" borderId="236" xfId="0" applyFont="1" applyFill="1" applyBorder="1" applyAlignment="1">
      <alignment horizontal="center" vertical="center"/>
    </xf>
    <xf numFmtId="165" fontId="9" fillId="35" borderId="5" xfId="0" applyNumberFormat="1" applyFont="1" applyFill="1" applyBorder="1" applyAlignment="1">
      <alignment horizontal="center" vertical="center"/>
    </xf>
    <xf numFmtId="0" fontId="9" fillId="34" borderId="343" xfId="0" applyFont="1" applyFill="1" applyBorder="1" applyAlignment="1">
      <alignment horizontal="center" vertical="center"/>
    </xf>
    <xf numFmtId="165" fontId="9" fillId="4" borderId="343" xfId="0" applyNumberFormat="1" applyFont="1" applyFill="1" applyBorder="1" applyAlignment="1">
      <alignment horizontal="center" vertical="center"/>
    </xf>
    <xf numFmtId="165" fontId="9" fillId="0" borderId="342" xfId="0" applyNumberFormat="1" applyFont="1" applyFill="1" applyBorder="1" applyAlignment="1">
      <alignment horizontal="center" vertical="center"/>
    </xf>
    <xf numFmtId="0" fontId="3" fillId="3" borderId="3" xfId="0" applyFont="1" applyFill="1" applyBorder="1" applyAlignment="1">
      <alignment horizontal="left"/>
    </xf>
    <xf numFmtId="0" fontId="3" fillId="3" borderId="17" xfId="0" applyFont="1" applyFill="1" applyBorder="1" applyAlignment="1"/>
    <xf numFmtId="0" fontId="3" fillId="3" borderId="3" xfId="0" applyFont="1" applyFill="1" applyBorder="1" applyAlignment="1">
      <alignment horizontal="left" vertical="center"/>
    </xf>
    <xf numFmtId="0" fontId="15" fillId="10" borderId="110" xfId="0" applyFont="1" applyFill="1" applyBorder="1" applyAlignment="1" applyProtection="1">
      <alignment horizontal="center"/>
    </xf>
    <xf numFmtId="0" fontId="15" fillId="10" borderId="107" xfId="0" applyFont="1" applyFill="1" applyBorder="1" applyAlignment="1" applyProtection="1">
      <alignment horizontal="center"/>
    </xf>
    <xf numFmtId="165" fontId="9" fillId="35" borderId="330" xfId="0" applyNumberFormat="1" applyFont="1" applyFill="1" applyBorder="1" applyAlignment="1">
      <alignment horizontal="center" vertical="center"/>
    </xf>
    <xf numFmtId="165" fontId="0" fillId="0" borderId="0" xfId="0" applyNumberFormat="1" applyBorder="1"/>
    <xf numFmtId="0" fontId="0" fillId="5" borderId="88" xfId="0" applyFont="1" applyFill="1" applyBorder="1"/>
    <xf numFmtId="0" fontId="38" fillId="15" borderId="16" xfId="5" applyFont="1" applyFill="1" applyBorder="1" applyAlignment="1" applyProtection="1">
      <alignment horizontal="center"/>
    </xf>
    <xf numFmtId="2" fontId="38" fillId="17" borderId="12" xfId="10" applyNumberFormat="1" applyFont="1" applyFill="1" applyBorder="1" applyAlignment="1" applyProtection="1">
      <alignment horizontal="center" vertical="center"/>
    </xf>
    <xf numFmtId="2" fontId="40" fillId="17" borderId="12" xfId="10" applyNumberFormat="1" applyFont="1" applyFill="1" applyBorder="1" applyAlignment="1" applyProtection="1">
      <alignment horizontal="center" vertical="center"/>
    </xf>
    <xf numFmtId="166" fontId="41" fillId="17" borderId="12" xfId="11" applyNumberFormat="1" applyFont="1" applyFill="1" applyBorder="1" applyAlignment="1" applyProtection="1">
      <alignment horizontal="center" vertical="center"/>
    </xf>
    <xf numFmtId="166" fontId="41" fillId="17" borderId="25" xfId="11" applyNumberFormat="1" applyFont="1" applyFill="1" applyBorder="1" applyAlignment="1" applyProtection="1">
      <alignment horizontal="center" vertical="center"/>
    </xf>
    <xf numFmtId="0" fontId="58" fillId="0" borderId="45" xfId="0" applyFont="1" applyBorder="1" applyAlignment="1">
      <alignment horizontal="left" vertical="top" wrapText="1"/>
    </xf>
    <xf numFmtId="0" fontId="6" fillId="8" borderId="116" xfId="0" applyFont="1" applyFill="1" applyBorder="1" applyAlignment="1">
      <alignment horizontal="left"/>
    </xf>
    <xf numFmtId="0" fontId="73" fillId="8" borderId="115" xfId="0" applyFont="1" applyFill="1" applyBorder="1" applyAlignment="1">
      <alignment horizontal="left" indent="1"/>
    </xf>
    <xf numFmtId="0" fontId="15" fillId="21" borderId="93" xfId="0" applyFont="1" applyFill="1" applyBorder="1" applyAlignment="1">
      <alignment horizontal="center"/>
    </xf>
    <xf numFmtId="0" fontId="15" fillId="21" borderId="93" xfId="0" applyFont="1" applyFill="1" applyBorder="1" applyAlignment="1" applyProtection="1">
      <alignment horizontal="center"/>
    </xf>
    <xf numFmtId="165" fontId="3" fillId="21" borderId="93" xfId="0" applyNumberFormat="1" applyFont="1" applyFill="1" applyBorder="1" applyAlignment="1">
      <alignment horizontal="center"/>
    </xf>
    <xf numFmtId="165" fontId="14" fillId="21" borderId="93" xfId="0" applyNumberFormat="1" applyFont="1" applyFill="1" applyBorder="1" applyAlignment="1">
      <alignment horizontal="center"/>
    </xf>
    <xf numFmtId="166" fontId="14" fillId="21" borderId="107" xfId="2" applyNumberFormat="1" applyFont="1" applyFill="1" applyBorder="1" applyAlignment="1">
      <alignment horizontal="center"/>
    </xf>
    <xf numFmtId="165" fontId="15" fillId="21" borderId="110" xfId="0" applyNumberFormat="1" applyFont="1" applyFill="1" applyBorder="1" applyAlignment="1">
      <alignment horizontal="center"/>
    </xf>
    <xf numFmtId="165" fontId="15" fillId="21" borderId="113" xfId="0" applyNumberFormat="1" applyFont="1" applyFill="1" applyBorder="1" applyAlignment="1">
      <alignment horizontal="center"/>
    </xf>
    <xf numFmtId="165" fontId="14" fillId="21" borderId="107" xfId="0" applyNumberFormat="1" applyFont="1" applyFill="1" applyBorder="1"/>
    <xf numFmtId="0" fontId="15" fillId="21" borderId="110" xfId="0" applyFont="1" applyFill="1" applyBorder="1" applyAlignment="1" applyProtection="1">
      <alignment horizontal="center"/>
    </xf>
    <xf numFmtId="165" fontId="3" fillId="21" borderId="110" xfId="0" applyNumberFormat="1" applyFont="1" applyFill="1" applyBorder="1" applyAlignment="1">
      <alignment horizontal="center"/>
    </xf>
    <xf numFmtId="165" fontId="14" fillId="21" borderId="110" xfId="0" applyNumberFormat="1" applyFont="1" applyFill="1" applyBorder="1" applyAlignment="1">
      <alignment horizontal="center"/>
    </xf>
    <xf numFmtId="165" fontId="14" fillId="21" borderId="93" xfId="0" applyNumberFormat="1" applyFont="1" applyFill="1" applyBorder="1"/>
    <xf numFmtId="165" fontId="3" fillId="21" borderId="107" xfId="0" applyNumberFormat="1" applyFont="1" applyFill="1" applyBorder="1" applyAlignment="1">
      <alignment horizontal="center"/>
    </xf>
    <xf numFmtId="0" fontId="22" fillId="17" borderId="93" xfId="0" applyFont="1" applyFill="1" applyBorder="1" applyAlignment="1">
      <alignment horizontal="center"/>
    </xf>
    <xf numFmtId="0" fontId="15" fillId="17" borderId="93" xfId="0" applyFont="1" applyFill="1" applyBorder="1" applyAlignment="1">
      <alignment horizontal="center"/>
    </xf>
    <xf numFmtId="165" fontId="15" fillId="17" borderId="356" xfId="0" applyNumberFormat="1" applyFont="1" applyFill="1" applyBorder="1"/>
    <xf numFmtId="165" fontId="14" fillId="17" borderId="107" xfId="0" applyNumberFormat="1" applyFont="1" applyFill="1" applyBorder="1"/>
    <xf numFmtId="166" fontId="3" fillId="21" borderId="107" xfId="0" applyNumberFormat="1" applyFont="1" applyFill="1" applyBorder="1" applyAlignment="1">
      <alignment horizontal="center"/>
    </xf>
    <xf numFmtId="165" fontId="83" fillId="21" borderId="96" xfId="0" applyNumberFormat="1" applyFont="1" applyFill="1" applyBorder="1" applyAlignment="1">
      <alignment horizontal="right"/>
    </xf>
    <xf numFmtId="165" fontId="14" fillId="20" borderId="359" xfId="0" applyNumberFormat="1" applyFont="1" applyFill="1" applyBorder="1"/>
    <xf numFmtId="165" fontId="15" fillId="20" borderId="359" xfId="0" applyNumberFormat="1" applyFont="1" applyFill="1" applyBorder="1"/>
    <xf numFmtId="165" fontId="15" fillId="20" borderId="360" xfId="0" applyNumberFormat="1" applyFont="1" applyFill="1" applyBorder="1"/>
    <xf numFmtId="166" fontId="15" fillId="20" borderId="361" xfId="2" applyNumberFormat="1" applyFont="1" applyFill="1" applyBorder="1" applyAlignment="1">
      <alignment horizontal="center"/>
    </xf>
    <xf numFmtId="165" fontId="14" fillId="4" borderId="362" xfId="2" applyNumberFormat="1" applyFont="1" applyFill="1" applyBorder="1" applyAlignment="1">
      <alignment horizontal="right"/>
    </xf>
    <xf numFmtId="0" fontId="0" fillId="0" borderId="363" xfId="0" applyFill="1" applyBorder="1" applyAlignment="1">
      <alignment horizontal="right" vertical="center"/>
    </xf>
    <xf numFmtId="0" fontId="24" fillId="4" borderId="0" xfId="0" applyFont="1" applyFill="1" applyBorder="1" applyAlignment="1">
      <alignment horizontal="center" vertical="center"/>
    </xf>
    <xf numFmtId="0" fontId="0" fillId="0" borderId="0" xfId="0" applyAlignment="1">
      <alignment horizontal="left" vertical="center" indent="5"/>
    </xf>
    <xf numFmtId="14" fontId="3" fillId="0" borderId="0" xfId="0" applyNumberFormat="1" applyFont="1"/>
    <xf numFmtId="0" fontId="7" fillId="4" borderId="0" xfId="0" applyFont="1" applyFill="1" applyBorder="1" applyAlignment="1">
      <alignment horizontal="left" vertical="center"/>
    </xf>
    <xf numFmtId="0" fontId="49" fillId="4" borderId="0" xfId="0" applyFont="1" applyFill="1" applyBorder="1" applyAlignment="1">
      <alignment horizontal="center" vertical="center"/>
    </xf>
    <xf numFmtId="0" fontId="49" fillId="4" borderId="194" xfId="0" applyFont="1" applyFill="1" applyBorder="1" applyAlignment="1">
      <alignment horizontal="center" vertical="center"/>
    </xf>
    <xf numFmtId="0" fontId="93" fillId="5" borderId="0" xfId="5" applyFont="1" applyFill="1" applyBorder="1" applyAlignment="1">
      <alignment horizontal="left"/>
    </xf>
    <xf numFmtId="0" fontId="93" fillId="5" borderId="0" xfId="5" applyFont="1" applyFill="1" applyBorder="1" applyAlignment="1">
      <alignment horizontal="left" vertical="center"/>
    </xf>
    <xf numFmtId="0" fontId="94" fillId="5" borderId="0" xfId="5" applyFont="1" applyFill="1" applyBorder="1" applyAlignment="1">
      <alignment horizontal="center" vertical="center"/>
    </xf>
    <xf numFmtId="0" fontId="9" fillId="5" borderId="0" xfId="5" applyFont="1" applyFill="1" applyBorder="1" applyAlignment="1">
      <alignment vertical="top"/>
    </xf>
    <xf numFmtId="0" fontId="94" fillId="5" borderId="0" xfId="5" applyFont="1" applyFill="1" applyBorder="1" applyAlignment="1">
      <alignment horizontal="right" vertical="center"/>
    </xf>
    <xf numFmtId="0" fontId="96" fillId="5" borderId="0" xfId="0" applyFont="1" applyFill="1" applyBorder="1" applyAlignment="1">
      <alignment horizontal="left" vertical="center" indent="1"/>
    </xf>
    <xf numFmtId="0" fontId="58" fillId="0" borderId="45" xfId="0" applyFont="1" applyBorder="1" applyAlignment="1">
      <alignment horizontal="left" vertical="top" wrapText="1" indent="1"/>
    </xf>
    <xf numFmtId="0" fontId="98" fillId="0" borderId="175" xfId="0" applyFont="1" applyBorder="1" applyAlignment="1">
      <alignment horizontal="center" vertical="center" wrapText="1"/>
    </xf>
    <xf numFmtId="0" fontId="98" fillId="0" borderId="177" xfId="0" applyFont="1" applyBorder="1" applyAlignment="1">
      <alignment horizontal="center" vertical="center" wrapText="1"/>
    </xf>
    <xf numFmtId="0" fontId="98" fillId="0" borderId="176" xfId="0" applyFont="1" applyBorder="1" applyAlignment="1">
      <alignment horizontal="center" vertical="center" wrapText="1"/>
    </xf>
    <xf numFmtId="0" fontId="58" fillId="34" borderId="45" xfId="0" applyFont="1" applyFill="1" applyBorder="1" applyAlignment="1">
      <alignment horizontal="left" vertical="top" wrapText="1" indent="1"/>
    </xf>
    <xf numFmtId="0" fontId="9" fillId="35" borderId="5" xfId="0" applyFont="1" applyFill="1" applyBorder="1" applyAlignment="1">
      <alignment horizontal="center" vertical="center" wrapText="1"/>
    </xf>
    <xf numFmtId="0" fontId="9" fillId="35" borderId="27" xfId="0" applyFont="1" applyFill="1" applyBorder="1" applyAlignment="1">
      <alignment horizontal="center" vertical="center" wrapText="1"/>
    </xf>
    <xf numFmtId="0" fontId="7" fillId="0" borderId="4" xfId="0" applyFont="1" applyFill="1" applyBorder="1" applyAlignment="1">
      <alignment horizontal="center" vertical="center"/>
    </xf>
    <xf numFmtId="0" fontId="7" fillId="0" borderId="10" xfId="0" applyFont="1" applyFill="1" applyBorder="1" applyAlignment="1">
      <alignment horizontal="center" vertical="center"/>
    </xf>
    <xf numFmtId="0" fontId="7" fillId="4" borderId="79" xfId="0" applyFont="1" applyFill="1" applyBorder="1" applyAlignment="1">
      <alignment horizontal="left" vertical="center"/>
    </xf>
    <xf numFmtId="0" fontId="7" fillId="4" borderId="10" xfId="0" applyFont="1" applyFill="1" applyBorder="1" applyAlignment="1">
      <alignment horizontal="left" vertical="center"/>
    </xf>
    <xf numFmtId="0" fontId="3" fillId="3" borderId="17" xfId="0" applyFont="1" applyFill="1" applyBorder="1" applyAlignment="1">
      <alignment horizontal="right"/>
    </xf>
    <xf numFmtId="0" fontId="3" fillId="3" borderId="3" xfId="0" applyFont="1" applyFill="1" applyBorder="1" applyAlignment="1">
      <alignment horizontal="right"/>
    </xf>
    <xf numFmtId="0" fontId="11" fillId="0" borderId="3" xfId="0" applyFont="1" applyFill="1" applyBorder="1" applyAlignment="1">
      <alignment horizontal="left"/>
    </xf>
    <xf numFmtId="0" fontId="0" fillId="0" borderId="22" xfId="0" applyFont="1" applyFill="1" applyBorder="1" applyAlignment="1">
      <alignment horizontal="center" vertical="center"/>
    </xf>
    <xf numFmtId="0" fontId="0" fillId="0" borderId="25" xfId="0" applyFont="1" applyFill="1" applyBorder="1" applyAlignment="1">
      <alignment horizontal="center" vertical="center"/>
    </xf>
    <xf numFmtId="0" fontId="6" fillId="8" borderId="14" xfId="0" applyFont="1" applyFill="1" applyBorder="1" applyAlignment="1">
      <alignment horizontal="left"/>
    </xf>
    <xf numFmtId="0" fontId="6" fillId="8" borderId="78" xfId="0" applyFont="1" applyFill="1" applyBorder="1" applyAlignment="1">
      <alignment horizontal="left"/>
    </xf>
    <xf numFmtId="0" fontId="6" fillId="8" borderId="15" xfId="0" applyFont="1" applyFill="1" applyBorder="1" applyAlignment="1">
      <alignment horizontal="left"/>
    </xf>
    <xf numFmtId="0" fontId="6" fillId="8" borderId="16" xfId="0" applyFont="1" applyFill="1" applyBorder="1" applyAlignment="1">
      <alignment horizontal="left"/>
    </xf>
    <xf numFmtId="0" fontId="3" fillId="3" borderId="17" xfId="0" applyFont="1" applyFill="1" applyBorder="1" applyAlignment="1">
      <alignment horizontal="left" vertical="center"/>
    </xf>
    <xf numFmtId="0" fontId="3" fillId="3" borderId="10" xfId="0" applyFont="1" applyFill="1" applyBorder="1" applyAlignment="1">
      <alignment horizontal="left" vertical="center"/>
    </xf>
    <xf numFmtId="0" fontId="3" fillId="3" borderId="3" xfId="0" applyFont="1" applyFill="1" applyBorder="1" applyAlignment="1">
      <alignment horizontal="left" vertical="center"/>
    </xf>
    <xf numFmtId="0" fontId="0" fillId="35" borderId="3" xfId="0" applyFont="1" applyFill="1" applyBorder="1" applyAlignment="1">
      <alignment horizontal="left" vertical="center"/>
    </xf>
    <xf numFmtId="3" fontId="0" fillId="17" borderId="3" xfId="0" applyNumberFormat="1" applyFont="1" applyFill="1" applyBorder="1" applyAlignment="1">
      <alignment horizontal="center" vertical="center"/>
    </xf>
    <xf numFmtId="0" fontId="0" fillId="17" borderId="12" xfId="0" applyFont="1" applyFill="1" applyBorder="1" applyAlignment="1">
      <alignment horizontal="center" vertical="center"/>
    </xf>
    <xf numFmtId="14" fontId="0" fillId="0" borderId="22" xfId="0" applyNumberFormat="1" applyFont="1" applyFill="1" applyBorder="1" applyAlignment="1">
      <alignment horizontal="center" vertical="center"/>
    </xf>
    <xf numFmtId="0" fontId="3" fillId="3" borderId="14" xfId="0" applyFont="1" applyFill="1" applyBorder="1" applyAlignment="1">
      <alignment horizontal="center" vertical="center"/>
    </xf>
    <xf numFmtId="0" fontId="3" fillId="3" borderId="15" xfId="0" applyFont="1" applyFill="1" applyBorder="1" applyAlignment="1">
      <alignment horizontal="center" vertical="center"/>
    </xf>
    <xf numFmtId="0" fontId="3" fillId="3" borderId="16"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12" xfId="0" applyFont="1" applyFill="1" applyBorder="1" applyAlignment="1">
      <alignment horizontal="center" vertical="center"/>
    </xf>
    <xf numFmtId="0" fontId="3" fillId="0" borderId="4" xfId="0" applyFont="1" applyFill="1" applyBorder="1" applyAlignment="1">
      <alignment horizontal="center" vertical="center"/>
    </xf>
    <xf numFmtId="0" fontId="3" fillId="0" borderId="9" xfId="0" applyFont="1" applyFill="1" applyBorder="1" applyAlignment="1">
      <alignment horizontal="center" vertical="center"/>
    </xf>
    <xf numFmtId="0" fontId="3" fillId="0" borderId="10" xfId="0" applyFont="1" applyFill="1" applyBorder="1" applyAlignment="1">
      <alignment horizontal="center" vertical="center"/>
    </xf>
    <xf numFmtId="0" fontId="3" fillId="35" borderId="4" xfId="0" applyFont="1" applyFill="1" applyBorder="1" applyAlignment="1">
      <alignment horizontal="center"/>
    </xf>
    <xf numFmtId="0" fontId="3" fillId="35" borderId="9" xfId="0" applyFont="1" applyFill="1" applyBorder="1" applyAlignment="1">
      <alignment horizontal="center"/>
    </xf>
    <xf numFmtId="0" fontId="3" fillId="35" borderId="10" xfId="0" applyFont="1" applyFill="1" applyBorder="1" applyAlignment="1">
      <alignment horizontal="center"/>
    </xf>
    <xf numFmtId="0" fontId="3" fillId="35" borderId="23" xfId="0" applyFont="1" applyFill="1" applyBorder="1" applyAlignment="1">
      <alignment horizontal="center"/>
    </xf>
    <xf numFmtId="0" fontId="3" fillId="35" borderId="82" xfId="0" applyFont="1" applyFill="1" applyBorder="1" applyAlignment="1">
      <alignment horizontal="center"/>
    </xf>
    <xf numFmtId="0" fontId="3" fillId="35" borderId="26" xfId="0" applyFont="1" applyFill="1" applyBorder="1" applyAlignment="1">
      <alignment horizontal="center"/>
    </xf>
    <xf numFmtId="0" fontId="5" fillId="0" borderId="15" xfId="0" applyFont="1" applyFill="1" applyBorder="1" applyAlignment="1">
      <alignment horizontal="left"/>
    </xf>
    <xf numFmtId="0" fontId="5" fillId="0" borderId="3" xfId="0" applyFont="1" applyFill="1" applyBorder="1" applyAlignment="1">
      <alignment horizontal="left"/>
    </xf>
    <xf numFmtId="0" fontId="13" fillId="5" borderId="0" xfId="0" applyFont="1" applyFill="1" applyBorder="1" applyAlignment="1">
      <alignment horizontal="center"/>
    </xf>
    <xf numFmtId="0" fontId="3" fillId="3" borderId="79" xfId="0" applyFont="1" applyFill="1" applyBorder="1" applyAlignment="1">
      <alignment horizontal="left"/>
    </xf>
    <xf numFmtId="0" fontId="3" fillId="3" borderId="9" xfId="0" applyFont="1" applyFill="1" applyBorder="1" applyAlignment="1">
      <alignment horizontal="left"/>
    </xf>
    <xf numFmtId="0" fontId="3" fillId="3" borderId="28" xfId="0" applyFont="1" applyFill="1" applyBorder="1" applyAlignment="1">
      <alignment horizontal="left"/>
    </xf>
    <xf numFmtId="0" fontId="35" fillId="35" borderId="23" xfId="9" applyFill="1" applyBorder="1" applyAlignment="1" applyProtection="1">
      <alignment horizontal="center"/>
    </xf>
    <xf numFmtId="0" fontId="3" fillId="35" borderId="24" xfId="0" applyFont="1" applyFill="1" applyBorder="1" applyAlignment="1">
      <alignment horizontal="center"/>
    </xf>
    <xf numFmtId="0" fontId="3" fillId="3" borderId="21" xfId="0" applyFont="1" applyFill="1" applyBorder="1" applyAlignment="1">
      <alignment horizontal="right"/>
    </xf>
    <xf numFmtId="0" fontId="3" fillId="3" borderId="22" xfId="0" applyFont="1" applyFill="1" applyBorder="1" applyAlignment="1">
      <alignment horizontal="right"/>
    </xf>
    <xf numFmtId="0" fontId="38" fillId="15" borderId="21" xfId="5" applyFont="1" applyFill="1" applyBorder="1" applyAlignment="1" applyProtection="1">
      <alignment horizontal="right"/>
    </xf>
    <xf numFmtId="0" fontId="38" fillId="15" borderId="22" xfId="5" applyFont="1" applyFill="1" applyBorder="1" applyAlignment="1" applyProtection="1">
      <alignment horizontal="right"/>
    </xf>
    <xf numFmtId="166" fontId="41" fillId="17" borderId="4" xfId="11" applyNumberFormat="1" applyFont="1" applyFill="1" applyBorder="1" applyAlignment="1" applyProtection="1">
      <alignment horizontal="center" vertical="center"/>
    </xf>
    <xf numFmtId="166" fontId="41" fillId="17" borderId="10" xfId="11" applyNumberFormat="1" applyFont="1" applyFill="1" applyBorder="1" applyAlignment="1" applyProtection="1">
      <alignment horizontal="center" vertical="center"/>
    </xf>
    <xf numFmtId="166" fontId="41" fillId="17" borderId="23" xfId="11" applyNumberFormat="1" applyFont="1" applyFill="1" applyBorder="1" applyAlignment="1" applyProtection="1">
      <alignment horizontal="center" vertical="center"/>
    </xf>
    <xf numFmtId="166" fontId="41" fillId="17" borderId="26" xfId="11" applyNumberFormat="1" applyFont="1" applyFill="1" applyBorder="1" applyAlignment="1" applyProtection="1">
      <alignment horizontal="center" vertical="center"/>
    </xf>
    <xf numFmtId="0" fontId="0" fillId="5" borderId="239" xfId="0" applyFont="1" applyFill="1" applyBorder="1" applyAlignment="1">
      <alignment horizontal="center"/>
    </xf>
    <xf numFmtId="0" fontId="0" fillId="5" borderId="233" xfId="0" applyFont="1" applyFill="1" applyBorder="1" applyAlignment="1">
      <alignment horizontal="center"/>
    </xf>
    <xf numFmtId="0" fontId="0" fillId="5" borderId="78" xfId="0" applyFont="1" applyFill="1" applyBorder="1" applyAlignment="1">
      <alignment horizontal="center"/>
    </xf>
    <xf numFmtId="0" fontId="38" fillId="4" borderId="79" xfId="5" applyFont="1" applyFill="1" applyBorder="1" applyAlignment="1" applyProtection="1">
      <alignment horizontal="center"/>
    </xf>
    <xf numFmtId="0" fontId="38" fillId="4" borderId="9" xfId="5" applyFont="1" applyFill="1" applyBorder="1" applyAlignment="1" applyProtection="1">
      <alignment horizontal="center"/>
    </xf>
    <xf numFmtId="0" fontId="38" fillId="4" borderId="28" xfId="5" applyFont="1" applyFill="1" applyBorder="1" applyAlignment="1" applyProtection="1">
      <alignment horizontal="center"/>
    </xf>
    <xf numFmtId="0" fontId="38" fillId="15" borderId="15" xfId="5" applyFont="1" applyFill="1" applyBorder="1" applyAlignment="1" applyProtection="1">
      <alignment horizontal="center"/>
    </xf>
    <xf numFmtId="2" fontId="38" fillId="17" borderId="3" xfId="5" applyNumberFormat="1" applyFont="1" applyFill="1" applyBorder="1" applyAlignment="1" applyProtection="1">
      <alignment horizontal="center"/>
    </xf>
    <xf numFmtId="0" fontId="38" fillId="15" borderId="79" xfId="5" applyFont="1" applyFill="1" applyBorder="1" applyAlignment="1" applyProtection="1">
      <alignment horizontal="right"/>
    </xf>
    <xf numFmtId="0" fontId="38" fillId="15" borderId="9" xfId="5" applyFont="1" applyFill="1" applyBorder="1" applyAlignment="1" applyProtection="1">
      <alignment horizontal="right"/>
    </xf>
    <xf numFmtId="0" fontId="38" fillId="15" borderId="10" xfId="5" applyFont="1" applyFill="1" applyBorder="1" applyAlignment="1" applyProtection="1">
      <alignment horizontal="right"/>
    </xf>
    <xf numFmtId="2" fontId="38" fillId="17" borderId="4" xfId="10" applyNumberFormat="1" applyFont="1" applyFill="1" applyBorder="1" applyAlignment="1" applyProtection="1">
      <alignment horizontal="center" vertical="center"/>
    </xf>
    <xf numFmtId="2" fontId="38" fillId="17" borderId="10" xfId="10" applyNumberFormat="1" applyFont="1" applyFill="1" applyBorder="1" applyAlignment="1" applyProtection="1">
      <alignment horizontal="center" vertical="center"/>
    </xf>
    <xf numFmtId="0" fontId="40" fillId="15" borderId="17" xfId="5" applyFont="1" applyFill="1" applyBorder="1" applyAlignment="1" applyProtection="1">
      <alignment horizontal="right"/>
    </xf>
    <xf numFmtId="0" fontId="40" fillId="15" borderId="3" xfId="5" applyFont="1" applyFill="1" applyBorder="1" applyAlignment="1" applyProtection="1">
      <alignment horizontal="right"/>
    </xf>
    <xf numFmtId="2" fontId="40" fillId="17" borderId="3" xfId="10" applyNumberFormat="1" applyFont="1" applyFill="1" applyBorder="1" applyAlignment="1" applyProtection="1">
      <alignment horizontal="center" vertical="center"/>
    </xf>
    <xf numFmtId="0" fontId="38" fillId="15" borderId="17" xfId="5" applyFont="1" applyFill="1" applyBorder="1" applyAlignment="1" applyProtection="1">
      <alignment horizontal="right"/>
    </xf>
    <xf numFmtId="0" fontId="38" fillId="15" borderId="3" xfId="5" applyFont="1" applyFill="1" applyBorder="1" applyAlignment="1" applyProtection="1">
      <alignment horizontal="right"/>
    </xf>
    <xf numFmtId="10" fontId="14" fillId="17" borderId="4" xfId="0" applyNumberFormat="1" applyFont="1" applyFill="1" applyBorder="1" applyAlignment="1">
      <alignment horizontal="left" indent="1"/>
    </xf>
    <xf numFmtId="10" fontId="14" fillId="17" borderId="9" xfId="0" applyNumberFormat="1" applyFont="1" applyFill="1" applyBorder="1" applyAlignment="1">
      <alignment horizontal="left" indent="1"/>
    </xf>
    <xf numFmtId="10" fontId="14" fillId="17" borderId="28" xfId="0" applyNumberFormat="1" applyFont="1" applyFill="1" applyBorder="1" applyAlignment="1">
      <alignment horizontal="left" indent="1"/>
    </xf>
    <xf numFmtId="0" fontId="14" fillId="0" borderId="23" xfId="0" applyFont="1" applyFill="1" applyBorder="1" applyAlignment="1">
      <alignment horizontal="left" indent="1"/>
    </xf>
    <xf numFmtId="0" fontId="14" fillId="0" borderId="82" xfId="0" applyFont="1" applyFill="1" applyBorder="1" applyAlignment="1">
      <alignment horizontal="left" indent="1"/>
    </xf>
    <xf numFmtId="0" fontId="14" fillId="0" borderId="24" xfId="0" applyFont="1" applyFill="1" applyBorder="1" applyAlignment="1">
      <alignment horizontal="left" indent="1"/>
    </xf>
    <xf numFmtId="0" fontId="48" fillId="0" borderId="87" xfId="0" applyFont="1" applyFill="1" applyBorder="1" applyAlignment="1">
      <alignment horizontal="center"/>
    </xf>
    <xf numFmtId="0" fontId="48" fillId="0" borderId="88" xfId="0" applyFont="1" applyFill="1" applyBorder="1" applyAlignment="1">
      <alignment horizontal="center"/>
    </xf>
    <xf numFmtId="0" fontId="48" fillId="0" borderId="89" xfId="0" applyFont="1" applyFill="1" applyBorder="1" applyAlignment="1">
      <alignment horizontal="center"/>
    </xf>
    <xf numFmtId="0" fontId="6" fillId="8" borderId="83" xfId="0" applyFont="1" applyFill="1" applyBorder="1" applyAlignment="1">
      <alignment horizontal="left"/>
    </xf>
    <xf numFmtId="0" fontId="6" fillId="8" borderId="84" xfId="0" applyFont="1" applyFill="1" applyBorder="1" applyAlignment="1">
      <alignment horizontal="left"/>
    </xf>
    <xf numFmtId="0" fontId="6" fillId="8" borderId="85" xfId="0" applyFont="1" applyFill="1" applyBorder="1" applyAlignment="1">
      <alignment horizontal="left"/>
    </xf>
    <xf numFmtId="0" fontId="74" fillId="4" borderId="41" xfId="0" applyFont="1" applyFill="1" applyBorder="1" applyAlignment="1">
      <alignment horizontal="left" vertical="top" wrapText="1"/>
    </xf>
    <xf numFmtId="0" fontId="74" fillId="4" borderId="0" xfId="0" applyFont="1" applyFill="1" applyBorder="1" applyAlignment="1">
      <alignment horizontal="left" vertical="top" wrapText="1"/>
    </xf>
    <xf numFmtId="0" fontId="74" fillId="4" borderId="19" xfId="0" applyFont="1" applyFill="1" applyBorder="1" applyAlignment="1">
      <alignment horizontal="left" vertical="top" wrapText="1"/>
    </xf>
    <xf numFmtId="0" fontId="74" fillId="4" borderId="44" xfId="0" applyFont="1" applyFill="1" applyBorder="1" applyAlignment="1">
      <alignment horizontal="left" vertical="top" wrapText="1"/>
    </xf>
    <xf numFmtId="0" fontId="74" fillId="4" borderId="30" xfId="0" applyFont="1" applyFill="1" applyBorder="1" applyAlignment="1">
      <alignment horizontal="left" vertical="top" wrapText="1"/>
    </xf>
    <xf numFmtId="0" fontId="74" fillId="4" borderId="29" xfId="0" applyFont="1" applyFill="1" applyBorder="1" applyAlignment="1">
      <alignment horizontal="left" vertical="top" wrapText="1"/>
    </xf>
    <xf numFmtId="0" fontId="3" fillId="3" borderId="7" xfId="0" applyFont="1" applyFill="1" applyBorder="1" applyAlignment="1">
      <alignment horizontal="center" vertical="center"/>
    </xf>
    <xf numFmtId="0" fontId="3" fillId="3" borderId="11" xfId="0" applyFont="1" applyFill="1" applyBorder="1" applyAlignment="1">
      <alignment horizontal="center" vertical="center"/>
    </xf>
    <xf numFmtId="0" fontId="3" fillId="3" borderId="80"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81" xfId="0" applyFont="1" applyFill="1" applyBorder="1" applyAlignment="1">
      <alignment horizontal="center" vertical="center"/>
    </xf>
    <xf numFmtId="0" fontId="3" fillId="3" borderId="31" xfId="0" applyFont="1" applyFill="1" applyBorder="1" applyAlignment="1">
      <alignment horizontal="center" vertical="center"/>
    </xf>
    <xf numFmtId="0" fontId="0" fillId="35" borderId="4" xfId="0" applyFont="1" applyFill="1" applyBorder="1" applyAlignment="1">
      <alignment horizontal="center"/>
    </xf>
    <xf numFmtId="0" fontId="0" fillId="35" borderId="9" xfId="0" applyFont="1" applyFill="1" applyBorder="1" applyAlignment="1">
      <alignment horizontal="center"/>
    </xf>
    <xf numFmtId="0" fontId="0" fillId="35" borderId="10" xfId="0" applyFont="1" applyFill="1" applyBorder="1" applyAlignment="1">
      <alignment horizontal="center"/>
    </xf>
    <xf numFmtId="0" fontId="0" fillId="35" borderId="23" xfId="0" applyFont="1" applyFill="1" applyBorder="1" applyAlignment="1">
      <alignment horizontal="center"/>
    </xf>
    <xf numFmtId="0" fontId="0" fillId="35" borderId="82" xfId="0" applyFont="1" applyFill="1" applyBorder="1" applyAlignment="1">
      <alignment horizontal="center"/>
    </xf>
    <xf numFmtId="0" fontId="0" fillId="35" borderId="26" xfId="0" applyFont="1" applyFill="1" applyBorder="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0" fontId="0" fillId="0" borderId="28" xfId="0" applyFont="1" applyFill="1" applyBorder="1" applyAlignment="1">
      <alignment horizontal="center"/>
    </xf>
    <xf numFmtId="0" fontId="3" fillId="3" borderId="18" xfId="0" applyFont="1" applyFill="1" applyBorder="1" applyAlignment="1">
      <alignment horizontal="center" vertical="center"/>
    </xf>
    <xf numFmtId="0" fontId="3" fillId="3" borderId="20" xfId="0" applyFont="1" applyFill="1" applyBorder="1" applyAlignment="1">
      <alignment horizontal="center" vertical="center"/>
    </xf>
    <xf numFmtId="0" fontId="14" fillId="17" borderId="8" xfId="0" applyFont="1" applyFill="1" applyBorder="1" applyAlignment="1">
      <alignment horizontal="left" indent="1"/>
    </xf>
    <xf numFmtId="0" fontId="14" fillId="17" borderId="81" xfId="0" applyFont="1" applyFill="1" applyBorder="1" applyAlignment="1">
      <alignment horizontal="left" indent="1"/>
    </xf>
    <xf numFmtId="0" fontId="14" fillId="17" borderId="20" xfId="0" applyFont="1" applyFill="1" applyBorder="1" applyAlignment="1">
      <alignment horizontal="left" indent="1"/>
    </xf>
    <xf numFmtId="0" fontId="3" fillId="3" borderId="17" xfId="0" applyFont="1" applyFill="1" applyBorder="1" applyAlignment="1">
      <alignment horizontal="center" vertical="center"/>
    </xf>
    <xf numFmtId="0" fontId="46" fillId="3" borderId="3" xfId="0" applyFont="1" applyFill="1" applyBorder="1" applyAlignment="1">
      <alignment horizontal="center" vertical="center" wrapText="1"/>
    </xf>
    <xf numFmtId="0" fontId="15" fillId="3" borderId="17" xfId="0" applyFont="1" applyFill="1" applyBorder="1" applyAlignment="1"/>
    <xf numFmtId="0" fontId="15" fillId="3" borderId="10" xfId="0" applyFont="1" applyFill="1" applyBorder="1" applyAlignment="1"/>
    <xf numFmtId="0" fontId="15" fillId="3" borderId="3" xfId="0" applyFont="1" applyFill="1" applyBorder="1" applyAlignment="1"/>
    <xf numFmtId="0" fontId="15" fillId="3" borderId="21" xfId="0" applyFont="1" applyFill="1" applyBorder="1" applyAlignment="1"/>
    <xf numFmtId="0" fontId="15" fillId="3" borderId="26" xfId="0" applyFont="1" applyFill="1" applyBorder="1" applyAlignment="1"/>
    <xf numFmtId="0" fontId="15" fillId="3" borderId="22" xfId="0" applyFont="1" applyFill="1" applyBorder="1" applyAlignment="1"/>
    <xf numFmtId="0" fontId="19" fillId="3" borderId="3" xfId="0" applyFont="1" applyFill="1" applyBorder="1" applyAlignment="1">
      <alignment horizontal="center" vertical="center"/>
    </xf>
    <xf numFmtId="166" fontId="0" fillId="35" borderId="3" xfId="2" applyNumberFormat="1" applyFont="1" applyFill="1" applyBorder="1" applyAlignment="1">
      <alignment horizontal="center" vertical="center"/>
    </xf>
    <xf numFmtId="166" fontId="0" fillId="35" borderId="22" xfId="2" applyNumberFormat="1" applyFont="1" applyFill="1" applyBorder="1" applyAlignment="1">
      <alignment horizontal="center" vertical="center"/>
    </xf>
    <xf numFmtId="0" fontId="3" fillId="3" borderId="17" xfId="0" applyFont="1" applyFill="1" applyBorder="1" applyAlignment="1"/>
    <xf numFmtId="0" fontId="3" fillId="3" borderId="10" xfId="0" applyFont="1" applyFill="1" applyBorder="1" applyAlignment="1"/>
    <xf numFmtId="0" fontId="3" fillId="3" borderId="3" xfId="0" applyFont="1" applyFill="1" applyBorder="1" applyAlignment="1"/>
    <xf numFmtId="0" fontId="0" fillId="0" borderId="3" xfId="0" applyFont="1" applyFill="1" applyBorder="1" applyAlignment="1">
      <alignment horizontal="left" vertical="center"/>
    </xf>
    <xf numFmtId="0" fontId="7" fillId="4" borderId="4" xfId="0" applyFont="1" applyFill="1" applyBorder="1" applyAlignment="1">
      <alignment horizontal="center" vertical="center"/>
    </xf>
    <xf numFmtId="0" fontId="7" fillId="4" borderId="28" xfId="0" applyFont="1" applyFill="1" applyBorder="1" applyAlignment="1">
      <alignment horizontal="center" vertical="center"/>
    </xf>
    <xf numFmtId="0" fontId="35" fillId="4" borderId="4" xfId="9" applyFill="1" applyBorder="1" applyAlignment="1" applyProtection="1">
      <alignment horizontal="center" vertical="center"/>
    </xf>
    <xf numFmtId="14" fontId="0" fillId="35" borderId="3" xfId="0" applyNumberFormat="1" applyFont="1" applyFill="1" applyBorder="1" applyAlignment="1">
      <alignment horizontal="left" vertical="center"/>
    </xf>
    <xf numFmtId="0" fontId="9" fillId="35" borderId="17" xfId="0" applyFont="1" applyFill="1" applyBorder="1" applyAlignment="1">
      <alignment horizontal="left" vertical="center" wrapText="1"/>
    </xf>
    <xf numFmtId="0" fontId="9" fillId="35" borderId="3" xfId="0" applyFont="1" applyFill="1" applyBorder="1" applyAlignment="1">
      <alignment horizontal="left" vertical="center" wrapText="1"/>
    </xf>
    <xf numFmtId="0" fontId="9" fillId="35" borderId="12" xfId="0" applyFont="1" applyFill="1" applyBorder="1" applyAlignment="1">
      <alignment horizontal="left" vertical="center" wrapText="1"/>
    </xf>
    <xf numFmtId="9" fontId="9" fillId="35" borderId="10" xfId="2" applyFont="1" applyFill="1" applyBorder="1" applyAlignment="1">
      <alignment horizontal="center" vertical="center"/>
    </xf>
    <xf numFmtId="3" fontId="10" fillId="3" borderId="12" xfId="0" applyNumberFormat="1" applyFont="1" applyFill="1" applyBorder="1" applyAlignment="1">
      <alignment horizontal="center" vertical="center"/>
    </xf>
    <xf numFmtId="0" fontId="10" fillId="3" borderId="12" xfId="0" applyFont="1" applyFill="1" applyBorder="1" applyAlignment="1">
      <alignment horizontal="center" vertical="center"/>
    </xf>
    <xf numFmtId="0" fontId="3" fillId="35" borderId="3" xfId="0" applyFont="1" applyFill="1" applyBorder="1" applyAlignment="1">
      <alignment horizontal="left" vertical="center"/>
    </xf>
    <xf numFmtId="0" fontId="74" fillId="0" borderId="201" xfId="0" applyFont="1" applyFill="1" applyBorder="1" applyAlignment="1">
      <alignment horizontal="center" vertical="center"/>
    </xf>
    <xf numFmtId="0" fontId="74" fillId="0" borderId="237" xfId="0" applyFont="1" applyFill="1" applyBorder="1" applyAlignment="1">
      <alignment horizontal="center" vertical="center"/>
    </xf>
    <xf numFmtId="49" fontId="9" fillId="0" borderId="10" xfId="1" quotePrefix="1" applyNumberFormat="1" applyFont="1" applyFill="1" applyBorder="1" applyAlignment="1">
      <alignment horizontal="center" vertical="center" wrapText="1"/>
    </xf>
    <xf numFmtId="49" fontId="9" fillId="0" borderId="10" xfId="1" applyNumberFormat="1" applyFont="1" applyFill="1" applyBorder="1" applyAlignment="1">
      <alignment horizontal="center" vertical="center" wrapText="1"/>
    </xf>
    <xf numFmtId="0" fontId="3" fillId="3" borderId="21" xfId="0" applyFont="1" applyFill="1" applyBorder="1" applyAlignment="1">
      <alignment horizontal="left" vertical="center"/>
    </xf>
    <xf numFmtId="0" fontId="3" fillId="3" borderId="26" xfId="0" applyFont="1" applyFill="1" applyBorder="1" applyAlignment="1">
      <alignment horizontal="left" vertical="center"/>
    </xf>
    <xf numFmtId="0" fontId="3" fillId="3" borderId="22" xfId="0" applyFont="1" applyFill="1" applyBorder="1" applyAlignment="1">
      <alignment horizontal="left" vertical="center"/>
    </xf>
    <xf numFmtId="0" fontId="0" fillId="0" borderId="22" xfId="0" applyFont="1" applyFill="1" applyBorder="1" applyAlignment="1">
      <alignment horizontal="left" vertical="center"/>
    </xf>
    <xf numFmtId="0" fontId="9" fillId="35" borderId="6" xfId="0" applyFont="1" applyFill="1" applyBorder="1" applyAlignment="1">
      <alignment horizontal="center" vertical="center" wrapText="1"/>
    </xf>
    <xf numFmtId="49" fontId="9" fillId="0" borderId="12" xfId="0" applyNumberFormat="1" applyFont="1" applyFill="1" applyBorder="1" applyAlignment="1">
      <alignment horizontal="left" vertical="center"/>
    </xf>
    <xf numFmtId="3" fontId="7" fillId="35" borderId="3" xfId="0" applyNumberFormat="1" applyFont="1" applyFill="1" applyBorder="1" applyAlignment="1">
      <alignment horizontal="center" vertical="center"/>
    </xf>
    <xf numFmtId="0" fontId="7" fillId="35" borderId="12" xfId="0" applyFont="1" applyFill="1" applyBorder="1" applyAlignment="1">
      <alignment horizontal="center" vertical="center"/>
    </xf>
    <xf numFmtId="0" fontId="0" fillId="0" borderId="23" xfId="0" applyFont="1" applyFill="1" applyBorder="1" applyAlignment="1">
      <alignment horizontal="center" vertical="center"/>
    </xf>
    <xf numFmtId="0" fontId="0" fillId="0" borderId="24" xfId="0" applyFont="1" applyFill="1" applyBorder="1" applyAlignment="1">
      <alignment horizontal="center" vertical="center"/>
    </xf>
    <xf numFmtId="0" fontId="74" fillId="0" borderId="23" xfId="0" applyFont="1" applyFill="1" applyBorder="1" applyAlignment="1">
      <alignment horizontal="center" vertical="center"/>
    </xf>
    <xf numFmtId="0" fontId="74" fillId="0" borderId="24" xfId="0" applyFont="1" applyFill="1" applyBorder="1" applyAlignment="1">
      <alignment horizontal="center" vertical="center"/>
    </xf>
    <xf numFmtId="0" fontId="7" fillId="3" borderId="79" xfId="0" applyFont="1" applyFill="1" applyBorder="1" applyAlignment="1">
      <alignment horizontal="center" vertical="center"/>
    </xf>
    <xf numFmtId="0" fontId="7" fillId="3" borderId="10" xfId="0" applyFont="1" applyFill="1" applyBorder="1" applyAlignment="1">
      <alignment horizontal="center" vertical="center"/>
    </xf>
    <xf numFmtId="0" fontId="44" fillId="7" borderId="10" xfId="0" applyFont="1" applyFill="1" applyBorder="1" applyAlignment="1">
      <alignment horizontal="center" vertical="center" wrapText="1"/>
    </xf>
    <xf numFmtId="0" fontId="44" fillId="7" borderId="4" xfId="0" applyFont="1" applyFill="1" applyBorder="1" applyAlignment="1">
      <alignment horizontal="center" vertical="center" wrapText="1"/>
    </xf>
    <xf numFmtId="0" fontId="16" fillId="7" borderId="10" xfId="0" applyFont="1" applyFill="1" applyBorder="1" applyAlignment="1">
      <alignment horizontal="center" vertical="center"/>
    </xf>
    <xf numFmtId="0" fontId="16" fillId="7" borderId="3" xfId="0" applyFont="1" applyFill="1" applyBorder="1" applyAlignment="1">
      <alignment horizontal="center" vertical="center"/>
    </xf>
    <xf numFmtId="0" fontId="16" fillId="7" borderId="12"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12" xfId="0" applyFont="1" applyFill="1" applyBorder="1" applyAlignment="1">
      <alignment horizontal="center" vertical="center"/>
    </xf>
    <xf numFmtId="0" fontId="3" fillId="3" borderId="86" xfId="0" applyFont="1" applyFill="1" applyBorder="1" applyAlignment="1"/>
    <xf numFmtId="0" fontId="3" fillId="3" borderId="31" xfId="0" applyFont="1" applyFill="1" applyBorder="1" applyAlignment="1"/>
    <xf numFmtId="0" fontId="3" fillId="3" borderId="6" xfId="0" applyFont="1" applyFill="1" applyBorder="1" applyAlignment="1"/>
    <xf numFmtId="0" fontId="14" fillId="17" borderId="4" xfId="0" applyFont="1" applyFill="1" applyBorder="1" applyAlignment="1">
      <alignment horizontal="left" indent="1"/>
    </xf>
    <xf numFmtId="0" fontId="14" fillId="17" borderId="9" xfId="0" applyFont="1" applyFill="1" applyBorder="1" applyAlignment="1">
      <alignment horizontal="left" indent="1"/>
    </xf>
    <xf numFmtId="0" fontId="14" fillId="17" borderId="28" xfId="0" applyFont="1" applyFill="1" applyBorder="1" applyAlignment="1">
      <alignment horizontal="left" indent="1"/>
    </xf>
    <xf numFmtId="14" fontId="14" fillId="17" borderId="4" xfId="0" applyNumberFormat="1" applyFont="1" applyFill="1" applyBorder="1" applyAlignment="1">
      <alignment horizontal="left" indent="1"/>
    </xf>
    <xf numFmtId="14" fontId="14" fillId="17" borderId="9" xfId="0" applyNumberFormat="1" applyFont="1" applyFill="1" applyBorder="1" applyAlignment="1">
      <alignment horizontal="left" indent="1"/>
    </xf>
    <xf numFmtId="14" fontId="14" fillId="17" borderId="28" xfId="0" applyNumberFormat="1" applyFont="1" applyFill="1" applyBorder="1" applyAlignment="1">
      <alignment horizontal="left" indent="1"/>
    </xf>
    <xf numFmtId="164" fontId="14" fillId="17" borderId="4" xfId="0" applyNumberFormat="1" applyFont="1" applyFill="1" applyBorder="1" applyAlignment="1">
      <alignment horizontal="left" indent="1"/>
    </xf>
    <xf numFmtId="164" fontId="14" fillId="17" borderId="9" xfId="0" applyNumberFormat="1" applyFont="1" applyFill="1" applyBorder="1" applyAlignment="1">
      <alignment horizontal="left" indent="1"/>
    </xf>
    <xf numFmtId="164" fontId="14" fillId="17" borderId="28" xfId="0" applyNumberFormat="1" applyFont="1" applyFill="1" applyBorder="1" applyAlignment="1">
      <alignment horizontal="left" indent="1"/>
    </xf>
    <xf numFmtId="0" fontId="0" fillId="4" borderId="4" xfId="0" applyFont="1" applyFill="1" applyBorder="1" applyAlignment="1">
      <alignment horizontal="left" indent="1"/>
    </xf>
    <xf numFmtId="0" fontId="0" fillId="4" borderId="9" xfId="0" applyFont="1" applyFill="1" applyBorder="1" applyAlignment="1">
      <alignment horizontal="left" indent="1"/>
    </xf>
    <xf numFmtId="0" fontId="0" fillId="4" borderId="28" xfId="0" applyFont="1" applyFill="1" applyBorder="1" applyAlignment="1">
      <alignment horizontal="left" indent="1"/>
    </xf>
    <xf numFmtId="0" fontId="11" fillId="4" borderId="23" xfId="0" applyFont="1" applyFill="1" applyBorder="1" applyAlignment="1">
      <alignment horizontal="left"/>
    </xf>
    <xf numFmtId="0" fontId="11" fillId="4" borderId="82" xfId="0" applyFont="1" applyFill="1" applyBorder="1" applyAlignment="1">
      <alignment horizontal="left"/>
    </xf>
    <xf numFmtId="0" fontId="11" fillId="4" borderId="26" xfId="0" applyFont="1" applyFill="1" applyBorder="1" applyAlignment="1">
      <alignment horizontal="left"/>
    </xf>
    <xf numFmtId="0" fontId="6" fillId="8" borderId="42" xfId="0" applyFont="1" applyFill="1" applyBorder="1" applyAlignment="1">
      <alignment horizontal="left"/>
    </xf>
    <xf numFmtId="0" fontId="6" fillId="8" borderId="32" xfId="0" applyFont="1" applyFill="1" applyBorder="1" applyAlignment="1">
      <alignment horizontal="left"/>
    </xf>
    <xf numFmtId="0" fontId="6" fillId="8" borderId="43" xfId="0" applyFont="1" applyFill="1" applyBorder="1" applyAlignment="1">
      <alignment horizontal="left"/>
    </xf>
    <xf numFmtId="0" fontId="3" fillId="3" borderId="14" xfId="0" applyFont="1" applyFill="1" applyBorder="1" applyAlignment="1">
      <alignment horizontal="right"/>
    </xf>
    <xf numFmtId="0" fontId="3" fillId="3" borderId="15" xfId="0" applyFont="1" applyFill="1" applyBorder="1" applyAlignment="1">
      <alignment horizontal="right"/>
    </xf>
    <xf numFmtId="49" fontId="9" fillId="0" borderId="26" xfId="1" applyNumberFormat="1" applyFont="1" applyFill="1" applyBorder="1" applyAlignment="1">
      <alignment horizontal="center" vertical="center" wrapText="1"/>
    </xf>
    <xf numFmtId="0" fontId="36" fillId="5" borderId="32" xfId="0" applyFont="1" applyFill="1" applyBorder="1" applyAlignment="1">
      <alignment horizontal="center"/>
    </xf>
    <xf numFmtId="0" fontId="36" fillId="5" borderId="43" xfId="0" applyFont="1" applyFill="1" applyBorder="1" applyAlignment="1">
      <alignment horizontal="center"/>
    </xf>
    <xf numFmtId="166" fontId="3" fillId="35" borderId="4" xfId="2" applyNumberFormat="1" applyFont="1" applyFill="1" applyBorder="1" applyAlignment="1">
      <alignment horizontal="center"/>
    </xf>
    <xf numFmtId="166" fontId="3" fillId="35" borderId="9" xfId="2" applyNumberFormat="1" applyFont="1" applyFill="1" applyBorder="1" applyAlignment="1">
      <alignment horizontal="center"/>
    </xf>
    <xf numFmtId="166" fontId="3" fillId="35" borderId="10" xfId="2" applyNumberFormat="1" applyFont="1" applyFill="1" applyBorder="1" applyAlignment="1">
      <alignment horizontal="center"/>
    </xf>
    <xf numFmtId="0" fontId="3" fillId="3" borderId="10" xfId="0" applyFont="1" applyFill="1" applyBorder="1" applyAlignment="1">
      <alignment horizontal="left"/>
    </xf>
    <xf numFmtId="0" fontId="3" fillId="3" borderId="196" xfId="0" applyFont="1" applyFill="1" applyBorder="1" applyAlignment="1">
      <alignment horizontal="left"/>
    </xf>
    <xf numFmtId="0" fontId="3" fillId="3" borderId="82" xfId="0" applyFont="1" applyFill="1" applyBorder="1" applyAlignment="1">
      <alignment horizontal="left"/>
    </xf>
    <xf numFmtId="0" fontId="3" fillId="3" borderId="26" xfId="0" applyFont="1" applyFill="1" applyBorder="1" applyAlignment="1">
      <alignment horizontal="left"/>
    </xf>
    <xf numFmtId="0" fontId="3" fillId="3" borderId="14" xfId="0" applyFont="1" applyFill="1" applyBorder="1" applyAlignment="1">
      <alignment horizontal="left"/>
    </xf>
    <xf numFmtId="0" fontId="3" fillId="3" borderId="78" xfId="0" applyFont="1" applyFill="1" applyBorder="1" applyAlignment="1">
      <alignment horizontal="left"/>
    </xf>
    <xf numFmtId="0" fontId="3" fillId="3" borderId="15" xfId="0" applyFont="1" applyFill="1" applyBorder="1" applyAlignment="1">
      <alignment horizontal="left"/>
    </xf>
    <xf numFmtId="0" fontId="3" fillId="3" borderId="17" xfId="0" applyFont="1" applyFill="1" applyBorder="1" applyAlignment="1">
      <alignment horizontal="left"/>
    </xf>
    <xf numFmtId="0" fontId="3" fillId="3" borderId="3" xfId="0" applyFont="1" applyFill="1" applyBorder="1" applyAlignment="1">
      <alignment horizontal="left"/>
    </xf>
    <xf numFmtId="0" fontId="9" fillId="35" borderId="21" xfId="0" applyFont="1" applyFill="1" applyBorder="1" applyAlignment="1">
      <alignment horizontal="left" vertical="center" wrapText="1"/>
    </xf>
    <xf numFmtId="0" fontId="9" fillId="35" borderId="22" xfId="0" applyFont="1" applyFill="1" applyBorder="1" applyAlignment="1">
      <alignment horizontal="left" vertical="center" wrapText="1"/>
    </xf>
    <xf numFmtId="0" fontId="9" fillId="35" borderId="25" xfId="0" applyFont="1" applyFill="1" applyBorder="1" applyAlignment="1">
      <alignment horizontal="left" vertical="center" wrapText="1"/>
    </xf>
    <xf numFmtId="0" fontId="7" fillId="15" borderId="4" xfId="0" applyFont="1" applyFill="1" applyBorder="1" applyAlignment="1">
      <alignment horizontal="right" vertical="center"/>
    </xf>
    <xf numFmtId="0" fontId="7" fillId="15" borderId="9" xfId="0" applyFont="1" applyFill="1" applyBorder="1" applyAlignment="1">
      <alignment horizontal="right" vertical="center"/>
    </xf>
    <xf numFmtId="0" fontId="7" fillId="15" borderId="10" xfId="0" applyFont="1" applyFill="1" applyBorder="1" applyAlignment="1">
      <alignment horizontal="right" vertical="center"/>
    </xf>
    <xf numFmtId="49" fontId="9" fillId="0" borderId="25" xfId="0" applyNumberFormat="1" applyFont="1" applyFill="1" applyBorder="1" applyAlignment="1">
      <alignment horizontal="left" vertical="center"/>
    </xf>
    <xf numFmtId="49" fontId="9" fillId="0" borderId="17" xfId="1" quotePrefix="1" applyNumberFormat="1" applyFont="1" applyFill="1" applyBorder="1" applyAlignment="1">
      <alignment horizontal="center" vertical="center" wrapText="1"/>
    </xf>
    <xf numFmtId="49" fontId="9" fillId="0" borderId="21" xfId="1" applyNumberFormat="1" applyFont="1" applyFill="1" applyBorder="1" applyAlignment="1">
      <alignment horizontal="center" vertical="center" wrapText="1"/>
    </xf>
    <xf numFmtId="0" fontId="10" fillId="3" borderId="25" xfId="0" applyFont="1" applyFill="1" applyBorder="1" applyAlignment="1">
      <alignment horizontal="center" vertical="center"/>
    </xf>
    <xf numFmtId="9" fontId="9" fillId="35" borderId="17" xfId="2" applyFont="1" applyFill="1" applyBorder="1" applyAlignment="1">
      <alignment horizontal="center" vertical="center"/>
    </xf>
    <xf numFmtId="9" fontId="9" fillId="35" borderId="21" xfId="2" applyFont="1" applyFill="1" applyBorder="1" applyAlignment="1">
      <alignment horizontal="center" vertical="center"/>
    </xf>
    <xf numFmtId="9" fontId="9" fillId="35" borderId="26" xfId="2" applyFont="1" applyFill="1" applyBorder="1" applyAlignment="1">
      <alignment horizontal="center" vertical="center"/>
    </xf>
    <xf numFmtId="0" fontId="49" fillId="20" borderId="115" xfId="0" applyFont="1" applyFill="1" applyBorder="1" applyAlignment="1">
      <alignment horizontal="center" vertical="center"/>
    </xf>
    <xf numFmtId="0" fontId="49" fillId="20" borderId="193" xfId="0" applyFont="1" applyFill="1" applyBorder="1" applyAlignment="1">
      <alignment horizontal="center" vertical="center"/>
    </xf>
    <xf numFmtId="0" fontId="49" fillId="20" borderId="116" xfId="0" applyFont="1" applyFill="1" applyBorder="1" applyAlignment="1">
      <alignment horizontal="center" vertical="center"/>
    </xf>
    <xf numFmtId="10" fontId="75" fillId="0" borderId="134" xfId="2" applyNumberFormat="1" applyFont="1" applyBorder="1" applyAlignment="1">
      <alignment horizontal="center" vertical="center"/>
    </xf>
    <xf numFmtId="10" fontId="75" fillId="0" borderId="141" xfId="2" applyNumberFormat="1" applyFont="1" applyBorder="1" applyAlignment="1">
      <alignment horizontal="center" vertical="center"/>
    </xf>
    <xf numFmtId="10" fontId="75" fillId="0" borderId="161" xfId="2" applyNumberFormat="1" applyFont="1" applyBorder="1" applyAlignment="1">
      <alignment horizontal="center" vertical="center"/>
    </xf>
    <xf numFmtId="10" fontId="75" fillId="0" borderId="162" xfId="2" applyNumberFormat="1" applyFont="1" applyBorder="1" applyAlignment="1">
      <alignment horizontal="center" vertical="center"/>
    </xf>
    <xf numFmtId="167" fontId="0" fillId="5" borderId="125" xfId="0" applyNumberFormat="1" applyFill="1" applyBorder="1" applyAlignment="1">
      <alignment horizontal="center" vertical="center"/>
    </xf>
    <xf numFmtId="0" fontId="0" fillId="5" borderId="125" xfId="0" applyFill="1" applyBorder="1" applyAlignment="1">
      <alignment horizontal="center" vertical="center"/>
    </xf>
    <xf numFmtId="165" fontId="0" fillId="5" borderId="125" xfId="0" applyNumberFormat="1" applyFill="1" applyBorder="1" applyAlignment="1">
      <alignment horizontal="center" vertical="center"/>
    </xf>
    <xf numFmtId="0" fontId="11" fillId="21" borderId="161" xfId="0" applyFont="1" applyFill="1" applyBorder="1" applyAlignment="1">
      <alignment horizontal="right" vertical="center" wrapText="1"/>
    </xf>
    <xf numFmtId="0" fontId="11" fillId="21" borderId="162" xfId="0" applyFont="1" applyFill="1" applyBorder="1" applyAlignment="1">
      <alignment horizontal="right" vertical="center" wrapText="1"/>
    </xf>
    <xf numFmtId="167" fontId="5" fillId="21" borderId="161" xfId="4" applyNumberFormat="1" applyFont="1" applyFill="1" applyBorder="1" applyAlignment="1">
      <alignment horizontal="center" vertical="center"/>
    </xf>
    <xf numFmtId="167" fontId="5" fillId="21" borderId="194" xfId="4" applyNumberFormat="1" applyFont="1" applyFill="1" applyBorder="1" applyAlignment="1">
      <alignment horizontal="center" vertical="center"/>
    </xf>
    <xf numFmtId="167" fontId="5" fillId="21" borderId="162" xfId="4" applyNumberFormat="1" applyFont="1" applyFill="1" applyBorder="1" applyAlignment="1">
      <alignment horizontal="center" vertical="center"/>
    </xf>
    <xf numFmtId="167" fontId="5" fillId="20" borderId="137" xfId="4" applyNumberFormat="1" applyFont="1" applyFill="1" applyBorder="1" applyAlignment="1">
      <alignment horizontal="center" vertical="center"/>
    </xf>
    <xf numFmtId="167" fontId="5" fillId="20" borderId="135" xfId="4" applyNumberFormat="1" applyFont="1" applyFill="1" applyBorder="1" applyAlignment="1">
      <alignment horizontal="center" vertical="center"/>
    </xf>
    <xf numFmtId="166" fontId="5" fillId="20" borderId="137" xfId="2" applyNumberFormat="1" applyFont="1" applyFill="1" applyBorder="1" applyAlignment="1">
      <alignment horizontal="center" vertical="center"/>
    </xf>
    <xf numFmtId="166" fontId="5" fillId="20" borderId="135" xfId="2" applyNumberFormat="1" applyFont="1" applyFill="1" applyBorder="1" applyAlignment="1">
      <alignment horizontal="center" vertical="center"/>
    </xf>
    <xf numFmtId="0" fontId="15" fillId="20" borderId="124" xfId="0" applyFont="1" applyFill="1" applyBorder="1" applyAlignment="1">
      <alignment horizontal="center" vertical="center"/>
    </xf>
    <xf numFmtId="0" fontId="15" fillId="20" borderId="125" xfId="0" applyFont="1" applyFill="1" applyBorder="1" applyAlignment="1">
      <alignment horizontal="center" vertical="center"/>
    </xf>
    <xf numFmtId="0" fontId="15" fillId="20" borderId="126" xfId="0" applyFont="1" applyFill="1" applyBorder="1" applyAlignment="1">
      <alignment horizontal="center" vertical="center"/>
    </xf>
    <xf numFmtId="167" fontId="5" fillId="20" borderId="161" xfId="2" applyNumberFormat="1" applyFont="1" applyFill="1" applyBorder="1" applyAlignment="1">
      <alignment horizontal="center" vertical="center"/>
    </xf>
    <xf numFmtId="167" fontId="5" fillId="20" borderId="162" xfId="2" applyNumberFormat="1" applyFont="1" applyFill="1" applyBorder="1" applyAlignment="1">
      <alignment horizontal="center" vertical="center"/>
    </xf>
    <xf numFmtId="166" fontId="5" fillId="20" borderId="161" xfId="2" applyNumberFormat="1" applyFont="1" applyFill="1" applyBorder="1" applyAlignment="1">
      <alignment horizontal="center" vertical="center"/>
    </xf>
    <xf numFmtId="166" fontId="5" fillId="20" borderId="162" xfId="2" applyNumberFormat="1" applyFont="1" applyFill="1" applyBorder="1" applyAlignment="1">
      <alignment horizontal="center" vertical="center"/>
    </xf>
    <xf numFmtId="165" fontId="11" fillId="20" borderId="115" xfId="0" applyNumberFormat="1" applyFont="1" applyFill="1" applyBorder="1" applyAlignment="1">
      <alignment horizontal="center" vertical="center" wrapText="1"/>
    </xf>
    <xf numFmtId="165" fontId="11" fillId="20" borderId="193" xfId="0" applyNumberFormat="1" applyFont="1" applyFill="1" applyBorder="1" applyAlignment="1">
      <alignment horizontal="center" vertical="center" wrapText="1"/>
    </xf>
    <xf numFmtId="165" fontId="11" fillId="20" borderId="116" xfId="0" applyNumberFormat="1" applyFont="1" applyFill="1" applyBorder="1" applyAlignment="1">
      <alignment horizontal="center" vertical="center" wrapText="1"/>
    </xf>
    <xf numFmtId="165" fontId="19" fillId="21" borderId="320" xfId="0" applyNumberFormat="1" applyFont="1" applyFill="1" applyBorder="1" applyAlignment="1">
      <alignment horizontal="center" vertical="center" wrapText="1"/>
    </xf>
    <xf numFmtId="165" fontId="19" fillId="21" borderId="321" xfId="0" applyNumberFormat="1" applyFont="1" applyFill="1" applyBorder="1" applyAlignment="1">
      <alignment horizontal="center" vertical="center" wrapText="1"/>
    </xf>
    <xf numFmtId="165" fontId="19" fillId="20" borderId="320" xfId="0" applyNumberFormat="1" applyFont="1" applyFill="1" applyBorder="1" applyAlignment="1">
      <alignment horizontal="center" vertical="center" wrapText="1"/>
    </xf>
    <xf numFmtId="165" fontId="19" fillId="20" borderId="321" xfId="0" applyNumberFormat="1" applyFont="1" applyFill="1" applyBorder="1" applyAlignment="1">
      <alignment horizontal="center" vertical="center" wrapText="1"/>
    </xf>
    <xf numFmtId="166" fontId="5" fillId="21" borderId="224" xfId="2" applyNumberFormat="1" applyFont="1" applyFill="1" applyBorder="1" applyAlignment="1">
      <alignment horizontal="center" vertical="center"/>
    </xf>
    <xf numFmtId="166" fontId="5" fillId="21" borderId="225" xfId="2" applyNumberFormat="1" applyFont="1" applyFill="1" applyBorder="1" applyAlignment="1">
      <alignment horizontal="center" vertical="center"/>
    </xf>
    <xf numFmtId="167" fontId="5" fillId="20" borderId="124" xfId="2" applyNumberFormat="1" applyFont="1" applyFill="1" applyBorder="1" applyAlignment="1">
      <alignment horizontal="center" vertical="center"/>
    </xf>
    <xf numFmtId="167" fontId="5" fillId="20" borderId="126" xfId="2" applyNumberFormat="1" applyFont="1" applyFill="1" applyBorder="1" applyAlignment="1">
      <alignment horizontal="center" vertical="center"/>
    </xf>
    <xf numFmtId="167" fontId="5" fillId="20" borderId="137" xfId="2" applyNumberFormat="1" applyFont="1" applyFill="1" applyBorder="1" applyAlignment="1">
      <alignment horizontal="center" vertical="center"/>
    </xf>
    <xf numFmtId="167" fontId="5" fillId="20" borderId="135" xfId="2" applyNumberFormat="1" applyFont="1" applyFill="1" applyBorder="1" applyAlignment="1">
      <alignment horizontal="center" vertical="center"/>
    </xf>
    <xf numFmtId="166" fontId="0" fillId="5" borderId="125" xfId="2" applyNumberFormat="1" applyFont="1" applyFill="1" applyBorder="1" applyAlignment="1">
      <alignment horizontal="center" vertical="center"/>
    </xf>
    <xf numFmtId="165" fontId="11" fillId="21" borderId="115" xfId="0" applyNumberFormat="1" applyFont="1" applyFill="1" applyBorder="1" applyAlignment="1">
      <alignment horizontal="center" vertical="center" wrapText="1"/>
    </xf>
    <xf numFmtId="165" fontId="11" fillId="21" borderId="193" xfId="0" applyNumberFormat="1" applyFont="1" applyFill="1" applyBorder="1" applyAlignment="1">
      <alignment horizontal="center" vertical="center" wrapText="1"/>
    </xf>
    <xf numFmtId="165" fontId="11" fillId="21" borderId="116" xfId="0" applyNumberFormat="1" applyFont="1" applyFill="1" applyBorder="1" applyAlignment="1">
      <alignment horizontal="center" vertical="center" wrapText="1"/>
    </xf>
    <xf numFmtId="166" fontId="5" fillId="21" borderId="137" xfId="2" applyNumberFormat="1" applyFont="1" applyFill="1" applyBorder="1" applyAlignment="1">
      <alignment horizontal="center" vertical="center"/>
    </xf>
    <xf numFmtId="166" fontId="5" fillId="21" borderId="135" xfId="2" applyNumberFormat="1" applyFont="1" applyFill="1" applyBorder="1" applyAlignment="1">
      <alignment horizontal="center" vertical="center"/>
    </xf>
    <xf numFmtId="167" fontId="5" fillId="20" borderId="224" xfId="2" applyNumberFormat="1" applyFont="1" applyFill="1" applyBorder="1" applyAlignment="1">
      <alignment horizontal="center" vertical="center"/>
    </xf>
    <xf numFmtId="167" fontId="5" fillId="20" borderId="225" xfId="2" applyNumberFormat="1" applyFont="1" applyFill="1" applyBorder="1" applyAlignment="1">
      <alignment horizontal="center" vertical="center"/>
    </xf>
    <xf numFmtId="167" fontId="5" fillId="20" borderId="124" xfId="3" applyNumberFormat="1" applyFont="1" applyFill="1" applyBorder="1" applyAlignment="1">
      <alignment horizontal="center" vertical="center"/>
    </xf>
    <xf numFmtId="167" fontId="5" fillId="20" borderId="126" xfId="3" applyNumberFormat="1" applyFont="1" applyFill="1" applyBorder="1" applyAlignment="1">
      <alignment horizontal="center" vertical="center"/>
    </xf>
    <xf numFmtId="0" fontId="9" fillId="34" borderId="307" xfId="5" applyFont="1" applyFill="1" applyBorder="1" applyAlignment="1">
      <alignment horizontal="left" vertical="top"/>
    </xf>
    <xf numFmtId="0" fontId="9" fillId="34" borderId="313" xfId="5" applyFont="1" applyFill="1" applyBorder="1" applyAlignment="1">
      <alignment horizontal="left" vertical="top"/>
    </xf>
    <xf numFmtId="0" fontId="22" fillId="4" borderId="306" xfId="5" applyFont="1" applyFill="1" applyBorder="1" applyAlignment="1">
      <alignment horizontal="right" vertical="top"/>
    </xf>
    <xf numFmtId="0" fontId="22" fillId="4" borderId="308" xfId="5" applyFont="1" applyFill="1" applyBorder="1" applyAlignment="1">
      <alignment horizontal="right" vertical="top"/>
    </xf>
    <xf numFmtId="167" fontId="5" fillId="20" borderId="224" xfId="4" applyNumberFormat="1" applyFont="1" applyFill="1" applyBorder="1" applyAlignment="1">
      <alignment horizontal="center" vertical="center"/>
    </xf>
    <xf numFmtId="167" fontId="5" fillId="20" borderId="225" xfId="4" applyNumberFormat="1" applyFont="1" applyFill="1" applyBorder="1" applyAlignment="1">
      <alignment horizontal="center" vertical="center"/>
    </xf>
    <xf numFmtId="166" fontId="5" fillId="20" borderId="224" xfId="2" applyNumberFormat="1" applyFont="1" applyFill="1" applyBorder="1" applyAlignment="1">
      <alignment horizontal="center" vertical="center"/>
    </xf>
    <xf numFmtId="166" fontId="5" fillId="20" borderId="225" xfId="2" applyNumberFormat="1" applyFont="1" applyFill="1" applyBorder="1" applyAlignment="1">
      <alignment horizontal="center" vertical="center"/>
    </xf>
    <xf numFmtId="0" fontId="9" fillId="4" borderId="306" xfId="5" applyFont="1" applyFill="1" applyBorder="1" applyAlignment="1">
      <alignment horizontal="left" vertical="top"/>
    </xf>
    <xf numFmtId="0" fontId="9" fillId="4" borderId="307" xfId="5" applyFont="1" applyFill="1" applyBorder="1" applyAlignment="1">
      <alignment horizontal="left" vertical="top"/>
    </xf>
    <xf numFmtId="0" fontId="9" fillId="4" borderId="313" xfId="5" applyFont="1" applyFill="1" applyBorder="1" applyAlignment="1">
      <alignment horizontal="left" vertical="top"/>
    </xf>
    <xf numFmtId="0" fontId="22" fillId="15" borderId="314" xfId="5" applyFont="1" applyFill="1" applyBorder="1" applyAlignment="1">
      <alignment horizontal="left" vertical="top" wrapText="1"/>
    </xf>
    <xf numFmtId="0" fontId="22" fillId="15" borderId="304" xfId="5" applyFont="1" applyFill="1" applyBorder="1" applyAlignment="1">
      <alignment horizontal="left" vertical="top" wrapText="1"/>
    </xf>
    <xf numFmtId="0" fontId="22" fillId="15" borderId="312" xfId="5" applyFont="1" applyFill="1" applyBorder="1" applyAlignment="1">
      <alignment horizontal="left" vertical="top" wrapText="1"/>
    </xf>
    <xf numFmtId="0" fontId="93" fillId="4" borderId="315" xfId="5" applyFont="1" applyFill="1" applyBorder="1" applyAlignment="1">
      <alignment horizontal="center" vertical="top" wrapText="1"/>
    </xf>
    <xf numFmtId="0" fontId="93" fillId="4" borderId="0" xfId="5" applyFont="1" applyFill="1" applyBorder="1" applyAlignment="1">
      <alignment horizontal="center" vertical="top" wrapText="1"/>
    </xf>
    <xf numFmtId="0" fontId="93" fillId="4" borderId="316" xfId="5" applyFont="1" applyFill="1" applyBorder="1" applyAlignment="1">
      <alignment horizontal="center" vertical="top" wrapText="1"/>
    </xf>
    <xf numFmtId="0" fontId="93" fillId="4" borderId="317" xfId="5" applyFont="1" applyFill="1" applyBorder="1" applyAlignment="1">
      <alignment horizontal="center" vertical="top" wrapText="1"/>
    </xf>
    <xf numFmtId="0" fontId="93" fillId="4" borderId="318" xfId="5" applyFont="1" applyFill="1" applyBorder="1" applyAlignment="1">
      <alignment horizontal="center" vertical="top" wrapText="1"/>
    </xf>
    <xf numFmtId="0" fontId="93" fillId="4" borderId="319" xfId="5" applyFont="1" applyFill="1" applyBorder="1" applyAlignment="1">
      <alignment horizontal="center" vertical="top" wrapText="1"/>
    </xf>
    <xf numFmtId="0" fontId="15" fillId="20" borderId="115" xfId="0" applyFont="1" applyFill="1" applyBorder="1" applyAlignment="1">
      <alignment horizontal="center" vertical="center"/>
    </xf>
    <xf numFmtId="0" fontId="15" fillId="20" borderId="193" xfId="0" applyFont="1" applyFill="1" applyBorder="1" applyAlignment="1">
      <alignment horizontal="center" vertical="center"/>
    </xf>
    <xf numFmtId="0" fontId="15" fillId="20" borderId="116" xfId="0" applyFont="1" applyFill="1" applyBorder="1" applyAlignment="1">
      <alignment horizontal="center" vertical="center"/>
    </xf>
    <xf numFmtId="0" fontId="9" fillId="4" borderId="134" xfId="5" applyFont="1" applyFill="1" applyBorder="1" applyAlignment="1">
      <alignment horizontal="left" vertical="top" wrapText="1"/>
    </xf>
    <xf numFmtId="0" fontId="9" fillId="4" borderId="0" xfId="5" applyFont="1" applyFill="1" applyBorder="1" applyAlignment="1">
      <alignment horizontal="left" vertical="top" wrapText="1"/>
    </xf>
    <xf numFmtId="0" fontId="9" fillId="4" borderId="141" xfId="5" applyFont="1" applyFill="1" applyBorder="1" applyAlignment="1">
      <alignment horizontal="left" vertical="top" wrapText="1"/>
    </xf>
    <xf numFmtId="0" fontId="9" fillId="4" borderId="161" xfId="5" applyFont="1" applyFill="1" applyBorder="1" applyAlignment="1">
      <alignment horizontal="left" vertical="top" wrapText="1"/>
    </xf>
    <xf numFmtId="0" fontId="9" fillId="4" borderId="194" xfId="5" applyFont="1" applyFill="1" applyBorder="1" applyAlignment="1">
      <alignment horizontal="left" vertical="top" wrapText="1"/>
    </xf>
    <xf numFmtId="0" fontId="9" fillId="4" borderId="162" xfId="5" applyFont="1" applyFill="1" applyBorder="1" applyAlignment="1">
      <alignment horizontal="left" vertical="top" wrapText="1"/>
    </xf>
    <xf numFmtId="0" fontId="15" fillId="20" borderId="310" xfId="0" applyFont="1" applyFill="1" applyBorder="1" applyAlignment="1">
      <alignment horizontal="center" vertical="center"/>
    </xf>
    <xf numFmtId="0" fontId="15" fillId="20" borderId="241" xfId="0" applyFont="1" applyFill="1" applyBorder="1" applyAlignment="1">
      <alignment horizontal="center" vertical="center"/>
    </xf>
    <xf numFmtId="0" fontId="15" fillId="20" borderId="311" xfId="0" applyFont="1" applyFill="1" applyBorder="1" applyAlignment="1">
      <alignment horizontal="center" vertical="center"/>
    </xf>
    <xf numFmtId="0" fontId="22" fillId="34" borderId="306" xfId="5" applyFont="1" applyFill="1" applyBorder="1" applyAlignment="1">
      <alignment horizontal="right" vertical="top"/>
    </xf>
    <xf numFmtId="0" fontId="22" fillId="34" borderId="308" xfId="5" applyFont="1" applyFill="1" applyBorder="1" applyAlignment="1">
      <alignment horizontal="right" vertical="top"/>
    </xf>
    <xf numFmtId="0" fontId="22" fillId="15" borderId="315" xfId="5" applyFont="1" applyFill="1" applyBorder="1" applyAlignment="1">
      <alignment horizontal="center" vertical="center" wrapText="1"/>
    </xf>
    <xf numFmtId="0" fontId="22" fillId="15" borderId="0" xfId="5" applyFont="1" applyFill="1" applyBorder="1" applyAlignment="1">
      <alignment horizontal="center" vertical="center" wrapText="1"/>
    </xf>
    <xf numFmtId="0" fontId="22" fillId="15" borderId="322" xfId="5" applyFont="1" applyFill="1" applyBorder="1" applyAlignment="1">
      <alignment horizontal="center" vertical="center" wrapText="1"/>
    </xf>
    <xf numFmtId="0" fontId="22" fillId="15" borderId="323" xfId="5" applyFont="1" applyFill="1" applyBorder="1" applyAlignment="1">
      <alignment horizontal="center" vertical="center" wrapText="1"/>
    </xf>
    <xf numFmtId="0" fontId="22" fillId="15" borderId="305" xfId="5" applyFont="1" applyFill="1" applyBorder="1" applyAlignment="1">
      <alignment horizontal="center" vertical="center" wrapText="1"/>
    </xf>
    <xf numFmtId="0" fontId="22" fillId="15" borderId="324" xfId="5" applyFont="1" applyFill="1" applyBorder="1" applyAlignment="1">
      <alignment horizontal="center" vertical="center" wrapText="1"/>
    </xf>
    <xf numFmtId="0" fontId="11" fillId="21" borderId="214" xfId="0" applyFont="1" applyFill="1" applyBorder="1" applyAlignment="1">
      <alignment horizontal="center" vertical="center"/>
    </xf>
    <xf numFmtId="0" fontId="11" fillId="21" borderId="139" xfId="0" applyFont="1" applyFill="1" applyBorder="1" applyAlignment="1">
      <alignment horizontal="center" vertical="center"/>
    </xf>
    <xf numFmtId="0" fontId="11" fillId="20" borderId="115" xfId="0" applyFont="1" applyFill="1" applyBorder="1" applyAlignment="1">
      <alignment horizontal="center" vertical="center" wrapText="1"/>
    </xf>
    <xf numFmtId="0" fontId="11" fillId="20" borderId="116" xfId="0" applyFont="1" applyFill="1" applyBorder="1" applyAlignment="1">
      <alignment horizontal="center" vertical="center" wrapText="1"/>
    </xf>
    <xf numFmtId="0" fontId="11" fillId="20" borderId="140" xfId="0" applyFont="1" applyFill="1" applyBorder="1" applyAlignment="1">
      <alignment horizontal="center" vertical="center" wrapText="1"/>
    </xf>
    <xf numFmtId="0" fontId="11" fillId="20" borderId="138" xfId="0" applyFont="1" applyFill="1" applyBorder="1" applyAlignment="1">
      <alignment horizontal="center" vertical="center" wrapText="1"/>
    </xf>
    <xf numFmtId="167" fontId="5" fillId="21" borderId="224" xfId="4" applyNumberFormat="1" applyFont="1" applyFill="1" applyBorder="1" applyAlignment="1">
      <alignment horizontal="center" vertical="center"/>
    </xf>
    <xf numFmtId="167" fontId="5" fillId="21" borderId="225" xfId="4" applyNumberFormat="1" applyFont="1" applyFill="1" applyBorder="1" applyAlignment="1">
      <alignment horizontal="center" vertical="center"/>
    </xf>
    <xf numFmtId="0" fontId="15" fillId="20" borderId="134" xfId="0" applyFont="1" applyFill="1" applyBorder="1" applyAlignment="1">
      <alignment horizontal="center" vertical="center"/>
    </xf>
    <xf numFmtId="0" fontId="15" fillId="20" borderId="0" xfId="0" applyFont="1" applyFill="1" applyBorder="1" applyAlignment="1">
      <alignment horizontal="center" vertical="center"/>
    </xf>
    <xf numFmtId="0" fontId="15" fillId="20" borderId="141" xfId="0" applyFont="1" applyFill="1" applyBorder="1" applyAlignment="1">
      <alignment horizontal="center" vertical="center"/>
    </xf>
    <xf numFmtId="166" fontId="14" fillId="0" borderId="226" xfId="0" applyNumberFormat="1" applyFont="1" applyFill="1" applyBorder="1" applyAlignment="1" applyProtection="1">
      <alignment horizontal="center" vertical="center"/>
      <protection locked="0"/>
    </xf>
    <xf numFmtId="166" fontId="14" fillId="0" borderId="227" xfId="0" applyNumberFormat="1" applyFont="1" applyFill="1" applyBorder="1" applyAlignment="1" applyProtection="1">
      <alignment horizontal="center" vertical="center"/>
      <protection locked="0"/>
    </xf>
    <xf numFmtId="0" fontId="14" fillId="7" borderId="226" xfId="0" applyFont="1" applyFill="1" applyBorder="1" applyAlignment="1" applyProtection="1">
      <alignment horizontal="center" vertical="center"/>
    </xf>
    <xf numFmtId="0" fontId="14" fillId="7" borderId="227" xfId="0" applyFont="1" applyFill="1" applyBorder="1" applyAlignment="1" applyProtection="1">
      <alignment horizontal="center" vertical="center"/>
    </xf>
    <xf numFmtId="0" fontId="14" fillId="0" borderId="226" xfId="1" applyNumberFormat="1" applyFont="1" applyFill="1" applyBorder="1" applyAlignment="1" applyProtection="1">
      <alignment horizontal="center" vertical="center"/>
      <protection locked="0"/>
    </xf>
    <xf numFmtId="0" fontId="14" fillId="0" borderId="227" xfId="1" applyNumberFormat="1" applyFont="1" applyFill="1" applyBorder="1" applyAlignment="1" applyProtection="1">
      <alignment horizontal="center" vertical="center"/>
      <protection locked="0"/>
    </xf>
    <xf numFmtId="165" fontId="14" fillId="7" borderId="276" xfId="0" applyNumberFormat="1" applyFont="1" applyFill="1" applyBorder="1" applyAlignment="1" applyProtection="1">
      <alignment horizontal="center" vertical="center"/>
    </xf>
    <xf numFmtId="165" fontId="14" fillId="7" borderId="300" xfId="0" applyNumberFormat="1" applyFont="1" applyFill="1" applyBorder="1" applyAlignment="1" applyProtection="1">
      <alignment horizontal="center" vertical="center"/>
    </xf>
    <xf numFmtId="165" fontId="14" fillId="0" borderId="226" xfId="0" applyNumberFormat="1" applyFont="1" applyFill="1" applyBorder="1" applyAlignment="1" applyProtection="1">
      <alignment horizontal="center" vertical="center"/>
      <protection locked="0"/>
    </xf>
    <xf numFmtId="165" fontId="14" fillId="0" borderId="227" xfId="0" applyNumberFormat="1" applyFont="1" applyFill="1" applyBorder="1" applyAlignment="1" applyProtection="1">
      <alignment horizontal="center" vertical="center"/>
      <protection locked="0"/>
    </xf>
    <xf numFmtId="165" fontId="36" fillId="7" borderId="226" xfId="0" applyNumberFormat="1" applyFont="1" applyFill="1" applyBorder="1" applyAlignment="1" applyProtection="1">
      <alignment horizontal="center" vertical="center"/>
    </xf>
    <xf numFmtId="0" fontId="36" fillId="7" borderId="226" xfId="0" applyFont="1" applyFill="1" applyBorder="1" applyAlignment="1" applyProtection="1">
      <alignment horizontal="center" vertical="center"/>
    </xf>
    <xf numFmtId="0" fontId="36" fillId="7" borderId="227" xfId="0" applyFont="1" applyFill="1" applyBorder="1" applyAlignment="1" applyProtection="1">
      <alignment horizontal="center" vertical="center"/>
    </xf>
    <xf numFmtId="0" fontId="14" fillId="0" borderId="301" xfId="1" applyNumberFormat="1" applyFont="1" applyFill="1" applyBorder="1" applyAlignment="1" applyProtection="1">
      <alignment horizontal="center" vertical="center"/>
      <protection locked="0"/>
    </xf>
    <xf numFmtId="0" fontId="14" fillId="0" borderId="302" xfId="1" applyNumberFormat="1" applyFont="1" applyFill="1" applyBorder="1" applyAlignment="1" applyProtection="1">
      <alignment horizontal="center" vertical="center"/>
      <protection locked="0"/>
    </xf>
    <xf numFmtId="167" fontId="5" fillId="20" borderId="161" xfId="3" applyNumberFormat="1" applyFont="1" applyFill="1" applyBorder="1" applyAlignment="1">
      <alignment horizontal="center" vertical="center"/>
    </xf>
    <xf numFmtId="167" fontId="5" fillId="20" borderId="162" xfId="3" applyNumberFormat="1" applyFont="1" applyFill="1" applyBorder="1" applyAlignment="1">
      <alignment horizontal="center" vertical="center"/>
    </xf>
    <xf numFmtId="168" fontId="14" fillId="7" borderId="226" xfId="0" applyNumberFormat="1" applyFont="1" applyFill="1" applyBorder="1" applyAlignment="1" applyProtection="1">
      <alignment horizontal="center" vertical="center"/>
    </xf>
    <xf numFmtId="168" fontId="14" fillId="7" borderId="227" xfId="0" applyNumberFormat="1" applyFont="1" applyFill="1" applyBorder="1" applyAlignment="1" applyProtection="1">
      <alignment horizontal="center" vertical="center"/>
    </xf>
    <xf numFmtId="3" fontId="14" fillId="7" borderId="226" xfId="0" applyNumberFormat="1" applyFont="1" applyFill="1" applyBorder="1" applyAlignment="1" applyProtection="1">
      <alignment horizontal="center" vertical="center"/>
    </xf>
    <xf numFmtId="3" fontId="14" fillId="7" borderId="227" xfId="0" applyNumberFormat="1" applyFont="1" applyFill="1" applyBorder="1" applyAlignment="1" applyProtection="1">
      <alignment horizontal="center" vertical="center"/>
    </xf>
    <xf numFmtId="0" fontId="22" fillId="15" borderId="325" xfId="5" applyFont="1" applyFill="1" applyBorder="1" applyAlignment="1">
      <alignment horizontal="center" vertical="center" wrapText="1"/>
    </xf>
    <xf numFmtId="0" fontId="22" fillId="15" borderId="326" xfId="5" applyFont="1" applyFill="1" applyBorder="1" applyAlignment="1">
      <alignment horizontal="center" vertical="center" wrapText="1"/>
    </xf>
    <xf numFmtId="0" fontId="22" fillId="15" borderId="327" xfId="5" applyFont="1" applyFill="1" applyBorder="1" applyAlignment="1">
      <alignment horizontal="center" vertical="center" wrapText="1"/>
    </xf>
    <xf numFmtId="167" fontId="5" fillId="21" borderId="137" xfId="4" applyNumberFormat="1" applyFont="1" applyFill="1" applyBorder="1" applyAlignment="1">
      <alignment horizontal="center" vertical="center"/>
    </xf>
    <xf numFmtId="167" fontId="5" fillId="21" borderId="135" xfId="4" applyNumberFormat="1" applyFont="1" applyFill="1" applyBorder="1" applyAlignment="1">
      <alignment horizontal="center" vertical="center"/>
    </xf>
    <xf numFmtId="167" fontId="5" fillId="21" borderId="137" xfId="3" applyNumberFormat="1" applyFont="1" applyFill="1" applyBorder="1" applyAlignment="1">
      <alignment horizontal="center" vertical="center"/>
    </xf>
    <xf numFmtId="167" fontId="5" fillId="21" borderId="135" xfId="3" applyNumberFormat="1" applyFont="1" applyFill="1" applyBorder="1" applyAlignment="1">
      <alignment horizontal="center" vertical="center"/>
    </xf>
    <xf numFmtId="167" fontId="5" fillId="21" borderId="224" xfId="3" applyNumberFormat="1" applyFont="1" applyFill="1" applyBorder="1" applyAlignment="1">
      <alignment horizontal="center" vertical="center"/>
    </xf>
    <xf numFmtId="167" fontId="5" fillId="21" borderId="225" xfId="3" applyNumberFormat="1" applyFont="1" applyFill="1" applyBorder="1" applyAlignment="1">
      <alignment horizontal="center" vertical="center"/>
    </xf>
    <xf numFmtId="167" fontId="5" fillId="20" borderId="137" xfId="3" applyNumberFormat="1" applyFont="1" applyFill="1" applyBorder="1" applyAlignment="1">
      <alignment horizontal="center" vertical="center"/>
    </xf>
    <xf numFmtId="167" fontId="5" fillId="20" borderId="135" xfId="3" applyNumberFormat="1" applyFont="1" applyFill="1" applyBorder="1" applyAlignment="1">
      <alignment horizontal="center" vertical="center"/>
    </xf>
    <xf numFmtId="0" fontId="11" fillId="21" borderId="194" xfId="0" applyFont="1" applyFill="1" applyBorder="1" applyAlignment="1">
      <alignment horizontal="right" vertical="center" wrapText="1"/>
    </xf>
    <xf numFmtId="0" fontId="22" fillId="21" borderId="298" xfId="0" applyFont="1" applyFill="1" applyBorder="1" applyAlignment="1" applyProtection="1">
      <alignment horizontal="right" vertical="center"/>
    </xf>
    <xf numFmtId="0" fontId="22" fillId="21" borderId="299" xfId="0" applyFont="1" applyFill="1" applyBorder="1" applyAlignment="1" applyProtection="1">
      <alignment horizontal="right" vertical="center"/>
    </xf>
    <xf numFmtId="0" fontId="93" fillId="21" borderId="136" xfId="0" applyFont="1" applyFill="1" applyBorder="1" applyAlignment="1" applyProtection="1">
      <alignment horizontal="right" vertical="center"/>
    </xf>
    <xf numFmtId="0" fontId="93" fillId="21" borderId="137" xfId="0" applyFont="1" applyFill="1" applyBorder="1" applyAlignment="1" applyProtection="1">
      <alignment horizontal="right" vertical="center"/>
    </xf>
    <xf numFmtId="0" fontId="22" fillId="21" borderId="223" xfId="0" applyFont="1" applyFill="1" applyBorder="1" applyAlignment="1" applyProtection="1">
      <alignment horizontal="right" vertical="center"/>
    </xf>
    <xf numFmtId="0" fontId="22" fillId="21" borderId="224" xfId="0" applyFont="1" applyFill="1" applyBorder="1" applyAlignment="1" applyProtection="1">
      <alignment horizontal="right" vertical="center"/>
    </xf>
    <xf numFmtId="0" fontId="22" fillId="21" borderId="136" xfId="0" applyFont="1" applyFill="1" applyBorder="1" applyAlignment="1" applyProtection="1">
      <alignment horizontal="right" vertical="center"/>
    </xf>
    <xf numFmtId="0" fontId="22" fillId="21" borderId="137" xfId="0" applyFont="1" applyFill="1" applyBorder="1" applyAlignment="1" applyProtection="1">
      <alignment horizontal="right" vertical="center"/>
    </xf>
    <xf numFmtId="167" fontId="5" fillId="20" borderId="224" xfId="3" applyNumberFormat="1" applyFont="1" applyFill="1" applyBorder="1" applyAlignment="1">
      <alignment horizontal="center" vertical="center"/>
    </xf>
    <xf numFmtId="167" fontId="5" fillId="20" borderId="225" xfId="3" applyNumberFormat="1" applyFont="1" applyFill="1" applyBorder="1" applyAlignment="1">
      <alignment horizontal="center" vertical="center"/>
    </xf>
    <xf numFmtId="0" fontId="14" fillId="20" borderId="94" xfId="0" applyFont="1" applyFill="1" applyBorder="1" applyAlignment="1">
      <alignment horizontal="center"/>
    </xf>
    <xf numFmtId="0" fontId="14" fillId="20" borderId="95" xfId="0" applyFont="1" applyFill="1" applyBorder="1" applyAlignment="1">
      <alignment horizontal="center"/>
    </xf>
    <xf numFmtId="0" fontId="14" fillId="21" borderId="95" xfId="0" applyFont="1" applyFill="1" applyBorder="1" applyAlignment="1">
      <alignment horizontal="center"/>
    </xf>
    <xf numFmtId="0" fontId="14" fillId="21" borderId="164" xfId="0" applyFont="1" applyFill="1" applyBorder="1" applyAlignment="1">
      <alignment horizontal="center"/>
    </xf>
    <xf numFmtId="0" fontId="14" fillId="20" borderId="98" xfId="0" applyFont="1" applyFill="1" applyBorder="1" applyAlignment="1">
      <alignment horizontal="center"/>
    </xf>
    <xf numFmtId="0" fontId="14" fillId="20" borderId="97" xfId="0" applyFont="1" applyFill="1" applyBorder="1" applyAlignment="1">
      <alignment horizontal="center"/>
    </xf>
    <xf numFmtId="0" fontId="15" fillId="20" borderId="127" xfId="0" applyFont="1" applyFill="1" applyBorder="1" applyAlignment="1">
      <alignment horizontal="center" vertical="center"/>
    </xf>
    <xf numFmtId="0" fontId="15" fillId="20" borderId="130" xfId="0" applyFont="1" applyFill="1" applyBorder="1" applyAlignment="1">
      <alignment horizontal="center" vertical="center"/>
    </xf>
    <xf numFmtId="0" fontId="15" fillId="21" borderId="127" xfId="0" applyFont="1" applyFill="1" applyBorder="1" applyAlignment="1">
      <alignment horizontal="center" vertical="center"/>
    </xf>
    <xf numFmtId="0" fontId="15" fillId="21" borderId="130" xfId="0" applyFont="1" applyFill="1" applyBorder="1" applyAlignment="1">
      <alignment horizontal="center" vertical="center"/>
    </xf>
    <xf numFmtId="0" fontId="15" fillId="32" borderId="161" xfId="0" applyFont="1" applyFill="1" applyBorder="1" applyAlignment="1" applyProtection="1">
      <alignment horizontal="center"/>
    </xf>
    <xf numFmtId="0" fontId="15" fillId="32" borderId="146" xfId="0" applyFont="1" applyFill="1" applyBorder="1" applyAlignment="1" applyProtection="1">
      <alignment horizontal="center"/>
    </xf>
    <xf numFmtId="167" fontId="14" fillId="32" borderId="93" xfId="5" applyNumberFormat="1" applyFont="1" applyFill="1" applyBorder="1" applyAlignment="1" applyProtection="1">
      <alignment horizontal="center"/>
    </xf>
    <xf numFmtId="167" fontId="14" fillId="32" borderId="107" xfId="5" applyNumberFormat="1" applyFont="1" applyFill="1" applyBorder="1" applyAlignment="1" applyProtection="1">
      <alignment horizontal="center"/>
    </xf>
    <xf numFmtId="0" fontId="15" fillId="32" borderId="108" xfId="0" applyFont="1" applyFill="1" applyBorder="1" applyAlignment="1">
      <alignment horizontal="center" vertical="center"/>
    </xf>
    <xf numFmtId="0" fontId="15" fillId="32" borderId="109" xfId="0" applyFont="1" applyFill="1" applyBorder="1" applyAlignment="1">
      <alignment horizontal="center" vertical="center"/>
    </xf>
    <xf numFmtId="0" fontId="15" fillId="32" borderId="113" xfId="0" applyFont="1" applyFill="1" applyBorder="1" applyAlignment="1">
      <alignment horizontal="center" vertical="center"/>
    </xf>
    <xf numFmtId="0" fontId="15" fillId="32" borderId="114" xfId="0" applyFont="1" applyFill="1" applyBorder="1" applyAlignment="1">
      <alignment horizontal="center" vertical="center"/>
    </xf>
    <xf numFmtId="0" fontId="15" fillId="10" borderId="110" xfId="0" applyFont="1" applyFill="1" applyBorder="1" applyAlignment="1" applyProtection="1">
      <alignment horizontal="right" indent="1"/>
    </xf>
    <xf numFmtId="0" fontId="15" fillId="10" borderId="107" xfId="0" applyFont="1" applyFill="1" applyBorder="1" applyAlignment="1" applyProtection="1">
      <alignment horizontal="right" indent="1"/>
    </xf>
    <xf numFmtId="0" fontId="23" fillId="20" borderId="94" xfId="0" applyFont="1" applyFill="1" applyBorder="1" applyAlignment="1">
      <alignment horizontal="center"/>
    </xf>
    <xf numFmtId="0" fontId="23" fillId="20" borderId="95" xfId="0" applyFont="1" applyFill="1" applyBorder="1" applyAlignment="1">
      <alignment horizontal="center"/>
    </xf>
    <xf numFmtId="0" fontId="23" fillId="21" borderId="95" xfId="0" applyFont="1" applyFill="1" applyBorder="1" applyAlignment="1">
      <alignment horizontal="center"/>
    </xf>
    <xf numFmtId="0" fontId="23" fillId="21" borderId="164" xfId="0" applyFont="1" applyFill="1" applyBorder="1" applyAlignment="1">
      <alignment horizontal="center"/>
    </xf>
    <xf numFmtId="0" fontId="23" fillId="20" borderId="98" xfId="0" applyFont="1" applyFill="1" applyBorder="1" applyAlignment="1">
      <alignment horizontal="center"/>
    </xf>
    <xf numFmtId="0" fontId="23" fillId="20" borderId="97" xfId="0" applyFont="1" applyFill="1" applyBorder="1" applyAlignment="1">
      <alignment horizontal="center"/>
    </xf>
    <xf numFmtId="0" fontId="14" fillId="10" borderId="93" xfId="0" applyFont="1" applyFill="1" applyBorder="1" applyAlignment="1">
      <alignment horizontal="center"/>
    </xf>
    <xf numFmtId="0" fontId="14" fillId="10" borderId="120" xfId="0" applyFont="1" applyFill="1" applyBorder="1" applyAlignment="1">
      <alignment horizontal="center"/>
    </xf>
    <xf numFmtId="0" fontId="14" fillId="10" borderId="107" xfId="0" applyFont="1" applyFill="1" applyBorder="1" applyAlignment="1">
      <alignment horizontal="center"/>
    </xf>
    <xf numFmtId="0" fontId="15" fillId="10" borderId="110" xfId="0" applyFont="1" applyFill="1" applyBorder="1" applyAlignment="1">
      <alignment horizontal="right" vertical="center" wrapText="1" indent="1"/>
    </xf>
    <xf numFmtId="0" fontId="15" fillId="10" borderId="107" xfId="0" applyFont="1" applyFill="1" applyBorder="1" applyAlignment="1">
      <alignment horizontal="right" vertical="center" wrapText="1" indent="1"/>
    </xf>
    <xf numFmtId="165" fontId="14" fillId="32" borderId="93" xfId="3" applyNumberFormat="1" applyFont="1" applyFill="1" applyBorder="1" applyAlignment="1" applyProtection="1">
      <alignment horizontal="center"/>
    </xf>
    <xf numFmtId="165" fontId="14" fillId="32" borderId="107" xfId="3" applyNumberFormat="1" applyFont="1" applyFill="1" applyBorder="1" applyAlignment="1" applyProtection="1">
      <alignment horizontal="center"/>
    </xf>
    <xf numFmtId="0" fontId="15" fillId="10" borderId="110" xfId="0" applyFont="1" applyFill="1" applyBorder="1" applyAlignment="1">
      <alignment horizontal="right" vertical="center" indent="1"/>
    </xf>
    <xf numFmtId="0" fontId="15" fillId="10" borderId="107" xfId="0" applyFont="1" applyFill="1" applyBorder="1" applyAlignment="1">
      <alignment horizontal="right" vertical="center" indent="1"/>
    </xf>
    <xf numFmtId="0" fontId="15" fillId="10" borderId="119" xfId="0" applyFont="1" applyFill="1" applyBorder="1" applyAlignment="1">
      <alignment horizontal="right" indent="1"/>
    </xf>
    <xf numFmtId="0" fontId="15" fillId="10" borderId="120" xfId="0" applyFont="1" applyFill="1" applyBorder="1" applyAlignment="1">
      <alignment horizontal="right" indent="1"/>
    </xf>
    <xf numFmtId="0" fontId="15" fillId="32" borderId="93" xfId="5" applyNumberFormat="1" applyFont="1" applyFill="1" applyBorder="1" applyAlignment="1" applyProtection="1">
      <alignment horizontal="center"/>
    </xf>
    <xf numFmtId="0" fontId="15" fillId="32" borderId="107" xfId="5" applyNumberFormat="1" applyFont="1" applyFill="1" applyBorder="1" applyAlignment="1" applyProtection="1">
      <alignment horizontal="center"/>
    </xf>
    <xf numFmtId="0" fontId="14" fillId="20" borderId="215" xfId="0" applyFont="1" applyFill="1" applyBorder="1" applyAlignment="1">
      <alignment horizontal="center"/>
    </xf>
    <xf numFmtId="0" fontId="15" fillId="10" borderId="108" xfId="0" applyFont="1" applyFill="1" applyBorder="1" applyAlignment="1">
      <alignment horizontal="center" vertical="center"/>
    </xf>
    <xf numFmtId="0" fontId="15" fillId="10" borderId="109" xfId="0" applyFont="1" applyFill="1" applyBorder="1" applyAlignment="1">
      <alignment horizontal="center" vertical="center"/>
    </xf>
    <xf numFmtId="0" fontId="15" fillId="10" borderId="113" xfId="0" applyFont="1" applyFill="1" applyBorder="1" applyAlignment="1">
      <alignment horizontal="center" vertical="center"/>
    </xf>
    <xf numFmtId="0" fontId="15" fillId="10" borderId="111" xfId="0" applyFont="1" applyFill="1" applyBorder="1" applyAlignment="1">
      <alignment horizontal="center" vertical="center"/>
    </xf>
    <xf numFmtId="0" fontId="50" fillId="11" borderId="108" xfId="0" applyFont="1" applyFill="1" applyBorder="1" applyAlignment="1" applyProtection="1">
      <alignment horizontal="center" vertical="center"/>
    </xf>
    <xf numFmtId="0" fontId="50" fillId="11" borderId="109" xfId="0" applyFont="1" applyFill="1" applyBorder="1" applyAlignment="1" applyProtection="1">
      <alignment horizontal="center" vertical="center"/>
    </xf>
    <xf numFmtId="0" fontId="50" fillId="11" borderId="110" xfId="0" applyFont="1" applyFill="1" applyBorder="1" applyAlignment="1" applyProtection="1">
      <alignment horizontal="center" vertical="center"/>
    </xf>
    <xf numFmtId="0" fontId="50" fillId="11" borderId="107" xfId="0" applyFont="1" applyFill="1" applyBorder="1" applyAlignment="1" applyProtection="1">
      <alignment horizontal="center" vertical="center"/>
    </xf>
    <xf numFmtId="0" fontId="50" fillId="11" borderId="113" xfId="0" applyFont="1" applyFill="1" applyBorder="1" applyAlignment="1" applyProtection="1">
      <alignment horizontal="center" vertical="center"/>
    </xf>
    <xf numFmtId="0" fontId="50" fillId="11" borderId="114" xfId="0" applyFont="1" applyFill="1" applyBorder="1" applyAlignment="1" applyProtection="1">
      <alignment horizontal="center" vertical="center"/>
    </xf>
    <xf numFmtId="0" fontId="22" fillId="21" borderId="142" xfId="0" applyFont="1" applyFill="1" applyBorder="1" applyAlignment="1">
      <alignment horizontal="center"/>
    </xf>
    <xf numFmtId="0" fontId="22" fillId="21" borderId="144" xfId="0" applyFont="1" applyFill="1" applyBorder="1" applyAlignment="1">
      <alignment horizontal="center"/>
    </xf>
    <xf numFmtId="0" fontId="22" fillId="20" borderId="145" xfId="0" applyFont="1" applyFill="1" applyBorder="1" applyAlignment="1">
      <alignment horizontal="center"/>
    </xf>
    <xf numFmtId="0" fontId="22" fillId="20" borderId="144" xfId="0" applyFont="1" applyFill="1" applyBorder="1" applyAlignment="1">
      <alignment horizontal="center"/>
    </xf>
    <xf numFmtId="0" fontId="15" fillId="10" borderId="110" xfId="0" applyFont="1" applyFill="1" applyBorder="1" applyAlignment="1" applyProtection="1">
      <alignment horizontal="center"/>
    </xf>
    <xf numFmtId="0" fontId="15" fillId="10" borderId="107" xfId="0" applyFont="1" applyFill="1" applyBorder="1" applyAlignment="1" applyProtection="1">
      <alignment horizontal="center"/>
    </xf>
    <xf numFmtId="0" fontId="6" fillId="22" borderId="91" xfId="0" applyFont="1" applyFill="1" applyBorder="1" applyAlignment="1">
      <alignment horizontal="center"/>
    </xf>
    <xf numFmtId="0" fontId="6" fillId="22" borderId="99" xfId="0" applyFont="1" applyFill="1" applyBorder="1" applyAlignment="1">
      <alignment horizontal="center"/>
    </xf>
    <xf numFmtId="0" fontId="6" fillId="22" borderId="112" xfId="0" applyFont="1" applyFill="1" applyBorder="1" applyAlignment="1">
      <alignment horizontal="center"/>
    </xf>
    <xf numFmtId="0" fontId="6" fillId="11" borderId="128" xfId="0" applyFont="1" applyFill="1" applyBorder="1" applyAlignment="1">
      <alignment horizontal="center"/>
    </xf>
    <xf numFmtId="0" fontId="6" fillId="11" borderId="105" xfId="0" applyFont="1" applyFill="1" applyBorder="1" applyAlignment="1">
      <alignment horizontal="center"/>
    </xf>
    <xf numFmtId="0" fontId="6" fillId="11" borderId="122" xfId="0" applyFont="1" applyFill="1" applyBorder="1" applyAlignment="1">
      <alignment horizontal="center"/>
    </xf>
    <xf numFmtId="0" fontId="6" fillId="11" borderId="106" xfId="0" applyFont="1" applyFill="1" applyBorder="1" applyAlignment="1">
      <alignment horizontal="center"/>
    </xf>
    <xf numFmtId="0" fontId="15" fillId="19" borderId="119" xfId="0" applyFont="1" applyFill="1" applyBorder="1" applyAlignment="1">
      <alignment horizontal="right" indent="1"/>
    </xf>
    <xf numFmtId="0" fontId="15" fillId="19" borderId="120" xfId="0" applyFont="1" applyFill="1" applyBorder="1" applyAlignment="1">
      <alignment horizontal="right" indent="1"/>
    </xf>
    <xf numFmtId="0" fontId="50" fillId="11" borderId="129" xfId="0" applyFont="1" applyFill="1" applyBorder="1" applyAlignment="1" applyProtection="1">
      <alignment horizontal="center" vertical="center"/>
    </xf>
    <xf numFmtId="0" fontId="50" fillId="11" borderId="130" xfId="0" applyFont="1" applyFill="1" applyBorder="1" applyAlignment="1" applyProtection="1">
      <alignment horizontal="center" vertical="center"/>
    </xf>
    <xf numFmtId="0" fontId="50" fillId="11" borderId="131" xfId="0" applyFont="1" applyFill="1" applyBorder="1" applyAlignment="1" applyProtection="1">
      <alignment horizontal="center" vertical="center"/>
    </xf>
    <xf numFmtId="0" fontId="50" fillId="11" borderId="112" xfId="0" applyFont="1" applyFill="1" applyBorder="1" applyAlignment="1" applyProtection="1">
      <alignment horizontal="center" vertical="center"/>
    </xf>
    <xf numFmtId="0" fontId="50" fillId="11" borderId="132" xfId="0" applyFont="1" applyFill="1" applyBorder="1" applyAlignment="1" applyProtection="1">
      <alignment horizontal="center" vertical="center"/>
    </xf>
    <xf numFmtId="0" fontId="50" fillId="11" borderId="133" xfId="0" applyFont="1" applyFill="1" applyBorder="1" applyAlignment="1" applyProtection="1">
      <alignment horizontal="center" vertical="center"/>
    </xf>
    <xf numFmtId="0" fontId="22" fillId="21" borderId="96" xfId="0" applyFont="1" applyFill="1" applyBorder="1" applyAlignment="1">
      <alignment horizontal="center"/>
    </xf>
    <xf numFmtId="0" fontId="22" fillId="21" borderId="164" xfId="0" applyFont="1" applyFill="1" applyBorder="1" applyAlignment="1">
      <alignment horizontal="center"/>
    </xf>
    <xf numFmtId="0" fontId="15" fillId="21" borderId="129" xfId="0" applyFont="1" applyFill="1" applyBorder="1" applyAlignment="1">
      <alignment horizontal="center" vertical="center"/>
    </xf>
    <xf numFmtId="0" fontId="49" fillId="10" borderId="159" xfId="0" applyFont="1" applyFill="1" applyBorder="1" applyAlignment="1" applyProtection="1">
      <alignment horizontal="center"/>
    </xf>
    <xf numFmtId="0" fontId="49" fillId="10" borderId="160" xfId="0" applyFont="1" applyFill="1" applyBorder="1" applyAlignment="1" applyProtection="1">
      <alignment horizontal="center"/>
    </xf>
    <xf numFmtId="0" fontId="49" fillId="10" borderId="134" xfId="0" applyFont="1" applyFill="1" applyBorder="1" applyAlignment="1" applyProtection="1">
      <alignment horizontal="center"/>
    </xf>
    <xf numFmtId="0" fontId="49" fillId="10" borderId="141" xfId="0" applyFont="1" applyFill="1" applyBorder="1" applyAlignment="1" applyProtection="1">
      <alignment horizontal="center"/>
    </xf>
    <xf numFmtId="0" fontId="49" fillId="10" borderId="161" xfId="0" applyFont="1" applyFill="1" applyBorder="1" applyAlignment="1" applyProtection="1">
      <alignment horizontal="center"/>
    </xf>
    <xf numFmtId="0" fontId="49" fillId="10" borderId="162" xfId="0" applyFont="1" applyFill="1" applyBorder="1" applyAlignment="1" applyProtection="1">
      <alignment horizontal="center"/>
    </xf>
    <xf numFmtId="0" fontId="14" fillId="21" borderId="94" xfId="0" applyFont="1" applyFill="1" applyBorder="1" applyAlignment="1">
      <alignment horizontal="center"/>
    </xf>
    <xf numFmtId="0" fontId="14" fillId="21" borderId="97" xfId="0" applyFont="1" applyFill="1" applyBorder="1" applyAlignment="1">
      <alignment horizontal="center"/>
    </xf>
    <xf numFmtId="0" fontId="23" fillId="21" borderId="94" xfId="0" applyFont="1" applyFill="1" applyBorder="1" applyAlignment="1">
      <alignment horizontal="center"/>
    </xf>
    <xf numFmtId="0" fontId="23" fillId="21" borderId="97" xfId="0" applyFont="1" applyFill="1" applyBorder="1" applyAlignment="1">
      <alignment horizontal="center"/>
    </xf>
    <xf numFmtId="0" fontId="92" fillId="10" borderId="159" xfId="0" applyFont="1" applyFill="1" applyBorder="1" applyAlignment="1">
      <alignment horizontal="left" vertical="top" wrapText="1"/>
    </xf>
    <xf numFmtId="0" fontId="92" fillId="10" borderId="160" xfId="0" applyFont="1" applyFill="1" applyBorder="1" applyAlignment="1">
      <alignment horizontal="left" vertical="top" wrapText="1"/>
    </xf>
    <xf numFmtId="0" fontId="92" fillId="10" borderId="134" xfId="0" applyFont="1" applyFill="1" applyBorder="1" applyAlignment="1">
      <alignment horizontal="left" vertical="top" wrapText="1"/>
    </xf>
    <xf numFmtId="0" fontId="92" fillId="10" borderId="141" xfId="0" applyFont="1" applyFill="1" applyBorder="1" applyAlignment="1">
      <alignment horizontal="left" vertical="top" wrapText="1"/>
    </xf>
    <xf numFmtId="0" fontId="92" fillId="10" borderId="191" xfId="0" applyFont="1" applyFill="1" applyBorder="1" applyAlignment="1">
      <alignment horizontal="left" vertical="top" wrapText="1"/>
    </xf>
    <xf numFmtId="0" fontId="92" fillId="10" borderId="192" xfId="0" applyFont="1" applyFill="1" applyBorder="1" applyAlignment="1">
      <alignment horizontal="left" vertical="top" wrapText="1"/>
    </xf>
    <xf numFmtId="0" fontId="14" fillId="32" borderId="93" xfId="5" applyNumberFormat="1" applyFont="1" applyFill="1" applyBorder="1" applyAlignment="1" applyProtection="1">
      <alignment horizontal="center"/>
    </xf>
    <xf numFmtId="0" fontId="14" fillId="32" borderId="107" xfId="5" applyNumberFormat="1" applyFont="1" applyFill="1" applyBorder="1" applyAlignment="1" applyProtection="1">
      <alignment horizontal="center"/>
    </xf>
    <xf numFmtId="0" fontId="14" fillId="20" borderId="100" xfId="0" applyFont="1" applyFill="1" applyBorder="1" applyAlignment="1">
      <alignment horizontal="center"/>
    </xf>
    <xf numFmtId="0" fontId="6" fillId="22" borderId="127" xfId="0" applyFont="1" applyFill="1" applyBorder="1" applyAlignment="1">
      <alignment horizontal="center"/>
    </xf>
    <xf numFmtId="0" fontId="6" fillId="22" borderId="219" xfId="0" applyFont="1" applyFill="1" applyBorder="1" applyAlignment="1">
      <alignment horizontal="center"/>
    </xf>
    <xf numFmtId="0" fontId="6" fillId="22" borderId="220" xfId="0" applyFont="1" applyFill="1" applyBorder="1" applyAlignment="1">
      <alignment horizontal="center"/>
    </xf>
    <xf numFmtId="0" fontId="6" fillId="11" borderId="121" xfId="0" applyFont="1" applyFill="1" applyBorder="1" applyAlignment="1">
      <alignment horizontal="center"/>
    </xf>
    <xf numFmtId="0" fontId="6" fillId="11" borderId="123" xfId="0" applyFont="1" applyFill="1" applyBorder="1" applyAlignment="1">
      <alignment horizontal="center"/>
    </xf>
    <xf numFmtId="0" fontId="75" fillId="20" borderId="115" xfId="0" applyFont="1" applyFill="1" applyBorder="1" applyAlignment="1">
      <alignment horizontal="center" vertical="center"/>
    </xf>
    <xf numFmtId="0" fontId="75" fillId="20" borderId="193" xfId="0" applyFont="1" applyFill="1" applyBorder="1" applyAlignment="1">
      <alignment horizontal="center" vertical="center"/>
    </xf>
    <xf numFmtId="0" fontId="75" fillId="20" borderId="0" xfId="0" applyFont="1" applyFill="1" applyBorder="1" applyAlignment="1">
      <alignment horizontal="center" vertical="center"/>
    </xf>
    <xf numFmtId="0" fontId="75" fillId="20" borderId="116" xfId="0" applyFont="1" applyFill="1" applyBorder="1" applyAlignment="1">
      <alignment horizontal="center" vertical="center"/>
    </xf>
    <xf numFmtId="0" fontId="87" fillId="4" borderId="175" xfId="0" applyFont="1" applyFill="1" applyBorder="1" applyAlignment="1">
      <alignment horizontal="right" vertical="center"/>
    </xf>
    <xf numFmtId="0" fontId="87" fillId="4" borderId="176" xfId="0" applyFont="1" applyFill="1" applyBorder="1" applyAlignment="1">
      <alignment horizontal="right" vertical="center"/>
    </xf>
    <xf numFmtId="3" fontId="87" fillId="20" borderId="115" xfId="0" applyNumberFormat="1" applyFont="1" applyFill="1" applyBorder="1" applyAlignment="1">
      <alignment horizontal="center" vertical="center"/>
    </xf>
    <xf numFmtId="3" fontId="87" fillId="20" borderId="193" xfId="0" applyNumberFormat="1" applyFont="1" applyFill="1" applyBorder="1" applyAlignment="1">
      <alignment horizontal="center" vertical="center"/>
    </xf>
    <xf numFmtId="3" fontId="87" fillId="20" borderId="116" xfId="0" applyNumberFormat="1" applyFont="1" applyFill="1" applyBorder="1" applyAlignment="1">
      <alignment horizontal="center" vertical="center"/>
    </xf>
    <xf numFmtId="0" fontId="49" fillId="20" borderId="161" xfId="0" applyFont="1" applyFill="1" applyBorder="1" applyAlignment="1">
      <alignment horizontal="center" vertical="center"/>
    </xf>
    <xf numFmtId="0" fontId="49" fillId="20" borderId="194" xfId="0" applyFont="1" applyFill="1" applyBorder="1" applyAlignment="1">
      <alignment horizontal="center" vertical="center"/>
    </xf>
    <xf numFmtId="0" fontId="49" fillId="20" borderId="162" xfId="0" applyFont="1" applyFill="1" applyBorder="1" applyAlignment="1">
      <alignment horizontal="center" vertical="center"/>
    </xf>
    <xf numFmtId="0" fontId="93" fillId="4" borderId="298" xfId="0" applyFont="1" applyFill="1" applyBorder="1" applyAlignment="1" applyProtection="1">
      <alignment horizontal="right" vertical="center"/>
    </xf>
    <xf numFmtId="0" fontId="93" fillId="4" borderId="299" xfId="0" applyFont="1" applyFill="1" applyBorder="1" applyAlignment="1" applyProtection="1">
      <alignment horizontal="right" vertical="center"/>
    </xf>
    <xf numFmtId="167" fontId="5" fillId="21" borderId="161" xfId="3" applyNumberFormat="1" applyFont="1" applyFill="1" applyBorder="1" applyAlignment="1">
      <alignment horizontal="center" vertical="center"/>
    </xf>
    <xf numFmtId="167" fontId="5" fillId="21" borderId="162" xfId="3" applyNumberFormat="1" applyFont="1" applyFill="1" applyBorder="1" applyAlignment="1">
      <alignment horizontal="center" vertical="center"/>
    </xf>
    <xf numFmtId="166" fontId="5" fillId="21" borderId="161" xfId="3" applyNumberFormat="1" applyFont="1" applyFill="1" applyBorder="1" applyAlignment="1">
      <alignment horizontal="center" vertical="center"/>
    </xf>
    <xf numFmtId="166" fontId="5" fillId="21" borderId="162" xfId="3" applyNumberFormat="1" applyFont="1" applyFill="1" applyBorder="1" applyAlignment="1">
      <alignment horizontal="center" vertical="center"/>
    </xf>
    <xf numFmtId="0" fontId="22" fillId="21" borderId="139" xfId="0" applyFont="1" applyFill="1" applyBorder="1" applyAlignment="1" applyProtection="1">
      <alignment horizontal="right" vertical="center"/>
    </xf>
    <xf numFmtId="0" fontId="22" fillId="21" borderId="140" xfId="0" applyFont="1" applyFill="1" applyBorder="1" applyAlignment="1" applyProtection="1">
      <alignment horizontal="right" vertical="center"/>
    </xf>
    <xf numFmtId="10" fontId="22" fillId="0" borderId="134" xfId="2" applyNumberFormat="1" applyFont="1" applyBorder="1" applyAlignment="1">
      <alignment horizontal="center" vertical="center"/>
    </xf>
    <xf numFmtId="10" fontId="22" fillId="0" borderId="141" xfId="2" applyNumberFormat="1" applyFont="1" applyBorder="1" applyAlignment="1">
      <alignment horizontal="center" vertical="center"/>
    </xf>
    <xf numFmtId="0" fontId="3" fillId="3" borderId="235" xfId="0" applyFont="1" applyFill="1" applyBorder="1" applyAlignment="1">
      <alignment horizontal="center" vertical="center"/>
    </xf>
    <xf numFmtId="0" fontId="3" fillId="3" borderId="89" xfId="0" applyFont="1" applyFill="1" applyBorder="1" applyAlignment="1">
      <alignment horizontal="center" vertical="center"/>
    </xf>
    <xf numFmtId="0" fontId="3" fillId="3" borderId="351" xfId="0" applyFont="1" applyFill="1" applyBorder="1" applyAlignment="1">
      <alignment horizontal="center" vertical="center"/>
    </xf>
    <xf numFmtId="9" fontId="0" fillId="28" borderId="4" xfId="0" applyNumberFormat="1" applyFont="1" applyFill="1" applyBorder="1" applyAlignment="1">
      <alignment horizontal="center"/>
    </xf>
    <xf numFmtId="9" fontId="0" fillId="28" borderId="10" xfId="0" applyNumberFormat="1" applyFont="1" applyFill="1" applyBorder="1" applyAlignment="1">
      <alignment horizontal="center"/>
    </xf>
    <xf numFmtId="9" fontId="0" fillId="28" borderId="201" xfId="0" applyNumberFormat="1" applyFont="1" applyFill="1" applyBorder="1" applyAlignment="1">
      <alignment horizontal="center"/>
    </xf>
    <xf numFmtId="9" fontId="0" fillId="28" borderId="78" xfId="0" applyNumberFormat="1" applyFont="1" applyFill="1" applyBorder="1" applyAlignment="1">
      <alignment horizontal="center"/>
    </xf>
    <xf numFmtId="9" fontId="0" fillId="7" borderId="23" xfId="0" applyNumberFormat="1" applyFont="1" applyFill="1" applyBorder="1" applyAlignment="1">
      <alignment horizontal="center"/>
    </xf>
    <xf numFmtId="9" fontId="0" fillId="7" borderId="26" xfId="0" applyNumberFormat="1" applyFont="1" applyFill="1" applyBorder="1" applyAlignment="1">
      <alignment horizontal="center"/>
    </xf>
    <xf numFmtId="9" fontId="0" fillId="7" borderId="4" xfId="0" applyNumberFormat="1" applyFont="1" applyFill="1" applyBorder="1" applyAlignment="1">
      <alignment horizontal="center"/>
    </xf>
    <xf numFmtId="9" fontId="0" fillId="7" borderId="10" xfId="0" applyNumberFormat="1" applyFont="1" applyFill="1" applyBorder="1" applyAlignment="1">
      <alignment horizontal="center"/>
    </xf>
    <xf numFmtId="9" fontId="0" fillId="7" borderId="201" xfId="0" applyNumberFormat="1" applyFont="1" applyFill="1" applyBorder="1" applyAlignment="1">
      <alignment horizontal="center"/>
    </xf>
    <xf numFmtId="9" fontId="0" fillId="7" borderId="78" xfId="0" applyNumberFormat="1" applyFont="1" applyFill="1" applyBorder="1" applyAlignment="1">
      <alignment horizontal="center"/>
    </xf>
    <xf numFmtId="9" fontId="0" fillId="28" borderId="235" xfId="0" applyNumberFormat="1" applyFont="1" applyFill="1" applyBorder="1" applyAlignment="1">
      <alignment horizontal="center"/>
    </xf>
    <xf numFmtId="9" fontId="0" fillId="28" borderId="351" xfId="0" applyNumberFormat="1" applyFont="1" applyFill="1" applyBorder="1" applyAlignment="1">
      <alignment horizontal="center"/>
    </xf>
    <xf numFmtId="0" fontId="0" fillId="0" borderId="3" xfId="0" applyFont="1" applyFill="1" applyBorder="1" applyAlignment="1">
      <alignment horizontal="center"/>
    </xf>
    <xf numFmtId="0" fontId="0" fillId="0" borderId="12" xfId="0" applyFont="1" applyFill="1" applyBorder="1" applyAlignment="1">
      <alignment horizontal="center"/>
    </xf>
    <xf numFmtId="0" fontId="3" fillId="3" borderId="349" xfId="0" applyFont="1" applyFill="1" applyBorder="1" applyAlignment="1">
      <alignment horizontal="center" vertical="center"/>
    </xf>
    <xf numFmtId="0" fontId="3" fillId="3" borderId="345" xfId="0" applyFont="1" applyFill="1" applyBorder="1" applyAlignment="1">
      <alignment horizontal="center" vertical="center"/>
    </xf>
    <xf numFmtId="6" fontId="0" fillId="7" borderId="201" xfId="0" applyNumberFormat="1" applyFont="1" applyFill="1" applyBorder="1" applyAlignment="1">
      <alignment horizontal="center"/>
    </xf>
    <xf numFmtId="6" fontId="0" fillId="7" borderId="78" xfId="0" applyNumberFormat="1" applyFont="1" applyFill="1" applyBorder="1" applyAlignment="1">
      <alignment horizontal="center"/>
    </xf>
    <xf numFmtId="9" fontId="0" fillId="28" borderId="277" xfId="0" applyNumberFormat="1" applyFont="1" applyFill="1" applyBorder="1" applyAlignment="1">
      <alignment horizontal="center"/>
    </xf>
    <xf numFmtId="9" fontId="0" fillId="28" borderId="280" xfId="0" applyNumberFormat="1" applyFont="1" applyFill="1" applyBorder="1" applyAlignment="1">
      <alignment horizontal="center"/>
    </xf>
    <xf numFmtId="6" fontId="0" fillId="28" borderId="201" xfId="0" applyNumberFormat="1" applyFont="1" applyFill="1" applyBorder="1" applyAlignment="1">
      <alignment horizontal="center"/>
    </xf>
    <xf numFmtId="6" fontId="0" fillId="28" borderId="237" xfId="0" applyNumberFormat="1" applyFont="1" applyFill="1" applyBorder="1" applyAlignment="1">
      <alignment horizontal="center"/>
    </xf>
    <xf numFmtId="0" fontId="0" fillId="28" borderId="23" xfId="0" applyFont="1" applyFill="1" applyBorder="1" applyAlignment="1">
      <alignment horizontal="center"/>
    </xf>
    <xf numFmtId="0" fontId="0" fillId="28" borderId="82" xfId="0" applyFont="1" applyFill="1" applyBorder="1" applyAlignment="1">
      <alignment horizontal="center"/>
    </xf>
    <xf numFmtId="0" fontId="0" fillId="28" borderId="24" xfId="0" applyFont="1" applyFill="1" applyBorder="1" applyAlignment="1">
      <alignment horizontal="center"/>
    </xf>
    <xf numFmtId="9" fontId="0" fillId="7" borderId="28" xfId="0" applyNumberFormat="1" applyFont="1" applyFill="1" applyBorder="1" applyAlignment="1">
      <alignment horizontal="center"/>
    </xf>
    <xf numFmtId="9" fontId="0" fillId="7" borderId="24" xfId="0" applyNumberFormat="1" applyFont="1" applyFill="1" applyBorder="1" applyAlignment="1">
      <alignment horizontal="center"/>
    </xf>
    <xf numFmtId="9" fontId="0" fillId="28" borderId="237" xfId="0" applyNumberFormat="1" applyFont="1" applyFill="1" applyBorder="1" applyAlignment="1">
      <alignment horizontal="center"/>
    </xf>
    <xf numFmtId="9" fontId="0" fillId="28" borderId="28" xfId="0" applyNumberFormat="1" applyFont="1" applyFill="1" applyBorder="1" applyAlignment="1">
      <alignment horizontal="center"/>
    </xf>
    <xf numFmtId="6" fontId="0" fillId="4" borderId="4" xfId="0" applyNumberFormat="1" applyFont="1" applyFill="1" applyBorder="1" applyAlignment="1">
      <alignment horizontal="center"/>
    </xf>
    <xf numFmtId="6" fontId="0" fillId="4" borderId="10" xfId="0" applyNumberFormat="1" applyFont="1" applyFill="1" applyBorder="1" applyAlignment="1">
      <alignment horizontal="center"/>
    </xf>
    <xf numFmtId="9" fontId="0" fillId="28" borderId="23" xfId="0" applyNumberFormat="1" applyFont="1" applyFill="1" applyBorder="1" applyAlignment="1">
      <alignment horizontal="center"/>
    </xf>
    <xf numFmtId="9" fontId="0" fillId="28" borderId="26" xfId="0" applyNumberFormat="1" applyFont="1" applyFill="1" applyBorder="1" applyAlignment="1">
      <alignment horizontal="center"/>
    </xf>
    <xf numFmtId="0" fontId="0" fillId="7" borderId="4" xfId="0" applyFont="1" applyFill="1" applyBorder="1" applyAlignment="1">
      <alignment horizontal="center"/>
    </xf>
    <xf numFmtId="0" fontId="0" fillId="7" borderId="10" xfId="0" applyFont="1" applyFill="1" applyBorder="1" applyAlignment="1">
      <alignment horizontal="center"/>
    </xf>
    <xf numFmtId="0" fontId="0" fillId="7" borderId="23" xfId="0" applyFont="1" applyFill="1" applyBorder="1" applyAlignment="1">
      <alignment horizontal="center"/>
    </xf>
    <xf numFmtId="0" fontId="0" fillId="7" borderId="26" xfId="0" applyFont="1" applyFill="1" applyBorder="1" applyAlignment="1">
      <alignment horizontal="center"/>
    </xf>
    <xf numFmtId="6" fontId="0" fillId="28" borderId="78" xfId="0" applyNumberFormat="1" applyFont="1" applyFill="1" applyBorder="1" applyAlignment="1">
      <alignment horizontal="center"/>
    </xf>
    <xf numFmtId="0" fontId="1" fillId="4" borderId="262" xfId="7" applyFont="1" applyFill="1" applyBorder="1" applyAlignment="1">
      <alignment horizontal="center"/>
    </xf>
    <xf numFmtId="0" fontId="1" fillId="4" borderId="263" xfId="7" applyFont="1" applyFill="1" applyBorder="1" applyAlignment="1">
      <alignment horizontal="center"/>
    </xf>
    <xf numFmtId="0" fontId="1" fillId="4" borderId="264" xfId="7" applyFont="1" applyFill="1" applyBorder="1" applyAlignment="1">
      <alignment horizontal="center"/>
    </xf>
    <xf numFmtId="0" fontId="0" fillId="7" borderId="3" xfId="0" applyFont="1" applyFill="1" applyBorder="1" applyAlignment="1">
      <alignment horizontal="center"/>
    </xf>
    <xf numFmtId="0" fontId="0" fillId="4" borderId="80" xfId="0" applyFont="1" applyFill="1" applyBorder="1" applyAlignment="1">
      <alignment horizontal="center"/>
    </xf>
    <xf numFmtId="0" fontId="0" fillId="4" borderId="5" xfId="0" applyFont="1" applyFill="1" applyBorder="1" applyAlignment="1">
      <alignment horizontal="center"/>
    </xf>
    <xf numFmtId="0" fontId="0" fillId="4" borderId="259" xfId="0" applyFont="1" applyFill="1" applyBorder="1" applyAlignment="1">
      <alignment horizontal="center"/>
    </xf>
    <xf numFmtId="0" fontId="0" fillId="4" borderId="78" xfId="0" applyFont="1" applyFill="1" applyBorder="1" applyAlignment="1">
      <alignment horizontal="center"/>
    </xf>
    <xf numFmtId="0" fontId="0" fillId="4" borderId="15" xfId="0" applyFont="1" applyFill="1" applyBorder="1" applyAlignment="1">
      <alignment horizontal="center"/>
    </xf>
    <xf numFmtId="0" fontId="0" fillId="4" borderId="261" xfId="0" applyFont="1" applyFill="1" applyBorder="1" applyAlignment="1">
      <alignment horizontal="center"/>
    </xf>
    <xf numFmtId="9" fontId="0" fillId="4" borderId="10" xfId="0" applyNumberFormat="1" applyFont="1" applyFill="1" applyBorder="1" applyAlignment="1">
      <alignment horizontal="center"/>
    </xf>
    <xf numFmtId="9" fontId="0" fillId="4" borderId="3" xfId="0" applyNumberFormat="1" applyFont="1" applyFill="1" applyBorder="1" applyAlignment="1">
      <alignment horizontal="center"/>
    </xf>
    <xf numFmtId="9" fontId="0" fillId="4" borderId="258" xfId="0" applyNumberFormat="1" applyFont="1" applyFill="1" applyBorder="1" applyAlignment="1">
      <alignment horizontal="center"/>
    </xf>
    <xf numFmtId="6" fontId="0" fillId="4" borderId="3" xfId="0" applyNumberFormat="1" applyFont="1" applyFill="1" applyBorder="1" applyAlignment="1">
      <alignment horizontal="center"/>
    </xf>
    <xf numFmtId="6" fontId="0" fillId="4" borderId="258" xfId="0" applyNumberFormat="1" applyFont="1" applyFill="1" applyBorder="1" applyAlignment="1">
      <alignment horizontal="center"/>
    </xf>
    <xf numFmtId="0" fontId="5" fillId="4" borderId="4" xfId="7" applyFont="1" applyFill="1" applyBorder="1" applyAlignment="1">
      <alignment horizontal="center"/>
    </xf>
    <xf numFmtId="0" fontId="5" fillId="4" borderId="9" xfId="7" applyFont="1" applyFill="1" applyBorder="1" applyAlignment="1">
      <alignment horizontal="center"/>
    </xf>
    <xf numFmtId="0" fontId="5" fillId="4" borderId="28" xfId="7" applyFont="1" applyFill="1" applyBorder="1" applyAlignment="1">
      <alignment horizontal="center"/>
    </xf>
    <xf numFmtId="0" fontId="1" fillId="4" borderId="254" xfId="7" applyFont="1" applyFill="1" applyBorder="1" applyAlignment="1">
      <alignment horizontal="center"/>
    </xf>
    <xf numFmtId="0" fontId="1" fillId="4" borderId="255" xfId="7" applyFont="1" applyFill="1" applyBorder="1" applyAlignment="1">
      <alignment horizontal="center"/>
    </xf>
    <xf numFmtId="0" fontId="1" fillId="4" borderId="257" xfId="7" applyFont="1" applyFill="1" applyBorder="1" applyAlignment="1">
      <alignment horizontal="center"/>
    </xf>
    <xf numFmtId="0" fontId="0" fillId="4" borderId="4" xfId="0" applyFont="1" applyFill="1" applyBorder="1" applyAlignment="1">
      <alignment horizontal="center"/>
    </xf>
    <xf numFmtId="0" fontId="0" fillId="4" borderId="9" xfId="0" applyFont="1" applyFill="1" applyBorder="1" applyAlignment="1">
      <alignment horizontal="center"/>
    </xf>
    <xf numFmtId="0" fontId="0" fillId="4" borderId="28" xfId="0" applyFont="1" applyFill="1" applyBorder="1" applyAlignment="1">
      <alignment horizontal="center"/>
    </xf>
    <xf numFmtId="0" fontId="0" fillId="4" borderId="23" xfId="0" applyFont="1" applyFill="1" applyBorder="1" applyAlignment="1">
      <alignment horizontal="center"/>
    </xf>
    <xf numFmtId="0" fontId="0" fillId="4" borderId="82" xfId="0" applyFont="1" applyFill="1" applyBorder="1" applyAlignment="1">
      <alignment horizontal="center"/>
    </xf>
    <xf numFmtId="0" fontId="0" fillId="4" borderId="24" xfId="0" applyFont="1" applyFill="1" applyBorder="1" applyAlignment="1">
      <alignment horizontal="center"/>
    </xf>
    <xf numFmtId="6" fontId="0" fillId="7" borderId="237" xfId="0" applyNumberFormat="1" applyFont="1" applyFill="1" applyBorder="1" applyAlignment="1">
      <alignment horizontal="center"/>
    </xf>
    <xf numFmtId="0" fontId="0" fillId="7" borderId="28" xfId="0" applyFont="1" applyFill="1" applyBorder="1" applyAlignment="1">
      <alignment horizontal="center"/>
    </xf>
    <xf numFmtId="0" fontId="0" fillId="7" borderId="24" xfId="0" applyFont="1" applyFill="1" applyBorder="1" applyAlignment="1">
      <alignment horizontal="center"/>
    </xf>
    <xf numFmtId="0" fontId="0" fillId="7" borderId="235" xfId="0" applyFont="1" applyFill="1" applyBorder="1" applyAlignment="1">
      <alignment horizontal="center"/>
    </xf>
    <xf numFmtId="0" fontId="0" fillId="7" borderId="88" xfId="0" applyFont="1" applyFill="1" applyBorder="1" applyAlignment="1">
      <alignment horizontal="center"/>
    </xf>
    <xf numFmtId="0" fontId="0" fillId="7" borderId="89" xfId="0" applyFont="1" applyFill="1" applyBorder="1" applyAlignment="1">
      <alignment horizontal="center"/>
    </xf>
    <xf numFmtId="0" fontId="0" fillId="28" borderId="235" xfId="0" applyFont="1" applyFill="1" applyBorder="1" applyAlignment="1">
      <alignment horizontal="center"/>
    </xf>
    <xf numFmtId="0" fontId="0" fillId="28" borderId="88" xfId="0" applyFont="1" applyFill="1" applyBorder="1" applyAlignment="1">
      <alignment horizontal="center"/>
    </xf>
    <xf numFmtId="0" fontId="0" fillId="28" borderId="89" xfId="0" applyFont="1" applyFill="1" applyBorder="1" applyAlignment="1">
      <alignment horizontal="center"/>
    </xf>
    <xf numFmtId="0" fontId="1" fillId="4" borderId="201" xfId="7" applyFont="1" applyFill="1" applyBorder="1" applyAlignment="1">
      <alignment horizontal="center"/>
    </xf>
    <xf numFmtId="0" fontId="1" fillId="4" borderId="233" xfId="7" applyFont="1" applyFill="1" applyBorder="1" applyAlignment="1">
      <alignment horizontal="center"/>
    </xf>
    <xf numFmtId="0" fontId="1" fillId="4" borderId="237" xfId="7" applyFont="1" applyFill="1" applyBorder="1" applyAlignment="1">
      <alignment horizontal="center"/>
    </xf>
    <xf numFmtId="9" fontId="0" fillId="7" borderId="15" xfId="0" applyNumberFormat="1" applyFont="1" applyFill="1" applyBorder="1" applyAlignment="1">
      <alignment horizontal="center"/>
    </xf>
    <xf numFmtId="0" fontId="3" fillId="5" borderId="271" xfId="0" applyFont="1" applyFill="1" applyBorder="1" applyAlignment="1">
      <alignment horizontal="center"/>
    </xf>
    <xf numFmtId="0" fontId="3" fillId="5" borderId="269" xfId="0" applyFont="1" applyFill="1" applyBorder="1" applyAlignment="1">
      <alignment horizontal="center"/>
    </xf>
    <xf numFmtId="0" fontId="3" fillId="5" borderId="272" xfId="0" applyFont="1" applyFill="1" applyBorder="1" applyAlignment="1">
      <alignment horizontal="center"/>
    </xf>
    <xf numFmtId="0" fontId="1" fillId="4" borderId="10" xfId="7" applyFont="1" applyFill="1" applyBorder="1" applyAlignment="1">
      <alignment horizontal="center"/>
    </xf>
    <xf numFmtId="0" fontId="1" fillId="4" borderId="3" xfId="7" applyFont="1" applyFill="1" applyBorder="1" applyAlignment="1">
      <alignment horizontal="center"/>
    </xf>
    <xf numFmtId="0" fontId="1" fillId="4" borderId="258" xfId="7" applyFont="1" applyFill="1" applyBorder="1" applyAlignment="1">
      <alignment horizontal="center"/>
    </xf>
    <xf numFmtId="0" fontId="0" fillId="28" borderId="84" xfId="0" applyFont="1" applyFill="1" applyBorder="1" applyAlignment="1">
      <alignment horizontal="center"/>
    </xf>
    <xf numFmtId="0" fontId="0" fillId="28" borderId="85" xfId="0" applyFont="1" applyFill="1" applyBorder="1" applyAlignment="1">
      <alignment horizontal="center"/>
    </xf>
    <xf numFmtId="0" fontId="0" fillId="28" borderId="260" xfId="0" applyFont="1" applyFill="1" applyBorder="1" applyAlignment="1">
      <alignment horizontal="center"/>
    </xf>
    <xf numFmtId="0" fontId="5" fillId="4" borderId="10" xfId="7" applyFont="1" applyFill="1" applyBorder="1" applyAlignment="1">
      <alignment horizontal="center"/>
    </xf>
    <xf numFmtId="0" fontId="5" fillId="4" borderId="3" xfId="7" applyFont="1" applyFill="1" applyBorder="1" applyAlignment="1">
      <alignment horizontal="center"/>
    </xf>
    <xf numFmtId="0" fontId="5" fillId="4" borderId="258" xfId="7" applyFont="1" applyFill="1" applyBorder="1" applyAlignment="1">
      <alignment horizontal="center"/>
    </xf>
    <xf numFmtId="0" fontId="0" fillId="7" borderId="84" xfId="0" applyFont="1" applyFill="1" applyBorder="1" applyAlignment="1">
      <alignment horizontal="center"/>
    </xf>
    <xf numFmtId="0" fontId="0" fillId="7" borderId="85" xfId="0" applyFont="1" applyFill="1" applyBorder="1" applyAlignment="1">
      <alignment horizontal="center"/>
    </xf>
    <xf numFmtId="0" fontId="0" fillId="7" borderId="260" xfId="0" applyFont="1" applyFill="1" applyBorder="1" applyAlignment="1">
      <alignment horizontal="center"/>
    </xf>
    <xf numFmtId="0" fontId="1" fillId="4" borderId="78" xfId="7" applyFont="1" applyFill="1" applyBorder="1" applyAlignment="1">
      <alignment horizontal="center"/>
    </xf>
    <xf numFmtId="0" fontId="1" fillId="4" borderId="15" xfId="7" applyFont="1" applyFill="1" applyBorder="1" applyAlignment="1">
      <alignment horizontal="center"/>
    </xf>
    <xf numFmtId="0" fontId="1" fillId="4" borderId="261" xfId="7" applyFont="1" applyFill="1" applyBorder="1" applyAlignment="1">
      <alignment horizontal="center"/>
    </xf>
    <xf numFmtId="0" fontId="0" fillId="7" borderId="80" xfId="0" applyFont="1" applyFill="1" applyBorder="1" applyAlignment="1">
      <alignment horizontal="center"/>
    </xf>
    <xf numFmtId="0" fontId="0" fillId="7" borderId="5" xfId="0" applyFont="1" applyFill="1" applyBorder="1" applyAlignment="1">
      <alignment horizontal="center"/>
    </xf>
    <xf numFmtId="0" fontId="0" fillId="7" borderId="259" xfId="0" applyFont="1" applyFill="1" applyBorder="1" applyAlignment="1">
      <alignment horizontal="center"/>
    </xf>
    <xf numFmtId="6" fontId="0" fillId="28" borderId="15" xfId="0" applyNumberFormat="1" applyFont="1" applyFill="1" applyBorder="1" applyAlignment="1">
      <alignment horizontal="center"/>
    </xf>
    <xf numFmtId="6" fontId="0" fillId="28" borderId="261" xfId="0" applyNumberFormat="1" applyFont="1" applyFill="1" applyBorder="1" applyAlignment="1">
      <alignment horizontal="center"/>
    </xf>
    <xf numFmtId="0" fontId="0" fillId="28" borderId="80" xfId="0" applyFont="1" applyFill="1" applyBorder="1" applyAlignment="1">
      <alignment horizontal="center"/>
    </xf>
    <xf numFmtId="0" fontId="0" fillId="28" borderId="5" xfId="0" applyFont="1" applyFill="1" applyBorder="1" applyAlignment="1">
      <alignment horizontal="center"/>
    </xf>
    <xf numFmtId="0" fontId="0" fillId="28" borderId="259" xfId="0" applyFont="1" applyFill="1" applyBorder="1" applyAlignment="1">
      <alignment horizontal="center"/>
    </xf>
    <xf numFmtId="0" fontId="0" fillId="4" borderId="10" xfId="0" applyFont="1" applyFill="1" applyBorder="1" applyAlignment="1">
      <alignment horizontal="center"/>
    </xf>
    <xf numFmtId="0" fontId="0" fillId="4" borderId="3" xfId="0" applyFont="1" applyFill="1" applyBorder="1" applyAlignment="1">
      <alignment horizontal="center"/>
    </xf>
    <xf numFmtId="0" fontId="0" fillId="4" borderId="258" xfId="0" applyFont="1" applyFill="1" applyBorder="1" applyAlignment="1">
      <alignment horizontal="center"/>
    </xf>
    <xf numFmtId="6" fontId="0" fillId="7" borderId="15" xfId="0" applyNumberFormat="1" applyFont="1" applyFill="1" applyBorder="1" applyAlignment="1">
      <alignment horizontal="center"/>
    </xf>
    <xf numFmtId="6" fontId="0" fillId="7" borderId="261" xfId="0" applyNumberFormat="1" applyFont="1" applyFill="1" applyBorder="1" applyAlignment="1">
      <alignment horizontal="center"/>
    </xf>
    <xf numFmtId="0" fontId="0" fillId="7" borderId="258" xfId="0" applyFont="1" applyFill="1" applyBorder="1" applyAlignment="1">
      <alignment horizontal="center"/>
    </xf>
    <xf numFmtId="9" fontId="0" fillId="28" borderId="3" xfId="0" applyNumberFormat="1" applyFont="1" applyFill="1" applyBorder="1" applyAlignment="1">
      <alignment horizontal="center"/>
    </xf>
    <xf numFmtId="9" fontId="0" fillId="28" borderId="80" xfId="0" applyNumberFormat="1" applyFont="1" applyFill="1" applyBorder="1" applyAlignment="1">
      <alignment horizontal="center"/>
    </xf>
    <xf numFmtId="9" fontId="0" fillId="28" borderId="5" xfId="0" applyNumberFormat="1" applyFont="1" applyFill="1" applyBorder="1" applyAlignment="1">
      <alignment horizontal="center"/>
    </xf>
    <xf numFmtId="0" fontId="0" fillId="4" borderId="276" xfId="0" applyFont="1" applyFill="1" applyBorder="1" applyAlignment="1">
      <alignment horizontal="center"/>
    </xf>
    <xf numFmtId="0" fontId="0" fillId="4" borderId="281" xfId="0" applyFont="1" applyFill="1" applyBorder="1" applyAlignment="1">
      <alignment horizontal="center"/>
    </xf>
    <xf numFmtId="9" fontId="0" fillId="28" borderId="0" xfId="0" applyNumberFormat="1" applyFont="1" applyFill="1" applyBorder="1" applyAlignment="1">
      <alignment horizontal="center"/>
    </xf>
    <xf numFmtId="9" fontId="0" fillId="28" borderId="246" xfId="0" applyNumberFormat="1" applyFont="1" applyFill="1" applyBorder="1" applyAlignment="1">
      <alignment horizontal="center"/>
    </xf>
    <xf numFmtId="9" fontId="0" fillId="28" borderId="226" xfId="0" applyNumberFormat="1" applyFont="1" applyFill="1" applyBorder="1" applyAlignment="1">
      <alignment horizontal="center"/>
    </xf>
    <xf numFmtId="9" fontId="0" fillId="28" borderId="278" xfId="0" applyNumberFormat="1" applyFont="1" applyFill="1" applyBorder="1" applyAlignment="1">
      <alignment horizontal="center"/>
    </xf>
    <xf numFmtId="9" fontId="0" fillId="7" borderId="0" xfId="0" applyNumberFormat="1" applyFont="1" applyFill="1" applyBorder="1" applyAlignment="1">
      <alignment horizontal="center"/>
    </xf>
    <xf numFmtId="9" fontId="0" fillId="7" borderId="246" xfId="0" applyNumberFormat="1" applyFont="1" applyFill="1" applyBorder="1" applyAlignment="1">
      <alignment horizontal="center"/>
    </xf>
    <xf numFmtId="9" fontId="0" fillId="7" borderId="226" xfId="0" applyNumberFormat="1" applyFont="1" applyFill="1" applyBorder="1" applyAlignment="1">
      <alignment horizontal="center"/>
    </xf>
    <xf numFmtId="9" fontId="0" fillId="7" borderId="278" xfId="0" applyNumberFormat="1" applyFont="1" applyFill="1" applyBorder="1" applyAlignment="1">
      <alignment horizontal="center"/>
    </xf>
    <xf numFmtId="9" fontId="0" fillId="7" borderId="277" xfId="0" applyNumberFormat="1" applyFont="1" applyFill="1" applyBorder="1" applyAlignment="1">
      <alignment horizontal="center"/>
    </xf>
    <xf numFmtId="9" fontId="0" fillId="7" borderId="280" xfId="0" applyNumberFormat="1" applyFont="1" applyFill="1" applyBorder="1" applyAlignment="1">
      <alignment horizontal="center"/>
    </xf>
    <xf numFmtId="9" fontId="0" fillId="28" borderId="241" xfId="0" applyNumberFormat="1" applyFont="1" applyFill="1" applyBorder="1" applyAlignment="1">
      <alignment horizontal="center"/>
    </xf>
    <xf numFmtId="9" fontId="0" fillId="28" borderId="279" xfId="0" applyNumberFormat="1" applyFont="1" applyFill="1" applyBorder="1" applyAlignment="1">
      <alignment horizontal="center"/>
    </xf>
    <xf numFmtId="9" fontId="0" fillId="28" borderId="286" xfId="0" applyNumberFormat="1" applyFont="1" applyFill="1" applyBorder="1" applyAlignment="1">
      <alignment horizontal="center"/>
    </xf>
    <xf numFmtId="9" fontId="0" fillId="28" borderId="287" xfId="0" applyNumberFormat="1" applyFont="1" applyFill="1" applyBorder="1" applyAlignment="1">
      <alignment horizontal="center"/>
    </xf>
    <xf numFmtId="9" fontId="0" fillId="7" borderId="288" xfId="0" applyNumberFormat="1" applyFont="1" applyFill="1" applyBorder="1" applyAlignment="1">
      <alignment horizontal="center"/>
    </xf>
    <xf numFmtId="9" fontId="0" fillId="7" borderId="289" xfId="0" applyNumberFormat="1" applyFont="1" applyFill="1" applyBorder="1" applyAlignment="1">
      <alignment horizontal="center"/>
    </xf>
    <xf numFmtId="9" fontId="0" fillId="7" borderId="290" xfId="0" applyNumberFormat="1" applyFont="1" applyFill="1" applyBorder="1" applyAlignment="1">
      <alignment horizontal="center"/>
    </xf>
    <xf numFmtId="9" fontId="0" fillId="7" borderId="291" xfId="0" applyNumberFormat="1" applyFont="1" applyFill="1" applyBorder="1" applyAlignment="1">
      <alignment horizontal="center"/>
    </xf>
    <xf numFmtId="9" fontId="0" fillId="7" borderId="41" xfId="0" applyNumberFormat="1" applyFont="1" applyFill="1" applyBorder="1" applyAlignment="1">
      <alignment horizontal="center"/>
    </xf>
    <xf numFmtId="9" fontId="0" fillId="7" borderId="197" xfId="0" applyNumberFormat="1" applyFont="1" applyFill="1" applyBorder="1" applyAlignment="1">
      <alignment horizontal="center"/>
    </xf>
    <xf numFmtId="0" fontId="0" fillId="0" borderId="226" xfId="0" applyFont="1" applyFill="1" applyBorder="1" applyAlignment="1">
      <alignment horizontal="center"/>
    </xf>
    <xf numFmtId="0" fontId="0" fillId="0" borderId="278" xfId="0" applyFont="1" applyFill="1" applyBorder="1" applyAlignment="1">
      <alignment horizontal="center"/>
    </xf>
    <xf numFmtId="0" fontId="0" fillId="0" borderId="0" xfId="0" applyFont="1" applyFill="1" applyBorder="1" applyAlignment="1">
      <alignment horizontal="center"/>
    </xf>
    <xf numFmtId="0" fontId="0" fillId="0" borderId="246" xfId="0" applyFont="1" applyFill="1" applyBorder="1" applyAlignment="1">
      <alignment horizontal="center"/>
    </xf>
    <xf numFmtId="9" fontId="0" fillId="28" borderId="288" xfId="0" applyNumberFormat="1" applyFont="1" applyFill="1" applyBorder="1" applyAlignment="1">
      <alignment horizontal="center"/>
    </xf>
    <xf numFmtId="9" fontId="0" fillId="28" borderId="289" xfId="0" applyNumberFormat="1" applyFont="1" applyFill="1" applyBorder="1" applyAlignment="1">
      <alignment horizontal="center"/>
    </xf>
    <xf numFmtId="9" fontId="0" fillId="28" borderId="290" xfId="0" applyNumberFormat="1" applyFont="1" applyFill="1" applyBorder="1" applyAlignment="1">
      <alignment horizontal="center"/>
    </xf>
    <xf numFmtId="9" fontId="0" fillId="28" borderId="291" xfId="0" applyNumberFormat="1" applyFont="1" applyFill="1" applyBorder="1" applyAlignment="1">
      <alignment horizontal="center"/>
    </xf>
    <xf numFmtId="9" fontId="0" fillId="28" borderId="292" xfId="0" applyNumberFormat="1" applyFont="1" applyFill="1" applyBorder="1" applyAlignment="1">
      <alignment horizontal="center"/>
    </xf>
    <xf numFmtId="9" fontId="0" fillId="28" borderId="293" xfId="0" applyNumberFormat="1" applyFont="1" applyFill="1" applyBorder="1" applyAlignment="1">
      <alignment horizontal="center"/>
    </xf>
    <xf numFmtId="0" fontId="0" fillId="4" borderId="277" xfId="0" applyFont="1" applyFill="1" applyBorder="1" applyAlignment="1">
      <alignment horizontal="center"/>
    </xf>
    <xf numFmtId="0" fontId="0" fillId="4" borderId="280" xfId="0" applyFont="1" applyFill="1" applyBorder="1" applyAlignment="1">
      <alignment horizontal="center"/>
    </xf>
    <xf numFmtId="0" fontId="73" fillId="8" borderId="242" xfId="0" applyFont="1" applyFill="1" applyBorder="1" applyAlignment="1">
      <alignment horizontal="center" vertical="center"/>
    </xf>
    <xf numFmtId="0" fontId="73" fillId="8" borderId="243" xfId="0" applyFont="1" applyFill="1" applyBorder="1" applyAlignment="1">
      <alignment horizontal="center" vertical="center"/>
    </xf>
    <xf numFmtId="0" fontId="73" fillId="8" borderId="244" xfId="0" applyFont="1" applyFill="1" applyBorder="1" applyAlignment="1">
      <alignment horizontal="center" vertical="center"/>
    </xf>
    <xf numFmtId="0" fontId="0" fillId="4" borderId="284" xfId="0" applyFont="1" applyFill="1" applyBorder="1" applyAlignment="1">
      <alignment horizontal="center"/>
    </xf>
    <xf numFmtId="0" fontId="0" fillId="4" borderId="285" xfId="0" applyFont="1" applyFill="1" applyBorder="1" applyAlignment="1">
      <alignment horizontal="center"/>
    </xf>
    <xf numFmtId="0" fontId="1" fillId="4" borderId="226" xfId="7" applyFont="1" applyFill="1" applyBorder="1" applyAlignment="1">
      <alignment horizontal="center"/>
    </xf>
    <xf numFmtId="0" fontId="1" fillId="4" borderId="278" xfId="7" applyFont="1" applyFill="1" applyBorder="1" applyAlignment="1">
      <alignment horizontal="center"/>
    </xf>
    <xf numFmtId="6" fontId="0" fillId="28" borderId="288" xfId="0" applyNumberFormat="1" applyFont="1" applyFill="1" applyBorder="1" applyAlignment="1">
      <alignment horizontal="center"/>
    </xf>
    <xf numFmtId="6" fontId="0" fillId="28" borderId="289" xfId="0" applyNumberFormat="1" applyFont="1" applyFill="1" applyBorder="1" applyAlignment="1">
      <alignment horizontal="center"/>
    </xf>
    <xf numFmtId="6" fontId="0" fillId="28" borderId="277" xfId="0" applyNumberFormat="1" applyFont="1" applyFill="1" applyBorder="1" applyAlignment="1">
      <alignment horizontal="center"/>
    </xf>
    <xf numFmtId="6" fontId="0" fillId="28" borderId="280" xfId="0" applyNumberFormat="1" applyFont="1" applyFill="1" applyBorder="1" applyAlignment="1">
      <alignment horizontal="center"/>
    </xf>
    <xf numFmtId="0" fontId="0" fillId="28" borderId="276" xfId="0" applyFont="1" applyFill="1" applyBorder="1" applyAlignment="1">
      <alignment horizontal="center"/>
    </xf>
    <xf numFmtId="0" fontId="0" fillId="28" borderId="281" xfId="0" applyFont="1" applyFill="1" applyBorder="1" applyAlignment="1">
      <alignment horizontal="center"/>
    </xf>
    <xf numFmtId="0" fontId="0" fillId="7" borderId="241" xfId="0" applyFont="1" applyFill="1" applyBorder="1" applyAlignment="1">
      <alignment horizontal="center"/>
    </xf>
    <xf numFmtId="0" fontId="0" fillId="7" borderId="279" xfId="0" applyFont="1" applyFill="1" applyBorder="1" applyAlignment="1">
      <alignment horizontal="center"/>
    </xf>
    <xf numFmtId="0" fontId="0" fillId="28" borderId="241" xfId="0" applyFont="1" applyFill="1" applyBorder="1" applyAlignment="1">
      <alignment horizontal="center"/>
    </xf>
    <xf numFmtId="0" fontId="0" fillId="28" borderId="279" xfId="0" applyFont="1" applyFill="1" applyBorder="1" applyAlignment="1">
      <alignment horizontal="center"/>
    </xf>
    <xf numFmtId="6" fontId="0" fillId="7" borderId="277" xfId="0" applyNumberFormat="1" applyFont="1" applyFill="1" applyBorder="1" applyAlignment="1">
      <alignment horizontal="center"/>
    </xf>
    <xf numFmtId="6" fontId="0" fillId="7" borderId="280" xfId="0" applyNumberFormat="1" applyFont="1" applyFill="1" applyBorder="1" applyAlignment="1">
      <alignment horizontal="center"/>
    </xf>
    <xf numFmtId="0" fontId="0" fillId="7" borderId="226" xfId="0" applyFont="1" applyFill="1" applyBorder="1" applyAlignment="1">
      <alignment horizontal="center"/>
    </xf>
    <xf numFmtId="0" fontId="0" fillId="7" borderId="278" xfId="0" applyFont="1" applyFill="1" applyBorder="1" applyAlignment="1">
      <alignment horizontal="center"/>
    </xf>
    <xf numFmtId="0" fontId="0" fillId="7" borderId="276" xfId="0" applyFont="1" applyFill="1" applyBorder="1" applyAlignment="1">
      <alignment horizontal="center"/>
    </xf>
    <xf numFmtId="0" fontId="0" fillId="7" borderId="281" xfId="0" applyFont="1" applyFill="1" applyBorder="1" applyAlignment="1">
      <alignment horizontal="center"/>
    </xf>
    <xf numFmtId="0" fontId="1" fillId="4" borderId="277" xfId="7" applyFont="1" applyFill="1" applyBorder="1" applyAlignment="1">
      <alignment horizontal="center"/>
    </xf>
    <xf numFmtId="0" fontId="1" fillId="4" borderId="280" xfId="7" applyFont="1" applyFill="1" applyBorder="1" applyAlignment="1">
      <alignment horizontal="center"/>
    </xf>
    <xf numFmtId="0" fontId="0" fillId="0" borderId="10" xfId="0" applyFont="1" applyFill="1" applyBorder="1" applyAlignment="1">
      <alignment horizontal="center"/>
    </xf>
    <xf numFmtId="0" fontId="0" fillId="0" borderId="258" xfId="0" applyFont="1" applyFill="1" applyBorder="1" applyAlignment="1">
      <alignment horizontal="center"/>
    </xf>
    <xf numFmtId="9" fontId="0" fillId="28" borderId="85" xfId="0" applyNumberFormat="1" applyFont="1" applyFill="1" applyBorder="1" applyAlignment="1">
      <alignment horizontal="center"/>
    </xf>
    <xf numFmtId="9" fontId="0" fillId="28" borderId="260" xfId="0" applyNumberFormat="1" applyFont="1" applyFill="1" applyBorder="1" applyAlignment="1">
      <alignment horizontal="center"/>
    </xf>
    <xf numFmtId="9" fontId="0" fillId="7" borderId="261" xfId="0" applyNumberFormat="1" applyFont="1" applyFill="1" applyBorder="1" applyAlignment="1">
      <alignment horizontal="center"/>
    </xf>
    <xf numFmtId="9" fontId="0" fillId="7" borderId="3" xfId="0" applyNumberFormat="1" applyFont="1" applyFill="1" applyBorder="1" applyAlignment="1">
      <alignment horizontal="center"/>
    </xf>
    <xf numFmtId="9" fontId="0" fillId="7" borderId="258" xfId="0" applyNumberFormat="1" applyFont="1" applyFill="1" applyBorder="1" applyAlignment="1">
      <alignment horizontal="center"/>
    </xf>
    <xf numFmtId="9" fontId="0" fillId="7" borderId="5" xfId="0" applyNumberFormat="1" applyFont="1" applyFill="1" applyBorder="1" applyAlignment="1">
      <alignment horizontal="center"/>
    </xf>
    <xf numFmtId="9" fontId="0" fillId="7" borderId="259" xfId="0" applyNumberFormat="1" applyFont="1" applyFill="1" applyBorder="1" applyAlignment="1">
      <alignment horizontal="center"/>
    </xf>
    <xf numFmtId="9" fontId="0" fillId="28" borderId="15" xfId="0" applyNumberFormat="1" applyFont="1" applyFill="1" applyBorder="1" applyAlignment="1">
      <alignment horizontal="center"/>
    </xf>
    <xf numFmtId="9" fontId="0" fillId="28" borderId="261" xfId="0" applyNumberFormat="1" applyFont="1" applyFill="1" applyBorder="1" applyAlignment="1">
      <alignment horizontal="center"/>
    </xf>
    <xf numFmtId="9" fontId="0" fillId="28" borderId="258" xfId="0" applyNumberFormat="1" applyFont="1" applyFill="1" applyBorder="1" applyAlignment="1">
      <alignment horizontal="center"/>
    </xf>
    <xf numFmtId="9" fontId="0" fillId="28" borderId="259" xfId="0" applyNumberFormat="1" applyFont="1" applyFill="1" applyBorder="1" applyAlignment="1">
      <alignment horizontal="center"/>
    </xf>
    <xf numFmtId="0" fontId="1" fillId="4" borderId="4" xfId="7" applyFont="1" applyFill="1" applyBorder="1" applyAlignment="1">
      <alignment horizontal="center"/>
    </xf>
    <xf numFmtId="0" fontId="1" fillId="4" borderId="9" xfId="7" applyFont="1" applyFill="1" applyBorder="1" applyAlignment="1">
      <alignment horizontal="center"/>
    </xf>
    <xf numFmtId="0" fontId="1" fillId="4" borderId="28" xfId="7" applyFont="1" applyFill="1" applyBorder="1" applyAlignment="1">
      <alignment horizontal="center"/>
    </xf>
    <xf numFmtId="0" fontId="0" fillId="4" borderId="201" xfId="0" applyFont="1" applyFill="1" applyBorder="1" applyAlignment="1">
      <alignment horizontal="center"/>
    </xf>
    <xf numFmtId="0" fontId="0" fillId="4" borderId="233" xfId="0" applyFont="1" applyFill="1" applyBorder="1" applyAlignment="1">
      <alignment horizontal="center"/>
    </xf>
    <xf numFmtId="0" fontId="0" fillId="4" borderId="237" xfId="0" applyFont="1" applyFill="1" applyBorder="1" applyAlignment="1">
      <alignment horizontal="center"/>
    </xf>
    <xf numFmtId="9" fontId="0" fillId="4" borderId="4" xfId="0" applyNumberFormat="1" applyFont="1" applyFill="1" applyBorder="1" applyAlignment="1">
      <alignment horizontal="center"/>
    </xf>
    <xf numFmtId="9" fontId="0" fillId="4" borderId="9" xfId="0" applyNumberFormat="1" applyFont="1" applyFill="1" applyBorder="1" applyAlignment="1">
      <alignment horizontal="center"/>
    </xf>
    <xf numFmtId="9" fontId="0" fillId="4" borderId="28" xfId="0" applyNumberFormat="1" applyFont="1" applyFill="1" applyBorder="1" applyAlignment="1">
      <alignment horizontal="center"/>
    </xf>
    <xf numFmtId="6" fontId="0" fillId="4" borderId="28" xfId="0" applyNumberFormat="1" applyFont="1" applyFill="1" applyBorder="1" applyAlignment="1">
      <alignment horizontal="center"/>
    </xf>
    <xf numFmtId="9" fontId="0" fillId="28" borderId="24" xfId="0" applyNumberFormat="1" applyFont="1" applyFill="1" applyBorder="1" applyAlignment="1">
      <alignment horizontal="center"/>
    </xf>
    <xf numFmtId="0" fontId="0" fillId="0" borderId="23" xfId="0" applyFont="1" applyFill="1" applyBorder="1" applyAlignment="1">
      <alignment horizontal="center"/>
    </xf>
    <xf numFmtId="0" fontId="0" fillId="0" borderId="82" xfId="0" applyFont="1" applyFill="1" applyBorder="1" applyAlignment="1">
      <alignment horizontal="center"/>
    </xf>
    <xf numFmtId="0" fontId="0" fillId="0" borderId="24" xfId="0" applyFont="1" applyFill="1" applyBorder="1" applyAlignment="1">
      <alignment horizontal="center"/>
    </xf>
    <xf numFmtId="9" fontId="0" fillId="28" borderId="89" xfId="0" applyNumberFormat="1" applyFont="1" applyFill="1" applyBorder="1" applyAlignment="1">
      <alignment horizontal="center"/>
    </xf>
    <xf numFmtId="9" fontId="0" fillId="7" borderId="237" xfId="0" applyNumberFormat="1" applyFont="1" applyFill="1" applyBorder="1" applyAlignment="1">
      <alignment horizontal="center"/>
    </xf>
    <xf numFmtId="0" fontId="3" fillId="5" borderId="235" xfId="0" applyFont="1" applyFill="1" applyBorder="1" applyAlignment="1">
      <alignment horizontal="center"/>
    </xf>
    <xf numFmtId="0" fontId="3" fillId="5" borderId="88" xfId="0" applyFont="1" applyFill="1" applyBorder="1" applyAlignment="1">
      <alignment horizontal="center"/>
    </xf>
    <xf numFmtId="0" fontId="3" fillId="5" borderId="89" xfId="0" applyFont="1" applyFill="1" applyBorder="1" applyAlignment="1">
      <alignment horizontal="center"/>
    </xf>
    <xf numFmtId="0" fontId="1" fillId="4" borderId="79" xfId="7" applyFont="1" applyFill="1" applyBorder="1" applyAlignment="1">
      <alignment horizontal="center" wrapText="1"/>
    </xf>
    <xf numFmtId="0" fontId="1" fillId="4" borderId="9" xfId="7" applyFont="1" applyFill="1" applyBorder="1" applyAlignment="1">
      <alignment horizontal="center" wrapText="1"/>
    </xf>
    <xf numFmtId="0" fontId="1" fillId="4" borderId="154" xfId="7" applyFont="1" applyFill="1" applyBorder="1" applyAlignment="1">
      <alignment horizontal="center" wrapText="1"/>
    </xf>
    <xf numFmtId="0" fontId="1" fillId="4" borderId="240" xfId="7" applyFont="1" applyFill="1" applyBorder="1" applyAlignment="1">
      <alignment horizontal="center" wrapText="1"/>
    </xf>
    <xf numFmtId="0" fontId="1" fillId="4" borderId="234" xfId="7" applyFont="1" applyFill="1" applyBorder="1" applyAlignment="1">
      <alignment horizontal="center" wrapText="1"/>
    </xf>
    <xf numFmtId="0" fontId="1" fillId="4" borderId="157" xfId="7" applyFont="1" applyFill="1" applyBorder="1" applyAlignment="1">
      <alignment horizontal="center" wrapText="1"/>
    </xf>
    <xf numFmtId="0" fontId="1" fillId="4" borderId="4" xfId="7" applyFont="1" applyFill="1" applyBorder="1" applyAlignment="1">
      <alignment horizontal="center" wrapText="1"/>
    </xf>
    <xf numFmtId="0" fontId="1" fillId="4" borderId="28" xfId="7" applyFont="1" applyFill="1" applyBorder="1" applyAlignment="1">
      <alignment horizontal="center" wrapText="1"/>
    </xf>
    <xf numFmtId="0" fontId="1" fillId="4" borderId="189" xfId="7" applyFont="1" applyFill="1" applyBorder="1" applyAlignment="1">
      <alignment horizontal="center" wrapText="1"/>
    </xf>
    <xf numFmtId="0" fontId="1" fillId="4" borderId="238" xfId="7" applyFont="1" applyFill="1" applyBorder="1" applyAlignment="1">
      <alignment horizontal="center" wrapText="1"/>
    </xf>
    <xf numFmtId="9" fontId="0" fillId="7" borderId="80" xfId="0" applyNumberFormat="1" applyFont="1" applyFill="1" applyBorder="1" applyAlignment="1">
      <alignment horizontal="center"/>
    </xf>
    <xf numFmtId="0" fontId="76" fillId="20" borderId="242" xfId="0" applyFont="1" applyFill="1" applyBorder="1" applyAlignment="1">
      <alignment horizontal="center" vertical="center"/>
    </xf>
    <xf numFmtId="0" fontId="76" fillId="20" borderId="243" xfId="0" applyFont="1" applyFill="1" applyBorder="1" applyAlignment="1">
      <alignment horizontal="center" vertical="center"/>
    </xf>
    <xf numFmtId="0" fontId="76" fillId="20" borderId="244" xfId="0" applyFont="1" applyFill="1" applyBorder="1" applyAlignment="1">
      <alignment horizontal="center" vertical="center"/>
    </xf>
    <xf numFmtId="0" fontId="3" fillId="5" borderId="256" xfId="0" applyFont="1" applyFill="1" applyBorder="1" applyAlignment="1">
      <alignment horizontal="center"/>
    </xf>
    <xf numFmtId="0" fontId="3" fillId="5" borderId="30" xfId="0" applyFont="1" applyFill="1" applyBorder="1" applyAlignment="1">
      <alignment horizontal="center"/>
    </xf>
    <xf numFmtId="0" fontId="3" fillId="5" borderId="29" xfId="0" applyFont="1" applyFill="1" applyBorder="1" applyAlignment="1">
      <alignment horizontal="center"/>
    </xf>
    <xf numFmtId="0" fontId="0" fillId="4" borderId="12" xfId="0" applyFont="1" applyFill="1" applyBorder="1" applyAlignment="1">
      <alignment horizontal="center"/>
    </xf>
    <xf numFmtId="9" fontId="0" fillId="4" borderId="79" xfId="0" applyNumberFormat="1" applyFont="1" applyFill="1" applyBorder="1" applyAlignment="1">
      <alignment horizontal="center"/>
    </xf>
    <xf numFmtId="9" fontId="0" fillId="4" borderId="154" xfId="0" applyNumberFormat="1" applyFont="1" applyFill="1" applyBorder="1" applyAlignment="1">
      <alignment horizontal="center"/>
    </xf>
    <xf numFmtId="6" fontId="0" fillId="4" borderId="79" xfId="0" applyNumberFormat="1" applyFont="1" applyFill="1" applyBorder="1" applyAlignment="1">
      <alignment horizontal="center"/>
    </xf>
    <xf numFmtId="6" fontId="0" fillId="4" borderId="154" xfId="0" applyNumberFormat="1" applyFont="1" applyFill="1" applyBorder="1" applyAlignment="1">
      <alignment horizontal="center"/>
    </xf>
    <xf numFmtId="0" fontId="0" fillId="4" borderId="79" xfId="0" applyFont="1" applyFill="1" applyBorder="1" applyAlignment="1">
      <alignment horizontal="center"/>
    </xf>
    <xf numFmtId="0" fontId="0" fillId="4" borderId="154" xfId="0" applyFont="1" applyFill="1" applyBorder="1" applyAlignment="1">
      <alignment horizontal="center"/>
    </xf>
    <xf numFmtId="0" fontId="0" fillId="4" borderId="196" xfId="0" applyFont="1" applyFill="1" applyBorder="1" applyAlignment="1">
      <alignment horizontal="center"/>
    </xf>
    <xf numFmtId="0" fontId="0" fillId="4" borderId="232" xfId="0" applyFont="1" applyFill="1" applyBorder="1" applyAlignment="1">
      <alignment horizontal="center"/>
    </xf>
    <xf numFmtId="0" fontId="1" fillId="4" borderId="79" xfId="7" applyFont="1" applyFill="1" applyBorder="1" applyAlignment="1">
      <alignment horizontal="center"/>
    </xf>
    <xf numFmtId="0" fontId="1" fillId="4" borderId="154" xfId="7" applyFont="1" applyFill="1" applyBorder="1" applyAlignment="1">
      <alignment horizontal="center"/>
    </xf>
    <xf numFmtId="6" fontId="0" fillId="28" borderId="239" xfId="0" applyNumberFormat="1" applyFont="1" applyFill="1" applyBorder="1" applyAlignment="1">
      <alignment horizontal="center"/>
    </xf>
    <xf numFmtId="0" fontId="0" fillId="28" borderId="196" xfId="0" applyFont="1" applyFill="1" applyBorder="1" applyAlignment="1">
      <alignment horizontal="center"/>
    </xf>
    <xf numFmtId="0" fontId="0" fillId="28" borderId="232" xfId="0" applyFont="1" applyFill="1" applyBorder="1" applyAlignment="1">
      <alignment horizontal="center"/>
    </xf>
    <xf numFmtId="0" fontId="0" fillId="7" borderId="87" xfId="0" applyFont="1" applyFill="1" applyBorder="1" applyAlignment="1">
      <alignment horizontal="center"/>
    </xf>
    <xf numFmtId="0" fontId="0" fillId="7" borderId="198" xfId="0" applyFont="1" applyFill="1" applyBorder="1" applyAlignment="1">
      <alignment horizontal="center"/>
    </xf>
    <xf numFmtId="0" fontId="0" fillId="28" borderId="87" xfId="0" applyFont="1" applyFill="1" applyBorder="1" applyAlignment="1">
      <alignment horizontal="center"/>
    </xf>
    <xf numFmtId="0" fontId="0" fillId="28" borderId="198" xfId="0" applyFont="1" applyFill="1" applyBorder="1" applyAlignment="1">
      <alignment horizontal="center"/>
    </xf>
    <xf numFmtId="0" fontId="1" fillId="4" borderId="239" xfId="7" applyFont="1" applyFill="1" applyBorder="1" applyAlignment="1">
      <alignment horizontal="center"/>
    </xf>
    <xf numFmtId="0" fontId="1" fillId="4" borderId="200" xfId="7" applyFont="1" applyFill="1" applyBorder="1" applyAlignment="1">
      <alignment horizontal="center"/>
    </xf>
    <xf numFmtId="6" fontId="0" fillId="28" borderId="200" xfId="0" applyNumberFormat="1" applyFont="1" applyFill="1" applyBorder="1" applyAlignment="1">
      <alignment horizontal="center"/>
    </xf>
    <xf numFmtId="6" fontId="0" fillId="7" borderId="239" xfId="0" applyNumberFormat="1" applyFont="1" applyFill="1" applyBorder="1" applyAlignment="1">
      <alignment horizontal="center"/>
    </xf>
    <xf numFmtId="6" fontId="0" fillId="7" borderId="200" xfId="0" applyNumberFormat="1" applyFont="1" applyFill="1" applyBorder="1" applyAlignment="1">
      <alignment horizontal="center"/>
    </xf>
    <xf numFmtId="0" fontId="0" fillId="7" borderId="79" xfId="0" applyFont="1" applyFill="1" applyBorder="1" applyAlignment="1">
      <alignment horizontal="center"/>
    </xf>
    <xf numFmtId="0" fontId="0" fillId="7" borderId="154" xfId="0" applyFont="1" applyFill="1" applyBorder="1" applyAlignment="1">
      <alignment horizontal="center"/>
    </xf>
    <xf numFmtId="0" fontId="0" fillId="7" borderId="196" xfId="0" applyFont="1" applyFill="1" applyBorder="1" applyAlignment="1">
      <alignment horizontal="center"/>
    </xf>
    <xf numFmtId="0" fontId="0" fillId="7" borderId="232" xfId="0" applyFont="1" applyFill="1" applyBorder="1" applyAlignment="1">
      <alignment horizontal="center"/>
    </xf>
    <xf numFmtId="9" fontId="0" fillId="28" borderId="84" xfId="0" applyNumberFormat="1" applyFont="1" applyFill="1" applyBorder="1" applyAlignment="1">
      <alignment horizontal="center"/>
    </xf>
    <xf numFmtId="0" fontId="3" fillId="3" borderId="350" xfId="0" applyFont="1" applyFill="1" applyBorder="1" applyAlignment="1">
      <alignment horizontal="center" vertical="center"/>
    </xf>
    <xf numFmtId="9" fontId="0" fillId="28" borderId="87" xfId="0" applyNumberFormat="1" applyFont="1" applyFill="1" applyBorder="1" applyAlignment="1">
      <alignment horizontal="center"/>
    </xf>
    <xf numFmtId="9" fontId="0" fillId="28" borderId="88" xfId="0" applyNumberFormat="1" applyFont="1" applyFill="1" applyBorder="1" applyAlignment="1">
      <alignment horizontal="center"/>
    </xf>
    <xf numFmtId="9" fontId="0" fillId="28" borderId="198" xfId="0" applyNumberFormat="1" applyFont="1" applyFill="1" applyBorder="1" applyAlignment="1">
      <alignment horizontal="center"/>
    </xf>
    <xf numFmtId="0" fontId="0" fillId="4" borderId="346" xfId="0" applyFont="1" applyFill="1" applyBorder="1" applyAlignment="1">
      <alignment horizontal="center"/>
    </xf>
    <xf numFmtId="0" fontId="0" fillId="4" borderId="347" xfId="0" applyFont="1" applyFill="1" applyBorder="1" applyAlignment="1">
      <alignment horizontal="center"/>
    </xf>
    <xf numFmtId="0" fontId="0" fillId="4" borderId="348" xfId="0" applyFont="1" applyFill="1" applyBorder="1" applyAlignment="1">
      <alignment horizontal="center"/>
    </xf>
    <xf numFmtId="0" fontId="0" fillId="0" borderId="79" xfId="0" applyFont="1" applyFill="1" applyBorder="1" applyAlignment="1">
      <alignment horizontal="center"/>
    </xf>
    <xf numFmtId="0" fontId="0" fillId="0" borderId="265" xfId="0" applyFont="1" applyFill="1" applyBorder="1" applyAlignment="1">
      <alignment horizontal="center"/>
    </xf>
    <xf numFmtId="0" fontId="0" fillId="0" borderId="196" xfId="0" applyFont="1" applyFill="1" applyBorder="1" applyAlignment="1">
      <alignment horizontal="center"/>
    </xf>
    <xf numFmtId="0" fontId="0" fillId="0" borderId="266" xfId="0" applyFont="1" applyFill="1" applyBorder="1" applyAlignment="1">
      <alignment horizontal="center"/>
    </xf>
    <xf numFmtId="0" fontId="0" fillId="4" borderId="239" xfId="0" applyFont="1" applyFill="1" applyBorder="1" applyAlignment="1">
      <alignment horizontal="center"/>
    </xf>
    <xf numFmtId="0" fontId="0" fillId="4" borderId="200" xfId="0" applyFont="1" applyFill="1" applyBorder="1" applyAlignment="1">
      <alignment horizontal="center"/>
    </xf>
    <xf numFmtId="9" fontId="0" fillId="7" borderId="196" xfId="0" applyNumberFormat="1" applyFont="1" applyFill="1" applyBorder="1" applyAlignment="1">
      <alignment horizontal="center"/>
    </xf>
    <xf numFmtId="9" fontId="0" fillId="7" borderId="82" xfId="0" applyNumberFormat="1" applyFont="1" applyFill="1" applyBorder="1" applyAlignment="1">
      <alignment horizontal="center"/>
    </xf>
    <xf numFmtId="9" fontId="0" fillId="7" borderId="232" xfId="0" applyNumberFormat="1" applyFont="1" applyFill="1" applyBorder="1" applyAlignment="1">
      <alignment horizontal="center"/>
    </xf>
    <xf numFmtId="9" fontId="0" fillId="28" borderId="239" xfId="0" applyNumberFormat="1" applyFont="1" applyFill="1" applyBorder="1" applyAlignment="1">
      <alignment horizontal="center"/>
    </xf>
    <xf numFmtId="9" fontId="0" fillId="28" borderId="233" xfId="0" applyNumberFormat="1" applyFont="1" applyFill="1" applyBorder="1" applyAlignment="1">
      <alignment horizontal="center"/>
    </xf>
    <xf numFmtId="9" fontId="0" fillId="28" borderId="200" xfId="0" applyNumberFormat="1" applyFont="1" applyFill="1" applyBorder="1" applyAlignment="1">
      <alignment horizontal="center"/>
    </xf>
    <xf numFmtId="9" fontId="0" fillId="28" borderId="79" xfId="0" applyNumberFormat="1" applyFont="1" applyFill="1" applyBorder="1" applyAlignment="1">
      <alignment horizontal="center"/>
    </xf>
    <xf numFmtId="9" fontId="0" fillId="28" borderId="9" xfId="0" applyNumberFormat="1" applyFont="1" applyFill="1" applyBorder="1" applyAlignment="1">
      <alignment horizontal="center"/>
    </xf>
    <xf numFmtId="9" fontId="0" fillId="28" borderId="154" xfId="0" applyNumberFormat="1" applyFont="1" applyFill="1" applyBorder="1" applyAlignment="1">
      <alignment horizontal="center"/>
    </xf>
    <xf numFmtId="9" fontId="0" fillId="7" borderId="239" xfId="0" applyNumberFormat="1" applyFont="1" applyFill="1" applyBorder="1" applyAlignment="1">
      <alignment horizontal="center"/>
    </xf>
    <xf numFmtId="9" fontId="0" fillId="7" borderId="233" xfId="0" applyNumberFormat="1" applyFont="1" applyFill="1" applyBorder="1" applyAlignment="1">
      <alignment horizontal="center"/>
    </xf>
    <xf numFmtId="9" fontId="0" fillId="7" borderId="200" xfId="0" applyNumberFormat="1" applyFont="1" applyFill="1" applyBorder="1" applyAlignment="1">
      <alignment horizontal="center"/>
    </xf>
    <xf numFmtId="9" fontId="0" fillId="7" borderId="79" xfId="0" applyNumberFormat="1" applyFont="1" applyFill="1" applyBorder="1" applyAlignment="1">
      <alignment horizontal="center"/>
    </xf>
    <xf numFmtId="9" fontId="0" fillId="7" borderId="9" xfId="0" applyNumberFormat="1" applyFont="1" applyFill="1" applyBorder="1" applyAlignment="1">
      <alignment horizontal="center"/>
    </xf>
    <xf numFmtId="9" fontId="0" fillId="7" borderId="154" xfId="0" applyNumberFormat="1" applyFont="1" applyFill="1" applyBorder="1" applyAlignment="1">
      <alignment horizontal="center"/>
    </xf>
    <xf numFmtId="9" fontId="0" fillId="28" borderId="196" xfId="0" applyNumberFormat="1" applyFont="1" applyFill="1" applyBorder="1" applyAlignment="1">
      <alignment horizontal="center"/>
    </xf>
    <xf numFmtId="9" fontId="0" fillId="28" borderId="82" xfId="0" applyNumberFormat="1" applyFont="1" applyFill="1" applyBorder="1" applyAlignment="1">
      <alignment horizontal="center"/>
    </xf>
    <xf numFmtId="9" fontId="0" fillId="28" borderId="232" xfId="0" applyNumberFormat="1" applyFont="1" applyFill="1" applyBorder="1" applyAlignment="1">
      <alignment horizontal="center"/>
    </xf>
    <xf numFmtId="0" fontId="73" fillId="8" borderId="273" xfId="0" applyFont="1" applyFill="1" applyBorder="1" applyAlignment="1">
      <alignment horizontal="center" vertical="center"/>
    </xf>
    <xf numFmtId="0" fontId="73" fillId="8" borderId="274" xfId="0" applyFont="1" applyFill="1" applyBorder="1" applyAlignment="1">
      <alignment horizontal="center" vertical="center"/>
    </xf>
    <xf numFmtId="0" fontId="73" fillId="8" borderId="275" xfId="0" applyFont="1" applyFill="1" applyBorder="1" applyAlignment="1">
      <alignment horizontal="center" vertical="center"/>
    </xf>
    <xf numFmtId="0" fontId="3" fillId="5" borderId="268" xfId="0" applyFont="1" applyFill="1" applyBorder="1" applyAlignment="1">
      <alignment horizontal="center"/>
    </xf>
    <xf numFmtId="0" fontId="3" fillId="5" borderId="270" xfId="0" applyFont="1" applyFill="1" applyBorder="1" applyAlignment="1">
      <alignment horizontal="center"/>
    </xf>
    <xf numFmtId="0" fontId="3" fillId="3" borderId="344" xfId="0" applyFont="1" applyFill="1" applyBorder="1" applyAlignment="1">
      <alignment horizontal="center" vertical="center"/>
    </xf>
    <xf numFmtId="0" fontId="6" fillId="8" borderId="148" xfId="0" applyFont="1" applyFill="1" applyBorder="1" applyAlignment="1">
      <alignment horizontal="left"/>
    </xf>
    <xf numFmtId="0" fontId="6" fillId="8" borderId="149" xfId="0" applyFont="1" applyFill="1" applyBorder="1" applyAlignment="1">
      <alignment horizontal="left"/>
    </xf>
    <xf numFmtId="0" fontId="101" fillId="4" borderId="182" xfId="0" applyFont="1" applyFill="1" applyBorder="1" applyAlignment="1">
      <alignment horizontal="center" vertical="top"/>
    </xf>
    <xf numFmtId="0" fontId="101" fillId="4" borderId="155" xfId="0" applyFont="1" applyFill="1" applyBorder="1" applyAlignment="1">
      <alignment horizontal="center" vertical="top"/>
    </xf>
    <xf numFmtId="0" fontId="101" fillId="4" borderId="183" xfId="0" applyFont="1" applyFill="1" applyBorder="1" applyAlignment="1">
      <alignment horizontal="center" vertical="top"/>
    </xf>
    <xf numFmtId="0" fontId="101" fillId="4" borderId="156" xfId="0" applyFont="1" applyFill="1" applyBorder="1" applyAlignment="1">
      <alignment horizontal="center" vertical="top"/>
    </xf>
    <xf numFmtId="0" fontId="5" fillId="4" borderId="226" xfId="7" applyFont="1" applyFill="1" applyBorder="1" applyAlignment="1">
      <alignment horizontal="center"/>
    </xf>
    <xf numFmtId="0" fontId="5" fillId="4" borderId="278" xfId="7" applyFont="1" applyFill="1" applyBorder="1" applyAlignment="1">
      <alignment horizontal="center"/>
    </xf>
    <xf numFmtId="0" fontId="0" fillId="4" borderId="282" xfId="7" applyFont="1" applyFill="1" applyBorder="1" applyAlignment="1">
      <alignment horizontal="center"/>
    </xf>
    <xf numFmtId="0" fontId="1" fillId="4" borderId="282" xfId="7" applyFont="1" applyFill="1" applyBorder="1" applyAlignment="1">
      <alignment horizontal="center"/>
    </xf>
    <xf numFmtId="0" fontId="1" fillId="4" borderId="283" xfId="7" applyFont="1" applyFill="1" applyBorder="1" applyAlignment="1">
      <alignment horizontal="center"/>
    </xf>
    <xf numFmtId="9" fontId="0" fillId="4" borderId="226" xfId="0" applyNumberFormat="1" applyFont="1" applyFill="1" applyBorder="1" applyAlignment="1">
      <alignment horizontal="center"/>
    </xf>
    <xf numFmtId="9" fontId="0" fillId="4" borderId="278" xfId="0" applyNumberFormat="1" applyFont="1" applyFill="1" applyBorder="1" applyAlignment="1">
      <alignment horizontal="center"/>
    </xf>
    <xf numFmtId="6" fontId="0" fillId="4" borderId="290" xfId="0" applyNumberFormat="1" applyFont="1" applyFill="1" applyBorder="1" applyAlignment="1">
      <alignment horizontal="center"/>
    </xf>
    <xf numFmtId="6" fontId="0" fillId="4" borderId="291" xfId="0" applyNumberFormat="1" applyFont="1" applyFill="1" applyBorder="1" applyAlignment="1">
      <alignment horizontal="center"/>
    </xf>
    <xf numFmtId="6" fontId="0" fillId="4" borderId="226" xfId="0" applyNumberFormat="1" applyFont="1" applyFill="1" applyBorder="1" applyAlignment="1">
      <alignment horizontal="center"/>
    </xf>
    <xf numFmtId="6" fontId="0" fillId="4" borderId="278" xfId="0" applyNumberFormat="1" applyFont="1" applyFill="1" applyBorder="1" applyAlignment="1">
      <alignment horizontal="center"/>
    </xf>
    <xf numFmtId="0" fontId="0" fillId="4" borderId="226" xfId="0" applyFont="1" applyFill="1" applyBorder="1" applyAlignment="1">
      <alignment horizontal="center"/>
    </xf>
    <xf numFmtId="0" fontId="0" fillId="4" borderId="278" xfId="0" applyFont="1" applyFill="1" applyBorder="1" applyAlignment="1">
      <alignment horizontal="center"/>
    </xf>
    <xf numFmtId="0" fontId="3" fillId="3" borderId="256" xfId="0" applyFont="1" applyFill="1" applyBorder="1" applyAlignment="1">
      <alignment horizontal="center" vertical="center"/>
    </xf>
    <xf numFmtId="0" fontId="3" fillId="3" borderId="29" xfId="0" applyFont="1" applyFill="1" applyBorder="1" applyAlignment="1">
      <alignment horizontal="center" vertical="center"/>
    </xf>
    <xf numFmtId="0" fontId="0" fillId="4" borderId="8" xfId="0" applyFont="1" applyFill="1" applyBorder="1" applyAlignment="1">
      <alignment horizontal="center"/>
    </xf>
    <xf numFmtId="0" fontId="0" fillId="4" borderId="81" xfId="0" applyFont="1" applyFill="1" applyBorder="1" applyAlignment="1">
      <alignment horizontal="center"/>
    </xf>
    <xf numFmtId="0" fontId="0" fillId="4" borderId="20" xfId="0" applyFont="1" applyFill="1" applyBorder="1" applyAlignment="1">
      <alignment horizontal="center"/>
    </xf>
    <xf numFmtId="0" fontId="15" fillId="3" borderId="338" xfId="5" applyFont="1" applyFill="1" applyBorder="1" applyAlignment="1">
      <alignment horizontal="right" shrinkToFit="1"/>
    </xf>
    <xf numFmtId="0" fontId="15" fillId="3" borderId="337" xfId="5" applyFont="1" applyFill="1" applyBorder="1" applyAlignment="1">
      <alignment horizontal="right" shrinkToFit="1"/>
    </xf>
    <xf numFmtId="0" fontId="100" fillId="35" borderId="336" xfId="0" applyFont="1" applyFill="1" applyBorder="1" applyAlignment="1">
      <alignment horizontal="left" vertical="center"/>
    </xf>
    <xf numFmtId="0" fontId="100" fillId="35" borderId="339" xfId="0" applyFont="1" applyFill="1" applyBorder="1" applyAlignment="1">
      <alignment horizontal="left" vertical="center"/>
    </xf>
    <xf numFmtId="3" fontId="10" fillId="3" borderId="294" xfId="0" applyNumberFormat="1" applyFont="1" applyFill="1" applyBorder="1" applyAlignment="1">
      <alignment horizontal="center" vertical="center"/>
    </xf>
    <xf numFmtId="3" fontId="10" fillId="3" borderId="334" xfId="0" applyNumberFormat="1" applyFont="1" applyFill="1" applyBorder="1" applyAlignment="1">
      <alignment horizontal="center" vertical="center"/>
    </xf>
    <xf numFmtId="3" fontId="10" fillId="3" borderId="295" xfId="0" applyNumberFormat="1" applyFont="1" applyFill="1" applyBorder="1" applyAlignment="1">
      <alignment horizontal="center" vertical="center"/>
    </xf>
    <xf numFmtId="3" fontId="10" fillId="3" borderId="335" xfId="0" applyNumberFormat="1" applyFont="1" applyFill="1" applyBorder="1" applyAlignment="1">
      <alignment horizontal="center" vertical="center"/>
    </xf>
    <xf numFmtId="165" fontId="10" fillId="0" borderId="331" xfId="0" applyNumberFormat="1" applyFont="1" applyFill="1" applyBorder="1" applyAlignment="1">
      <alignment horizontal="center" vertical="center"/>
    </xf>
    <xf numFmtId="165" fontId="10" fillId="0" borderId="204" xfId="0" applyNumberFormat="1" applyFont="1" applyFill="1" applyBorder="1" applyAlignment="1">
      <alignment horizontal="center" vertical="center"/>
    </xf>
    <xf numFmtId="165" fontId="10" fillId="0" borderId="86" xfId="0" applyNumberFormat="1" applyFont="1" applyFill="1" applyBorder="1" applyAlignment="1">
      <alignment horizontal="center" vertical="center"/>
    </xf>
    <xf numFmtId="165" fontId="10" fillId="0" borderId="332" xfId="0" applyNumberFormat="1" applyFont="1" applyFill="1" applyBorder="1" applyAlignment="1">
      <alignment horizontal="center" vertical="center"/>
    </xf>
    <xf numFmtId="0" fontId="60" fillId="0" borderId="0" xfId="5" applyFont="1" applyAlignment="1" applyProtection="1">
      <alignment horizontal="center"/>
    </xf>
    <xf numFmtId="0" fontId="61" fillId="24" borderId="65" xfId="5" applyFont="1" applyFill="1" applyBorder="1" applyAlignment="1" applyProtection="1">
      <alignment horizontal="center"/>
      <protection locked="0"/>
    </xf>
    <xf numFmtId="0" fontId="61" fillId="24" borderId="166" xfId="5" applyFont="1" applyFill="1" applyBorder="1" applyAlignment="1" applyProtection="1">
      <alignment horizontal="center"/>
      <protection locked="0"/>
    </xf>
    <xf numFmtId="0" fontId="61" fillId="24" borderId="66" xfId="5" applyFont="1" applyFill="1" applyBorder="1" applyAlignment="1" applyProtection="1">
      <alignment horizontal="center"/>
      <protection locked="0"/>
    </xf>
    <xf numFmtId="0" fontId="1" fillId="0" borderId="0" xfId="12" applyAlignment="1">
      <alignment horizontal="center"/>
    </xf>
    <xf numFmtId="0" fontId="2" fillId="11" borderId="352" xfId="5" applyFont="1" applyFill="1" applyBorder="1" applyAlignment="1">
      <alignment horizontal="center" vertical="center"/>
    </xf>
    <xf numFmtId="0" fontId="2" fillId="11" borderId="353" xfId="5" applyFont="1" applyFill="1" applyBorder="1" applyAlignment="1">
      <alignment horizontal="center" vertical="center"/>
    </xf>
    <xf numFmtId="0" fontId="2" fillId="11" borderId="352" xfId="0" applyFont="1" applyFill="1" applyBorder="1" applyAlignment="1">
      <alignment horizontal="center" vertical="center" wrapText="1"/>
    </xf>
    <xf numFmtId="0" fontId="2" fillId="11" borderId="353" xfId="0" applyFont="1" applyFill="1" applyBorder="1" applyAlignment="1">
      <alignment horizontal="center" vertical="center" wrapText="1"/>
    </xf>
    <xf numFmtId="0" fontId="6" fillId="11" borderId="352" xfId="0" applyFont="1" applyFill="1" applyBorder="1" applyAlignment="1">
      <alignment horizontal="center" vertical="center"/>
    </xf>
    <xf numFmtId="0" fontId="6" fillId="11" borderId="353" xfId="0" applyFont="1" applyFill="1" applyBorder="1" applyAlignment="1">
      <alignment horizontal="center" vertical="center"/>
    </xf>
    <xf numFmtId="0" fontId="2" fillId="22" borderId="352" xfId="0" applyFont="1" applyFill="1" applyBorder="1" applyAlignment="1">
      <alignment horizontal="center" vertical="center" wrapText="1"/>
    </xf>
    <xf numFmtId="0" fontId="2" fillId="22" borderId="353" xfId="0" applyFont="1" applyFill="1" applyBorder="1" applyAlignment="1">
      <alignment horizontal="center" vertical="center" wrapText="1"/>
    </xf>
    <xf numFmtId="0" fontId="73" fillId="8" borderId="124" xfId="0" applyFont="1" applyFill="1" applyBorder="1" applyAlignment="1">
      <alignment horizontal="left"/>
    </xf>
    <xf numFmtId="0" fontId="73" fillId="8" borderId="125" xfId="0" applyFont="1" applyFill="1" applyBorder="1" applyAlignment="1">
      <alignment horizontal="left"/>
    </xf>
    <xf numFmtId="0" fontId="73" fillId="8" borderId="126" xfId="0" applyFont="1" applyFill="1" applyBorder="1" applyAlignment="1">
      <alignment horizontal="left"/>
    </xf>
    <xf numFmtId="0" fontId="6" fillId="11" borderId="354" xfId="0" applyFont="1" applyFill="1" applyBorder="1" applyAlignment="1">
      <alignment horizontal="center" vertical="center" wrapText="1"/>
    </xf>
    <xf numFmtId="0" fontId="6" fillId="11" borderId="355" xfId="0" applyFont="1" applyFill="1" applyBorder="1" applyAlignment="1">
      <alignment horizontal="center" vertical="center" wrapText="1"/>
    </xf>
    <xf numFmtId="0" fontId="6" fillId="11" borderId="358" xfId="0" applyFont="1" applyFill="1" applyBorder="1" applyAlignment="1">
      <alignment horizontal="center" vertical="center" wrapText="1"/>
    </xf>
    <xf numFmtId="0" fontId="73" fillId="8" borderId="354" xfId="0" applyFont="1" applyFill="1" applyBorder="1" applyAlignment="1">
      <alignment horizontal="left"/>
    </xf>
    <xf numFmtId="0" fontId="73" fillId="8" borderId="355" xfId="0" applyFont="1" applyFill="1" applyBorder="1" applyAlignment="1">
      <alignment horizontal="left"/>
    </xf>
    <xf numFmtId="0" fontId="73" fillId="8" borderId="358" xfId="0" applyFont="1" applyFill="1" applyBorder="1" applyAlignment="1">
      <alignment horizontal="left"/>
    </xf>
    <xf numFmtId="166" fontId="15" fillId="21" borderId="107" xfId="2" applyNumberFormat="1" applyFont="1" applyFill="1" applyBorder="1" applyAlignment="1">
      <alignment horizontal="center" vertical="center"/>
    </xf>
    <xf numFmtId="166" fontId="15" fillId="21" borderId="114" xfId="2" applyNumberFormat="1" applyFont="1" applyFill="1" applyBorder="1" applyAlignment="1">
      <alignment horizontal="center" vertical="center"/>
    </xf>
    <xf numFmtId="0" fontId="15" fillId="21" borderId="110" xfId="0" applyFont="1" applyFill="1" applyBorder="1" applyAlignment="1" applyProtection="1">
      <alignment horizontal="center"/>
    </xf>
    <xf numFmtId="0" fontId="15" fillId="21" borderId="113" xfId="0" applyFont="1" applyFill="1" applyBorder="1" applyAlignment="1" applyProtection="1">
      <alignment horizontal="center"/>
    </xf>
    <xf numFmtId="0" fontId="15" fillId="17" borderId="303" xfId="0" applyFont="1" applyFill="1" applyBorder="1" applyAlignment="1" applyProtection="1">
      <alignment horizontal="center"/>
    </xf>
    <xf numFmtId="0" fontId="15" fillId="17" borderId="357" xfId="0" applyFont="1" applyFill="1" applyBorder="1" applyAlignment="1" applyProtection="1">
      <alignment horizontal="center"/>
    </xf>
    <xf numFmtId="0" fontId="15" fillId="17" borderId="93" xfId="0" applyFont="1" applyFill="1" applyBorder="1" applyAlignment="1" applyProtection="1">
      <alignment horizontal="center"/>
    </xf>
    <xf numFmtId="0" fontId="15" fillId="17" borderId="190" xfId="0" applyFont="1" applyFill="1" applyBorder="1" applyAlignment="1" applyProtection="1">
      <alignment horizontal="center"/>
    </xf>
    <xf numFmtId="0" fontId="5" fillId="12" borderId="0" xfId="0" applyFont="1" applyFill="1" applyAlignment="1">
      <alignment horizontal="left"/>
    </xf>
    <xf numFmtId="0" fontId="5" fillId="0" borderId="0" xfId="0" applyFont="1" applyAlignment="1">
      <alignment horizontal="left"/>
    </xf>
    <xf numFmtId="0" fontId="32" fillId="16" borderId="53" xfId="8" applyFont="1" applyFill="1" applyBorder="1" applyAlignment="1" applyProtection="1">
      <alignment horizontal="center" vertical="center" textRotation="90"/>
    </xf>
    <xf numFmtId="0" fontId="32" fillId="16" borderId="56" xfId="8" applyFont="1" applyFill="1" applyBorder="1" applyAlignment="1" applyProtection="1">
      <alignment horizontal="center" vertical="center" textRotation="90"/>
    </xf>
    <xf numFmtId="0" fontId="32" fillId="16" borderId="59" xfId="8" applyFont="1" applyFill="1" applyBorder="1" applyAlignment="1" applyProtection="1">
      <alignment horizontal="center" vertical="center" textRotation="90"/>
    </xf>
    <xf numFmtId="0" fontId="32" fillId="16" borderId="62" xfId="8" applyFont="1" applyFill="1" applyBorder="1" applyAlignment="1" applyProtection="1">
      <alignment horizontal="center" vertical="center" textRotation="90"/>
    </xf>
    <xf numFmtId="0" fontId="10" fillId="16" borderId="1" xfId="8" applyFont="1" applyFill="1" applyBorder="1" applyAlignment="1" applyProtection="1">
      <alignment horizontal="left" wrapText="1"/>
    </xf>
    <xf numFmtId="0" fontId="10" fillId="16" borderId="58" xfId="8" applyFont="1" applyFill="1" applyBorder="1" applyAlignment="1" applyProtection="1">
      <alignment horizontal="left" wrapText="1"/>
    </xf>
    <xf numFmtId="0" fontId="32" fillId="16" borderId="49" xfId="8" applyFont="1" applyFill="1" applyBorder="1" applyAlignment="1" applyProtection="1">
      <alignment horizontal="center" vertical="top" wrapText="1"/>
      <protection locked="0"/>
    </xf>
    <xf numFmtId="0" fontId="32" fillId="16" borderId="50" xfId="8" applyFont="1" applyFill="1" applyBorder="1" applyAlignment="1" applyProtection="1">
      <alignment horizontal="center" vertical="top" wrapText="1"/>
      <protection locked="0"/>
    </xf>
    <xf numFmtId="0" fontId="28" fillId="14" borderId="0" xfId="8" applyFont="1" applyFill="1" applyBorder="1" applyAlignment="1" applyProtection="1">
      <alignment horizontal="left" wrapText="1"/>
    </xf>
    <xf numFmtId="0" fontId="33" fillId="16" borderId="0" xfId="0" applyFont="1" applyFill="1" applyAlignment="1" applyProtection="1">
      <alignment horizontal="left" wrapText="1"/>
    </xf>
    <xf numFmtId="0" fontId="32" fillId="13" borderId="49" xfId="8" applyFont="1" applyFill="1" applyBorder="1" applyAlignment="1" applyProtection="1">
      <alignment horizontal="left" vertical="top" wrapText="1"/>
    </xf>
    <xf numFmtId="0" fontId="32" fillId="13" borderId="50" xfId="8" applyFont="1" applyFill="1" applyBorder="1" applyAlignment="1" applyProtection="1">
      <alignment horizontal="left" vertical="top" wrapText="1"/>
    </xf>
    <xf numFmtId="0" fontId="28" fillId="13" borderId="0" xfId="8" applyFont="1" applyFill="1" applyAlignment="1" applyProtection="1">
      <alignment horizontal="left"/>
    </xf>
    <xf numFmtId="0" fontId="28" fillId="13" borderId="0" xfId="8" applyFont="1" applyFill="1" applyBorder="1" applyAlignment="1" applyProtection="1">
      <alignment horizontal="left"/>
    </xf>
    <xf numFmtId="0" fontId="20" fillId="13" borderId="0" xfId="8" applyFont="1" applyFill="1" applyBorder="1" applyAlignment="1" applyProtection="1">
      <alignment horizontal="left" vertical="top" wrapText="1"/>
    </xf>
    <xf numFmtId="0" fontId="15" fillId="14" borderId="47" xfId="8" applyFont="1" applyFill="1" applyBorder="1" applyAlignment="1" applyProtection="1">
      <alignment horizontal="center"/>
    </xf>
    <xf numFmtId="0" fontId="15" fillId="14" borderId="48" xfId="8" applyFont="1" applyFill="1" applyBorder="1" applyAlignment="1" applyProtection="1">
      <alignment horizontal="center"/>
    </xf>
    <xf numFmtId="0" fontId="81" fillId="31" borderId="175" xfId="0" applyFont="1" applyFill="1" applyBorder="1" applyAlignment="1">
      <alignment horizontal="center" vertical="center"/>
    </xf>
    <xf numFmtId="0" fontId="81" fillId="31" borderId="177" xfId="0" applyFont="1" applyFill="1" applyBorder="1" applyAlignment="1">
      <alignment horizontal="center" vertical="center"/>
    </xf>
    <xf numFmtId="0" fontId="81" fillId="31" borderId="209" xfId="0" applyFont="1" applyFill="1" applyBorder="1" applyAlignment="1">
      <alignment horizontal="center" vertical="center"/>
    </xf>
    <xf numFmtId="0" fontId="78" fillId="29" borderId="0" xfId="0" applyFont="1" applyFill="1" applyAlignment="1">
      <alignment horizontal="center" vertical="center"/>
    </xf>
    <xf numFmtId="49" fontId="34" fillId="0" borderId="175" xfId="0" applyNumberFormat="1" applyFont="1" applyBorder="1" applyAlignment="1">
      <alignment horizontal="left"/>
    </xf>
    <xf numFmtId="49" fontId="34" fillId="0" borderId="177" xfId="0" applyNumberFormat="1" applyFont="1" applyBorder="1" applyAlignment="1">
      <alignment horizontal="left"/>
    </xf>
    <xf numFmtId="49" fontId="34" fillId="0" borderId="176" xfId="0" applyNumberFormat="1" applyFont="1" applyBorder="1" applyAlignment="1">
      <alignment horizontal="left"/>
    </xf>
    <xf numFmtId="14" fontId="34" fillId="0" borderId="175" xfId="0" applyNumberFormat="1" applyFont="1" applyBorder="1" applyAlignment="1">
      <alignment horizontal="left"/>
    </xf>
    <xf numFmtId="14" fontId="34" fillId="0" borderId="177" xfId="0" applyNumberFormat="1" applyFont="1" applyBorder="1" applyAlignment="1">
      <alignment horizontal="left"/>
    </xf>
    <xf numFmtId="14" fontId="34" fillId="0" borderId="176" xfId="0" applyNumberFormat="1" applyFont="1" applyBorder="1" applyAlignment="1">
      <alignment horizontal="left"/>
    </xf>
    <xf numFmtId="9" fontId="79" fillId="30" borderId="175" xfId="2" applyFont="1" applyFill="1" applyBorder="1" applyAlignment="1">
      <alignment horizontal="left" vertical="center"/>
    </xf>
    <xf numFmtId="9" fontId="79" fillId="30" borderId="177" xfId="2" applyFont="1" applyFill="1" applyBorder="1" applyAlignment="1">
      <alignment horizontal="left" vertical="center"/>
    </xf>
    <xf numFmtId="9" fontId="79" fillId="30" borderId="176" xfId="2" applyFont="1" applyFill="1" applyBorder="1" applyAlignment="1">
      <alignment horizontal="left" vertical="center"/>
    </xf>
    <xf numFmtId="0" fontId="80" fillId="29" borderId="65" xfId="0" applyFont="1" applyFill="1" applyBorder="1" applyAlignment="1">
      <alignment horizontal="center" vertical="center"/>
    </xf>
    <xf numFmtId="0" fontId="80" fillId="29" borderId="166" xfId="0" applyFont="1" applyFill="1" applyBorder="1" applyAlignment="1">
      <alignment horizontal="center" vertical="center"/>
    </xf>
    <xf numFmtId="0" fontId="80" fillId="29" borderId="205" xfId="0" applyFont="1" applyFill="1" applyBorder="1" applyAlignment="1">
      <alignment horizontal="center" vertical="center"/>
    </xf>
    <xf numFmtId="0" fontId="80" fillId="29" borderId="66" xfId="0" applyFont="1" applyFill="1" applyBorder="1" applyAlignment="1">
      <alignment horizontal="center" vertical="center"/>
    </xf>
    <xf numFmtId="0" fontId="33" fillId="0" borderId="364" xfId="0" applyFont="1" applyBorder="1" applyAlignment="1">
      <alignment horizontal="left" vertical="center"/>
    </xf>
    <xf numFmtId="0" fontId="33" fillId="0" borderId="365" xfId="0" applyFont="1" applyBorder="1" applyAlignment="1">
      <alignment horizontal="left" vertical="center"/>
    </xf>
    <xf numFmtId="0" fontId="33" fillId="0" borderId="366" xfId="0" applyFont="1" applyBorder="1" applyAlignment="1">
      <alignment horizontal="left" vertical="center"/>
    </xf>
    <xf numFmtId="0" fontId="33" fillId="0" borderId="367" xfId="0" applyFont="1" applyBorder="1" applyAlignment="1">
      <alignment horizontal="left" vertical="center"/>
    </xf>
    <xf numFmtId="0" fontId="33" fillId="0" borderId="368" xfId="0" applyFont="1" applyBorder="1" applyAlignment="1">
      <alignment horizontal="left" vertical="center"/>
    </xf>
    <xf numFmtId="0" fontId="33" fillId="0" borderId="369" xfId="0" applyFont="1" applyBorder="1" applyAlignment="1">
      <alignment horizontal="left" vertical="center"/>
    </xf>
  </cellXfs>
  <cellStyles count="14">
    <cellStyle name="Comma" xfId="1" builtinId="3"/>
    <cellStyle name="Comma 2" xfId="10"/>
    <cellStyle name="Currency" xfId="3" builtinId="4"/>
    <cellStyle name="Currency 2" xfId="4"/>
    <cellStyle name="Hyperlink" xfId="9" builtinId="8"/>
    <cellStyle name="Normal" xfId="0" builtinId="0"/>
    <cellStyle name="Normal 2" xfId="5"/>
    <cellStyle name="Normal 2 3" xfId="12"/>
    <cellStyle name="Normal 26" xfId="6"/>
    <cellStyle name="Normal 3" xfId="8"/>
    <cellStyle name="Normal 6" xfId="7"/>
    <cellStyle name="Percent" xfId="2" builtinId="5"/>
    <cellStyle name="Percent 2" xfId="11"/>
    <cellStyle name="Percent 2 2" xfId="13"/>
  </cellStyles>
  <dxfs count="46">
    <dxf>
      <fill>
        <patternFill>
          <bgColor theme="3" tint="0.79998168889431442"/>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ill>
        <patternFill>
          <bgColor rgb="FFFFFF00"/>
        </patternFill>
      </fill>
    </dxf>
  </dxfs>
  <tableStyles count="0" defaultTableStyle="TableStyleMedium2" defaultPivotStyle="PivotStyleLight16"/>
  <colors>
    <mruColors>
      <color rgb="FFDFDCC7"/>
      <color rgb="FFC5D9F1"/>
      <color rgb="FFD5E1EF"/>
      <color rgb="FFBFBFBF"/>
      <color rgb="FF366092"/>
      <color rgb="FF8CADD4"/>
      <color rgb="FFEEECE1"/>
      <color rgb="FFECF1F8"/>
      <color rgb="FFFFFF99"/>
      <color rgb="FFF6F5F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1.xml"/><Relationship Id="rId21" Type="http://schemas.openxmlformats.org/officeDocument/2006/relationships/externalLink" Target="externalLinks/externalLink2.xml"/><Relationship Id="rId22" Type="http://schemas.openxmlformats.org/officeDocument/2006/relationships/externalLink" Target="externalLinks/externalLink3.xml"/><Relationship Id="rId23" Type="http://schemas.openxmlformats.org/officeDocument/2006/relationships/externalLink" Target="externalLinks/externalLink4.xml"/><Relationship Id="rId24" Type="http://schemas.openxmlformats.org/officeDocument/2006/relationships/theme" Target="theme/theme1.xml"/><Relationship Id="rId25" Type="http://schemas.openxmlformats.org/officeDocument/2006/relationships/styles" Target="styles.xml"/><Relationship Id="rId26" Type="http://schemas.openxmlformats.org/officeDocument/2006/relationships/sharedStrings" Target="sharedStrings.xml"/><Relationship Id="rId27"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13</xdr:row>
          <xdr:rowOff>50800</xdr:rowOff>
        </xdr:from>
        <xdr:to>
          <xdr:col>1</xdr:col>
          <xdr:colOff>838200</xdr:colOff>
          <xdr:row>14</xdr:row>
          <xdr:rowOff>76200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PPO 2-L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25400</xdr:rowOff>
        </xdr:from>
        <xdr:to>
          <xdr:col>1</xdr:col>
          <xdr:colOff>825500</xdr:colOff>
          <xdr:row>15</xdr:row>
          <xdr:rowOff>63500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EPO 1-B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0</xdr:rowOff>
        </xdr:from>
        <xdr:to>
          <xdr:col>1</xdr:col>
          <xdr:colOff>825500</xdr:colOff>
          <xdr:row>16</xdr:row>
          <xdr:rowOff>25400</xdr:rowOff>
        </xdr:to>
        <xdr:sp macro="" textlink="">
          <xdr:nvSpPr>
            <xdr:cNvPr id="5123" name="Check Box 3" hidden="1">
              <a:extLst>
                <a:ext uri="{63B3BB69-23CF-44E3-9099-C40C66FF867C}">
                  <a14:compatExt spid="_x0000_s512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HSA 3-RxC</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asdpapnas001a/~%20MASTER/1%20-%20SOLD%20Prep%20Files/~%20WORKING%20FOLDERS/ProCure%20Life%20Sciences%20Inc/080117/Quote/Proposal%20Support/UW%2051+%20Rating%20tool%20ver%2064.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MASTER/1%20-%20SOLD%20Prep%20Files/~%20WORKING%20FOLDERS/ProCure%20Life%20Sciences%20Inc/080117/Quote/Proposal%20Support/UW%2051+%20Rating%20tool%20ver%2064.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ollaborate.wellpoint.com/Documents%20and%20Settings/ab81201/My%20Documents/new%20quotes/Bank%20of%20KY/2014-01/UW%20LG%20rating%20tool%20ver%2035.0.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AD05592/AppData/Local/Microsoft/Windows/Temporary%20Internet%20Files/Content.Outlook/W7EK9QDI/BenRevo%20Sample%20Optimizer_%20(0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IC code"/>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CensusSummary"/>
      <sheetName val="ss"/>
      <sheetName val="Documentation"/>
      <sheetName val="log"/>
      <sheetName val="Scrub"/>
      <sheetName val="Census data"/>
      <sheetName val="UW LG Rating"/>
      <sheetName val="Experience"/>
      <sheetName val="Create PDF"/>
      <sheetName val="Dental Proposal"/>
      <sheetName val="Benefit Summary"/>
      <sheetName val="Standard Alternatives"/>
      <sheetName val="CO Renewal Letter"/>
      <sheetName val="Experience Rating Detail"/>
      <sheetName val="Data"/>
      <sheetName val="Calculation"/>
      <sheetName val="Internal Report"/>
      <sheetName val="Retention"/>
      <sheetName val="Marketing Page"/>
      <sheetName val="To do list"/>
      <sheetName val="by State ZIP3"/>
      <sheetName val="by State ZIP3_statedep"/>
      <sheetName val="Table6 XPO"/>
      <sheetName val="WaitingPer BenCat"/>
      <sheetName val="Coinsurance"/>
      <sheetName val="Edits"/>
      <sheetName val="NY Service Area"/>
      <sheetName val="by State"/>
      <sheetName val="SIC code"/>
      <sheetName val="Calculation1"/>
      <sheetName val="Calculation2"/>
      <sheetName val="Calculation3"/>
      <sheetName val="Calculation4"/>
      <sheetName val="Calculation5"/>
      <sheetName val="Calculation6"/>
      <sheetName val="Calculation7"/>
      <sheetName val="Calculation8"/>
      <sheetName val="Calculation9"/>
      <sheetName val="Calculation10"/>
      <sheetName val="Empire Logo 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Y2">
            <v>8</v>
          </cell>
          <cell r="AU2">
            <v>2</v>
          </cell>
          <cell r="BE2">
            <v>1</v>
          </cell>
          <cell r="BG2">
            <v>2</v>
          </cell>
          <cell r="CO2">
            <v>6</v>
          </cell>
          <cell r="CZ2">
            <v>1</v>
          </cell>
          <cell r="DF2">
            <v>2</v>
          </cell>
          <cell r="DO2">
            <v>3</v>
          </cell>
          <cell r="DV2">
            <v>1</v>
          </cell>
          <cell r="EP2">
            <v>2</v>
          </cell>
          <cell r="FE2">
            <v>2</v>
          </cell>
          <cell r="FJ2">
            <v>1</v>
          </cell>
          <cell r="FX2">
            <v>1</v>
          </cell>
          <cell r="HW2">
            <v>1</v>
          </cell>
          <cell r="HZ2">
            <v>2</v>
          </cell>
          <cell r="IF2">
            <v>5</v>
          </cell>
          <cell r="IM2">
            <v>1</v>
          </cell>
          <cell r="IT2">
            <v>1</v>
          </cell>
          <cell r="IX2">
            <v>1</v>
          </cell>
          <cell r="JE2">
            <v>2</v>
          </cell>
          <cell r="JS2">
            <v>2</v>
          </cell>
          <cell r="JW2">
            <v>2</v>
          </cell>
          <cell r="KA2">
            <v>2</v>
          </cell>
          <cell r="KH2">
            <v>1</v>
          </cell>
          <cell r="KS2">
            <v>1</v>
          </cell>
        </row>
        <row r="3">
          <cell r="DY3">
            <v>1</v>
          </cell>
          <cell r="EG3">
            <v>3</v>
          </cell>
          <cell r="EL3">
            <v>9</v>
          </cell>
          <cell r="FM3">
            <v>1</v>
          </cell>
          <cell r="FT3">
            <v>1</v>
          </cell>
          <cell r="GN3">
            <v>10</v>
          </cell>
          <cell r="GR3">
            <v>3</v>
          </cell>
          <cell r="HI3">
            <v>7</v>
          </cell>
          <cell r="LN3" t="str">
            <v>SpecialDiscountRange_CA</v>
          </cell>
        </row>
        <row r="4">
          <cell r="DY4">
            <v>1</v>
          </cell>
          <cell r="EG4">
            <v>3</v>
          </cell>
          <cell r="EL4">
            <v>3</v>
          </cell>
          <cell r="FT4">
            <v>1</v>
          </cell>
          <cell r="GN4">
            <v>1</v>
          </cell>
          <cell r="GR4">
            <v>3</v>
          </cell>
          <cell r="HI4">
            <v>7</v>
          </cell>
        </row>
        <row r="6">
          <cell r="EG6">
            <v>3</v>
          </cell>
          <cell r="EL6">
            <v>9</v>
          </cell>
          <cell r="FM6">
            <v>1</v>
          </cell>
        </row>
        <row r="7">
          <cell r="EG7">
            <v>3</v>
          </cell>
          <cell r="EL7">
            <v>3</v>
          </cell>
        </row>
        <row r="9">
          <cell r="EG9">
            <v>3</v>
          </cell>
          <cell r="EL9">
            <v>9</v>
          </cell>
          <cell r="FM9">
            <v>1</v>
          </cell>
        </row>
        <row r="10">
          <cell r="EG10">
            <v>3</v>
          </cell>
          <cell r="EL10">
            <v>3</v>
          </cell>
        </row>
        <row r="12">
          <cell r="EG12">
            <v>3</v>
          </cell>
          <cell r="FM12">
            <v>1</v>
          </cell>
        </row>
        <row r="13">
          <cell r="EG13">
            <v>3</v>
          </cell>
        </row>
        <row r="21">
          <cell r="AU21" t="str">
            <v>Please Select One</v>
          </cell>
          <cell r="BG21" t="str">
            <v>Please Select One</v>
          </cell>
          <cell r="CO21" t="str">
            <v>Please Select One</v>
          </cell>
          <cell r="DH21" t="str">
            <v>Please Select One</v>
          </cell>
          <cell r="DO21" t="str">
            <v>Please Select One</v>
          </cell>
          <cell r="DT21" t="str">
            <v>Calendar Year</v>
          </cell>
          <cell r="DV21" t="str">
            <v>Classic Dental Plan - Passive Design</v>
          </cell>
          <cell r="DZ21" t="str">
            <v>100%</v>
          </cell>
          <cell r="EP21" t="str">
            <v>Please Select One</v>
          </cell>
          <cell r="FE21" t="str">
            <v>Please Select One</v>
          </cell>
          <cell r="FM21" t="str">
            <v>N/A</v>
          </cell>
          <cell r="FU21" t="str">
            <v>$0</v>
          </cell>
          <cell r="GO21" t="str">
            <v>Please Select One</v>
          </cell>
          <cell r="GS21" t="str">
            <v>Please Select One</v>
          </cell>
          <cell r="HF21" t="str">
            <v>Yes</v>
          </cell>
          <cell r="HQ21" t="str">
            <v>Please Select One</v>
          </cell>
          <cell r="HZ21" t="str">
            <v>Please Select One</v>
          </cell>
          <cell r="IF21" t="str">
            <v>Please Select One</v>
          </cell>
          <cell r="IT21" t="str">
            <v>Standard - Covered as Diagnostic &amp; Preventive</v>
          </cell>
          <cell r="IX21" t="str">
            <v>Standard - Coverage Every 5 Years</v>
          </cell>
          <cell r="JS21" t="str">
            <v>Standard - Covered as Composites</v>
          </cell>
          <cell r="JW21" t="str">
            <v>Standard - Covered</v>
          </cell>
          <cell r="KA21" t="str">
            <v>Standard - Covered</v>
          </cell>
          <cell r="KH21" t="str">
            <v>Standard - Covered</v>
          </cell>
        </row>
        <row r="22">
          <cell r="AU22" t="str">
            <v>With Prior Coverage</v>
          </cell>
          <cell r="BG22" t="str">
            <v>N/A</v>
          </cell>
          <cell r="CO22" t="str">
            <v>&lt; 60% of Net Eligibles (voluntary)</v>
          </cell>
          <cell r="DH22" t="str">
            <v>12 Months</v>
          </cell>
          <cell r="DO22" t="str">
            <v>Prime</v>
          </cell>
          <cell r="DT22" t="str">
            <v>Contract Year</v>
          </cell>
          <cell r="DV22" t="str">
            <v>Classic Dental Plan - Active Design</v>
          </cell>
          <cell r="DZ22" t="str">
            <v>95%</v>
          </cell>
          <cell r="EP22" t="str">
            <v>No Waiting Period</v>
          </cell>
          <cell r="FE22" t="str">
            <v>None</v>
          </cell>
          <cell r="FM22" t="str">
            <v>Basic</v>
          </cell>
          <cell r="GO22" t="str">
            <v>$0</v>
          </cell>
          <cell r="GS22" t="str">
            <v>2X Individual</v>
          </cell>
          <cell r="HF22" t="str">
            <v>No</v>
          </cell>
          <cell r="HQ22" t="str">
            <v>$500</v>
          </cell>
          <cell r="HZ22" t="str">
            <v>No</v>
          </cell>
          <cell r="IF22" t="str">
            <v>50th percentile</v>
          </cell>
          <cell r="IT22" t="str">
            <v>Covered as Basic Services</v>
          </cell>
          <cell r="IX22" t="str">
            <v>Coverage Every 3 Years</v>
          </cell>
          <cell r="JS22" t="str">
            <v>Alternated to Amalgam Benefit</v>
          </cell>
          <cell r="JW22" t="str">
            <v>Not Covered</v>
          </cell>
          <cell r="KA22" t="str">
            <v>Not Covered</v>
          </cell>
          <cell r="KH22" t="str">
            <v>Not Covered</v>
          </cell>
        </row>
        <row r="23">
          <cell r="AU23" t="str">
            <v>Without Prior Coverage</v>
          </cell>
          <cell r="BG23" t="str">
            <v>Anthem Health Marketplace (Bloom)</v>
          </cell>
          <cell r="CO23" t="str">
            <v>60% of Net Eligibles</v>
          </cell>
          <cell r="DH23" t="str">
            <v>13 Months</v>
          </cell>
          <cell r="DO23" t="str">
            <v>Complete</v>
          </cell>
          <cell r="DV23" t="str">
            <v>Voluntary Dental Plan - Passive Design</v>
          </cell>
          <cell r="DZ23" t="str">
            <v>90%</v>
          </cell>
          <cell r="EP23" t="str">
            <v>0 Month Basic/6 Month Major</v>
          </cell>
          <cell r="FE23" t="str">
            <v>Dependent Children Only</v>
          </cell>
          <cell r="FM23" t="str">
            <v>Major</v>
          </cell>
          <cell r="GO23" t="str">
            <v>$15</v>
          </cell>
          <cell r="GS23" t="str">
            <v>3X Individual</v>
          </cell>
          <cell r="HQ23" t="str">
            <v>$750</v>
          </cell>
          <cell r="HZ23" t="str">
            <v>Yes</v>
          </cell>
          <cell r="IF23" t="str">
            <v>60th percentile</v>
          </cell>
        </row>
        <row r="24">
          <cell r="BG24" t="str">
            <v>Mercer</v>
          </cell>
          <cell r="CO24" t="str">
            <v>65% of Net Eligibles</v>
          </cell>
          <cell r="CZ24" t="str">
            <v>N/A</v>
          </cell>
          <cell r="DH24" t="str">
            <v>14 Months</v>
          </cell>
          <cell r="DV24" t="str">
            <v>Voluntary Dental Plan - Active Design</v>
          </cell>
          <cell r="DZ24" t="str">
            <v>85%</v>
          </cell>
          <cell r="EP24" t="str">
            <v>0 Month Basic/12 Month Major</v>
          </cell>
          <cell r="FE24" t="str">
            <v>Adults &amp; Dependent Children</v>
          </cell>
          <cell r="GO24" t="str">
            <v>$20</v>
          </cell>
          <cell r="GS24" t="str">
            <v>No Limit</v>
          </cell>
          <cell r="HQ24" t="str">
            <v>$1,000</v>
          </cell>
          <cell r="IF24" t="str">
            <v>70th percentile</v>
          </cell>
        </row>
        <row r="25">
          <cell r="BG25" t="str">
            <v>Alliant</v>
          </cell>
          <cell r="CO25" t="str">
            <v>70% of Net Eligibles</v>
          </cell>
          <cell r="DH25" t="str">
            <v>15 Months</v>
          </cell>
          <cell r="DV25" t="str">
            <v>Enhanced Dental Plan - Passive Design</v>
          </cell>
          <cell r="DZ25" t="str">
            <v>80%</v>
          </cell>
          <cell r="EP25" t="str">
            <v>0 Month Basic/18 Month Major</v>
          </cell>
          <cell r="GO25" t="str">
            <v>$25</v>
          </cell>
          <cell r="HQ25" t="str">
            <v>$1,200</v>
          </cell>
          <cell r="IF25" t="str">
            <v>80th percentile</v>
          </cell>
        </row>
        <row r="26">
          <cell r="BG26" t="str">
            <v>Liazon</v>
          </cell>
          <cell r="CO26" t="str">
            <v>75% of Net Eligibles</v>
          </cell>
          <cell r="DH26" t="str">
            <v>16 Months</v>
          </cell>
          <cell r="DV26" t="str">
            <v>Enhanced Dental Plan - Active Design</v>
          </cell>
          <cell r="DZ26" t="str">
            <v>75%</v>
          </cell>
          <cell r="EP26" t="str">
            <v>0 Month Basic/24 Month Major</v>
          </cell>
          <cell r="FX26" t="str">
            <v>N/A</v>
          </cell>
          <cell r="GO26" t="str">
            <v>$30</v>
          </cell>
          <cell r="HQ26" t="str">
            <v>$1,250</v>
          </cell>
          <cell r="IF26" t="str">
            <v>90th percentile</v>
          </cell>
          <cell r="KS26" t="str">
            <v>Standard - 24 Month Waiting Period applies</v>
          </cell>
        </row>
        <row r="27">
          <cell r="BE27" t="str">
            <v>Fully Insured</v>
          </cell>
          <cell r="CO27" t="str">
            <v>80% of Net Eligibles</v>
          </cell>
          <cell r="DH27" t="str">
            <v>17 Months</v>
          </cell>
          <cell r="DV27" t="str">
            <v>Value Dental Plan - Passive Design</v>
          </cell>
          <cell r="DZ27" t="str">
            <v>70%</v>
          </cell>
          <cell r="EP27" t="str">
            <v>6 Month Basic/6 Month Major</v>
          </cell>
          <cell r="GO27" t="str">
            <v>$35</v>
          </cell>
          <cell r="HQ27" t="str">
            <v>$1,500</v>
          </cell>
          <cell r="HW27" t="str">
            <v>N/A</v>
          </cell>
          <cell r="IF27" t="str">
            <v>95th percentile</v>
          </cell>
        </row>
        <row r="28">
          <cell r="CO28" t="str">
            <v>85% of Net Eligibles</v>
          </cell>
          <cell r="DH28" t="str">
            <v>18 Months</v>
          </cell>
          <cell r="DV28" t="str">
            <v>Value Dental Plan - Active Design</v>
          </cell>
          <cell r="DZ28" t="str">
            <v>65%</v>
          </cell>
          <cell r="EP28" t="str">
            <v>6 Month Basic/12 Month Major</v>
          </cell>
          <cell r="GO28" t="str">
            <v>$40</v>
          </cell>
          <cell r="HQ28" t="str">
            <v>$1,750</v>
          </cell>
          <cell r="IF28" t="str">
            <v>Prime (MAC)</v>
          </cell>
        </row>
        <row r="29">
          <cell r="CO29" t="str">
            <v>90% of Net Eligibles</v>
          </cell>
          <cell r="DH29" t="str">
            <v>19 Months</v>
          </cell>
          <cell r="DZ29" t="str">
            <v>60%</v>
          </cell>
          <cell r="EP29" t="str">
            <v>6 Month Basic/18 Month Major</v>
          </cell>
          <cell r="GO29" t="str">
            <v>$45</v>
          </cell>
          <cell r="HQ29" t="str">
            <v>$2,000</v>
          </cell>
        </row>
        <row r="30">
          <cell r="CO30" t="str">
            <v>95% of Net Eligibles</v>
          </cell>
          <cell r="DH30" t="str">
            <v>20 Months</v>
          </cell>
          <cell r="DZ30" t="str">
            <v>55%</v>
          </cell>
          <cell r="EP30" t="str">
            <v>6 Month Basic/24 Month Major</v>
          </cell>
          <cell r="GO30" t="str">
            <v>$50</v>
          </cell>
          <cell r="HQ30" t="str">
            <v>$2,250</v>
          </cell>
        </row>
        <row r="31">
          <cell r="CO31" t="str">
            <v>100% of Net Eligibles</v>
          </cell>
          <cell r="DH31" t="str">
            <v>21 Months</v>
          </cell>
          <cell r="DZ31" t="str">
            <v>50%</v>
          </cell>
          <cell r="EP31" t="str">
            <v>12 Month Basic/12 Month Major</v>
          </cell>
          <cell r="GO31" t="str">
            <v>$55</v>
          </cell>
          <cell r="HQ31" t="str">
            <v>$2,500</v>
          </cell>
        </row>
        <row r="32">
          <cell r="DH32" t="str">
            <v>22 Months</v>
          </cell>
          <cell r="EP32" t="str">
            <v>12 Month Basic/18 Month Major</v>
          </cell>
          <cell r="GO32" t="str">
            <v>$60</v>
          </cell>
          <cell r="HQ32" t="str">
            <v>$2,750</v>
          </cell>
        </row>
        <row r="33">
          <cell r="DH33" t="str">
            <v>23 Months</v>
          </cell>
          <cell r="EP33" t="str">
            <v>12 Month Basic/24 Month Major</v>
          </cell>
          <cell r="FJ33" t="str">
            <v>0%</v>
          </cell>
          <cell r="GO33" t="str">
            <v>$65</v>
          </cell>
          <cell r="HQ33" t="str">
            <v>$3,000</v>
          </cell>
        </row>
        <row r="34">
          <cell r="DH34" t="str">
            <v>24 Months</v>
          </cell>
          <cell r="EP34" t="str">
            <v>18 Month Basic/18 Month Major</v>
          </cell>
          <cell r="GO34" t="str">
            <v>$70</v>
          </cell>
          <cell r="HQ34" t="str">
            <v>$4,000</v>
          </cell>
          <cell r="JE34" t="str">
            <v>Standard - 1X per 12mnths &lt;18Y/O; 1X per 24mnths &gt;=18Y/O</v>
          </cell>
        </row>
        <row r="35">
          <cell r="EP35" t="str">
            <v>18 Month Basic/24 Month Major</v>
          </cell>
          <cell r="GO35" t="str">
            <v>$75</v>
          </cell>
          <cell r="HQ35" t="str">
            <v>$5,000</v>
          </cell>
          <cell r="IM35" t="str">
            <v>Children to Age 26</v>
          </cell>
          <cell r="JE35" t="str">
            <v>1X per 12mnths for all ages</v>
          </cell>
        </row>
        <row r="36">
          <cell r="EP36" t="str">
            <v>24 Month Basic/24 Month Major</v>
          </cell>
          <cell r="GO36" t="str">
            <v>$80</v>
          </cell>
          <cell r="JE36" t="str">
            <v xml:space="preserve">2X every 12mnths for all ages </v>
          </cell>
        </row>
        <row r="37">
          <cell r="EH37" t="str">
            <v>100%</v>
          </cell>
          <cell r="GO37" t="str">
            <v>$85</v>
          </cell>
          <cell r="JE37" t="str">
            <v>1X every calendar year for all ages</v>
          </cell>
        </row>
        <row r="38">
          <cell r="EH38" t="str">
            <v>95%</v>
          </cell>
          <cell r="GO38" t="str">
            <v>$90</v>
          </cell>
        </row>
        <row r="39">
          <cell r="EH39" t="str">
            <v>90%</v>
          </cell>
          <cell r="GO39" t="str">
            <v>$95</v>
          </cell>
        </row>
        <row r="40">
          <cell r="EH40" t="str">
            <v>85%</v>
          </cell>
          <cell r="GO40" t="str">
            <v>$100</v>
          </cell>
        </row>
        <row r="41">
          <cell r="EH41" t="str">
            <v>80%</v>
          </cell>
          <cell r="GO41" t="str">
            <v>$100 lifetime per person</v>
          </cell>
        </row>
        <row r="42">
          <cell r="Y42" t="str">
            <v>Please Select One</v>
          </cell>
          <cell r="EH42" t="str">
            <v>75%</v>
          </cell>
        </row>
        <row r="43">
          <cell r="Y43">
            <v>42767</v>
          </cell>
          <cell r="EH43" t="str">
            <v>70%</v>
          </cell>
        </row>
        <row r="44">
          <cell r="Y44">
            <v>42795</v>
          </cell>
          <cell r="EH44" t="str">
            <v>65%</v>
          </cell>
        </row>
        <row r="45">
          <cell r="Y45">
            <v>42826</v>
          </cell>
          <cell r="EH45" t="str">
            <v>60%</v>
          </cell>
        </row>
        <row r="46">
          <cell r="Y46">
            <v>42856</v>
          </cell>
          <cell r="EH46" t="str">
            <v>55%</v>
          </cell>
        </row>
        <row r="47">
          <cell r="Y47">
            <v>42887</v>
          </cell>
          <cell r="EH47" t="str">
            <v>50%</v>
          </cell>
        </row>
        <row r="48">
          <cell r="Y48">
            <v>42917</v>
          </cell>
          <cell r="EH48" t="str">
            <v>45%</v>
          </cell>
        </row>
        <row r="49">
          <cell r="Y49">
            <v>42948</v>
          </cell>
          <cell r="EH49" t="str">
            <v>40%</v>
          </cell>
        </row>
        <row r="50">
          <cell r="Y50">
            <v>42979</v>
          </cell>
          <cell r="EH50" t="str">
            <v>35%</v>
          </cell>
        </row>
        <row r="51">
          <cell r="Y51">
            <v>43009</v>
          </cell>
          <cell r="EH51" t="str">
            <v>30%</v>
          </cell>
        </row>
        <row r="52">
          <cell r="Y52">
            <v>43040</v>
          </cell>
          <cell r="EH52" t="str">
            <v>25%</v>
          </cell>
        </row>
        <row r="53">
          <cell r="Y53">
            <v>43070</v>
          </cell>
          <cell r="EH53" t="str">
            <v>20%</v>
          </cell>
        </row>
        <row r="54">
          <cell r="Y54">
            <v>43101</v>
          </cell>
          <cell r="EH54" t="str">
            <v>15%</v>
          </cell>
        </row>
        <row r="55">
          <cell r="Y55">
            <v>43132</v>
          </cell>
          <cell r="EH55" t="str">
            <v>10%</v>
          </cell>
        </row>
        <row r="56">
          <cell r="Y56">
            <v>43160</v>
          </cell>
          <cell r="EH56" t="str">
            <v>5%</v>
          </cell>
        </row>
        <row r="57">
          <cell r="EH57" t="str">
            <v>0%</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5">
          <cell r="A5">
            <v>111</v>
          </cell>
        </row>
        <row r="6">
          <cell r="A6">
            <v>112</v>
          </cell>
        </row>
        <row r="7">
          <cell r="A7">
            <v>115</v>
          </cell>
        </row>
        <row r="8">
          <cell r="A8">
            <v>116</v>
          </cell>
        </row>
        <row r="9">
          <cell r="A9">
            <v>119</v>
          </cell>
        </row>
        <row r="10">
          <cell r="A10">
            <v>131</v>
          </cell>
        </row>
        <row r="11">
          <cell r="A11">
            <v>132</v>
          </cell>
        </row>
        <row r="12">
          <cell r="A12">
            <v>133</v>
          </cell>
        </row>
        <row r="13">
          <cell r="A13">
            <v>134</v>
          </cell>
        </row>
        <row r="14">
          <cell r="A14">
            <v>139</v>
          </cell>
        </row>
        <row r="15">
          <cell r="A15">
            <v>161</v>
          </cell>
        </row>
        <row r="16">
          <cell r="A16">
            <v>171</v>
          </cell>
        </row>
        <row r="17">
          <cell r="A17">
            <v>172</v>
          </cell>
        </row>
        <row r="18">
          <cell r="A18">
            <v>173</v>
          </cell>
        </row>
        <row r="19">
          <cell r="A19">
            <v>174</v>
          </cell>
        </row>
        <row r="20">
          <cell r="A20">
            <v>175</v>
          </cell>
        </row>
        <row r="21">
          <cell r="A21">
            <v>179</v>
          </cell>
        </row>
        <row r="22">
          <cell r="A22">
            <v>181</v>
          </cell>
        </row>
        <row r="23">
          <cell r="A23">
            <v>182</v>
          </cell>
        </row>
        <row r="24">
          <cell r="A24">
            <v>191</v>
          </cell>
        </row>
        <row r="25">
          <cell r="A25">
            <v>211</v>
          </cell>
        </row>
        <row r="26">
          <cell r="A26">
            <v>212</v>
          </cell>
        </row>
        <row r="27">
          <cell r="A27">
            <v>213</v>
          </cell>
        </row>
        <row r="28">
          <cell r="A28">
            <v>214</v>
          </cell>
        </row>
        <row r="29">
          <cell r="A29">
            <v>219</v>
          </cell>
        </row>
        <row r="30">
          <cell r="A30">
            <v>241</v>
          </cell>
        </row>
        <row r="31">
          <cell r="A31">
            <v>251</v>
          </cell>
        </row>
        <row r="32">
          <cell r="A32">
            <v>252</v>
          </cell>
        </row>
        <row r="33">
          <cell r="A33">
            <v>253</v>
          </cell>
        </row>
        <row r="34">
          <cell r="A34">
            <v>254</v>
          </cell>
        </row>
        <row r="35">
          <cell r="A35">
            <v>259</v>
          </cell>
        </row>
        <row r="36">
          <cell r="A36">
            <v>271</v>
          </cell>
        </row>
        <row r="37">
          <cell r="A37">
            <v>272</v>
          </cell>
        </row>
        <row r="38">
          <cell r="A38">
            <v>273</v>
          </cell>
        </row>
        <row r="39">
          <cell r="A39">
            <v>279</v>
          </cell>
        </row>
        <row r="40">
          <cell r="A40">
            <v>291</v>
          </cell>
        </row>
        <row r="41">
          <cell r="A41">
            <v>711</v>
          </cell>
        </row>
        <row r="42">
          <cell r="A42">
            <v>721</v>
          </cell>
        </row>
        <row r="43">
          <cell r="A43">
            <v>722</v>
          </cell>
        </row>
        <row r="44">
          <cell r="A44">
            <v>723</v>
          </cell>
        </row>
        <row r="45">
          <cell r="A45">
            <v>724</v>
          </cell>
        </row>
        <row r="46">
          <cell r="A46">
            <v>741</v>
          </cell>
        </row>
        <row r="47">
          <cell r="A47">
            <v>742</v>
          </cell>
        </row>
        <row r="48">
          <cell r="A48">
            <v>751</v>
          </cell>
        </row>
        <row r="49">
          <cell r="A49">
            <v>752</v>
          </cell>
        </row>
        <row r="50">
          <cell r="A50">
            <v>761</v>
          </cell>
        </row>
        <row r="51">
          <cell r="A51">
            <v>762</v>
          </cell>
        </row>
        <row r="52">
          <cell r="A52">
            <v>781</v>
          </cell>
        </row>
        <row r="53">
          <cell r="A53">
            <v>782</v>
          </cell>
        </row>
        <row r="54">
          <cell r="A54">
            <v>783</v>
          </cell>
        </row>
        <row r="55">
          <cell r="A55">
            <v>811</v>
          </cell>
        </row>
        <row r="56">
          <cell r="A56">
            <v>831</v>
          </cell>
        </row>
        <row r="57">
          <cell r="A57">
            <v>851</v>
          </cell>
        </row>
        <row r="58">
          <cell r="A58">
            <v>912</v>
          </cell>
        </row>
        <row r="59">
          <cell r="A59">
            <v>913</v>
          </cell>
        </row>
        <row r="60">
          <cell r="A60">
            <v>919</v>
          </cell>
        </row>
        <row r="61">
          <cell r="A61">
            <v>921</v>
          </cell>
        </row>
        <row r="62">
          <cell r="A62">
            <v>971</v>
          </cell>
        </row>
        <row r="63">
          <cell r="A63">
            <v>1011</v>
          </cell>
        </row>
        <row r="64">
          <cell r="A64">
            <v>1021</v>
          </cell>
        </row>
        <row r="65">
          <cell r="A65">
            <v>1031</v>
          </cell>
        </row>
        <row r="66">
          <cell r="A66">
            <v>1041</v>
          </cell>
        </row>
        <row r="67">
          <cell r="A67">
            <v>1044</v>
          </cell>
        </row>
        <row r="68">
          <cell r="A68">
            <v>1061</v>
          </cell>
        </row>
        <row r="69">
          <cell r="A69">
            <v>1081</v>
          </cell>
        </row>
        <row r="70">
          <cell r="A70">
            <v>1094</v>
          </cell>
        </row>
        <row r="71">
          <cell r="A71">
            <v>1099</v>
          </cell>
        </row>
        <row r="72">
          <cell r="A72">
            <v>1221</v>
          </cell>
        </row>
        <row r="73">
          <cell r="A73">
            <v>1222</v>
          </cell>
        </row>
        <row r="74">
          <cell r="A74">
            <v>1231</v>
          </cell>
        </row>
        <row r="75">
          <cell r="A75">
            <v>1241</v>
          </cell>
        </row>
        <row r="76">
          <cell r="A76">
            <v>1311</v>
          </cell>
        </row>
        <row r="77">
          <cell r="A77">
            <v>1321</v>
          </cell>
        </row>
        <row r="78">
          <cell r="A78">
            <v>1381</v>
          </cell>
        </row>
        <row r="79">
          <cell r="A79">
            <v>1382</v>
          </cell>
        </row>
        <row r="80">
          <cell r="A80">
            <v>1389</v>
          </cell>
        </row>
        <row r="81">
          <cell r="A81">
            <v>1411</v>
          </cell>
        </row>
        <row r="82">
          <cell r="A82">
            <v>1422</v>
          </cell>
        </row>
        <row r="83">
          <cell r="A83">
            <v>1423</v>
          </cell>
        </row>
        <row r="84">
          <cell r="A84">
            <v>1429</v>
          </cell>
        </row>
        <row r="85">
          <cell r="A85">
            <v>1442</v>
          </cell>
        </row>
        <row r="86">
          <cell r="A86">
            <v>1446</v>
          </cell>
        </row>
        <row r="87">
          <cell r="A87">
            <v>1455</v>
          </cell>
        </row>
        <row r="88">
          <cell r="A88">
            <v>1459</v>
          </cell>
        </row>
        <row r="89">
          <cell r="A89">
            <v>1474</v>
          </cell>
        </row>
        <row r="90">
          <cell r="A90">
            <v>1475</v>
          </cell>
        </row>
        <row r="91">
          <cell r="A91">
            <v>1479</v>
          </cell>
        </row>
        <row r="92">
          <cell r="A92">
            <v>1481</v>
          </cell>
        </row>
        <row r="93">
          <cell r="A93">
            <v>1499</v>
          </cell>
        </row>
        <row r="94">
          <cell r="A94">
            <v>1521</v>
          </cell>
        </row>
        <row r="95">
          <cell r="A95">
            <v>1522</v>
          </cell>
        </row>
        <row r="96">
          <cell r="A96">
            <v>1531</v>
          </cell>
        </row>
        <row r="97">
          <cell r="A97">
            <v>1541</v>
          </cell>
        </row>
        <row r="98">
          <cell r="A98">
            <v>1542</v>
          </cell>
        </row>
        <row r="99">
          <cell r="A99">
            <v>1611</v>
          </cell>
        </row>
        <row r="100">
          <cell r="A100">
            <v>1622</v>
          </cell>
        </row>
        <row r="101">
          <cell r="A101">
            <v>1623</v>
          </cell>
        </row>
        <row r="102">
          <cell r="A102">
            <v>1629</v>
          </cell>
        </row>
        <row r="103">
          <cell r="A103">
            <v>1711</v>
          </cell>
        </row>
        <row r="104">
          <cell r="A104">
            <v>1721</v>
          </cell>
        </row>
        <row r="105">
          <cell r="A105">
            <v>1731</v>
          </cell>
        </row>
        <row r="106">
          <cell r="A106">
            <v>1741</v>
          </cell>
        </row>
        <row r="107">
          <cell r="A107">
            <v>1742</v>
          </cell>
        </row>
        <row r="108">
          <cell r="A108">
            <v>1743</v>
          </cell>
        </row>
        <row r="109">
          <cell r="A109">
            <v>1751</v>
          </cell>
        </row>
        <row r="110">
          <cell r="A110">
            <v>1752</v>
          </cell>
        </row>
        <row r="111">
          <cell r="A111">
            <v>1761</v>
          </cell>
        </row>
        <row r="112">
          <cell r="A112">
            <v>1771</v>
          </cell>
        </row>
        <row r="113">
          <cell r="A113">
            <v>1781</v>
          </cell>
        </row>
        <row r="114">
          <cell r="A114">
            <v>1791</v>
          </cell>
        </row>
        <row r="115">
          <cell r="A115">
            <v>1793</v>
          </cell>
        </row>
        <row r="116">
          <cell r="A116">
            <v>1794</v>
          </cell>
        </row>
        <row r="117">
          <cell r="A117">
            <v>1795</v>
          </cell>
        </row>
        <row r="118">
          <cell r="A118">
            <v>1796</v>
          </cell>
        </row>
        <row r="119">
          <cell r="A119">
            <v>1799</v>
          </cell>
        </row>
        <row r="120">
          <cell r="A120">
            <v>2011</v>
          </cell>
        </row>
        <row r="121">
          <cell r="A121">
            <v>2013</v>
          </cell>
        </row>
        <row r="122">
          <cell r="A122">
            <v>2015</v>
          </cell>
        </row>
        <row r="123">
          <cell r="A123">
            <v>2021</v>
          </cell>
        </row>
        <row r="124">
          <cell r="A124">
            <v>2022</v>
          </cell>
        </row>
        <row r="125">
          <cell r="A125">
            <v>2023</v>
          </cell>
        </row>
        <row r="126">
          <cell r="A126">
            <v>2024</v>
          </cell>
        </row>
        <row r="127">
          <cell r="A127">
            <v>2026</v>
          </cell>
        </row>
        <row r="128">
          <cell r="A128">
            <v>2032</v>
          </cell>
        </row>
        <row r="129">
          <cell r="A129">
            <v>2033</v>
          </cell>
        </row>
        <row r="130">
          <cell r="A130">
            <v>2034</v>
          </cell>
        </row>
        <row r="131">
          <cell r="A131">
            <v>2035</v>
          </cell>
        </row>
        <row r="132">
          <cell r="A132">
            <v>2037</v>
          </cell>
        </row>
        <row r="133">
          <cell r="A133">
            <v>2038</v>
          </cell>
        </row>
        <row r="134">
          <cell r="A134">
            <v>2041</v>
          </cell>
        </row>
        <row r="135">
          <cell r="A135">
            <v>2043</v>
          </cell>
        </row>
        <row r="136">
          <cell r="A136">
            <v>2044</v>
          </cell>
        </row>
        <row r="137">
          <cell r="A137">
            <v>2045</v>
          </cell>
        </row>
        <row r="138">
          <cell r="A138">
            <v>2046</v>
          </cell>
        </row>
        <row r="139">
          <cell r="A139">
            <v>2047</v>
          </cell>
        </row>
        <row r="140">
          <cell r="A140">
            <v>2048</v>
          </cell>
        </row>
        <row r="141">
          <cell r="A141">
            <v>2051</v>
          </cell>
        </row>
        <row r="142">
          <cell r="A142">
            <v>2052</v>
          </cell>
        </row>
        <row r="143">
          <cell r="A143">
            <v>2053</v>
          </cell>
        </row>
        <row r="144">
          <cell r="A144">
            <v>2061</v>
          </cell>
        </row>
        <row r="145">
          <cell r="A145">
            <v>2062</v>
          </cell>
        </row>
        <row r="146">
          <cell r="A146">
            <v>2063</v>
          </cell>
        </row>
        <row r="147">
          <cell r="A147">
            <v>2064</v>
          </cell>
        </row>
        <row r="148">
          <cell r="A148">
            <v>2066</v>
          </cell>
        </row>
        <row r="149">
          <cell r="A149">
            <v>2067</v>
          </cell>
        </row>
        <row r="150">
          <cell r="A150">
            <v>2068</v>
          </cell>
        </row>
        <row r="151">
          <cell r="A151">
            <v>2074</v>
          </cell>
        </row>
        <row r="152">
          <cell r="A152">
            <v>2075</v>
          </cell>
        </row>
        <row r="153">
          <cell r="A153">
            <v>2076</v>
          </cell>
        </row>
        <row r="154">
          <cell r="A154">
            <v>2077</v>
          </cell>
        </row>
        <row r="155">
          <cell r="A155">
            <v>2079</v>
          </cell>
        </row>
        <row r="156">
          <cell r="A156">
            <v>2082</v>
          </cell>
        </row>
        <row r="157">
          <cell r="A157">
            <v>2083</v>
          </cell>
        </row>
        <row r="158">
          <cell r="A158">
            <v>2084</v>
          </cell>
        </row>
        <row r="159">
          <cell r="A159">
            <v>2085</v>
          </cell>
        </row>
        <row r="160">
          <cell r="A160">
            <v>2086</v>
          </cell>
        </row>
        <row r="161">
          <cell r="A161">
            <v>2087</v>
          </cell>
        </row>
        <row r="162">
          <cell r="A162">
            <v>2091</v>
          </cell>
        </row>
        <row r="163">
          <cell r="A163">
            <v>2092</v>
          </cell>
        </row>
        <row r="164">
          <cell r="A164">
            <v>2095</v>
          </cell>
        </row>
        <row r="165">
          <cell r="A165">
            <v>2096</v>
          </cell>
        </row>
        <row r="166">
          <cell r="A166">
            <v>2097</v>
          </cell>
        </row>
        <row r="167">
          <cell r="A167">
            <v>2098</v>
          </cell>
        </row>
        <row r="168">
          <cell r="A168">
            <v>2099</v>
          </cell>
        </row>
        <row r="169">
          <cell r="A169">
            <v>2111</v>
          </cell>
        </row>
        <row r="170">
          <cell r="A170">
            <v>2121</v>
          </cell>
        </row>
        <row r="171">
          <cell r="A171">
            <v>2131</v>
          </cell>
        </row>
        <row r="172">
          <cell r="A172">
            <v>2141</v>
          </cell>
        </row>
        <row r="173">
          <cell r="A173">
            <v>2211</v>
          </cell>
        </row>
        <row r="174">
          <cell r="A174">
            <v>2221</v>
          </cell>
        </row>
        <row r="175">
          <cell r="A175">
            <v>2231</v>
          </cell>
        </row>
        <row r="176">
          <cell r="A176">
            <v>2241</v>
          </cell>
        </row>
        <row r="177">
          <cell r="A177">
            <v>2251</v>
          </cell>
        </row>
        <row r="178">
          <cell r="A178">
            <v>2252</v>
          </cell>
        </row>
        <row r="179">
          <cell r="A179">
            <v>2253</v>
          </cell>
        </row>
        <row r="180">
          <cell r="A180">
            <v>2254</v>
          </cell>
        </row>
        <row r="181">
          <cell r="A181">
            <v>2257</v>
          </cell>
        </row>
        <row r="182">
          <cell r="A182">
            <v>2258</v>
          </cell>
        </row>
        <row r="183">
          <cell r="A183">
            <v>2259</v>
          </cell>
        </row>
        <row r="184">
          <cell r="A184">
            <v>2261</v>
          </cell>
        </row>
        <row r="185">
          <cell r="A185">
            <v>2262</v>
          </cell>
        </row>
        <row r="186">
          <cell r="A186">
            <v>2269</v>
          </cell>
        </row>
        <row r="187">
          <cell r="A187">
            <v>2273</v>
          </cell>
        </row>
        <row r="188">
          <cell r="A188">
            <v>2281</v>
          </cell>
        </row>
        <row r="189">
          <cell r="A189">
            <v>2282</v>
          </cell>
        </row>
        <row r="190">
          <cell r="A190">
            <v>2284</v>
          </cell>
        </row>
        <row r="191">
          <cell r="A191">
            <v>2295</v>
          </cell>
        </row>
        <row r="192">
          <cell r="A192">
            <v>2296</v>
          </cell>
        </row>
        <row r="193">
          <cell r="A193">
            <v>2297</v>
          </cell>
        </row>
        <row r="194">
          <cell r="A194">
            <v>2298</v>
          </cell>
        </row>
        <row r="195">
          <cell r="A195">
            <v>2299</v>
          </cell>
        </row>
        <row r="196">
          <cell r="A196">
            <v>2311</v>
          </cell>
        </row>
        <row r="197">
          <cell r="A197">
            <v>2321</v>
          </cell>
        </row>
        <row r="198">
          <cell r="A198">
            <v>2322</v>
          </cell>
        </row>
        <row r="199">
          <cell r="A199">
            <v>2323</v>
          </cell>
        </row>
        <row r="200">
          <cell r="A200">
            <v>2325</v>
          </cell>
        </row>
        <row r="201">
          <cell r="A201">
            <v>2326</v>
          </cell>
        </row>
        <row r="202">
          <cell r="A202">
            <v>2329</v>
          </cell>
        </row>
        <row r="203">
          <cell r="A203">
            <v>2331</v>
          </cell>
        </row>
        <row r="204">
          <cell r="A204">
            <v>2335</v>
          </cell>
        </row>
        <row r="205">
          <cell r="A205">
            <v>2337</v>
          </cell>
        </row>
        <row r="206">
          <cell r="A206">
            <v>2339</v>
          </cell>
        </row>
        <row r="207">
          <cell r="A207">
            <v>2341</v>
          </cell>
        </row>
        <row r="208">
          <cell r="A208">
            <v>2342</v>
          </cell>
        </row>
        <row r="209">
          <cell r="A209">
            <v>2353</v>
          </cell>
        </row>
        <row r="210">
          <cell r="A210">
            <v>2361</v>
          </cell>
        </row>
        <row r="211">
          <cell r="A211">
            <v>2369</v>
          </cell>
        </row>
        <row r="212">
          <cell r="A212">
            <v>2371</v>
          </cell>
        </row>
        <row r="213">
          <cell r="A213">
            <v>2381</v>
          </cell>
        </row>
        <row r="214">
          <cell r="A214">
            <v>2384</v>
          </cell>
        </row>
        <row r="215">
          <cell r="A215">
            <v>2385</v>
          </cell>
        </row>
        <row r="216">
          <cell r="A216">
            <v>2386</v>
          </cell>
        </row>
        <row r="217">
          <cell r="A217">
            <v>2387</v>
          </cell>
        </row>
        <row r="218">
          <cell r="A218">
            <v>2389</v>
          </cell>
        </row>
        <row r="219">
          <cell r="A219">
            <v>2391</v>
          </cell>
        </row>
        <row r="220">
          <cell r="A220">
            <v>2392</v>
          </cell>
        </row>
        <row r="221">
          <cell r="A221">
            <v>2393</v>
          </cell>
        </row>
        <row r="222">
          <cell r="A222">
            <v>2394</v>
          </cell>
        </row>
        <row r="223">
          <cell r="A223">
            <v>2395</v>
          </cell>
        </row>
        <row r="224">
          <cell r="A224">
            <v>2396</v>
          </cell>
        </row>
        <row r="225">
          <cell r="A225">
            <v>2397</v>
          </cell>
        </row>
        <row r="226">
          <cell r="A226">
            <v>2399</v>
          </cell>
        </row>
        <row r="227">
          <cell r="A227">
            <v>2411</v>
          </cell>
        </row>
        <row r="228">
          <cell r="A228">
            <v>2421</v>
          </cell>
        </row>
        <row r="229">
          <cell r="A229">
            <v>2426</v>
          </cell>
        </row>
        <row r="230">
          <cell r="A230">
            <v>2429</v>
          </cell>
        </row>
        <row r="231">
          <cell r="A231">
            <v>2431</v>
          </cell>
        </row>
        <row r="232">
          <cell r="A232">
            <v>2434</v>
          </cell>
        </row>
        <row r="233">
          <cell r="A233">
            <v>2435</v>
          </cell>
        </row>
        <row r="234">
          <cell r="A234">
            <v>2436</v>
          </cell>
        </row>
        <row r="235">
          <cell r="A235">
            <v>2439</v>
          </cell>
        </row>
        <row r="236">
          <cell r="A236">
            <v>2441</v>
          </cell>
        </row>
        <row r="237">
          <cell r="A237">
            <v>2448</v>
          </cell>
        </row>
        <row r="238">
          <cell r="A238">
            <v>2449</v>
          </cell>
        </row>
        <row r="239">
          <cell r="A239">
            <v>2451</v>
          </cell>
        </row>
        <row r="240">
          <cell r="A240">
            <v>2452</v>
          </cell>
        </row>
        <row r="241">
          <cell r="A241">
            <v>2491</v>
          </cell>
        </row>
        <row r="242">
          <cell r="A242">
            <v>2493</v>
          </cell>
        </row>
        <row r="243">
          <cell r="A243">
            <v>2499</v>
          </cell>
        </row>
        <row r="244">
          <cell r="A244">
            <v>2511</v>
          </cell>
        </row>
        <row r="245">
          <cell r="A245">
            <v>2512</v>
          </cell>
        </row>
        <row r="246">
          <cell r="A246">
            <v>2514</v>
          </cell>
        </row>
        <row r="247">
          <cell r="A247">
            <v>2515</v>
          </cell>
        </row>
        <row r="248">
          <cell r="A248">
            <v>2517</v>
          </cell>
        </row>
        <row r="249">
          <cell r="A249">
            <v>2519</v>
          </cell>
        </row>
        <row r="250">
          <cell r="A250">
            <v>2521</v>
          </cell>
        </row>
        <row r="251">
          <cell r="A251">
            <v>2522</v>
          </cell>
        </row>
        <row r="252">
          <cell r="A252">
            <v>2531</v>
          </cell>
        </row>
        <row r="253">
          <cell r="A253">
            <v>2541</v>
          </cell>
        </row>
        <row r="254">
          <cell r="A254">
            <v>2542</v>
          </cell>
        </row>
        <row r="255">
          <cell r="A255">
            <v>2591</v>
          </cell>
        </row>
        <row r="256">
          <cell r="A256">
            <v>2599</v>
          </cell>
        </row>
        <row r="257">
          <cell r="A257">
            <v>2611</v>
          </cell>
        </row>
        <row r="258">
          <cell r="A258">
            <v>2621</v>
          </cell>
        </row>
        <row r="259">
          <cell r="A259">
            <v>2631</v>
          </cell>
        </row>
        <row r="260">
          <cell r="A260">
            <v>2652</v>
          </cell>
        </row>
        <row r="261">
          <cell r="A261">
            <v>2653</v>
          </cell>
        </row>
        <row r="262">
          <cell r="A262">
            <v>2655</v>
          </cell>
        </row>
        <row r="263">
          <cell r="A263">
            <v>2656</v>
          </cell>
        </row>
        <row r="264">
          <cell r="A264">
            <v>2657</v>
          </cell>
        </row>
        <row r="265">
          <cell r="A265">
            <v>2671</v>
          </cell>
        </row>
        <row r="266">
          <cell r="A266">
            <v>2672</v>
          </cell>
        </row>
        <row r="267">
          <cell r="A267">
            <v>2673</v>
          </cell>
        </row>
        <row r="268">
          <cell r="A268">
            <v>2674</v>
          </cell>
        </row>
        <row r="269">
          <cell r="A269">
            <v>2675</v>
          </cell>
        </row>
        <row r="270">
          <cell r="A270">
            <v>2676</v>
          </cell>
        </row>
        <row r="271">
          <cell r="A271">
            <v>2677</v>
          </cell>
        </row>
        <row r="272">
          <cell r="A272">
            <v>2678</v>
          </cell>
        </row>
        <row r="273">
          <cell r="A273">
            <v>2679</v>
          </cell>
        </row>
        <row r="274">
          <cell r="A274">
            <v>2711</v>
          </cell>
        </row>
        <row r="275">
          <cell r="A275">
            <v>2721</v>
          </cell>
        </row>
        <row r="276">
          <cell r="A276">
            <v>2731</v>
          </cell>
        </row>
        <row r="277">
          <cell r="A277">
            <v>2732</v>
          </cell>
        </row>
        <row r="278">
          <cell r="A278">
            <v>2741</v>
          </cell>
        </row>
        <row r="279">
          <cell r="A279">
            <v>2752</v>
          </cell>
        </row>
        <row r="280">
          <cell r="A280">
            <v>2754</v>
          </cell>
        </row>
        <row r="281">
          <cell r="A281">
            <v>2759</v>
          </cell>
        </row>
        <row r="282">
          <cell r="A282">
            <v>2761</v>
          </cell>
        </row>
        <row r="283">
          <cell r="A283">
            <v>2771</v>
          </cell>
        </row>
        <row r="284">
          <cell r="A284">
            <v>2782</v>
          </cell>
        </row>
        <row r="285">
          <cell r="A285">
            <v>2789</v>
          </cell>
        </row>
        <row r="286">
          <cell r="A286">
            <v>2791</v>
          </cell>
        </row>
        <row r="287">
          <cell r="A287">
            <v>2796</v>
          </cell>
        </row>
        <row r="288">
          <cell r="A288">
            <v>2812</v>
          </cell>
        </row>
        <row r="289">
          <cell r="A289">
            <v>2813</v>
          </cell>
        </row>
        <row r="290">
          <cell r="A290">
            <v>2816</v>
          </cell>
        </row>
        <row r="291">
          <cell r="A291">
            <v>2819</v>
          </cell>
        </row>
        <row r="292">
          <cell r="A292">
            <v>2821</v>
          </cell>
        </row>
        <row r="293">
          <cell r="A293">
            <v>2822</v>
          </cell>
        </row>
        <row r="294">
          <cell r="A294">
            <v>2823</v>
          </cell>
        </row>
        <row r="295">
          <cell r="A295">
            <v>2824</v>
          </cell>
        </row>
        <row r="296">
          <cell r="A296">
            <v>2833</v>
          </cell>
        </row>
        <row r="297">
          <cell r="A297">
            <v>2834</v>
          </cell>
        </row>
        <row r="298">
          <cell r="A298">
            <v>2835</v>
          </cell>
        </row>
        <row r="299">
          <cell r="A299">
            <v>2836</v>
          </cell>
        </row>
        <row r="300">
          <cell r="A300">
            <v>2841</v>
          </cell>
        </row>
        <row r="301">
          <cell r="A301">
            <v>2842</v>
          </cell>
        </row>
        <row r="302">
          <cell r="A302">
            <v>2843</v>
          </cell>
        </row>
        <row r="303">
          <cell r="A303">
            <v>2844</v>
          </cell>
        </row>
        <row r="304">
          <cell r="A304">
            <v>2851</v>
          </cell>
        </row>
        <row r="305">
          <cell r="A305">
            <v>2861</v>
          </cell>
        </row>
        <row r="306">
          <cell r="A306">
            <v>2865</v>
          </cell>
        </row>
        <row r="307">
          <cell r="A307">
            <v>2869</v>
          </cell>
        </row>
        <row r="308">
          <cell r="A308">
            <v>2873</v>
          </cell>
        </row>
        <row r="309">
          <cell r="A309">
            <v>2874</v>
          </cell>
        </row>
        <row r="310">
          <cell r="A310">
            <v>2875</v>
          </cell>
        </row>
        <row r="311">
          <cell r="A311">
            <v>2879</v>
          </cell>
        </row>
        <row r="312">
          <cell r="A312">
            <v>2891</v>
          </cell>
        </row>
        <row r="313">
          <cell r="A313">
            <v>2892</v>
          </cell>
        </row>
        <row r="314">
          <cell r="A314">
            <v>2893</v>
          </cell>
        </row>
        <row r="315">
          <cell r="A315">
            <v>2895</v>
          </cell>
        </row>
        <row r="316">
          <cell r="A316">
            <v>2899</v>
          </cell>
        </row>
        <row r="317">
          <cell r="A317">
            <v>2911</v>
          </cell>
        </row>
        <row r="318">
          <cell r="A318">
            <v>2951</v>
          </cell>
        </row>
        <row r="319">
          <cell r="A319">
            <v>2952</v>
          </cell>
        </row>
        <row r="320">
          <cell r="A320">
            <v>2992</v>
          </cell>
        </row>
        <row r="321">
          <cell r="A321">
            <v>2999</v>
          </cell>
        </row>
        <row r="322">
          <cell r="A322">
            <v>3011</v>
          </cell>
        </row>
        <row r="323">
          <cell r="A323">
            <v>3021</v>
          </cell>
        </row>
        <row r="324">
          <cell r="A324">
            <v>3052</v>
          </cell>
        </row>
        <row r="325">
          <cell r="A325">
            <v>3053</v>
          </cell>
        </row>
        <row r="326">
          <cell r="A326">
            <v>3061</v>
          </cell>
        </row>
        <row r="327">
          <cell r="A327">
            <v>3069</v>
          </cell>
        </row>
        <row r="328">
          <cell r="A328">
            <v>3081</v>
          </cell>
        </row>
        <row r="329">
          <cell r="A329">
            <v>3082</v>
          </cell>
        </row>
        <row r="330">
          <cell r="A330">
            <v>3083</v>
          </cell>
        </row>
        <row r="331">
          <cell r="A331">
            <v>3084</v>
          </cell>
        </row>
        <row r="332">
          <cell r="A332">
            <v>3085</v>
          </cell>
        </row>
        <row r="333">
          <cell r="A333">
            <v>3086</v>
          </cell>
        </row>
        <row r="334">
          <cell r="A334">
            <v>3087</v>
          </cell>
        </row>
        <row r="335">
          <cell r="A335">
            <v>3088</v>
          </cell>
        </row>
        <row r="336">
          <cell r="A336">
            <v>3089</v>
          </cell>
        </row>
        <row r="337">
          <cell r="A337">
            <v>3111</v>
          </cell>
        </row>
        <row r="338">
          <cell r="A338">
            <v>3131</v>
          </cell>
        </row>
        <row r="339">
          <cell r="A339">
            <v>3142</v>
          </cell>
        </row>
        <row r="340">
          <cell r="A340">
            <v>3143</v>
          </cell>
        </row>
        <row r="341">
          <cell r="A341">
            <v>3144</v>
          </cell>
        </row>
        <row r="342">
          <cell r="A342">
            <v>3149</v>
          </cell>
        </row>
        <row r="343">
          <cell r="A343">
            <v>3151</v>
          </cell>
        </row>
        <row r="344">
          <cell r="A344">
            <v>3161</v>
          </cell>
        </row>
        <row r="345">
          <cell r="A345">
            <v>3171</v>
          </cell>
        </row>
        <row r="346">
          <cell r="A346">
            <v>3172</v>
          </cell>
        </row>
        <row r="347">
          <cell r="A347">
            <v>3199</v>
          </cell>
        </row>
        <row r="348">
          <cell r="A348">
            <v>3211</v>
          </cell>
        </row>
        <row r="349">
          <cell r="A349">
            <v>3221</v>
          </cell>
        </row>
        <row r="350">
          <cell r="A350">
            <v>3229</v>
          </cell>
        </row>
        <row r="351">
          <cell r="A351">
            <v>3231</v>
          </cell>
        </row>
        <row r="352">
          <cell r="A352">
            <v>3241</v>
          </cell>
        </row>
        <row r="353">
          <cell r="A353">
            <v>3251</v>
          </cell>
        </row>
        <row r="354">
          <cell r="A354">
            <v>3253</v>
          </cell>
        </row>
        <row r="355">
          <cell r="A355">
            <v>3255</v>
          </cell>
        </row>
        <row r="356">
          <cell r="A356">
            <v>3259</v>
          </cell>
        </row>
        <row r="357">
          <cell r="A357">
            <v>3261</v>
          </cell>
        </row>
        <row r="358">
          <cell r="A358">
            <v>3262</v>
          </cell>
        </row>
        <row r="359">
          <cell r="A359">
            <v>3263</v>
          </cell>
        </row>
        <row r="360">
          <cell r="A360">
            <v>3264</v>
          </cell>
        </row>
        <row r="361">
          <cell r="A361">
            <v>3269</v>
          </cell>
        </row>
        <row r="362">
          <cell r="A362">
            <v>3271</v>
          </cell>
        </row>
        <row r="363">
          <cell r="A363">
            <v>3272</v>
          </cell>
        </row>
        <row r="364">
          <cell r="A364">
            <v>3273</v>
          </cell>
        </row>
        <row r="365">
          <cell r="A365">
            <v>3274</v>
          </cell>
        </row>
        <row r="366">
          <cell r="A366">
            <v>3275</v>
          </cell>
        </row>
        <row r="367">
          <cell r="A367">
            <v>3281</v>
          </cell>
        </row>
        <row r="368">
          <cell r="A368">
            <v>3291</v>
          </cell>
        </row>
        <row r="369">
          <cell r="A369">
            <v>3292</v>
          </cell>
        </row>
        <row r="370">
          <cell r="A370">
            <v>3295</v>
          </cell>
        </row>
        <row r="371">
          <cell r="A371">
            <v>3296</v>
          </cell>
        </row>
        <row r="372">
          <cell r="A372">
            <v>3297</v>
          </cell>
        </row>
        <row r="373">
          <cell r="A373">
            <v>3299</v>
          </cell>
        </row>
        <row r="374">
          <cell r="A374">
            <v>3312</v>
          </cell>
        </row>
        <row r="375">
          <cell r="A375">
            <v>3313</v>
          </cell>
        </row>
        <row r="376">
          <cell r="A376">
            <v>3315</v>
          </cell>
        </row>
        <row r="377">
          <cell r="A377">
            <v>3316</v>
          </cell>
        </row>
        <row r="378">
          <cell r="A378">
            <v>3317</v>
          </cell>
        </row>
        <row r="379">
          <cell r="A379">
            <v>3321</v>
          </cell>
        </row>
        <row r="380">
          <cell r="A380">
            <v>3322</v>
          </cell>
        </row>
        <row r="381">
          <cell r="A381">
            <v>3324</v>
          </cell>
        </row>
        <row r="382">
          <cell r="A382">
            <v>3325</v>
          </cell>
        </row>
        <row r="383">
          <cell r="A383">
            <v>3331</v>
          </cell>
        </row>
        <row r="384">
          <cell r="A384">
            <v>3334</v>
          </cell>
        </row>
        <row r="385">
          <cell r="A385">
            <v>3339</v>
          </cell>
        </row>
        <row r="386">
          <cell r="A386">
            <v>3341</v>
          </cell>
        </row>
        <row r="387">
          <cell r="A387">
            <v>3351</v>
          </cell>
        </row>
        <row r="388">
          <cell r="A388">
            <v>3353</v>
          </cell>
        </row>
        <row r="389">
          <cell r="A389">
            <v>3354</v>
          </cell>
        </row>
        <row r="390">
          <cell r="A390">
            <v>3355</v>
          </cell>
        </row>
        <row r="391">
          <cell r="A391">
            <v>3356</v>
          </cell>
        </row>
        <row r="392">
          <cell r="A392">
            <v>3357</v>
          </cell>
        </row>
        <row r="393">
          <cell r="A393">
            <v>3363</v>
          </cell>
        </row>
        <row r="394">
          <cell r="A394">
            <v>3364</v>
          </cell>
        </row>
        <row r="395">
          <cell r="A395">
            <v>3365</v>
          </cell>
        </row>
        <row r="396">
          <cell r="A396">
            <v>3366</v>
          </cell>
        </row>
        <row r="397">
          <cell r="A397">
            <v>3369</v>
          </cell>
        </row>
        <row r="398">
          <cell r="A398">
            <v>3398</v>
          </cell>
        </row>
        <row r="399">
          <cell r="A399">
            <v>3399</v>
          </cell>
        </row>
        <row r="400">
          <cell r="A400">
            <v>3411</v>
          </cell>
        </row>
        <row r="401">
          <cell r="A401">
            <v>3412</v>
          </cell>
        </row>
        <row r="402">
          <cell r="A402">
            <v>3421</v>
          </cell>
        </row>
        <row r="403">
          <cell r="A403">
            <v>3423</v>
          </cell>
        </row>
        <row r="404">
          <cell r="A404">
            <v>3425</v>
          </cell>
        </row>
        <row r="405">
          <cell r="A405">
            <v>3429</v>
          </cell>
        </row>
        <row r="406">
          <cell r="A406">
            <v>3431</v>
          </cell>
        </row>
        <row r="407">
          <cell r="A407">
            <v>3432</v>
          </cell>
        </row>
        <row r="408">
          <cell r="A408">
            <v>3433</v>
          </cell>
        </row>
        <row r="409">
          <cell r="A409">
            <v>3441</v>
          </cell>
        </row>
        <row r="410">
          <cell r="A410">
            <v>3442</v>
          </cell>
        </row>
        <row r="411">
          <cell r="A411">
            <v>3443</v>
          </cell>
        </row>
        <row r="412">
          <cell r="A412">
            <v>3444</v>
          </cell>
        </row>
        <row r="413">
          <cell r="A413">
            <v>3446</v>
          </cell>
        </row>
        <row r="414">
          <cell r="A414">
            <v>3448</v>
          </cell>
        </row>
        <row r="415">
          <cell r="A415">
            <v>3449</v>
          </cell>
        </row>
        <row r="416">
          <cell r="A416">
            <v>3451</v>
          </cell>
        </row>
        <row r="417">
          <cell r="A417">
            <v>3452</v>
          </cell>
        </row>
        <row r="418">
          <cell r="A418">
            <v>3462</v>
          </cell>
        </row>
        <row r="419">
          <cell r="A419">
            <v>3463</v>
          </cell>
        </row>
        <row r="420">
          <cell r="A420">
            <v>3465</v>
          </cell>
        </row>
        <row r="421">
          <cell r="A421">
            <v>3466</v>
          </cell>
        </row>
        <row r="422">
          <cell r="A422">
            <v>3469</v>
          </cell>
        </row>
        <row r="423">
          <cell r="A423">
            <v>3471</v>
          </cell>
        </row>
        <row r="424">
          <cell r="A424">
            <v>3479</v>
          </cell>
        </row>
        <row r="425">
          <cell r="A425">
            <v>3482</v>
          </cell>
        </row>
        <row r="426">
          <cell r="A426">
            <v>3483</v>
          </cell>
        </row>
        <row r="427">
          <cell r="A427">
            <v>3484</v>
          </cell>
        </row>
        <row r="428">
          <cell r="A428">
            <v>3489</v>
          </cell>
        </row>
        <row r="429">
          <cell r="A429">
            <v>3491</v>
          </cell>
        </row>
        <row r="430">
          <cell r="A430">
            <v>3492</v>
          </cell>
        </row>
        <row r="431">
          <cell r="A431">
            <v>3493</v>
          </cell>
        </row>
        <row r="432">
          <cell r="A432">
            <v>3494</v>
          </cell>
        </row>
        <row r="433">
          <cell r="A433">
            <v>3495</v>
          </cell>
        </row>
        <row r="434">
          <cell r="A434">
            <v>3496</v>
          </cell>
        </row>
        <row r="435">
          <cell r="A435">
            <v>3497</v>
          </cell>
        </row>
        <row r="436">
          <cell r="A436">
            <v>3498</v>
          </cell>
        </row>
        <row r="437">
          <cell r="A437">
            <v>3499</v>
          </cell>
        </row>
        <row r="438">
          <cell r="A438">
            <v>3511</v>
          </cell>
        </row>
        <row r="439">
          <cell r="A439">
            <v>3519</v>
          </cell>
        </row>
        <row r="440">
          <cell r="A440">
            <v>3523</v>
          </cell>
        </row>
        <row r="441">
          <cell r="A441">
            <v>3524</v>
          </cell>
        </row>
        <row r="442">
          <cell r="A442">
            <v>3531</v>
          </cell>
        </row>
        <row r="443">
          <cell r="A443">
            <v>3532</v>
          </cell>
        </row>
        <row r="444">
          <cell r="A444">
            <v>3533</v>
          </cell>
        </row>
        <row r="445">
          <cell r="A445">
            <v>3534</v>
          </cell>
        </row>
        <row r="446">
          <cell r="A446">
            <v>3535</v>
          </cell>
        </row>
        <row r="447">
          <cell r="A447">
            <v>3536</v>
          </cell>
        </row>
        <row r="448">
          <cell r="A448">
            <v>3537</v>
          </cell>
        </row>
        <row r="449">
          <cell r="A449">
            <v>3541</v>
          </cell>
        </row>
        <row r="450">
          <cell r="A450">
            <v>3542</v>
          </cell>
        </row>
        <row r="451">
          <cell r="A451">
            <v>3543</v>
          </cell>
        </row>
        <row r="452">
          <cell r="A452">
            <v>3544</v>
          </cell>
        </row>
        <row r="453">
          <cell r="A453">
            <v>3545</v>
          </cell>
        </row>
        <row r="454">
          <cell r="A454">
            <v>3546</v>
          </cell>
        </row>
        <row r="455">
          <cell r="A455">
            <v>3547</v>
          </cell>
        </row>
        <row r="456">
          <cell r="A456">
            <v>3548</v>
          </cell>
        </row>
        <row r="457">
          <cell r="A457">
            <v>3549</v>
          </cell>
        </row>
        <row r="458">
          <cell r="A458">
            <v>3552</v>
          </cell>
        </row>
        <row r="459">
          <cell r="A459">
            <v>3553</v>
          </cell>
        </row>
        <row r="460">
          <cell r="A460">
            <v>3554</v>
          </cell>
        </row>
        <row r="461">
          <cell r="A461">
            <v>3555</v>
          </cell>
        </row>
        <row r="462">
          <cell r="A462">
            <v>3556</v>
          </cell>
        </row>
        <row r="463">
          <cell r="A463">
            <v>3559</v>
          </cell>
        </row>
        <row r="464">
          <cell r="A464">
            <v>3561</v>
          </cell>
        </row>
        <row r="465">
          <cell r="A465">
            <v>3562</v>
          </cell>
        </row>
        <row r="466">
          <cell r="A466">
            <v>3563</v>
          </cell>
        </row>
        <row r="467">
          <cell r="A467">
            <v>3564</v>
          </cell>
        </row>
        <row r="468">
          <cell r="A468">
            <v>3565</v>
          </cell>
        </row>
        <row r="469">
          <cell r="A469">
            <v>3566</v>
          </cell>
        </row>
        <row r="470">
          <cell r="A470">
            <v>3567</v>
          </cell>
        </row>
        <row r="471">
          <cell r="A471">
            <v>3568</v>
          </cell>
        </row>
        <row r="472">
          <cell r="A472">
            <v>3569</v>
          </cell>
        </row>
        <row r="473">
          <cell r="A473">
            <v>3571</v>
          </cell>
        </row>
        <row r="474">
          <cell r="A474">
            <v>3572</v>
          </cell>
        </row>
        <row r="475">
          <cell r="A475">
            <v>3575</v>
          </cell>
        </row>
        <row r="476">
          <cell r="A476">
            <v>3577</v>
          </cell>
        </row>
        <row r="477">
          <cell r="A477">
            <v>3578</v>
          </cell>
        </row>
        <row r="478">
          <cell r="A478">
            <v>3579</v>
          </cell>
        </row>
        <row r="479">
          <cell r="A479">
            <v>3581</v>
          </cell>
        </row>
        <row r="480">
          <cell r="A480">
            <v>3582</v>
          </cell>
        </row>
        <row r="481">
          <cell r="A481">
            <v>3585</v>
          </cell>
        </row>
        <row r="482">
          <cell r="A482">
            <v>3586</v>
          </cell>
        </row>
        <row r="483">
          <cell r="A483">
            <v>3589</v>
          </cell>
        </row>
        <row r="484">
          <cell r="A484">
            <v>3592</v>
          </cell>
        </row>
        <row r="485">
          <cell r="A485">
            <v>3593</v>
          </cell>
        </row>
        <row r="486">
          <cell r="A486">
            <v>3594</v>
          </cell>
        </row>
        <row r="487">
          <cell r="A487">
            <v>3596</v>
          </cell>
        </row>
        <row r="488">
          <cell r="A488">
            <v>3599</v>
          </cell>
        </row>
        <row r="489">
          <cell r="A489">
            <v>3612</v>
          </cell>
        </row>
        <row r="490">
          <cell r="A490">
            <v>3613</v>
          </cell>
        </row>
        <row r="491">
          <cell r="A491">
            <v>3621</v>
          </cell>
        </row>
        <row r="492">
          <cell r="A492">
            <v>3624</v>
          </cell>
        </row>
        <row r="493">
          <cell r="A493">
            <v>3625</v>
          </cell>
        </row>
        <row r="494">
          <cell r="A494">
            <v>3629</v>
          </cell>
        </row>
        <row r="495">
          <cell r="A495">
            <v>3631</v>
          </cell>
        </row>
        <row r="496">
          <cell r="A496">
            <v>3632</v>
          </cell>
        </row>
        <row r="497">
          <cell r="A497">
            <v>3633</v>
          </cell>
        </row>
        <row r="498">
          <cell r="A498">
            <v>3634</v>
          </cell>
        </row>
        <row r="499">
          <cell r="A499">
            <v>3635</v>
          </cell>
        </row>
        <row r="500">
          <cell r="A500">
            <v>3639</v>
          </cell>
        </row>
        <row r="501">
          <cell r="A501">
            <v>3641</v>
          </cell>
        </row>
        <row r="502">
          <cell r="A502">
            <v>3643</v>
          </cell>
        </row>
        <row r="503">
          <cell r="A503">
            <v>3644</v>
          </cell>
        </row>
        <row r="504">
          <cell r="A504">
            <v>3645</v>
          </cell>
        </row>
        <row r="505">
          <cell r="A505">
            <v>3646</v>
          </cell>
        </row>
        <row r="506">
          <cell r="A506">
            <v>3647</v>
          </cell>
        </row>
        <row r="507">
          <cell r="A507">
            <v>3648</v>
          </cell>
        </row>
        <row r="508">
          <cell r="A508">
            <v>3651</v>
          </cell>
        </row>
        <row r="509">
          <cell r="A509">
            <v>3652</v>
          </cell>
        </row>
        <row r="510">
          <cell r="A510">
            <v>3661</v>
          </cell>
        </row>
        <row r="511">
          <cell r="A511">
            <v>3663</v>
          </cell>
        </row>
        <row r="512">
          <cell r="A512">
            <v>3669</v>
          </cell>
        </row>
        <row r="513">
          <cell r="A513">
            <v>3671</v>
          </cell>
        </row>
        <row r="514">
          <cell r="A514">
            <v>3672</v>
          </cell>
        </row>
        <row r="515">
          <cell r="A515">
            <v>3674</v>
          </cell>
        </row>
        <row r="516">
          <cell r="A516">
            <v>3675</v>
          </cell>
        </row>
        <row r="517">
          <cell r="A517">
            <v>3676</v>
          </cell>
        </row>
        <row r="518">
          <cell r="A518">
            <v>3677</v>
          </cell>
        </row>
        <row r="519">
          <cell r="A519">
            <v>3678</v>
          </cell>
        </row>
        <row r="520">
          <cell r="A520">
            <v>3679</v>
          </cell>
        </row>
        <row r="521">
          <cell r="A521">
            <v>3691</v>
          </cell>
        </row>
        <row r="522">
          <cell r="A522">
            <v>3692</v>
          </cell>
        </row>
        <row r="523">
          <cell r="A523">
            <v>3694</v>
          </cell>
        </row>
        <row r="524">
          <cell r="A524">
            <v>3695</v>
          </cell>
        </row>
        <row r="525">
          <cell r="A525">
            <v>3699</v>
          </cell>
        </row>
        <row r="526">
          <cell r="A526">
            <v>3711</v>
          </cell>
        </row>
        <row r="527">
          <cell r="A527">
            <v>3713</v>
          </cell>
        </row>
        <row r="528">
          <cell r="A528">
            <v>3714</v>
          </cell>
        </row>
        <row r="529">
          <cell r="A529">
            <v>3715</v>
          </cell>
        </row>
        <row r="530">
          <cell r="A530">
            <v>3716</v>
          </cell>
        </row>
        <row r="531">
          <cell r="A531">
            <v>3721</v>
          </cell>
        </row>
        <row r="532">
          <cell r="A532">
            <v>3724</v>
          </cell>
        </row>
        <row r="533">
          <cell r="A533">
            <v>3728</v>
          </cell>
        </row>
        <row r="534">
          <cell r="A534">
            <v>3731</v>
          </cell>
        </row>
        <row r="535">
          <cell r="A535">
            <v>3732</v>
          </cell>
        </row>
        <row r="536">
          <cell r="A536">
            <v>3743</v>
          </cell>
        </row>
        <row r="537">
          <cell r="A537">
            <v>3751</v>
          </cell>
        </row>
        <row r="538">
          <cell r="A538">
            <v>3761</v>
          </cell>
        </row>
        <row r="539">
          <cell r="A539">
            <v>3764</v>
          </cell>
        </row>
        <row r="540">
          <cell r="A540">
            <v>3769</v>
          </cell>
        </row>
        <row r="541">
          <cell r="A541">
            <v>3792</v>
          </cell>
        </row>
        <row r="542">
          <cell r="A542">
            <v>3795</v>
          </cell>
        </row>
        <row r="543">
          <cell r="A543">
            <v>3799</v>
          </cell>
        </row>
        <row r="544">
          <cell r="A544">
            <v>3812</v>
          </cell>
        </row>
        <row r="545">
          <cell r="A545">
            <v>3821</v>
          </cell>
        </row>
        <row r="546">
          <cell r="A546">
            <v>3822</v>
          </cell>
        </row>
        <row r="547">
          <cell r="A547">
            <v>3823</v>
          </cell>
        </row>
        <row r="548">
          <cell r="A548">
            <v>3824</v>
          </cell>
        </row>
        <row r="549">
          <cell r="A549">
            <v>3825</v>
          </cell>
        </row>
        <row r="550">
          <cell r="A550">
            <v>3826</v>
          </cell>
        </row>
        <row r="551">
          <cell r="A551">
            <v>3827</v>
          </cell>
        </row>
        <row r="552">
          <cell r="A552">
            <v>3829</v>
          </cell>
        </row>
        <row r="553">
          <cell r="A553">
            <v>3841</v>
          </cell>
        </row>
        <row r="554">
          <cell r="A554">
            <v>3842</v>
          </cell>
        </row>
        <row r="555">
          <cell r="A555">
            <v>3843</v>
          </cell>
        </row>
        <row r="556">
          <cell r="A556">
            <v>3844</v>
          </cell>
        </row>
        <row r="557">
          <cell r="A557">
            <v>3845</v>
          </cell>
        </row>
        <row r="558">
          <cell r="A558">
            <v>3851</v>
          </cell>
        </row>
        <row r="559">
          <cell r="A559">
            <v>3861</v>
          </cell>
        </row>
        <row r="560">
          <cell r="A560">
            <v>3873</v>
          </cell>
        </row>
        <row r="561">
          <cell r="A561">
            <v>3911</v>
          </cell>
        </row>
        <row r="562">
          <cell r="A562">
            <v>3914</v>
          </cell>
        </row>
        <row r="563">
          <cell r="A563">
            <v>3915</v>
          </cell>
        </row>
        <row r="564">
          <cell r="A564">
            <v>3931</v>
          </cell>
        </row>
        <row r="565">
          <cell r="A565">
            <v>3942</v>
          </cell>
        </row>
        <row r="566">
          <cell r="A566">
            <v>3944</v>
          </cell>
        </row>
        <row r="567">
          <cell r="A567">
            <v>3949</v>
          </cell>
        </row>
        <row r="568">
          <cell r="A568">
            <v>3951</v>
          </cell>
        </row>
        <row r="569">
          <cell r="A569">
            <v>3952</v>
          </cell>
        </row>
        <row r="570">
          <cell r="A570">
            <v>3953</v>
          </cell>
        </row>
        <row r="571">
          <cell r="A571">
            <v>3955</v>
          </cell>
        </row>
        <row r="572">
          <cell r="A572">
            <v>3961</v>
          </cell>
        </row>
        <row r="573">
          <cell r="A573">
            <v>3965</v>
          </cell>
        </row>
        <row r="574">
          <cell r="A574">
            <v>3991</v>
          </cell>
        </row>
        <row r="575">
          <cell r="A575">
            <v>3993</v>
          </cell>
        </row>
        <row r="576">
          <cell r="A576">
            <v>3995</v>
          </cell>
        </row>
        <row r="577">
          <cell r="A577">
            <v>3996</v>
          </cell>
        </row>
        <row r="578">
          <cell r="A578">
            <v>3999</v>
          </cell>
        </row>
        <row r="579">
          <cell r="A579">
            <v>4011</v>
          </cell>
        </row>
        <row r="580">
          <cell r="A580">
            <v>4013</v>
          </cell>
        </row>
        <row r="581">
          <cell r="A581">
            <v>4111</v>
          </cell>
        </row>
        <row r="582">
          <cell r="A582">
            <v>4119</v>
          </cell>
        </row>
        <row r="583">
          <cell r="A583">
            <v>4121</v>
          </cell>
        </row>
        <row r="584">
          <cell r="A584">
            <v>4131</v>
          </cell>
        </row>
        <row r="585">
          <cell r="A585">
            <v>4141</v>
          </cell>
        </row>
        <row r="586">
          <cell r="A586">
            <v>4142</v>
          </cell>
        </row>
        <row r="587">
          <cell r="A587">
            <v>4151</v>
          </cell>
        </row>
        <row r="588">
          <cell r="A588">
            <v>4173</v>
          </cell>
        </row>
        <row r="589">
          <cell r="A589">
            <v>4212</v>
          </cell>
        </row>
        <row r="590">
          <cell r="A590">
            <v>4213</v>
          </cell>
        </row>
        <row r="591">
          <cell r="A591">
            <v>4214</v>
          </cell>
        </row>
        <row r="592">
          <cell r="A592">
            <v>4215</v>
          </cell>
        </row>
        <row r="593">
          <cell r="A593">
            <v>4221</v>
          </cell>
        </row>
        <row r="594">
          <cell r="A594">
            <v>4222</v>
          </cell>
        </row>
        <row r="595">
          <cell r="A595">
            <v>4225</v>
          </cell>
        </row>
        <row r="596">
          <cell r="A596">
            <v>4226</v>
          </cell>
        </row>
        <row r="597">
          <cell r="A597">
            <v>4231</v>
          </cell>
        </row>
        <row r="598">
          <cell r="A598">
            <v>4311</v>
          </cell>
        </row>
        <row r="599">
          <cell r="A599">
            <v>4412</v>
          </cell>
        </row>
        <row r="600">
          <cell r="A600">
            <v>4424</v>
          </cell>
        </row>
        <row r="601">
          <cell r="A601">
            <v>4432</v>
          </cell>
        </row>
        <row r="602">
          <cell r="A602">
            <v>4449</v>
          </cell>
        </row>
        <row r="603">
          <cell r="A603">
            <v>4481</v>
          </cell>
        </row>
        <row r="604">
          <cell r="A604">
            <v>4482</v>
          </cell>
        </row>
        <row r="605">
          <cell r="A605">
            <v>4489</v>
          </cell>
        </row>
        <row r="606">
          <cell r="A606">
            <v>4491</v>
          </cell>
        </row>
        <row r="607">
          <cell r="A607">
            <v>4492</v>
          </cell>
        </row>
        <row r="608">
          <cell r="A608">
            <v>4493</v>
          </cell>
        </row>
        <row r="609">
          <cell r="A609">
            <v>4499</v>
          </cell>
        </row>
        <row r="610">
          <cell r="A610">
            <v>4512</v>
          </cell>
        </row>
        <row r="611">
          <cell r="A611">
            <v>4513</v>
          </cell>
        </row>
        <row r="612">
          <cell r="A612">
            <v>4522</v>
          </cell>
        </row>
        <row r="613">
          <cell r="A613">
            <v>4581</v>
          </cell>
        </row>
        <row r="614">
          <cell r="A614">
            <v>4612</v>
          </cell>
        </row>
        <row r="615">
          <cell r="A615">
            <v>4613</v>
          </cell>
        </row>
        <row r="616">
          <cell r="A616">
            <v>4619</v>
          </cell>
        </row>
        <row r="617">
          <cell r="A617">
            <v>4724</v>
          </cell>
        </row>
        <row r="618">
          <cell r="A618">
            <v>4725</v>
          </cell>
        </row>
        <row r="619">
          <cell r="A619">
            <v>4729</v>
          </cell>
        </row>
        <row r="620">
          <cell r="A620">
            <v>4731</v>
          </cell>
        </row>
        <row r="621">
          <cell r="A621">
            <v>4741</v>
          </cell>
        </row>
        <row r="622">
          <cell r="A622">
            <v>4783</v>
          </cell>
        </row>
        <row r="623">
          <cell r="A623">
            <v>4785</v>
          </cell>
        </row>
        <row r="624">
          <cell r="A624">
            <v>4789</v>
          </cell>
        </row>
        <row r="625">
          <cell r="A625">
            <v>4812</v>
          </cell>
        </row>
        <row r="626">
          <cell r="A626">
            <v>4813</v>
          </cell>
        </row>
        <row r="627">
          <cell r="A627">
            <v>4822</v>
          </cell>
        </row>
        <row r="628">
          <cell r="A628">
            <v>4832</v>
          </cell>
        </row>
        <row r="629">
          <cell r="A629">
            <v>4833</v>
          </cell>
        </row>
        <row r="630">
          <cell r="A630">
            <v>4841</v>
          </cell>
        </row>
        <row r="631">
          <cell r="A631">
            <v>4899</v>
          </cell>
        </row>
        <row r="632">
          <cell r="A632">
            <v>4911</v>
          </cell>
        </row>
        <row r="633">
          <cell r="A633">
            <v>4922</v>
          </cell>
        </row>
        <row r="634">
          <cell r="A634">
            <v>4923</v>
          </cell>
        </row>
        <row r="635">
          <cell r="A635">
            <v>4924</v>
          </cell>
        </row>
        <row r="636">
          <cell r="A636">
            <v>4925</v>
          </cell>
        </row>
        <row r="637">
          <cell r="A637">
            <v>4931</v>
          </cell>
        </row>
        <row r="638">
          <cell r="A638">
            <v>4932</v>
          </cell>
        </row>
        <row r="639">
          <cell r="A639">
            <v>4939</v>
          </cell>
        </row>
        <row r="640">
          <cell r="A640">
            <v>4941</v>
          </cell>
        </row>
        <row r="641">
          <cell r="A641">
            <v>4952</v>
          </cell>
        </row>
        <row r="642">
          <cell r="A642">
            <v>4953</v>
          </cell>
        </row>
        <row r="643">
          <cell r="A643">
            <v>4959</v>
          </cell>
        </row>
        <row r="644">
          <cell r="A644">
            <v>4961</v>
          </cell>
        </row>
        <row r="645">
          <cell r="A645">
            <v>4971</v>
          </cell>
        </row>
        <row r="646">
          <cell r="A646">
            <v>5012</v>
          </cell>
        </row>
        <row r="647">
          <cell r="A647">
            <v>5013</v>
          </cell>
        </row>
        <row r="648">
          <cell r="A648">
            <v>5014</v>
          </cell>
        </row>
        <row r="649">
          <cell r="A649">
            <v>5015</v>
          </cell>
        </row>
        <row r="650">
          <cell r="A650">
            <v>5021</v>
          </cell>
        </row>
        <row r="651">
          <cell r="A651">
            <v>5023</v>
          </cell>
        </row>
        <row r="652">
          <cell r="A652">
            <v>5031</v>
          </cell>
        </row>
        <row r="653">
          <cell r="A653">
            <v>5032</v>
          </cell>
        </row>
        <row r="654">
          <cell r="A654">
            <v>5033</v>
          </cell>
        </row>
        <row r="655">
          <cell r="A655">
            <v>5039</v>
          </cell>
        </row>
        <row r="656">
          <cell r="A656">
            <v>5043</v>
          </cell>
        </row>
        <row r="657">
          <cell r="A657">
            <v>5044</v>
          </cell>
        </row>
        <row r="658">
          <cell r="A658">
            <v>5045</v>
          </cell>
        </row>
        <row r="659">
          <cell r="A659">
            <v>5046</v>
          </cell>
        </row>
        <row r="660">
          <cell r="A660">
            <v>5047</v>
          </cell>
        </row>
        <row r="661">
          <cell r="A661">
            <v>5048</v>
          </cell>
        </row>
        <row r="662">
          <cell r="A662">
            <v>5049</v>
          </cell>
        </row>
        <row r="663">
          <cell r="A663">
            <v>5051</v>
          </cell>
        </row>
        <row r="664">
          <cell r="A664">
            <v>5052</v>
          </cell>
        </row>
        <row r="665">
          <cell r="A665">
            <v>5063</v>
          </cell>
        </row>
        <row r="666">
          <cell r="A666">
            <v>5064</v>
          </cell>
        </row>
        <row r="667">
          <cell r="A667">
            <v>5065</v>
          </cell>
        </row>
        <row r="668">
          <cell r="A668">
            <v>5072</v>
          </cell>
        </row>
        <row r="669">
          <cell r="A669">
            <v>5074</v>
          </cell>
        </row>
        <row r="670">
          <cell r="A670">
            <v>5075</v>
          </cell>
        </row>
        <row r="671">
          <cell r="A671">
            <v>5078</v>
          </cell>
        </row>
        <row r="672">
          <cell r="A672">
            <v>5082</v>
          </cell>
        </row>
        <row r="673">
          <cell r="A673">
            <v>5083</v>
          </cell>
        </row>
        <row r="674">
          <cell r="A674">
            <v>5084</v>
          </cell>
        </row>
        <row r="675">
          <cell r="A675">
            <v>5085</v>
          </cell>
        </row>
        <row r="676">
          <cell r="A676">
            <v>5087</v>
          </cell>
        </row>
        <row r="677">
          <cell r="A677">
            <v>5088</v>
          </cell>
        </row>
        <row r="678">
          <cell r="A678">
            <v>5091</v>
          </cell>
        </row>
        <row r="679">
          <cell r="A679">
            <v>5092</v>
          </cell>
        </row>
        <row r="680">
          <cell r="A680">
            <v>5093</v>
          </cell>
        </row>
        <row r="681">
          <cell r="A681">
            <v>5094</v>
          </cell>
        </row>
        <row r="682">
          <cell r="A682">
            <v>5099</v>
          </cell>
        </row>
        <row r="683">
          <cell r="A683">
            <v>5111</v>
          </cell>
        </row>
        <row r="684">
          <cell r="A684">
            <v>5112</v>
          </cell>
        </row>
        <row r="685">
          <cell r="A685">
            <v>5113</v>
          </cell>
        </row>
        <row r="686">
          <cell r="A686">
            <v>5122</v>
          </cell>
        </row>
        <row r="687">
          <cell r="A687">
            <v>5131</v>
          </cell>
        </row>
        <row r="688">
          <cell r="A688">
            <v>5136</v>
          </cell>
        </row>
        <row r="689">
          <cell r="A689">
            <v>5137</v>
          </cell>
        </row>
        <row r="690">
          <cell r="A690">
            <v>5139</v>
          </cell>
        </row>
        <row r="691">
          <cell r="A691">
            <v>5141</v>
          </cell>
        </row>
        <row r="692">
          <cell r="A692">
            <v>5142</v>
          </cell>
        </row>
        <row r="693">
          <cell r="A693">
            <v>5143</v>
          </cell>
        </row>
        <row r="694">
          <cell r="A694">
            <v>5144</v>
          </cell>
        </row>
        <row r="695">
          <cell r="A695">
            <v>5145</v>
          </cell>
        </row>
        <row r="696">
          <cell r="A696">
            <v>5146</v>
          </cell>
        </row>
        <row r="697">
          <cell r="A697">
            <v>5147</v>
          </cell>
        </row>
        <row r="698">
          <cell r="A698">
            <v>5148</v>
          </cell>
        </row>
        <row r="699">
          <cell r="A699">
            <v>5149</v>
          </cell>
        </row>
        <row r="700">
          <cell r="A700">
            <v>5153</v>
          </cell>
        </row>
        <row r="701">
          <cell r="A701">
            <v>5154</v>
          </cell>
        </row>
        <row r="702">
          <cell r="A702">
            <v>5159</v>
          </cell>
        </row>
        <row r="703">
          <cell r="A703">
            <v>5162</v>
          </cell>
        </row>
        <row r="704">
          <cell r="A704">
            <v>5169</v>
          </cell>
        </row>
        <row r="705">
          <cell r="A705">
            <v>5171</v>
          </cell>
        </row>
        <row r="706">
          <cell r="A706">
            <v>5172</v>
          </cell>
        </row>
        <row r="707">
          <cell r="A707">
            <v>5181</v>
          </cell>
        </row>
        <row r="708">
          <cell r="A708">
            <v>5182</v>
          </cell>
        </row>
        <row r="709">
          <cell r="A709">
            <v>5191</v>
          </cell>
        </row>
        <row r="710">
          <cell r="A710">
            <v>5192</v>
          </cell>
        </row>
        <row r="711">
          <cell r="A711">
            <v>5193</v>
          </cell>
        </row>
        <row r="712">
          <cell r="A712">
            <v>5194</v>
          </cell>
        </row>
        <row r="713">
          <cell r="A713">
            <v>5198</v>
          </cell>
        </row>
        <row r="714">
          <cell r="A714">
            <v>5199</v>
          </cell>
        </row>
        <row r="715">
          <cell r="A715">
            <v>5211</v>
          </cell>
        </row>
        <row r="716">
          <cell r="A716">
            <v>5231</v>
          </cell>
        </row>
        <row r="717">
          <cell r="A717">
            <v>5251</v>
          </cell>
        </row>
        <row r="718">
          <cell r="A718">
            <v>5261</v>
          </cell>
        </row>
        <row r="719">
          <cell r="A719">
            <v>5271</v>
          </cell>
        </row>
        <row r="720">
          <cell r="A720">
            <v>5311</v>
          </cell>
        </row>
        <row r="721">
          <cell r="A721">
            <v>5331</v>
          </cell>
        </row>
        <row r="722">
          <cell r="A722">
            <v>5399</v>
          </cell>
        </row>
        <row r="723">
          <cell r="A723">
            <v>5411</v>
          </cell>
        </row>
        <row r="724">
          <cell r="A724">
            <v>5421</v>
          </cell>
        </row>
        <row r="725">
          <cell r="A725">
            <v>5431</v>
          </cell>
        </row>
        <row r="726">
          <cell r="A726">
            <v>5441</v>
          </cell>
        </row>
        <row r="727">
          <cell r="A727">
            <v>5451</v>
          </cell>
        </row>
        <row r="728">
          <cell r="A728">
            <v>5461</v>
          </cell>
        </row>
        <row r="729">
          <cell r="A729">
            <v>5499</v>
          </cell>
        </row>
        <row r="730">
          <cell r="A730">
            <v>5511</v>
          </cell>
        </row>
        <row r="731">
          <cell r="A731">
            <v>5521</v>
          </cell>
        </row>
        <row r="732">
          <cell r="A732">
            <v>5531</v>
          </cell>
        </row>
        <row r="733">
          <cell r="A733">
            <v>5541</v>
          </cell>
        </row>
        <row r="734">
          <cell r="A734">
            <v>5551</v>
          </cell>
        </row>
        <row r="735">
          <cell r="A735">
            <v>5561</v>
          </cell>
        </row>
        <row r="736">
          <cell r="A736">
            <v>5571</v>
          </cell>
        </row>
        <row r="737">
          <cell r="A737">
            <v>5599</v>
          </cell>
        </row>
        <row r="738">
          <cell r="A738">
            <v>5611</v>
          </cell>
        </row>
        <row r="739">
          <cell r="A739">
            <v>5621</v>
          </cell>
        </row>
        <row r="740">
          <cell r="A740">
            <v>5632</v>
          </cell>
        </row>
        <row r="741">
          <cell r="A741">
            <v>5641</v>
          </cell>
        </row>
        <row r="742">
          <cell r="A742">
            <v>5651</v>
          </cell>
        </row>
        <row r="743">
          <cell r="A743">
            <v>5661</v>
          </cell>
        </row>
        <row r="744">
          <cell r="A744">
            <v>5699</v>
          </cell>
        </row>
        <row r="745">
          <cell r="A745">
            <v>5712</v>
          </cell>
        </row>
        <row r="746">
          <cell r="A746">
            <v>5713</v>
          </cell>
        </row>
        <row r="747">
          <cell r="A747">
            <v>5714</v>
          </cell>
        </row>
        <row r="748">
          <cell r="A748">
            <v>5719</v>
          </cell>
        </row>
        <row r="749">
          <cell r="A749">
            <v>5722</v>
          </cell>
        </row>
        <row r="750">
          <cell r="A750">
            <v>5731</v>
          </cell>
        </row>
        <row r="751">
          <cell r="A751">
            <v>5734</v>
          </cell>
        </row>
        <row r="752">
          <cell r="A752">
            <v>5735</v>
          </cell>
        </row>
        <row r="753">
          <cell r="A753">
            <v>5736</v>
          </cell>
        </row>
        <row r="754">
          <cell r="A754">
            <v>5812</v>
          </cell>
        </row>
        <row r="755">
          <cell r="A755">
            <v>5813</v>
          </cell>
        </row>
        <row r="756">
          <cell r="A756">
            <v>5912</v>
          </cell>
        </row>
        <row r="757">
          <cell r="A757">
            <v>5921</v>
          </cell>
        </row>
        <row r="758">
          <cell r="A758">
            <v>5932</v>
          </cell>
        </row>
        <row r="759">
          <cell r="A759">
            <v>5941</v>
          </cell>
        </row>
        <row r="760">
          <cell r="A760">
            <v>5942</v>
          </cell>
        </row>
        <row r="761">
          <cell r="A761">
            <v>5943</v>
          </cell>
        </row>
        <row r="762">
          <cell r="A762">
            <v>5944</v>
          </cell>
        </row>
        <row r="763">
          <cell r="A763">
            <v>5945</v>
          </cell>
        </row>
        <row r="764">
          <cell r="A764">
            <v>5946</v>
          </cell>
        </row>
        <row r="765">
          <cell r="A765">
            <v>5947</v>
          </cell>
        </row>
        <row r="766">
          <cell r="A766">
            <v>5948</v>
          </cell>
        </row>
        <row r="767">
          <cell r="A767">
            <v>5949</v>
          </cell>
        </row>
        <row r="768">
          <cell r="A768">
            <v>5961</v>
          </cell>
        </row>
        <row r="769">
          <cell r="A769">
            <v>5962</v>
          </cell>
        </row>
        <row r="770">
          <cell r="A770">
            <v>5963</v>
          </cell>
        </row>
        <row r="771">
          <cell r="A771">
            <v>5983</v>
          </cell>
        </row>
        <row r="772">
          <cell r="A772">
            <v>5984</v>
          </cell>
        </row>
        <row r="773">
          <cell r="A773">
            <v>5989</v>
          </cell>
        </row>
        <row r="774">
          <cell r="A774">
            <v>5992</v>
          </cell>
        </row>
        <row r="775">
          <cell r="A775">
            <v>5993</v>
          </cell>
        </row>
        <row r="776">
          <cell r="A776">
            <v>5994</v>
          </cell>
        </row>
        <row r="777">
          <cell r="A777">
            <v>5995</v>
          </cell>
        </row>
        <row r="778">
          <cell r="A778">
            <v>5999</v>
          </cell>
        </row>
        <row r="779">
          <cell r="A779">
            <v>6011</v>
          </cell>
        </row>
        <row r="780">
          <cell r="A780">
            <v>6019</v>
          </cell>
        </row>
        <row r="781">
          <cell r="A781">
            <v>6021</v>
          </cell>
        </row>
        <row r="782">
          <cell r="A782">
            <v>6022</v>
          </cell>
        </row>
        <row r="783">
          <cell r="A783">
            <v>6029</v>
          </cell>
        </row>
        <row r="784">
          <cell r="A784">
            <v>6035</v>
          </cell>
        </row>
        <row r="785">
          <cell r="A785">
            <v>6036</v>
          </cell>
        </row>
        <row r="786">
          <cell r="A786">
            <v>6061</v>
          </cell>
        </row>
        <row r="787">
          <cell r="A787">
            <v>6062</v>
          </cell>
        </row>
        <row r="788">
          <cell r="A788">
            <v>6081</v>
          </cell>
        </row>
        <row r="789">
          <cell r="A789">
            <v>6082</v>
          </cell>
        </row>
        <row r="790">
          <cell r="A790">
            <v>6091</v>
          </cell>
        </row>
        <row r="791">
          <cell r="A791">
            <v>6099</v>
          </cell>
        </row>
        <row r="792">
          <cell r="A792">
            <v>6111</v>
          </cell>
        </row>
        <row r="793">
          <cell r="A793">
            <v>6141</v>
          </cell>
        </row>
        <row r="794">
          <cell r="A794">
            <v>6153</v>
          </cell>
        </row>
        <row r="795">
          <cell r="A795">
            <v>6159</v>
          </cell>
        </row>
        <row r="796">
          <cell r="A796">
            <v>6162</v>
          </cell>
        </row>
        <row r="797">
          <cell r="A797">
            <v>6163</v>
          </cell>
        </row>
        <row r="798">
          <cell r="A798">
            <v>6211</v>
          </cell>
        </row>
        <row r="799">
          <cell r="A799">
            <v>6221</v>
          </cell>
        </row>
        <row r="800">
          <cell r="A800">
            <v>6231</v>
          </cell>
        </row>
        <row r="801">
          <cell r="A801">
            <v>6282</v>
          </cell>
        </row>
        <row r="802">
          <cell r="A802">
            <v>6289</v>
          </cell>
        </row>
        <row r="803">
          <cell r="A803">
            <v>6311</v>
          </cell>
        </row>
        <row r="804">
          <cell r="A804">
            <v>6321</v>
          </cell>
        </row>
        <row r="805">
          <cell r="A805">
            <v>6324</v>
          </cell>
        </row>
        <row r="806">
          <cell r="A806">
            <v>6331</v>
          </cell>
        </row>
        <row r="807">
          <cell r="A807">
            <v>6351</v>
          </cell>
        </row>
        <row r="808">
          <cell r="A808">
            <v>6361</v>
          </cell>
        </row>
        <row r="809">
          <cell r="A809">
            <v>6371</v>
          </cell>
        </row>
        <row r="810">
          <cell r="A810">
            <v>6399</v>
          </cell>
        </row>
        <row r="811">
          <cell r="A811">
            <v>6411</v>
          </cell>
        </row>
        <row r="812">
          <cell r="A812">
            <v>6512</v>
          </cell>
        </row>
        <row r="813">
          <cell r="A813">
            <v>6513</v>
          </cell>
        </row>
        <row r="814">
          <cell r="A814">
            <v>6514</v>
          </cell>
        </row>
        <row r="815">
          <cell r="A815">
            <v>6515</v>
          </cell>
        </row>
        <row r="816">
          <cell r="A816">
            <v>6517</v>
          </cell>
        </row>
        <row r="817">
          <cell r="A817">
            <v>6519</v>
          </cell>
        </row>
        <row r="818">
          <cell r="A818">
            <v>6531</v>
          </cell>
        </row>
        <row r="819">
          <cell r="A819">
            <v>6541</v>
          </cell>
        </row>
        <row r="820">
          <cell r="A820">
            <v>6552</v>
          </cell>
        </row>
        <row r="821">
          <cell r="A821">
            <v>6553</v>
          </cell>
        </row>
        <row r="822">
          <cell r="A822">
            <v>6712</v>
          </cell>
        </row>
        <row r="823">
          <cell r="A823">
            <v>6719</v>
          </cell>
        </row>
        <row r="824">
          <cell r="A824">
            <v>6722</v>
          </cell>
        </row>
        <row r="825">
          <cell r="A825">
            <v>6726</v>
          </cell>
        </row>
        <row r="826">
          <cell r="A826">
            <v>6732</v>
          </cell>
        </row>
        <row r="827">
          <cell r="A827">
            <v>6733</v>
          </cell>
        </row>
        <row r="828">
          <cell r="A828">
            <v>6792</v>
          </cell>
        </row>
        <row r="829">
          <cell r="A829">
            <v>6794</v>
          </cell>
        </row>
        <row r="830">
          <cell r="A830">
            <v>6798</v>
          </cell>
        </row>
        <row r="831">
          <cell r="A831">
            <v>6799</v>
          </cell>
        </row>
        <row r="832">
          <cell r="A832">
            <v>7011</v>
          </cell>
        </row>
        <row r="833">
          <cell r="A833">
            <v>7021</v>
          </cell>
        </row>
        <row r="834">
          <cell r="A834">
            <v>7032</v>
          </cell>
        </row>
        <row r="835">
          <cell r="A835">
            <v>7033</v>
          </cell>
        </row>
        <row r="836">
          <cell r="A836">
            <v>7041</v>
          </cell>
        </row>
        <row r="837">
          <cell r="A837">
            <v>7211</v>
          </cell>
        </row>
        <row r="838">
          <cell r="A838">
            <v>7212</v>
          </cell>
        </row>
        <row r="839">
          <cell r="A839">
            <v>7213</v>
          </cell>
        </row>
        <row r="840">
          <cell r="A840">
            <v>7215</v>
          </cell>
        </row>
        <row r="841">
          <cell r="A841">
            <v>7216</v>
          </cell>
        </row>
        <row r="842">
          <cell r="A842">
            <v>7217</v>
          </cell>
        </row>
        <row r="843">
          <cell r="A843">
            <v>7218</v>
          </cell>
        </row>
        <row r="844">
          <cell r="A844">
            <v>7219</v>
          </cell>
        </row>
        <row r="845">
          <cell r="A845">
            <v>7221</v>
          </cell>
        </row>
        <row r="846">
          <cell r="A846">
            <v>7231</v>
          </cell>
        </row>
        <row r="847">
          <cell r="A847">
            <v>7241</v>
          </cell>
        </row>
        <row r="848">
          <cell r="A848">
            <v>7251</v>
          </cell>
        </row>
        <row r="849">
          <cell r="A849">
            <v>7261</v>
          </cell>
        </row>
        <row r="850">
          <cell r="A850">
            <v>7291</v>
          </cell>
        </row>
        <row r="851">
          <cell r="A851">
            <v>7299</v>
          </cell>
        </row>
        <row r="852">
          <cell r="A852">
            <v>7311</v>
          </cell>
        </row>
        <row r="853">
          <cell r="A853">
            <v>7312</v>
          </cell>
        </row>
        <row r="854">
          <cell r="A854">
            <v>7313</v>
          </cell>
        </row>
        <row r="855">
          <cell r="A855">
            <v>7319</v>
          </cell>
        </row>
        <row r="856">
          <cell r="A856">
            <v>7322</v>
          </cell>
        </row>
        <row r="857">
          <cell r="A857">
            <v>7323</v>
          </cell>
        </row>
        <row r="858">
          <cell r="A858">
            <v>7331</v>
          </cell>
        </row>
        <row r="859">
          <cell r="A859">
            <v>7334</v>
          </cell>
        </row>
        <row r="860">
          <cell r="A860">
            <v>7335</v>
          </cell>
        </row>
        <row r="861">
          <cell r="A861">
            <v>7336</v>
          </cell>
        </row>
        <row r="862">
          <cell r="A862">
            <v>7338</v>
          </cell>
        </row>
        <row r="863">
          <cell r="A863">
            <v>7342</v>
          </cell>
        </row>
        <row r="864">
          <cell r="A864">
            <v>7349</v>
          </cell>
        </row>
        <row r="865">
          <cell r="A865">
            <v>7352</v>
          </cell>
        </row>
        <row r="866">
          <cell r="A866">
            <v>7353</v>
          </cell>
        </row>
        <row r="867">
          <cell r="A867">
            <v>7359</v>
          </cell>
        </row>
        <row r="868">
          <cell r="A868">
            <v>7361</v>
          </cell>
        </row>
        <row r="869">
          <cell r="A869">
            <v>7363</v>
          </cell>
        </row>
        <row r="870">
          <cell r="A870">
            <v>7371</v>
          </cell>
        </row>
        <row r="871">
          <cell r="A871">
            <v>7372</v>
          </cell>
        </row>
        <row r="872">
          <cell r="A872">
            <v>7373</v>
          </cell>
        </row>
        <row r="873">
          <cell r="A873">
            <v>7374</v>
          </cell>
        </row>
        <row r="874">
          <cell r="A874">
            <v>7375</v>
          </cell>
        </row>
        <row r="875">
          <cell r="A875">
            <v>7376</v>
          </cell>
        </row>
        <row r="876">
          <cell r="A876">
            <v>7377</v>
          </cell>
        </row>
        <row r="877">
          <cell r="A877">
            <v>7378</v>
          </cell>
        </row>
        <row r="878">
          <cell r="A878">
            <v>7379</v>
          </cell>
        </row>
        <row r="879">
          <cell r="A879">
            <v>7381</v>
          </cell>
        </row>
        <row r="880">
          <cell r="A880">
            <v>7382</v>
          </cell>
        </row>
        <row r="881">
          <cell r="A881">
            <v>7383</v>
          </cell>
        </row>
        <row r="882">
          <cell r="A882">
            <v>7384</v>
          </cell>
        </row>
        <row r="883">
          <cell r="A883">
            <v>7389</v>
          </cell>
        </row>
        <row r="884">
          <cell r="A884">
            <v>7513</v>
          </cell>
        </row>
        <row r="885">
          <cell r="A885">
            <v>7514</v>
          </cell>
        </row>
        <row r="886">
          <cell r="A886">
            <v>7515</v>
          </cell>
        </row>
        <row r="887">
          <cell r="A887">
            <v>7519</v>
          </cell>
        </row>
        <row r="888">
          <cell r="A888">
            <v>7521</v>
          </cell>
        </row>
        <row r="889">
          <cell r="A889">
            <v>7532</v>
          </cell>
        </row>
        <row r="890">
          <cell r="A890">
            <v>7533</v>
          </cell>
        </row>
        <row r="891">
          <cell r="A891">
            <v>7534</v>
          </cell>
        </row>
        <row r="892">
          <cell r="A892">
            <v>7536</v>
          </cell>
        </row>
        <row r="893">
          <cell r="A893">
            <v>7537</v>
          </cell>
        </row>
        <row r="894">
          <cell r="A894">
            <v>7538</v>
          </cell>
        </row>
        <row r="895">
          <cell r="A895">
            <v>7539</v>
          </cell>
        </row>
        <row r="896">
          <cell r="A896">
            <v>7542</v>
          </cell>
        </row>
        <row r="897">
          <cell r="A897">
            <v>7549</v>
          </cell>
        </row>
        <row r="898">
          <cell r="A898">
            <v>7622</v>
          </cell>
        </row>
        <row r="899">
          <cell r="A899">
            <v>7623</v>
          </cell>
        </row>
        <row r="900">
          <cell r="A900">
            <v>7629</v>
          </cell>
        </row>
        <row r="901">
          <cell r="A901">
            <v>7631</v>
          </cell>
        </row>
        <row r="902">
          <cell r="A902">
            <v>7641</v>
          </cell>
        </row>
        <row r="903">
          <cell r="A903">
            <v>7692</v>
          </cell>
        </row>
        <row r="904">
          <cell r="A904">
            <v>7694</v>
          </cell>
        </row>
        <row r="905">
          <cell r="A905">
            <v>7699</v>
          </cell>
        </row>
        <row r="906">
          <cell r="A906">
            <v>7812</v>
          </cell>
        </row>
        <row r="907">
          <cell r="A907">
            <v>7819</v>
          </cell>
        </row>
        <row r="908">
          <cell r="A908">
            <v>7822</v>
          </cell>
        </row>
        <row r="909">
          <cell r="A909">
            <v>7829</v>
          </cell>
        </row>
        <row r="910">
          <cell r="A910">
            <v>7832</v>
          </cell>
        </row>
        <row r="911">
          <cell r="A911">
            <v>7833</v>
          </cell>
        </row>
        <row r="912">
          <cell r="A912">
            <v>7841</v>
          </cell>
        </row>
        <row r="913">
          <cell r="A913">
            <v>7911</v>
          </cell>
        </row>
        <row r="914">
          <cell r="A914">
            <v>7922</v>
          </cell>
        </row>
        <row r="915">
          <cell r="A915">
            <v>7929</v>
          </cell>
        </row>
        <row r="916">
          <cell r="A916">
            <v>7933</v>
          </cell>
        </row>
        <row r="917">
          <cell r="A917">
            <v>7941</v>
          </cell>
        </row>
        <row r="918">
          <cell r="A918">
            <v>7948</v>
          </cell>
        </row>
        <row r="919">
          <cell r="A919">
            <v>7991</v>
          </cell>
        </row>
        <row r="920">
          <cell r="A920">
            <v>7992</v>
          </cell>
        </row>
        <row r="921">
          <cell r="A921">
            <v>7993</v>
          </cell>
        </row>
        <row r="922">
          <cell r="A922">
            <v>7996</v>
          </cell>
        </row>
        <row r="923">
          <cell r="A923">
            <v>7997</v>
          </cell>
        </row>
        <row r="924">
          <cell r="A924">
            <v>7999</v>
          </cell>
        </row>
        <row r="925">
          <cell r="A925">
            <v>8011</v>
          </cell>
        </row>
        <row r="926">
          <cell r="A926">
            <v>8021</v>
          </cell>
        </row>
        <row r="927">
          <cell r="A927">
            <v>8031</v>
          </cell>
        </row>
        <row r="928">
          <cell r="A928">
            <v>8041</v>
          </cell>
        </row>
        <row r="929">
          <cell r="A929">
            <v>8042</v>
          </cell>
        </row>
        <row r="930">
          <cell r="A930">
            <v>8043</v>
          </cell>
        </row>
        <row r="931">
          <cell r="A931">
            <v>8049</v>
          </cell>
        </row>
        <row r="932">
          <cell r="A932">
            <v>8051</v>
          </cell>
        </row>
        <row r="933">
          <cell r="A933">
            <v>8052</v>
          </cell>
        </row>
        <row r="934">
          <cell r="A934">
            <v>8059</v>
          </cell>
        </row>
        <row r="935">
          <cell r="A935">
            <v>8062</v>
          </cell>
        </row>
        <row r="936">
          <cell r="A936">
            <v>8063</v>
          </cell>
        </row>
        <row r="937">
          <cell r="A937">
            <v>8069</v>
          </cell>
        </row>
        <row r="938">
          <cell r="A938">
            <v>8071</v>
          </cell>
        </row>
        <row r="939">
          <cell r="A939">
            <v>8072</v>
          </cell>
        </row>
        <row r="940">
          <cell r="A940">
            <v>8082</v>
          </cell>
        </row>
        <row r="941">
          <cell r="A941">
            <v>8092</v>
          </cell>
        </row>
        <row r="942">
          <cell r="A942">
            <v>8093</v>
          </cell>
        </row>
        <row r="943">
          <cell r="A943">
            <v>8099</v>
          </cell>
        </row>
        <row r="944">
          <cell r="A944">
            <v>8111</v>
          </cell>
        </row>
        <row r="945">
          <cell r="A945">
            <v>8211</v>
          </cell>
        </row>
        <row r="946">
          <cell r="A946">
            <v>8221</v>
          </cell>
        </row>
        <row r="947">
          <cell r="A947">
            <v>8222</v>
          </cell>
        </row>
        <row r="948">
          <cell r="A948">
            <v>8231</v>
          </cell>
        </row>
        <row r="949">
          <cell r="A949">
            <v>8243</v>
          </cell>
        </row>
        <row r="950">
          <cell r="A950">
            <v>8244</v>
          </cell>
        </row>
        <row r="951">
          <cell r="A951">
            <v>8249</v>
          </cell>
        </row>
        <row r="952">
          <cell r="A952">
            <v>8299</v>
          </cell>
        </row>
        <row r="953">
          <cell r="A953">
            <v>8322</v>
          </cell>
        </row>
        <row r="954">
          <cell r="A954">
            <v>8331</v>
          </cell>
        </row>
        <row r="955">
          <cell r="A955">
            <v>8351</v>
          </cell>
        </row>
        <row r="956">
          <cell r="A956">
            <v>8361</v>
          </cell>
        </row>
        <row r="957">
          <cell r="A957">
            <v>8399</v>
          </cell>
        </row>
        <row r="958">
          <cell r="A958">
            <v>8412</v>
          </cell>
        </row>
        <row r="959">
          <cell r="A959">
            <v>8422</v>
          </cell>
        </row>
        <row r="960">
          <cell r="A960">
            <v>8611</v>
          </cell>
        </row>
        <row r="961">
          <cell r="A961">
            <v>8621</v>
          </cell>
        </row>
        <row r="962">
          <cell r="A962">
            <v>8631</v>
          </cell>
        </row>
        <row r="963">
          <cell r="A963">
            <v>8641</v>
          </cell>
        </row>
        <row r="964">
          <cell r="A964">
            <v>8651</v>
          </cell>
        </row>
        <row r="965">
          <cell r="A965">
            <v>8661</v>
          </cell>
        </row>
        <row r="966">
          <cell r="A966">
            <v>8699</v>
          </cell>
        </row>
        <row r="967">
          <cell r="A967">
            <v>8711</v>
          </cell>
        </row>
        <row r="968">
          <cell r="A968">
            <v>8712</v>
          </cell>
        </row>
        <row r="969">
          <cell r="A969">
            <v>8713</v>
          </cell>
        </row>
        <row r="970">
          <cell r="A970">
            <v>8721</v>
          </cell>
        </row>
        <row r="971">
          <cell r="A971">
            <v>8731</v>
          </cell>
        </row>
        <row r="972">
          <cell r="A972">
            <v>8732</v>
          </cell>
        </row>
        <row r="973">
          <cell r="A973">
            <v>8733</v>
          </cell>
        </row>
        <row r="974">
          <cell r="A974">
            <v>8734</v>
          </cell>
        </row>
        <row r="975">
          <cell r="A975">
            <v>8741</v>
          </cell>
        </row>
        <row r="976">
          <cell r="A976">
            <v>8742</v>
          </cell>
        </row>
        <row r="977">
          <cell r="A977">
            <v>8743</v>
          </cell>
        </row>
        <row r="978">
          <cell r="A978">
            <v>8744</v>
          </cell>
        </row>
        <row r="979">
          <cell r="A979">
            <v>8748</v>
          </cell>
        </row>
        <row r="980">
          <cell r="A980">
            <v>8811</v>
          </cell>
        </row>
        <row r="981">
          <cell r="A981">
            <v>8999</v>
          </cell>
        </row>
        <row r="982">
          <cell r="A982">
            <v>9111</v>
          </cell>
        </row>
        <row r="983">
          <cell r="A983">
            <v>9121</v>
          </cell>
        </row>
        <row r="984">
          <cell r="A984">
            <v>9131</v>
          </cell>
        </row>
        <row r="985">
          <cell r="A985">
            <v>9199</v>
          </cell>
        </row>
        <row r="986">
          <cell r="A986">
            <v>9211</v>
          </cell>
        </row>
        <row r="987">
          <cell r="A987">
            <v>9221</v>
          </cell>
        </row>
        <row r="988">
          <cell r="A988">
            <v>9222</v>
          </cell>
        </row>
        <row r="989">
          <cell r="A989">
            <v>9223</v>
          </cell>
        </row>
        <row r="990">
          <cell r="A990">
            <v>9224</v>
          </cell>
        </row>
        <row r="991">
          <cell r="A991">
            <v>9229</v>
          </cell>
        </row>
        <row r="992">
          <cell r="A992">
            <v>9311</v>
          </cell>
        </row>
        <row r="993">
          <cell r="A993">
            <v>9411</v>
          </cell>
        </row>
        <row r="994">
          <cell r="A994">
            <v>9431</v>
          </cell>
        </row>
        <row r="995">
          <cell r="A995">
            <v>9441</v>
          </cell>
        </row>
        <row r="996">
          <cell r="A996">
            <v>9451</v>
          </cell>
        </row>
        <row r="997">
          <cell r="A997">
            <v>9511</v>
          </cell>
        </row>
        <row r="998">
          <cell r="A998">
            <v>9512</v>
          </cell>
        </row>
        <row r="999">
          <cell r="A999">
            <v>9531</v>
          </cell>
        </row>
        <row r="1000">
          <cell r="A1000">
            <v>9532</v>
          </cell>
        </row>
        <row r="1001">
          <cell r="A1001">
            <v>9611</v>
          </cell>
        </row>
        <row r="1002">
          <cell r="A1002">
            <v>9621</v>
          </cell>
        </row>
        <row r="1003">
          <cell r="A1003">
            <v>9631</v>
          </cell>
        </row>
        <row r="1004">
          <cell r="A1004">
            <v>9641</v>
          </cell>
        </row>
        <row r="1005">
          <cell r="A1005">
            <v>9651</v>
          </cell>
        </row>
        <row r="1006">
          <cell r="A1006">
            <v>9661</v>
          </cell>
        </row>
        <row r="1007">
          <cell r="A1007">
            <v>9711</v>
          </cell>
        </row>
        <row r="1008">
          <cell r="A1008">
            <v>9721</v>
          </cell>
        </row>
        <row r="1009">
          <cell r="A1009">
            <v>9999</v>
          </cell>
        </row>
      </sheetData>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
      <sheetName val="log"/>
      <sheetName val="Scrub"/>
      <sheetName val="Census data"/>
      <sheetName val="UW LG Rating"/>
      <sheetName val="Data"/>
      <sheetName val="Edits"/>
      <sheetName val="Experience"/>
      <sheetName val="Create PDF"/>
      <sheetName val="CO Renewal Letter"/>
      <sheetName val="Dental Proposal"/>
      <sheetName val="Dual Option Calc"/>
      <sheetName val="Trad Discount Calc"/>
      <sheetName val="Benefit Summary"/>
      <sheetName val="Standard Alternatives"/>
      <sheetName val="Experience Rating Detail"/>
      <sheetName val="Internal Report"/>
      <sheetName val="Retention"/>
      <sheetName val="Marketing Page"/>
      <sheetName val="To do list"/>
      <sheetName val="by State ZIP3"/>
      <sheetName val="by State"/>
      <sheetName val="SIC code"/>
      <sheetName val="Calculation"/>
      <sheetName val="Calculation1"/>
      <sheetName val="Calculation2"/>
      <sheetName val="Calculation3"/>
      <sheetName val="Calculation4"/>
      <sheetName val="Calculation5"/>
      <sheetName val="Calculation6"/>
      <sheetName val="Calculation7"/>
      <sheetName val="Calculation8"/>
      <sheetName val="Calculation9"/>
      <sheetName val="Calculation10"/>
      <sheetName val="Coinsurance"/>
      <sheetName val="Empire Logo Criteria"/>
      <sheetName val="DropDown Names"/>
    </sheetNames>
    <sheetDataSet>
      <sheetData sheetId="0"/>
      <sheetData sheetId="1"/>
      <sheetData sheetId="2"/>
      <sheetData sheetId="3"/>
      <sheetData sheetId="4"/>
      <sheetData sheetId="5">
        <row r="3">
          <cell r="HL3" t="str">
            <v>2X per 12 months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W"/>
      <sheetName val="BenRevo Instructions"/>
      <sheetName val="SIC Look Up"/>
      <sheetName val="INTAKE"/>
      <sheetName val="FORMULAS"/>
      <sheetName val="EXHIBIT"/>
      <sheetName val="PLANS"/>
      <sheetName val="DENTAL INTAKE"/>
      <sheetName val="CALC"/>
      <sheetName val="PART ADJ"/>
      <sheetName val="PART ADJ 2"/>
      <sheetName val="CODE"/>
      <sheetName val="ANCILLARY EXHIBIT"/>
      <sheetName val="PROPOSAL"/>
      <sheetName val="ABF"/>
      <sheetName val="AHM"/>
      <sheetName val="SOLD PLANS CONFIRMATION"/>
      <sheetName val="CONTACTS"/>
    </sheetNames>
    <sheetDataSet>
      <sheetData sheetId="0"/>
      <sheetData sheetId="1"/>
      <sheetData sheetId="2"/>
      <sheetData sheetId="3"/>
      <sheetData sheetId="4">
        <row r="1">
          <cell r="A1" t="str">
            <v>RB Plans</v>
          </cell>
          <cell r="B1" t="str">
            <v>RB Rates</v>
          </cell>
        </row>
        <row r="2">
          <cell r="A2" t="str">
            <v>CDHP</v>
          </cell>
          <cell r="B2">
            <v>0</v>
          </cell>
        </row>
        <row r="3">
          <cell r="A3" t="str">
            <v>KAISER</v>
          </cell>
          <cell r="B3">
            <v>0</v>
          </cell>
        </row>
        <row r="4">
          <cell r="A4" t="str">
            <v>PPO</v>
          </cell>
          <cell r="B4">
            <v>0</v>
          </cell>
        </row>
        <row r="5">
          <cell r="A5" t="str">
            <v>PSHMO</v>
          </cell>
          <cell r="B5">
            <v>0</v>
          </cell>
        </row>
        <row r="6">
          <cell r="A6" t="str">
            <v>SHMO</v>
          </cell>
          <cell r="B6">
            <v>0</v>
          </cell>
        </row>
        <row r="7">
          <cell r="A7" t="str">
            <v>SOL</v>
          </cell>
          <cell r="B7">
            <v>0</v>
          </cell>
        </row>
        <row r="8">
          <cell r="A8" t="str">
            <v>THMO</v>
          </cell>
          <cell r="B8">
            <v>0</v>
          </cell>
        </row>
        <row r="9">
          <cell r="A9" t="str">
            <v>VIVITY</v>
          </cell>
          <cell r="B9">
            <v>0</v>
          </cell>
        </row>
        <row r="12">
          <cell r="A12">
            <v>1</v>
          </cell>
        </row>
        <row r="13">
          <cell r="A13">
            <v>2</v>
          </cell>
        </row>
        <row r="14">
          <cell r="A14">
            <v>3</v>
          </cell>
        </row>
        <row r="15">
          <cell r="A15">
            <v>4</v>
          </cell>
        </row>
        <row r="16">
          <cell r="A16">
            <v>5</v>
          </cell>
        </row>
        <row r="17">
          <cell r="A17">
            <v>6</v>
          </cell>
        </row>
        <row r="18">
          <cell r="A18">
            <v>7</v>
          </cell>
        </row>
        <row r="19">
          <cell r="A19">
            <v>8</v>
          </cell>
        </row>
        <row r="20">
          <cell r="A20">
            <v>9</v>
          </cell>
        </row>
        <row r="21">
          <cell r="A21">
            <v>10</v>
          </cell>
        </row>
      </sheetData>
      <sheetData sheetId="5"/>
      <sheetData sheetId="6">
        <row r="1">
          <cell r="A1" t="str">
            <v>PLAN CODE</v>
          </cell>
        </row>
        <row r="3">
          <cell r="A3" t="str">
            <v>HMOP1</v>
          </cell>
        </row>
        <row r="4">
          <cell r="A4" t="str">
            <v>HMOP2</v>
          </cell>
        </row>
        <row r="5">
          <cell r="A5" t="str">
            <v>HMOP3</v>
          </cell>
        </row>
        <row r="6">
          <cell r="A6" t="str">
            <v>HMOP4</v>
          </cell>
        </row>
        <row r="8">
          <cell r="A8" t="str">
            <v>HMOC1</v>
          </cell>
        </row>
        <row r="9">
          <cell r="A9" t="str">
            <v>HMOC2</v>
          </cell>
        </row>
        <row r="10">
          <cell r="A10" t="str">
            <v>HMOC3</v>
          </cell>
        </row>
        <row r="11">
          <cell r="A11" t="str">
            <v>HMOC4</v>
          </cell>
        </row>
        <row r="13">
          <cell r="A13" t="str">
            <v>HMOV1</v>
          </cell>
        </row>
        <row r="14">
          <cell r="A14" t="str">
            <v>HMOV2</v>
          </cell>
        </row>
        <row r="15">
          <cell r="A15" t="str">
            <v>HMOV3</v>
          </cell>
        </row>
        <row r="16">
          <cell r="A16" t="str">
            <v>HMOV4</v>
          </cell>
        </row>
        <row r="17">
          <cell r="A17" t="str">
            <v>HMOV5</v>
          </cell>
        </row>
        <row r="19">
          <cell r="A19" t="str">
            <v>HMOVC1</v>
          </cell>
        </row>
        <row r="20">
          <cell r="A20" t="str">
            <v>HMOVC2</v>
          </cell>
        </row>
        <row r="22">
          <cell r="A22" t="str">
            <v>HMOVD1</v>
          </cell>
        </row>
        <row r="23">
          <cell r="A23" t="str">
            <v>HMOVD2</v>
          </cell>
        </row>
        <row r="24">
          <cell r="A24" t="str">
            <v>HMOVD3</v>
          </cell>
        </row>
        <row r="25">
          <cell r="A25" t="str">
            <v>HMOVD4</v>
          </cell>
        </row>
        <row r="26">
          <cell r="A26" t="str">
            <v>HMOVD5</v>
          </cell>
        </row>
        <row r="28">
          <cell r="A28" t="str">
            <v>HMOHS1</v>
          </cell>
        </row>
        <row r="29">
          <cell r="A29" t="str">
            <v>HMOHS2</v>
          </cell>
        </row>
        <row r="31">
          <cell r="A31" t="str">
            <v>HMOE1</v>
          </cell>
        </row>
        <row r="32">
          <cell r="A32" t="str">
            <v>HMOE2</v>
          </cell>
        </row>
        <row r="33">
          <cell r="A33" t="str">
            <v>HMOE3</v>
          </cell>
        </row>
        <row r="35">
          <cell r="A35" t="str">
            <v>PPOPP1</v>
          </cell>
        </row>
        <row r="37">
          <cell r="A37" t="str">
            <v>PPOP1</v>
          </cell>
        </row>
        <row r="38">
          <cell r="A38" t="str">
            <v>PPOP2</v>
          </cell>
        </row>
        <row r="39">
          <cell r="A39" t="str">
            <v>PPOP3</v>
          </cell>
        </row>
        <row r="40">
          <cell r="A40" t="str">
            <v>PPOP4</v>
          </cell>
        </row>
        <row r="42">
          <cell r="A42" t="str">
            <v>PPOC1</v>
          </cell>
        </row>
        <row r="43">
          <cell r="A43" t="str">
            <v>PPOC2</v>
          </cell>
        </row>
        <row r="44">
          <cell r="A44" t="str">
            <v>PPOC3</v>
          </cell>
        </row>
        <row r="45">
          <cell r="A45" t="str">
            <v>PPOC4</v>
          </cell>
        </row>
        <row r="46">
          <cell r="A46" t="str">
            <v>PPOC5</v>
          </cell>
        </row>
        <row r="47">
          <cell r="A47" t="str">
            <v>PPOC6</v>
          </cell>
        </row>
        <row r="48">
          <cell r="A48" t="str">
            <v>PPOC7</v>
          </cell>
        </row>
        <row r="50">
          <cell r="A50" t="str">
            <v>SOL1</v>
          </cell>
        </row>
        <row r="51">
          <cell r="A51" t="str">
            <v>SOL2</v>
          </cell>
        </row>
        <row r="52">
          <cell r="A52" t="str">
            <v>SOL3</v>
          </cell>
        </row>
        <row r="53">
          <cell r="A53" t="str">
            <v>SOL4</v>
          </cell>
        </row>
        <row r="54">
          <cell r="A54" t="str">
            <v>SOL5</v>
          </cell>
        </row>
        <row r="56">
          <cell r="A56" t="str">
            <v>PPOHS1</v>
          </cell>
        </row>
        <row r="57">
          <cell r="A57" t="str">
            <v>PPOHS2</v>
          </cell>
        </row>
        <row r="59">
          <cell r="A59" t="str">
            <v>PPOEC1</v>
          </cell>
        </row>
        <row r="60">
          <cell r="A60" t="str">
            <v>PPOEC2</v>
          </cell>
        </row>
        <row r="62">
          <cell r="A62" t="str">
            <v>BCEC1</v>
          </cell>
        </row>
        <row r="63">
          <cell r="A63" t="str">
            <v>BCEC2</v>
          </cell>
        </row>
        <row r="64">
          <cell r="A64" t="str">
            <v>BCEC3</v>
          </cell>
        </row>
        <row r="66">
          <cell r="A66" t="str">
            <v>BCEV1</v>
          </cell>
        </row>
        <row r="68">
          <cell r="A68" t="str">
            <v>EPO1</v>
          </cell>
        </row>
        <row r="69">
          <cell r="A69" t="str">
            <v>EPO2</v>
          </cell>
        </row>
        <row r="70">
          <cell r="A70" t="str">
            <v>EPO3</v>
          </cell>
        </row>
        <row r="72">
          <cell r="A72" t="str">
            <v>HSA1</v>
          </cell>
        </row>
        <row r="73">
          <cell r="A73" t="str">
            <v>HSA2</v>
          </cell>
        </row>
        <row r="74">
          <cell r="A74" t="str">
            <v>HSA3</v>
          </cell>
        </row>
        <row r="75">
          <cell r="A75" t="str">
            <v>HSA4</v>
          </cell>
        </row>
        <row r="76">
          <cell r="A76" t="str">
            <v>HSA5</v>
          </cell>
        </row>
        <row r="77">
          <cell r="A77" t="str">
            <v>HSA6</v>
          </cell>
        </row>
        <row r="78">
          <cell r="A78" t="str">
            <v>HSA7</v>
          </cell>
        </row>
        <row r="79">
          <cell r="A79" t="str">
            <v>HSA8</v>
          </cell>
        </row>
        <row r="80">
          <cell r="A80" t="str">
            <v>HSA9</v>
          </cell>
        </row>
        <row r="81">
          <cell r="A81" t="str">
            <v>HSA10</v>
          </cell>
        </row>
        <row r="83">
          <cell r="A83" t="str">
            <v>HSAHS1</v>
          </cell>
        </row>
        <row r="85">
          <cell r="A85" t="str">
            <v>HSAEC1</v>
          </cell>
        </row>
        <row r="86">
          <cell r="A86" t="str">
            <v>HSAEC2</v>
          </cell>
        </row>
      </sheetData>
      <sheetData sheetId="7">
        <row r="1">
          <cell r="U1" t="str">
            <v>No Waiting Periods</v>
          </cell>
        </row>
        <row r="3">
          <cell r="U3" t="str">
            <v>0 month Basic/12 Month Major</v>
          </cell>
        </row>
        <row r="4">
          <cell r="U4" t="str">
            <v>0 Month Basic/18 Month Major</v>
          </cell>
        </row>
        <row r="5">
          <cell r="U5" t="str">
            <v>0 Month Basic/24 Month Major</v>
          </cell>
        </row>
        <row r="6">
          <cell r="U6" t="str">
            <v>6 Month Basic/6 Month Major</v>
          </cell>
        </row>
        <row r="7">
          <cell r="U7" t="str">
            <v>6 Month Basic/12 Month Major</v>
          </cell>
        </row>
        <row r="8">
          <cell r="U8" t="str">
            <v>6 Month Basic/18 Month Major</v>
          </cell>
        </row>
        <row r="9">
          <cell r="U9" t="str">
            <v>6 Month Basic/24 Month Major</v>
          </cell>
        </row>
        <row r="10">
          <cell r="U10" t="str">
            <v>12 Month Basic/18 Month Major</v>
          </cell>
        </row>
        <row r="11">
          <cell r="U11" t="str">
            <v>12 Month Basic/24 Month Major</v>
          </cell>
        </row>
        <row r="12">
          <cell r="U12" t="str">
            <v>18 Month Basic/24 Month Major</v>
          </cell>
        </row>
        <row r="13">
          <cell r="U13" t="str">
            <v>24 Month Basic/24 Month Major</v>
          </cell>
        </row>
      </sheetData>
      <sheetData sheetId="8"/>
      <sheetData sheetId="9"/>
      <sheetData sheetId="10"/>
      <sheetData sheetId="11"/>
      <sheetData sheetId="12"/>
      <sheetData sheetId="13"/>
      <sheetData sheetId="14"/>
      <sheetData sheetId="15"/>
      <sheetData sheetId="16"/>
      <sheetData sheetId="17">
        <row r="12">
          <cell r="A12" t="str">
            <v>Select One</v>
          </cell>
          <cell r="B12" t="str">
            <v>Pre-populate</v>
          </cell>
          <cell r="D12" t="str">
            <v>Select One</v>
          </cell>
        </row>
        <row r="13">
          <cell r="A13" t="str">
            <v>Anita Vincent</v>
          </cell>
          <cell r="B13" t="str">
            <v>Christine Mouanoutoua</v>
          </cell>
          <cell r="D13" t="str">
            <v>CJ Faust</v>
          </cell>
        </row>
        <row r="14">
          <cell r="A14" t="str">
            <v>Ashlee Johnson</v>
          </cell>
          <cell r="B14" t="str">
            <v>Jenn Scott</v>
          </cell>
          <cell r="D14" t="str">
            <v>Conor Brumfield</v>
          </cell>
        </row>
        <row r="15">
          <cell r="A15" t="str">
            <v>Asuncion Sanchez</v>
          </cell>
          <cell r="B15" t="str">
            <v>Jillian Young</v>
          </cell>
          <cell r="D15" t="str">
            <v>David Attarian</v>
          </cell>
        </row>
        <row r="16">
          <cell r="A16" t="str">
            <v>Cynthia Khan</v>
          </cell>
          <cell r="B16" t="str">
            <v>Nicole Kharrat</v>
          </cell>
          <cell r="D16" t="str">
            <v>Gregg Hall</v>
          </cell>
        </row>
        <row r="17">
          <cell r="A17" t="str">
            <v>Debra Feuerman</v>
          </cell>
          <cell r="B17" t="str">
            <v>Nick Ralph</v>
          </cell>
          <cell r="D17" t="str">
            <v>John Walsh</v>
          </cell>
        </row>
        <row r="18">
          <cell r="A18" t="str">
            <v>Eric Windsor</v>
          </cell>
          <cell r="B18" t="str">
            <v>Tasia Mead</v>
          </cell>
          <cell r="D18" t="str">
            <v>Michael B. Williams</v>
          </cell>
        </row>
        <row r="19">
          <cell r="A19" t="str">
            <v>Jeff Koprivetz</v>
          </cell>
          <cell r="B19" t="str">
            <v>Susan Ellman</v>
          </cell>
          <cell r="D19" t="str">
            <v>Mitch Kumagai</v>
          </cell>
        </row>
        <row r="20">
          <cell r="A20" t="str">
            <v>Jerry Connolly</v>
          </cell>
          <cell r="B20" t="str">
            <v>Sam Williams</v>
          </cell>
        </row>
        <row r="21">
          <cell r="A21" t="str">
            <v>Kerri DiCicco</v>
          </cell>
          <cell r="B21" t="str">
            <v>Jessie Gonzalez</v>
          </cell>
        </row>
        <row r="22">
          <cell r="A22" t="str">
            <v>Kristin Fortney</v>
          </cell>
          <cell r="B22" t="str">
            <v>Alejandra Lam</v>
          </cell>
        </row>
        <row r="23">
          <cell r="A23" t="str">
            <v>Kristine Eagan</v>
          </cell>
          <cell r="B23" t="str">
            <v>Crystal Shepard</v>
          </cell>
        </row>
        <row r="24">
          <cell r="A24" t="str">
            <v>Kristyn Nelms</v>
          </cell>
          <cell r="B24" t="str">
            <v>Olaf Pacheco</v>
          </cell>
        </row>
        <row r="25">
          <cell r="A25" t="str">
            <v>Nicholas Shuck</v>
          </cell>
          <cell r="B25" t="str">
            <v>Blake Billinger</v>
          </cell>
        </row>
        <row r="26">
          <cell r="A26" t="str">
            <v>Steve Cleeland</v>
          </cell>
          <cell r="B26" t="str">
            <v>Vanessa Rabay</v>
          </cell>
        </row>
        <row r="27">
          <cell r="A27" t="str">
            <v>Tanya Coty</v>
          </cell>
          <cell r="B27" t="str">
            <v>Stacie Thomason</v>
          </cell>
        </row>
        <row r="28">
          <cell r="A28" t="str">
            <v>Yanet Galindo</v>
          </cell>
          <cell r="B28" t="str">
            <v>Kellie Hoomalu</v>
          </cell>
        </row>
      </sheetData>
    </sheetDataSet>
  </externalBook>
</externalLink>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hyperlink" Target="mailto:test@domain.com" TargetMode="External"/><Relationship Id="rId2" Type="http://schemas.openxmlformats.org/officeDocument/2006/relationships/hyperlink" Target="mailto:test@domain.test" TargetMode="External"/><Relationship Id="rId3"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ctrlProp" Target="../ctrlProps/ctrlProp3.xml"/><Relationship Id="rId1" Type="http://schemas.openxmlformats.org/officeDocument/2006/relationships/printerSettings" Target="../printerSettings/printerSettings4.bin"/><Relationship Id="rId2"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1" Type="http://schemas.openxmlformats.org/officeDocument/2006/relationships/hyperlink" Target="https://collaborate.wellpoint.com/sites/SalesSupport/SitePages/New%20-%20Optimizer.aspx"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hyperlink" Target="mailto:QuoteAnthemSouth@Wellpoint.com" TargetMode="External"/><Relationship Id="rId4" Type="http://schemas.openxmlformats.org/officeDocument/2006/relationships/hyperlink" Target="mailto:LGCaseImplementation@WellPoint.com" TargetMode="External"/><Relationship Id="rId5" Type="http://schemas.openxmlformats.org/officeDocument/2006/relationships/hyperlink" Target="mailto:NetworkAnalysisUnit@wellpoint.com" TargetMode="External"/><Relationship Id="rId1" Type="http://schemas.openxmlformats.org/officeDocument/2006/relationships/hyperlink" Target="mailto:QuoteAnthemNorth@Wellpoint.com" TargetMode="External"/><Relationship Id="rId2" Type="http://schemas.openxmlformats.org/officeDocument/2006/relationships/hyperlink" Target="mailto:AnthemLife&amp;DisUW_West@wellpoin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1"/>
  <sheetViews>
    <sheetView showGridLines="0" zoomScale="85" zoomScaleNormal="85" workbookViewId="0">
      <selection activeCell="O9" sqref="O9:P9"/>
    </sheetView>
  </sheetViews>
  <sheetFormatPr baseColWidth="10" defaultColWidth="8.83203125" defaultRowHeight="15" x14ac:dyDescent="0.2"/>
  <sheetData>
    <row r="1" spans="1:4" x14ac:dyDescent="0.2">
      <c r="A1" s="58" t="s">
        <v>58</v>
      </c>
      <c r="B1" s="59"/>
      <c r="C1" s="59"/>
      <c r="D1" s="5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G1006"/>
  <sheetViews>
    <sheetView workbookViewId="0">
      <selection activeCell="D10" sqref="D10"/>
    </sheetView>
  </sheetViews>
  <sheetFormatPr baseColWidth="10" defaultColWidth="9.1640625" defaultRowHeight="13" x14ac:dyDescent="0.15"/>
  <cols>
    <col min="1" max="1" width="14.1640625" style="189" customWidth="1"/>
    <col min="2" max="2" width="33" style="176" customWidth="1"/>
    <col min="3" max="3" width="37" style="176" customWidth="1"/>
    <col min="4" max="4" width="14.83203125" style="176" customWidth="1"/>
    <col min="5" max="5" width="14.5" style="189" customWidth="1"/>
    <col min="6" max="16384" width="9.1640625" style="176"/>
  </cols>
  <sheetData>
    <row r="1" spans="1:7" ht="19.5" customHeight="1" x14ac:dyDescent="0.15">
      <c r="A1" s="173" t="s">
        <v>656</v>
      </c>
      <c r="B1" s="173" t="s">
        <v>657</v>
      </c>
      <c r="C1" s="173" t="s">
        <v>658</v>
      </c>
      <c r="D1" s="174" t="s">
        <v>659</v>
      </c>
      <c r="E1" s="175" t="s">
        <v>660</v>
      </c>
    </row>
    <row r="2" spans="1:7" x14ac:dyDescent="0.15">
      <c r="A2" s="177">
        <v>111</v>
      </c>
      <c r="B2" s="178" t="s">
        <v>661</v>
      </c>
      <c r="C2" s="178" t="s">
        <v>662</v>
      </c>
      <c r="D2" s="179">
        <v>1.1000000000000001</v>
      </c>
      <c r="E2" s="180" t="str">
        <f t="shared" ref="E2:E65" si="0">IF(D2=0.95,"level I",IF(D2=1,"level II",IF(D2=1.05,"level III",IF(D2=1.1,"level IV",IF(D2=1.15,"level V",IF(D2=1.2,"level VI",IF(D2=0.9,"level 0","level VII")))))))</f>
        <v>level IV</v>
      </c>
      <c r="G2" s="176" t="s">
        <v>663</v>
      </c>
    </row>
    <row r="3" spans="1:7" x14ac:dyDescent="0.15">
      <c r="A3" s="180">
        <v>112</v>
      </c>
      <c r="B3" s="181" t="s">
        <v>661</v>
      </c>
      <c r="C3" s="181" t="s">
        <v>664</v>
      </c>
      <c r="D3" s="182">
        <v>1.1000000000000001</v>
      </c>
      <c r="E3" s="180" t="str">
        <f t="shared" si="0"/>
        <v>level IV</v>
      </c>
      <c r="G3" s="176" t="s">
        <v>665</v>
      </c>
    </row>
    <row r="4" spans="1:7" x14ac:dyDescent="0.15">
      <c r="A4" s="180">
        <v>115</v>
      </c>
      <c r="B4" s="181" t="s">
        <v>661</v>
      </c>
      <c r="C4" s="181" t="s">
        <v>666</v>
      </c>
      <c r="D4" s="182">
        <v>1.1000000000000001</v>
      </c>
      <c r="E4" s="180" t="str">
        <f t="shared" si="0"/>
        <v>level IV</v>
      </c>
      <c r="G4" s="176" t="s">
        <v>667</v>
      </c>
    </row>
    <row r="5" spans="1:7" x14ac:dyDescent="0.15">
      <c r="A5" s="180">
        <v>116</v>
      </c>
      <c r="B5" s="181" t="s">
        <v>661</v>
      </c>
      <c r="C5" s="181" t="s">
        <v>668</v>
      </c>
      <c r="D5" s="182">
        <v>1.1000000000000001</v>
      </c>
      <c r="E5" s="180" t="str">
        <f t="shared" si="0"/>
        <v>level IV</v>
      </c>
      <c r="G5" s="176" t="s">
        <v>669</v>
      </c>
    </row>
    <row r="6" spans="1:7" x14ac:dyDescent="0.15">
      <c r="A6" s="180">
        <v>119</v>
      </c>
      <c r="B6" s="181" t="s">
        <v>661</v>
      </c>
      <c r="C6" s="181" t="s">
        <v>670</v>
      </c>
      <c r="D6" s="182">
        <v>1.1000000000000001</v>
      </c>
      <c r="E6" s="180" t="str">
        <f t="shared" si="0"/>
        <v>level IV</v>
      </c>
      <c r="G6" s="176" t="s">
        <v>671</v>
      </c>
    </row>
    <row r="7" spans="1:7" x14ac:dyDescent="0.15">
      <c r="A7" s="180">
        <v>131</v>
      </c>
      <c r="B7" s="181" t="s">
        <v>661</v>
      </c>
      <c r="C7" s="181" t="s">
        <v>672</v>
      </c>
      <c r="D7" s="182">
        <v>1.1000000000000001</v>
      </c>
      <c r="E7" s="180" t="str">
        <f t="shared" si="0"/>
        <v>level IV</v>
      </c>
      <c r="G7" s="176" t="s">
        <v>673</v>
      </c>
    </row>
    <row r="8" spans="1:7" x14ac:dyDescent="0.15">
      <c r="A8" s="180">
        <v>132</v>
      </c>
      <c r="B8" s="181" t="s">
        <v>661</v>
      </c>
      <c r="C8" s="181" t="s">
        <v>674</v>
      </c>
      <c r="D8" s="182">
        <v>1.1000000000000001</v>
      </c>
      <c r="E8" s="180" t="str">
        <f t="shared" si="0"/>
        <v>level IV</v>
      </c>
      <c r="G8" s="176" t="s">
        <v>675</v>
      </c>
    </row>
    <row r="9" spans="1:7" x14ac:dyDescent="0.15">
      <c r="A9" s="180">
        <v>133</v>
      </c>
      <c r="B9" s="181" t="s">
        <v>661</v>
      </c>
      <c r="C9" s="181" t="s">
        <v>676</v>
      </c>
      <c r="D9" s="182">
        <v>1.1000000000000001</v>
      </c>
      <c r="E9" s="180" t="str">
        <f t="shared" si="0"/>
        <v>level IV</v>
      </c>
      <c r="G9" s="176" t="s">
        <v>677</v>
      </c>
    </row>
    <row r="10" spans="1:7" x14ac:dyDescent="0.15">
      <c r="A10" s="180">
        <v>134</v>
      </c>
      <c r="B10" s="181" t="s">
        <v>661</v>
      </c>
      <c r="C10" s="181" t="s">
        <v>678</v>
      </c>
      <c r="D10" s="182">
        <v>1.1000000000000001</v>
      </c>
      <c r="E10" s="180" t="str">
        <f t="shared" si="0"/>
        <v>level IV</v>
      </c>
    </row>
    <row r="11" spans="1:7" x14ac:dyDescent="0.15">
      <c r="A11" s="180">
        <v>139</v>
      </c>
      <c r="B11" s="181" t="s">
        <v>661</v>
      </c>
      <c r="C11" s="181" t="s">
        <v>679</v>
      </c>
      <c r="D11" s="182">
        <v>1.1000000000000001</v>
      </c>
      <c r="E11" s="180" t="str">
        <f t="shared" si="0"/>
        <v>level IV</v>
      </c>
    </row>
    <row r="12" spans="1:7" x14ac:dyDescent="0.15">
      <c r="A12" s="180">
        <v>161</v>
      </c>
      <c r="B12" s="181" t="s">
        <v>661</v>
      </c>
      <c r="C12" s="181" t="s">
        <v>680</v>
      </c>
      <c r="D12" s="182">
        <v>1.1000000000000001</v>
      </c>
      <c r="E12" s="180" t="str">
        <f t="shared" si="0"/>
        <v>level IV</v>
      </c>
    </row>
    <row r="13" spans="1:7" x14ac:dyDescent="0.15">
      <c r="A13" s="180">
        <v>171</v>
      </c>
      <c r="B13" s="181" t="s">
        <v>661</v>
      </c>
      <c r="C13" s="181" t="s">
        <v>681</v>
      </c>
      <c r="D13" s="182">
        <v>1.1000000000000001</v>
      </c>
      <c r="E13" s="180" t="str">
        <f t="shared" si="0"/>
        <v>level IV</v>
      </c>
    </row>
    <row r="14" spans="1:7" x14ac:dyDescent="0.15">
      <c r="A14" s="180">
        <v>172</v>
      </c>
      <c r="B14" s="181" t="s">
        <v>661</v>
      </c>
      <c r="C14" s="181" t="s">
        <v>682</v>
      </c>
      <c r="D14" s="182">
        <v>1.1000000000000001</v>
      </c>
      <c r="E14" s="180" t="str">
        <f t="shared" si="0"/>
        <v>level IV</v>
      </c>
    </row>
    <row r="15" spans="1:7" x14ac:dyDescent="0.15">
      <c r="A15" s="180">
        <v>173</v>
      </c>
      <c r="B15" s="181" t="s">
        <v>661</v>
      </c>
      <c r="C15" s="181" t="s">
        <v>683</v>
      </c>
      <c r="D15" s="182">
        <v>1.1000000000000001</v>
      </c>
      <c r="E15" s="180" t="str">
        <f t="shared" si="0"/>
        <v>level IV</v>
      </c>
    </row>
    <row r="16" spans="1:7" x14ac:dyDescent="0.15">
      <c r="A16" s="180">
        <v>174</v>
      </c>
      <c r="B16" s="181" t="s">
        <v>661</v>
      </c>
      <c r="C16" s="181" t="s">
        <v>684</v>
      </c>
      <c r="D16" s="182">
        <v>1.1000000000000001</v>
      </c>
      <c r="E16" s="180" t="str">
        <f t="shared" si="0"/>
        <v>level IV</v>
      </c>
    </row>
    <row r="17" spans="1:5" x14ac:dyDescent="0.15">
      <c r="A17" s="180">
        <v>175</v>
      </c>
      <c r="B17" s="181" t="s">
        <v>661</v>
      </c>
      <c r="C17" s="181" t="s">
        <v>685</v>
      </c>
      <c r="D17" s="182">
        <v>1.1000000000000001</v>
      </c>
      <c r="E17" s="180" t="str">
        <f t="shared" si="0"/>
        <v>level IV</v>
      </c>
    </row>
    <row r="18" spans="1:5" x14ac:dyDescent="0.15">
      <c r="A18" s="180">
        <v>179</v>
      </c>
      <c r="B18" s="181" t="s">
        <v>661</v>
      </c>
      <c r="C18" s="181" t="s">
        <v>686</v>
      </c>
      <c r="D18" s="182">
        <v>1.1000000000000001</v>
      </c>
      <c r="E18" s="180" t="str">
        <f t="shared" si="0"/>
        <v>level IV</v>
      </c>
    </row>
    <row r="19" spans="1:5" x14ac:dyDescent="0.15">
      <c r="A19" s="180">
        <v>181</v>
      </c>
      <c r="B19" s="181" t="s">
        <v>661</v>
      </c>
      <c r="C19" s="181" t="s">
        <v>687</v>
      </c>
      <c r="D19" s="182">
        <v>1.1000000000000001</v>
      </c>
      <c r="E19" s="180" t="str">
        <f t="shared" si="0"/>
        <v>level IV</v>
      </c>
    </row>
    <row r="20" spans="1:5" x14ac:dyDescent="0.15">
      <c r="A20" s="180">
        <v>182</v>
      </c>
      <c r="B20" s="181" t="s">
        <v>661</v>
      </c>
      <c r="C20" s="181" t="s">
        <v>688</v>
      </c>
      <c r="D20" s="182">
        <v>1.1000000000000001</v>
      </c>
      <c r="E20" s="180" t="str">
        <f t="shared" si="0"/>
        <v>level IV</v>
      </c>
    </row>
    <row r="21" spans="1:5" x14ac:dyDescent="0.15">
      <c r="A21" s="180">
        <v>191</v>
      </c>
      <c r="B21" s="181" t="s">
        <v>661</v>
      </c>
      <c r="C21" s="181" t="s">
        <v>689</v>
      </c>
      <c r="D21" s="182">
        <v>1.1000000000000001</v>
      </c>
      <c r="E21" s="180" t="str">
        <f t="shared" si="0"/>
        <v>level IV</v>
      </c>
    </row>
    <row r="22" spans="1:5" x14ac:dyDescent="0.15">
      <c r="A22" s="180">
        <v>211</v>
      </c>
      <c r="B22" s="181" t="s">
        <v>661</v>
      </c>
      <c r="C22" s="181" t="s">
        <v>690</v>
      </c>
      <c r="D22" s="182">
        <v>1.05</v>
      </c>
      <c r="E22" s="180" t="str">
        <f t="shared" si="0"/>
        <v>level III</v>
      </c>
    </row>
    <row r="23" spans="1:5" x14ac:dyDescent="0.15">
      <c r="A23" s="180">
        <v>212</v>
      </c>
      <c r="B23" s="181" t="s">
        <v>661</v>
      </c>
      <c r="C23" s="181" t="s">
        <v>691</v>
      </c>
      <c r="D23" s="182">
        <v>1.05</v>
      </c>
      <c r="E23" s="180" t="str">
        <f t="shared" si="0"/>
        <v>level III</v>
      </c>
    </row>
    <row r="24" spans="1:5" x14ac:dyDescent="0.15">
      <c r="A24" s="180">
        <v>213</v>
      </c>
      <c r="B24" s="181" t="s">
        <v>661</v>
      </c>
      <c r="C24" s="181" t="s">
        <v>692</v>
      </c>
      <c r="D24" s="182">
        <v>1.05</v>
      </c>
      <c r="E24" s="180" t="str">
        <f t="shared" si="0"/>
        <v>level III</v>
      </c>
    </row>
    <row r="25" spans="1:5" x14ac:dyDescent="0.15">
      <c r="A25" s="180">
        <v>214</v>
      </c>
      <c r="B25" s="181" t="s">
        <v>661</v>
      </c>
      <c r="C25" s="181" t="s">
        <v>693</v>
      </c>
      <c r="D25" s="182">
        <v>1.05</v>
      </c>
      <c r="E25" s="180" t="str">
        <f t="shared" si="0"/>
        <v>level III</v>
      </c>
    </row>
    <row r="26" spans="1:5" x14ac:dyDescent="0.15">
      <c r="A26" s="180">
        <v>219</v>
      </c>
      <c r="B26" s="181" t="s">
        <v>661</v>
      </c>
      <c r="C26" s="181" t="s">
        <v>694</v>
      </c>
      <c r="D26" s="182">
        <v>1.05</v>
      </c>
      <c r="E26" s="180" t="str">
        <f t="shared" si="0"/>
        <v>level III</v>
      </c>
    </row>
    <row r="27" spans="1:5" x14ac:dyDescent="0.15">
      <c r="A27" s="180">
        <v>241</v>
      </c>
      <c r="B27" s="181" t="s">
        <v>661</v>
      </c>
      <c r="C27" s="181" t="s">
        <v>695</v>
      </c>
      <c r="D27" s="182">
        <v>1.05</v>
      </c>
      <c r="E27" s="180" t="str">
        <f t="shared" si="0"/>
        <v>level III</v>
      </c>
    </row>
    <row r="28" spans="1:5" x14ac:dyDescent="0.15">
      <c r="A28" s="180">
        <v>251</v>
      </c>
      <c r="B28" s="181" t="s">
        <v>661</v>
      </c>
      <c r="C28" s="181" t="s">
        <v>696</v>
      </c>
      <c r="D28" s="182">
        <v>1.05</v>
      </c>
      <c r="E28" s="180" t="str">
        <f t="shared" si="0"/>
        <v>level III</v>
      </c>
    </row>
    <row r="29" spans="1:5" x14ac:dyDescent="0.15">
      <c r="A29" s="180">
        <v>252</v>
      </c>
      <c r="B29" s="181" t="s">
        <v>661</v>
      </c>
      <c r="C29" s="181" t="s">
        <v>697</v>
      </c>
      <c r="D29" s="182">
        <v>1.05</v>
      </c>
      <c r="E29" s="180" t="str">
        <f t="shared" si="0"/>
        <v>level III</v>
      </c>
    </row>
    <row r="30" spans="1:5" x14ac:dyDescent="0.15">
      <c r="A30" s="180">
        <v>253</v>
      </c>
      <c r="B30" s="181" t="s">
        <v>661</v>
      </c>
      <c r="C30" s="181" t="s">
        <v>698</v>
      </c>
      <c r="D30" s="182">
        <v>1.05</v>
      </c>
      <c r="E30" s="180" t="str">
        <f t="shared" si="0"/>
        <v>level III</v>
      </c>
    </row>
    <row r="31" spans="1:5" x14ac:dyDescent="0.15">
      <c r="A31" s="180">
        <v>254</v>
      </c>
      <c r="B31" s="181" t="s">
        <v>661</v>
      </c>
      <c r="C31" s="181" t="s">
        <v>699</v>
      </c>
      <c r="D31" s="182">
        <v>1.05</v>
      </c>
      <c r="E31" s="180" t="str">
        <f t="shared" si="0"/>
        <v>level III</v>
      </c>
    </row>
    <row r="32" spans="1:5" x14ac:dyDescent="0.15">
      <c r="A32" s="180">
        <v>259</v>
      </c>
      <c r="B32" s="181" t="s">
        <v>661</v>
      </c>
      <c r="C32" s="181" t="s">
        <v>700</v>
      </c>
      <c r="D32" s="182">
        <v>1.05</v>
      </c>
      <c r="E32" s="180" t="str">
        <f t="shared" si="0"/>
        <v>level III</v>
      </c>
    </row>
    <row r="33" spans="1:5" x14ac:dyDescent="0.15">
      <c r="A33" s="180">
        <v>271</v>
      </c>
      <c r="B33" s="181" t="s">
        <v>661</v>
      </c>
      <c r="C33" s="181" t="s">
        <v>701</v>
      </c>
      <c r="D33" s="182">
        <v>1.05</v>
      </c>
      <c r="E33" s="180" t="str">
        <f t="shared" si="0"/>
        <v>level III</v>
      </c>
    </row>
    <row r="34" spans="1:5" x14ac:dyDescent="0.15">
      <c r="A34" s="180">
        <v>272</v>
      </c>
      <c r="B34" s="181" t="s">
        <v>661</v>
      </c>
      <c r="C34" s="181" t="s">
        <v>702</v>
      </c>
      <c r="D34" s="182">
        <v>1.05</v>
      </c>
      <c r="E34" s="180" t="str">
        <f t="shared" si="0"/>
        <v>level III</v>
      </c>
    </row>
    <row r="35" spans="1:5" x14ac:dyDescent="0.15">
      <c r="A35" s="180">
        <v>273</v>
      </c>
      <c r="B35" s="181" t="s">
        <v>661</v>
      </c>
      <c r="C35" s="181" t="s">
        <v>703</v>
      </c>
      <c r="D35" s="182">
        <v>1.05</v>
      </c>
      <c r="E35" s="180" t="str">
        <f t="shared" si="0"/>
        <v>level III</v>
      </c>
    </row>
    <row r="36" spans="1:5" x14ac:dyDescent="0.15">
      <c r="A36" s="180">
        <v>279</v>
      </c>
      <c r="B36" s="181" t="s">
        <v>661</v>
      </c>
      <c r="C36" s="181" t="s">
        <v>704</v>
      </c>
      <c r="D36" s="182">
        <v>1.05</v>
      </c>
      <c r="E36" s="180" t="str">
        <f t="shared" si="0"/>
        <v>level III</v>
      </c>
    </row>
    <row r="37" spans="1:5" x14ac:dyDescent="0.15">
      <c r="A37" s="180">
        <v>291</v>
      </c>
      <c r="B37" s="181" t="s">
        <v>661</v>
      </c>
      <c r="C37" s="181" t="s">
        <v>705</v>
      </c>
      <c r="D37" s="182">
        <v>1.05</v>
      </c>
      <c r="E37" s="180" t="str">
        <f t="shared" si="0"/>
        <v>level III</v>
      </c>
    </row>
    <row r="38" spans="1:5" x14ac:dyDescent="0.15">
      <c r="A38" s="180">
        <v>711</v>
      </c>
      <c r="B38" s="181" t="s">
        <v>661</v>
      </c>
      <c r="C38" s="181" t="s">
        <v>706</v>
      </c>
      <c r="D38" s="182">
        <v>0.95</v>
      </c>
      <c r="E38" s="180" t="str">
        <f t="shared" si="0"/>
        <v>level I</v>
      </c>
    </row>
    <row r="39" spans="1:5" x14ac:dyDescent="0.15">
      <c r="A39" s="180">
        <v>721</v>
      </c>
      <c r="B39" s="181" t="s">
        <v>661</v>
      </c>
      <c r="C39" s="181" t="s">
        <v>707</v>
      </c>
      <c r="D39" s="182">
        <v>0.95</v>
      </c>
      <c r="E39" s="180" t="str">
        <f t="shared" si="0"/>
        <v>level I</v>
      </c>
    </row>
    <row r="40" spans="1:5" x14ac:dyDescent="0.15">
      <c r="A40" s="180">
        <v>722</v>
      </c>
      <c r="B40" s="181" t="s">
        <v>661</v>
      </c>
      <c r="C40" s="181" t="s">
        <v>708</v>
      </c>
      <c r="D40" s="182">
        <v>0.95</v>
      </c>
      <c r="E40" s="180" t="str">
        <f t="shared" si="0"/>
        <v>level I</v>
      </c>
    </row>
    <row r="41" spans="1:5" x14ac:dyDescent="0.15">
      <c r="A41" s="180">
        <v>723</v>
      </c>
      <c r="B41" s="181" t="s">
        <v>661</v>
      </c>
      <c r="C41" s="181" t="s">
        <v>709</v>
      </c>
      <c r="D41" s="182">
        <v>0.95</v>
      </c>
      <c r="E41" s="180" t="str">
        <f t="shared" si="0"/>
        <v>level I</v>
      </c>
    </row>
    <row r="42" spans="1:5" x14ac:dyDescent="0.15">
      <c r="A42" s="180">
        <v>724</v>
      </c>
      <c r="B42" s="181" t="s">
        <v>661</v>
      </c>
      <c r="C42" s="181" t="s">
        <v>710</v>
      </c>
      <c r="D42" s="182">
        <v>0.95</v>
      </c>
      <c r="E42" s="180" t="str">
        <f t="shared" si="0"/>
        <v>level I</v>
      </c>
    </row>
    <row r="43" spans="1:5" x14ac:dyDescent="0.15">
      <c r="A43" s="180">
        <v>741</v>
      </c>
      <c r="B43" s="181" t="s">
        <v>661</v>
      </c>
      <c r="C43" s="181" t="s">
        <v>711</v>
      </c>
      <c r="D43" s="182">
        <v>0.95</v>
      </c>
      <c r="E43" s="180" t="str">
        <f t="shared" si="0"/>
        <v>level I</v>
      </c>
    </row>
    <row r="44" spans="1:5" x14ac:dyDescent="0.15">
      <c r="A44" s="180">
        <v>742</v>
      </c>
      <c r="B44" s="181" t="s">
        <v>661</v>
      </c>
      <c r="C44" s="181" t="s">
        <v>712</v>
      </c>
      <c r="D44" s="182">
        <v>0.95</v>
      </c>
      <c r="E44" s="180" t="str">
        <f t="shared" si="0"/>
        <v>level I</v>
      </c>
    </row>
    <row r="45" spans="1:5" x14ac:dyDescent="0.15">
      <c r="A45" s="180">
        <v>751</v>
      </c>
      <c r="B45" s="181" t="s">
        <v>661</v>
      </c>
      <c r="C45" s="181" t="s">
        <v>713</v>
      </c>
      <c r="D45" s="182">
        <v>0.95</v>
      </c>
      <c r="E45" s="180" t="str">
        <f t="shared" si="0"/>
        <v>level I</v>
      </c>
    </row>
    <row r="46" spans="1:5" x14ac:dyDescent="0.15">
      <c r="A46" s="180">
        <v>752</v>
      </c>
      <c r="B46" s="181" t="s">
        <v>661</v>
      </c>
      <c r="C46" s="181" t="s">
        <v>714</v>
      </c>
      <c r="D46" s="182">
        <v>0.95</v>
      </c>
      <c r="E46" s="180" t="str">
        <f t="shared" si="0"/>
        <v>level I</v>
      </c>
    </row>
    <row r="47" spans="1:5" x14ac:dyDescent="0.15">
      <c r="A47" s="180">
        <v>761</v>
      </c>
      <c r="B47" s="181" t="s">
        <v>661</v>
      </c>
      <c r="C47" s="181" t="s">
        <v>715</v>
      </c>
      <c r="D47" s="182">
        <v>0.95</v>
      </c>
      <c r="E47" s="180" t="str">
        <f t="shared" si="0"/>
        <v>level I</v>
      </c>
    </row>
    <row r="48" spans="1:5" x14ac:dyDescent="0.15">
      <c r="A48" s="180">
        <v>762</v>
      </c>
      <c r="B48" s="181" t="s">
        <v>661</v>
      </c>
      <c r="C48" s="181" t="s">
        <v>716</v>
      </c>
      <c r="D48" s="182">
        <v>0.95</v>
      </c>
      <c r="E48" s="180" t="str">
        <f t="shared" si="0"/>
        <v>level I</v>
      </c>
    </row>
    <row r="49" spans="1:5" x14ac:dyDescent="0.15">
      <c r="A49" s="180">
        <v>781</v>
      </c>
      <c r="B49" s="181" t="s">
        <v>661</v>
      </c>
      <c r="C49" s="181" t="s">
        <v>717</v>
      </c>
      <c r="D49" s="182">
        <v>0.95</v>
      </c>
      <c r="E49" s="180" t="str">
        <f t="shared" si="0"/>
        <v>level I</v>
      </c>
    </row>
    <row r="50" spans="1:5" x14ac:dyDescent="0.15">
      <c r="A50" s="180">
        <v>782</v>
      </c>
      <c r="B50" s="181" t="s">
        <v>661</v>
      </c>
      <c r="C50" s="181" t="s">
        <v>718</v>
      </c>
      <c r="D50" s="182">
        <v>0.95</v>
      </c>
      <c r="E50" s="180" t="str">
        <f t="shared" si="0"/>
        <v>level I</v>
      </c>
    </row>
    <row r="51" spans="1:5" x14ac:dyDescent="0.15">
      <c r="A51" s="180">
        <v>783</v>
      </c>
      <c r="B51" s="181" t="s">
        <v>661</v>
      </c>
      <c r="C51" s="181" t="s">
        <v>719</v>
      </c>
      <c r="D51" s="182">
        <v>0.95</v>
      </c>
      <c r="E51" s="180" t="str">
        <f t="shared" si="0"/>
        <v>level I</v>
      </c>
    </row>
    <row r="52" spans="1:5" x14ac:dyDescent="0.15">
      <c r="A52" s="180">
        <v>811</v>
      </c>
      <c r="B52" s="181" t="s">
        <v>661</v>
      </c>
      <c r="C52" s="181" t="s">
        <v>720</v>
      </c>
      <c r="D52" s="182">
        <v>1.05</v>
      </c>
      <c r="E52" s="180" t="str">
        <f t="shared" si="0"/>
        <v>level III</v>
      </c>
    </row>
    <row r="53" spans="1:5" x14ac:dyDescent="0.15">
      <c r="A53" s="180">
        <v>831</v>
      </c>
      <c r="B53" s="181" t="s">
        <v>661</v>
      </c>
      <c r="C53" s="181" t="s">
        <v>721</v>
      </c>
      <c r="D53" s="182">
        <v>1.05</v>
      </c>
      <c r="E53" s="180" t="str">
        <f t="shared" si="0"/>
        <v>level III</v>
      </c>
    </row>
    <row r="54" spans="1:5" x14ac:dyDescent="0.15">
      <c r="A54" s="180">
        <v>851</v>
      </c>
      <c r="B54" s="181" t="s">
        <v>661</v>
      </c>
      <c r="C54" s="181" t="s">
        <v>722</v>
      </c>
      <c r="D54" s="182">
        <v>1.05</v>
      </c>
      <c r="E54" s="180" t="str">
        <f t="shared" si="0"/>
        <v>level III</v>
      </c>
    </row>
    <row r="55" spans="1:5" x14ac:dyDescent="0.15">
      <c r="A55" s="180">
        <v>912</v>
      </c>
      <c r="B55" s="181" t="s">
        <v>661</v>
      </c>
      <c r="C55" s="181" t="s">
        <v>723</v>
      </c>
      <c r="D55" s="182">
        <v>1.05</v>
      </c>
      <c r="E55" s="180" t="str">
        <f t="shared" si="0"/>
        <v>level III</v>
      </c>
    </row>
    <row r="56" spans="1:5" x14ac:dyDescent="0.15">
      <c r="A56" s="180">
        <v>913</v>
      </c>
      <c r="B56" s="181" t="s">
        <v>661</v>
      </c>
      <c r="C56" s="181" t="s">
        <v>724</v>
      </c>
      <c r="D56" s="182">
        <v>1.05</v>
      </c>
      <c r="E56" s="180" t="str">
        <f t="shared" si="0"/>
        <v>level III</v>
      </c>
    </row>
    <row r="57" spans="1:5" x14ac:dyDescent="0.15">
      <c r="A57" s="180">
        <v>919</v>
      </c>
      <c r="B57" s="181" t="s">
        <v>661</v>
      </c>
      <c r="C57" s="181" t="s">
        <v>725</v>
      </c>
      <c r="D57" s="182">
        <v>1.05</v>
      </c>
      <c r="E57" s="180" t="str">
        <f t="shared" si="0"/>
        <v>level III</v>
      </c>
    </row>
    <row r="58" spans="1:5" x14ac:dyDescent="0.15">
      <c r="A58" s="180">
        <v>921</v>
      </c>
      <c r="B58" s="181" t="s">
        <v>661</v>
      </c>
      <c r="C58" s="181" t="s">
        <v>726</v>
      </c>
      <c r="D58" s="182">
        <v>1.05</v>
      </c>
      <c r="E58" s="180" t="str">
        <f t="shared" si="0"/>
        <v>level III</v>
      </c>
    </row>
    <row r="59" spans="1:5" x14ac:dyDescent="0.15">
      <c r="A59" s="180">
        <v>971</v>
      </c>
      <c r="B59" s="181" t="s">
        <v>661</v>
      </c>
      <c r="C59" s="181" t="s">
        <v>727</v>
      </c>
      <c r="D59" s="182">
        <v>1.05</v>
      </c>
      <c r="E59" s="180" t="str">
        <f t="shared" si="0"/>
        <v>level III</v>
      </c>
    </row>
    <row r="60" spans="1:5" x14ac:dyDescent="0.15">
      <c r="A60" s="180">
        <v>1011</v>
      </c>
      <c r="B60" s="181" t="s">
        <v>728</v>
      </c>
      <c r="C60" s="181" t="s">
        <v>729</v>
      </c>
      <c r="D60" s="182">
        <v>1.2</v>
      </c>
      <c r="E60" s="180" t="str">
        <f t="shared" si="0"/>
        <v>level VI</v>
      </c>
    </row>
    <row r="61" spans="1:5" x14ac:dyDescent="0.15">
      <c r="A61" s="180">
        <v>1021</v>
      </c>
      <c r="B61" s="181" t="s">
        <v>728</v>
      </c>
      <c r="C61" s="181" t="s">
        <v>730</v>
      </c>
      <c r="D61" s="182">
        <v>1.2</v>
      </c>
      <c r="E61" s="180" t="str">
        <f t="shared" si="0"/>
        <v>level VI</v>
      </c>
    </row>
    <row r="62" spans="1:5" x14ac:dyDescent="0.15">
      <c r="A62" s="180">
        <v>1031</v>
      </c>
      <c r="B62" s="181" t="s">
        <v>728</v>
      </c>
      <c r="C62" s="181" t="s">
        <v>731</v>
      </c>
      <c r="D62" s="182">
        <v>1.2</v>
      </c>
      <c r="E62" s="180" t="str">
        <f t="shared" si="0"/>
        <v>level VI</v>
      </c>
    </row>
    <row r="63" spans="1:5" x14ac:dyDescent="0.15">
      <c r="A63" s="180">
        <v>1041</v>
      </c>
      <c r="B63" s="181" t="s">
        <v>728</v>
      </c>
      <c r="C63" s="181" t="s">
        <v>732</v>
      </c>
      <c r="D63" s="182">
        <v>1.2</v>
      </c>
      <c r="E63" s="180" t="str">
        <f t="shared" si="0"/>
        <v>level VI</v>
      </c>
    </row>
    <row r="64" spans="1:5" x14ac:dyDescent="0.15">
      <c r="A64" s="180">
        <v>1044</v>
      </c>
      <c r="B64" s="181" t="s">
        <v>728</v>
      </c>
      <c r="C64" s="181" t="s">
        <v>733</v>
      </c>
      <c r="D64" s="182">
        <v>1.2</v>
      </c>
      <c r="E64" s="180" t="str">
        <f t="shared" si="0"/>
        <v>level VI</v>
      </c>
    </row>
    <row r="65" spans="1:5" x14ac:dyDescent="0.15">
      <c r="A65" s="180">
        <v>1061</v>
      </c>
      <c r="B65" s="181" t="s">
        <v>728</v>
      </c>
      <c r="C65" s="181" t="s">
        <v>734</v>
      </c>
      <c r="D65" s="182">
        <v>1.2</v>
      </c>
      <c r="E65" s="180" t="str">
        <f t="shared" si="0"/>
        <v>level VI</v>
      </c>
    </row>
    <row r="66" spans="1:5" x14ac:dyDescent="0.15">
      <c r="A66" s="180">
        <v>1081</v>
      </c>
      <c r="B66" s="181" t="s">
        <v>728</v>
      </c>
      <c r="C66" s="181" t="s">
        <v>735</v>
      </c>
      <c r="D66" s="182">
        <v>1.2</v>
      </c>
      <c r="E66" s="180" t="str">
        <f t="shared" ref="E66:E129" si="1">IF(D66=0.95,"level I",IF(D66=1,"level II",IF(D66=1.05,"level III",IF(D66=1.1,"level IV",IF(D66=1.15,"level V",IF(D66=1.2,"level VI",IF(D66=0.9,"level 0","level VII")))))))</f>
        <v>level VI</v>
      </c>
    </row>
    <row r="67" spans="1:5" x14ac:dyDescent="0.15">
      <c r="A67" s="180">
        <v>1094</v>
      </c>
      <c r="B67" s="181" t="s">
        <v>728</v>
      </c>
      <c r="C67" s="181" t="s">
        <v>736</v>
      </c>
      <c r="D67" s="182">
        <v>1.2</v>
      </c>
      <c r="E67" s="180" t="str">
        <f t="shared" si="1"/>
        <v>level VI</v>
      </c>
    </row>
    <row r="68" spans="1:5" x14ac:dyDescent="0.15">
      <c r="A68" s="180">
        <v>1099</v>
      </c>
      <c r="B68" s="181" t="s">
        <v>728</v>
      </c>
      <c r="C68" s="181" t="s">
        <v>737</v>
      </c>
      <c r="D68" s="182">
        <v>1.2</v>
      </c>
      <c r="E68" s="180" t="str">
        <f t="shared" si="1"/>
        <v>level VI</v>
      </c>
    </row>
    <row r="69" spans="1:5" x14ac:dyDescent="0.15">
      <c r="A69" s="180">
        <v>1221</v>
      </c>
      <c r="B69" s="181" t="s">
        <v>728</v>
      </c>
      <c r="C69" s="181" t="s">
        <v>738</v>
      </c>
      <c r="D69" s="182">
        <v>1.2</v>
      </c>
      <c r="E69" s="180" t="str">
        <f t="shared" si="1"/>
        <v>level VI</v>
      </c>
    </row>
    <row r="70" spans="1:5" x14ac:dyDescent="0.15">
      <c r="A70" s="180">
        <v>1222</v>
      </c>
      <c r="B70" s="181" t="s">
        <v>728</v>
      </c>
      <c r="C70" s="181" t="s">
        <v>739</v>
      </c>
      <c r="D70" s="182">
        <v>1.2</v>
      </c>
      <c r="E70" s="180" t="str">
        <f t="shared" si="1"/>
        <v>level VI</v>
      </c>
    </row>
    <row r="71" spans="1:5" x14ac:dyDescent="0.15">
      <c r="A71" s="180">
        <v>1231</v>
      </c>
      <c r="B71" s="181" t="s">
        <v>728</v>
      </c>
      <c r="C71" s="181" t="s">
        <v>740</v>
      </c>
      <c r="D71" s="182">
        <v>1.2</v>
      </c>
      <c r="E71" s="180" t="str">
        <f t="shared" si="1"/>
        <v>level VI</v>
      </c>
    </row>
    <row r="72" spans="1:5" x14ac:dyDescent="0.15">
      <c r="A72" s="180">
        <v>1241</v>
      </c>
      <c r="B72" s="181" t="s">
        <v>728</v>
      </c>
      <c r="C72" s="181" t="s">
        <v>741</v>
      </c>
      <c r="D72" s="182">
        <v>1.2</v>
      </c>
      <c r="E72" s="180" t="str">
        <f t="shared" si="1"/>
        <v>level VI</v>
      </c>
    </row>
    <row r="73" spans="1:5" x14ac:dyDescent="0.15">
      <c r="A73" s="180">
        <v>1311</v>
      </c>
      <c r="B73" s="181" t="s">
        <v>728</v>
      </c>
      <c r="C73" s="181" t="s">
        <v>742</v>
      </c>
      <c r="D73" s="182">
        <v>1.2</v>
      </c>
      <c r="E73" s="180" t="str">
        <f t="shared" si="1"/>
        <v>level VI</v>
      </c>
    </row>
    <row r="74" spans="1:5" x14ac:dyDescent="0.15">
      <c r="A74" s="180">
        <v>1321</v>
      </c>
      <c r="B74" s="181" t="s">
        <v>728</v>
      </c>
      <c r="C74" s="181" t="s">
        <v>743</v>
      </c>
      <c r="D74" s="182">
        <v>1.2</v>
      </c>
      <c r="E74" s="180" t="str">
        <f t="shared" si="1"/>
        <v>level VI</v>
      </c>
    </row>
    <row r="75" spans="1:5" x14ac:dyDescent="0.15">
      <c r="A75" s="180">
        <v>1381</v>
      </c>
      <c r="B75" s="181" t="s">
        <v>728</v>
      </c>
      <c r="C75" s="181" t="s">
        <v>744</v>
      </c>
      <c r="D75" s="182">
        <v>1.2</v>
      </c>
      <c r="E75" s="180" t="str">
        <f t="shared" si="1"/>
        <v>level VI</v>
      </c>
    </row>
    <row r="76" spans="1:5" x14ac:dyDescent="0.15">
      <c r="A76" s="180">
        <v>1382</v>
      </c>
      <c r="B76" s="181" t="s">
        <v>728</v>
      </c>
      <c r="C76" s="181" t="s">
        <v>745</v>
      </c>
      <c r="D76" s="182">
        <v>1.2</v>
      </c>
      <c r="E76" s="180" t="str">
        <f t="shared" si="1"/>
        <v>level VI</v>
      </c>
    </row>
    <row r="77" spans="1:5" x14ac:dyDescent="0.15">
      <c r="A77" s="180">
        <v>1389</v>
      </c>
      <c r="B77" s="181" t="s">
        <v>728</v>
      </c>
      <c r="C77" s="181" t="s">
        <v>746</v>
      </c>
      <c r="D77" s="182">
        <v>1.2</v>
      </c>
      <c r="E77" s="180" t="str">
        <f t="shared" si="1"/>
        <v>level VI</v>
      </c>
    </row>
    <row r="78" spans="1:5" x14ac:dyDescent="0.15">
      <c r="A78" s="180">
        <v>1411</v>
      </c>
      <c r="B78" s="181" t="s">
        <v>728</v>
      </c>
      <c r="C78" s="181" t="s">
        <v>747</v>
      </c>
      <c r="D78" s="182">
        <v>1.2</v>
      </c>
      <c r="E78" s="180" t="str">
        <f t="shared" si="1"/>
        <v>level VI</v>
      </c>
    </row>
    <row r="79" spans="1:5" x14ac:dyDescent="0.15">
      <c r="A79" s="180">
        <v>1422</v>
      </c>
      <c r="B79" s="181" t="s">
        <v>728</v>
      </c>
      <c r="C79" s="181" t="s">
        <v>748</v>
      </c>
      <c r="D79" s="182">
        <v>1.2</v>
      </c>
      <c r="E79" s="180" t="str">
        <f t="shared" si="1"/>
        <v>level VI</v>
      </c>
    </row>
    <row r="80" spans="1:5" x14ac:dyDescent="0.15">
      <c r="A80" s="180">
        <v>1423</v>
      </c>
      <c r="B80" s="181" t="s">
        <v>728</v>
      </c>
      <c r="C80" s="181" t="s">
        <v>749</v>
      </c>
      <c r="D80" s="182">
        <v>1.2</v>
      </c>
      <c r="E80" s="180" t="str">
        <f t="shared" si="1"/>
        <v>level VI</v>
      </c>
    </row>
    <row r="81" spans="1:5" x14ac:dyDescent="0.15">
      <c r="A81" s="180">
        <v>1429</v>
      </c>
      <c r="B81" s="181" t="s">
        <v>728</v>
      </c>
      <c r="C81" s="181" t="s">
        <v>750</v>
      </c>
      <c r="D81" s="182">
        <v>1.2</v>
      </c>
      <c r="E81" s="180" t="str">
        <f t="shared" si="1"/>
        <v>level VI</v>
      </c>
    </row>
    <row r="82" spans="1:5" x14ac:dyDescent="0.15">
      <c r="A82" s="180">
        <v>1442</v>
      </c>
      <c r="B82" s="181" t="s">
        <v>728</v>
      </c>
      <c r="C82" s="181" t="s">
        <v>751</v>
      </c>
      <c r="D82" s="182">
        <v>1.2</v>
      </c>
      <c r="E82" s="180" t="str">
        <f t="shared" si="1"/>
        <v>level VI</v>
      </c>
    </row>
    <row r="83" spans="1:5" x14ac:dyDescent="0.15">
      <c r="A83" s="180">
        <v>1446</v>
      </c>
      <c r="B83" s="181" t="s">
        <v>728</v>
      </c>
      <c r="C83" s="181" t="s">
        <v>752</v>
      </c>
      <c r="D83" s="182">
        <v>1.2</v>
      </c>
      <c r="E83" s="180" t="str">
        <f t="shared" si="1"/>
        <v>level VI</v>
      </c>
    </row>
    <row r="84" spans="1:5" x14ac:dyDescent="0.15">
      <c r="A84" s="180">
        <v>1455</v>
      </c>
      <c r="B84" s="181" t="s">
        <v>728</v>
      </c>
      <c r="C84" s="181" t="s">
        <v>753</v>
      </c>
      <c r="D84" s="182">
        <v>1.2</v>
      </c>
      <c r="E84" s="180" t="str">
        <f t="shared" si="1"/>
        <v>level VI</v>
      </c>
    </row>
    <row r="85" spans="1:5" x14ac:dyDescent="0.15">
      <c r="A85" s="180">
        <v>1459</v>
      </c>
      <c r="B85" s="181" t="s">
        <v>728</v>
      </c>
      <c r="C85" s="181" t="s">
        <v>754</v>
      </c>
      <c r="D85" s="182">
        <v>1.2</v>
      </c>
      <c r="E85" s="180" t="str">
        <f t="shared" si="1"/>
        <v>level VI</v>
      </c>
    </row>
    <row r="86" spans="1:5" x14ac:dyDescent="0.15">
      <c r="A86" s="180">
        <v>1474</v>
      </c>
      <c r="B86" s="181" t="s">
        <v>728</v>
      </c>
      <c r="C86" s="181" t="s">
        <v>755</v>
      </c>
      <c r="D86" s="182">
        <v>1.2</v>
      </c>
      <c r="E86" s="180" t="str">
        <f t="shared" si="1"/>
        <v>level VI</v>
      </c>
    </row>
    <row r="87" spans="1:5" x14ac:dyDescent="0.15">
      <c r="A87" s="180">
        <v>1475</v>
      </c>
      <c r="B87" s="181" t="s">
        <v>728</v>
      </c>
      <c r="C87" s="181" t="s">
        <v>756</v>
      </c>
      <c r="D87" s="182">
        <v>1.2</v>
      </c>
      <c r="E87" s="180" t="str">
        <f t="shared" si="1"/>
        <v>level VI</v>
      </c>
    </row>
    <row r="88" spans="1:5" x14ac:dyDescent="0.15">
      <c r="A88" s="180">
        <v>1479</v>
      </c>
      <c r="B88" s="181" t="s">
        <v>728</v>
      </c>
      <c r="C88" s="181" t="s">
        <v>757</v>
      </c>
      <c r="D88" s="182">
        <v>1.2</v>
      </c>
      <c r="E88" s="180" t="str">
        <f t="shared" si="1"/>
        <v>level VI</v>
      </c>
    </row>
    <row r="89" spans="1:5" x14ac:dyDescent="0.15">
      <c r="A89" s="180">
        <v>1481</v>
      </c>
      <c r="B89" s="181" t="s">
        <v>728</v>
      </c>
      <c r="C89" s="181" t="s">
        <v>758</v>
      </c>
      <c r="D89" s="182">
        <v>1.2</v>
      </c>
      <c r="E89" s="180" t="str">
        <f t="shared" si="1"/>
        <v>level VI</v>
      </c>
    </row>
    <row r="90" spans="1:5" x14ac:dyDescent="0.15">
      <c r="A90" s="180">
        <v>1499</v>
      </c>
      <c r="B90" s="181" t="s">
        <v>728</v>
      </c>
      <c r="C90" s="181" t="s">
        <v>759</v>
      </c>
      <c r="D90" s="182">
        <v>1.2</v>
      </c>
      <c r="E90" s="180" t="str">
        <f t="shared" si="1"/>
        <v>level VI</v>
      </c>
    </row>
    <row r="91" spans="1:5" x14ac:dyDescent="0.15">
      <c r="A91" s="180">
        <v>1521</v>
      </c>
      <c r="B91" s="181" t="s">
        <v>760</v>
      </c>
      <c r="C91" s="181" t="s">
        <v>761</v>
      </c>
      <c r="D91" s="182">
        <v>1</v>
      </c>
      <c r="E91" s="180" t="str">
        <f t="shared" si="1"/>
        <v>level II</v>
      </c>
    </row>
    <row r="92" spans="1:5" x14ac:dyDescent="0.15">
      <c r="A92" s="180">
        <v>1522</v>
      </c>
      <c r="B92" s="181" t="s">
        <v>760</v>
      </c>
      <c r="C92" s="181" t="s">
        <v>762</v>
      </c>
      <c r="D92" s="182">
        <v>1</v>
      </c>
      <c r="E92" s="180" t="str">
        <f t="shared" si="1"/>
        <v>level II</v>
      </c>
    </row>
    <row r="93" spans="1:5" x14ac:dyDescent="0.15">
      <c r="A93" s="180">
        <v>1531</v>
      </c>
      <c r="B93" s="181" t="s">
        <v>760</v>
      </c>
      <c r="C93" s="181" t="s">
        <v>763</v>
      </c>
      <c r="D93" s="182">
        <v>1</v>
      </c>
      <c r="E93" s="180" t="str">
        <f t="shared" si="1"/>
        <v>level II</v>
      </c>
    </row>
    <row r="94" spans="1:5" x14ac:dyDescent="0.15">
      <c r="A94" s="180">
        <v>1541</v>
      </c>
      <c r="B94" s="181" t="s">
        <v>760</v>
      </c>
      <c r="C94" s="181" t="s">
        <v>764</v>
      </c>
      <c r="D94" s="182">
        <v>1</v>
      </c>
      <c r="E94" s="180" t="str">
        <f t="shared" si="1"/>
        <v>level II</v>
      </c>
    </row>
    <row r="95" spans="1:5" x14ac:dyDescent="0.15">
      <c r="A95" s="180">
        <v>1542</v>
      </c>
      <c r="B95" s="181" t="s">
        <v>760</v>
      </c>
      <c r="C95" s="181" t="s">
        <v>765</v>
      </c>
      <c r="D95" s="182">
        <v>1</v>
      </c>
      <c r="E95" s="180" t="str">
        <f t="shared" si="1"/>
        <v>level II</v>
      </c>
    </row>
    <row r="96" spans="1:5" x14ac:dyDescent="0.15">
      <c r="A96" s="180">
        <v>1611</v>
      </c>
      <c r="B96" s="181" t="s">
        <v>760</v>
      </c>
      <c r="C96" s="181" t="s">
        <v>766</v>
      </c>
      <c r="D96" s="182">
        <v>1.05</v>
      </c>
      <c r="E96" s="180" t="str">
        <f t="shared" si="1"/>
        <v>level III</v>
      </c>
    </row>
    <row r="97" spans="1:5" x14ac:dyDescent="0.15">
      <c r="A97" s="180">
        <v>1622</v>
      </c>
      <c r="B97" s="181" t="s">
        <v>760</v>
      </c>
      <c r="C97" s="181" t="s">
        <v>767</v>
      </c>
      <c r="D97" s="182">
        <v>1.05</v>
      </c>
      <c r="E97" s="180" t="str">
        <f t="shared" si="1"/>
        <v>level III</v>
      </c>
    </row>
    <row r="98" spans="1:5" x14ac:dyDescent="0.15">
      <c r="A98" s="180">
        <v>1623</v>
      </c>
      <c r="B98" s="181" t="s">
        <v>760</v>
      </c>
      <c r="C98" s="181" t="s">
        <v>768</v>
      </c>
      <c r="D98" s="182">
        <v>1.05</v>
      </c>
      <c r="E98" s="180" t="str">
        <f t="shared" si="1"/>
        <v>level III</v>
      </c>
    </row>
    <row r="99" spans="1:5" x14ac:dyDescent="0.15">
      <c r="A99" s="180">
        <v>1629</v>
      </c>
      <c r="B99" s="181" t="s">
        <v>760</v>
      </c>
      <c r="C99" s="181" t="s">
        <v>769</v>
      </c>
      <c r="D99" s="182">
        <v>1.05</v>
      </c>
      <c r="E99" s="180" t="str">
        <f t="shared" si="1"/>
        <v>level III</v>
      </c>
    </row>
    <row r="100" spans="1:5" x14ac:dyDescent="0.15">
      <c r="A100" s="180">
        <v>1711</v>
      </c>
      <c r="B100" s="181" t="s">
        <v>760</v>
      </c>
      <c r="C100" s="181" t="s">
        <v>770</v>
      </c>
      <c r="D100" s="182">
        <v>1.05</v>
      </c>
      <c r="E100" s="180" t="str">
        <f t="shared" si="1"/>
        <v>level III</v>
      </c>
    </row>
    <row r="101" spans="1:5" x14ac:dyDescent="0.15">
      <c r="A101" s="180">
        <v>1721</v>
      </c>
      <c r="B101" s="181" t="s">
        <v>760</v>
      </c>
      <c r="C101" s="181" t="s">
        <v>771</v>
      </c>
      <c r="D101" s="182">
        <v>1.05</v>
      </c>
      <c r="E101" s="180" t="str">
        <f t="shared" si="1"/>
        <v>level III</v>
      </c>
    </row>
    <row r="102" spans="1:5" x14ac:dyDescent="0.15">
      <c r="A102" s="180">
        <v>1731</v>
      </c>
      <c r="B102" s="181" t="s">
        <v>760</v>
      </c>
      <c r="C102" s="181" t="s">
        <v>772</v>
      </c>
      <c r="D102" s="182">
        <v>1.05</v>
      </c>
      <c r="E102" s="180" t="str">
        <f t="shared" si="1"/>
        <v>level III</v>
      </c>
    </row>
    <row r="103" spans="1:5" x14ac:dyDescent="0.15">
      <c r="A103" s="180">
        <v>1741</v>
      </c>
      <c r="B103" s="181" t="s">
        <v>760</v>
      </c>
      <c r="C103" s="181" t="s">
        <v>773</v>
      </c>
      <c r="D103" s="182">
        <v>1.05</v>
      </c>
      <c r="E103" s="180" t="str">
        <f t="shared" si="1"/>
        <v>level III</v>
      </c>
    </row>
    <row r="104" spans="1:5" x14ac:dyDescent="0.15">
      <c r="A104" s="180">
        <v>1742</v>
      </c>
      <c r="B104" s="181" t="s">
        <v>760</v>
      </c>
      <c r="C104" s="181" t="s">
        <v>774</v>
      </c>
      <c r="D104" s="182">
        <v>1.05</v>
      </c>
      <c r="E104" s="180" t="str">
        <f t="shared" si="1"/>
        <v>level III</v>
      </c>
    </row>
    <row r="105" spans="1:5" x14ac:dyDescent="0.15">
      <c r="A105" s="180">
        <v>1743</v>
      </c>
      <c r="B105" s="181" t="s">
        <v>760</v>
      </c>
      <c r="C105" s="181" t="s">
        <v>775</v>
      </c>
      <c r="D105" s="182">
        <v>1.05</v>
      </c>
      <c r="E105" s="180" t="str">
        <f t="shared" si="1"/>
        <v>level III</v>
      </c>
    </row>
    <row r="106" spans="1:5" x14ac:dyDescent="0.15">
      <c r="A106" s="180">
        <v>1751</v>
      </c>
      <c r="B106" s="181" t="s">
        <v>760</v>
      </c>
      <c r="C106" s="181" t="s">
        <v>776</v>
      </c>
      <c r="D106" s="182">
        <v>1.05</v>
      </c>
      <c r="E106" s="180" t="str">
        <f t="shared" si="1"/>
        <v>level III</v>
      </c>
    </row>
    <row r="107" spans="1:5" x14ac:dyDescent="0.15">
      <c r="A107" s="180">
        <v>1752</v>
      </c>
      <c r="B107" s="181" t="s">
        <v>760</v>
      </c>
      <c r="C107" s="181" t="s">
        <v>777</v>
      </c>
      <c r="D107" s="182">
        <v>1.05</v>
      </c>
      <c r="E107" s="180" t="str">
        <f t="shared" si="1"/>
        <v>level III</v>
      </c>
    </row>
    <row r="108" spans="1:5" x14ac:dyDescent="0.15">
      <c r="A108" s="180">
        <v>1761</v>
      </c>
      <c r="B108" s="181" t="s">
        <v>760</v>
      </c>
      <c r="C108" s="181" t="s">
        <v>778</v>
      </c>
      <c r="D108" s="182">
        <v>1.05</v>
      </c>
      <c r="E108" s="180" t="str">
        <f t="shared" si="1"/>
        <v>level III</v>
      </c>
    </row>
    <row r="109" spans="1:5" x14ac:dyDescent="0.15">
      <c r="A109" s="180">
        <v>1771</v>
      </c>
      <c r="B109" s="181" t="s">
        <v>760</v>
      </c>
      <c r="C109" s="181" t="s">
        <v>779</v>
      </c>
      <c r="D109" s="182">
        <v>1.05</v>
      </c>
      <c r="E109" s="180" t="str">
        <f t="shared" si="1"/>
        <v>level III</v>
      </c>
    </row>
    <row r="110" spans="1:5" x14ac:dyDescent="0.15">
      <c r="A110" s="180">
        <v>1781</v>
      </c>
      <c r="B110" s="181" t="s">
        <v>760</v>
      </c>
      <c r="C110" s="181" t="s">
        <v>780</v>
      </c>
      <c r="D110" s="182">
        <v>1.05</v>
      </c>
      <c r="E110" s="180" t="str">
        <f t="shared" si="1"/>
        <v>level III</v>
      </c>
    </row>
    <row r="111" spans="1:5" x14ac:dyDescent="0.15">
      <c r="A111" s="180">
        <v>1791</v>
      </c>
      <c r="B111" s="181" t="s">
        <v>760</v>
      </c>
      <c r="C111" s="181" t="s">
        <v>781</v>
      </c>
      <c r="D111" s="182">
        <v>1.05</v>
      </c>
      <c r="E111" s="180" t="str">
        <f t="shared" si="1"/>
        <v>level III</v>
      </c>
    </row>
    <row r="112" spans="1:5" x14ac:dyDescent="0.15">
      <c r="A112" s="180">
        <v>1793</v>
      </c>
      <c r="B112" s="181" t="s">
        <v>760</v>
      </c>
      <c r="C112" s="181" t="s">
        <v>782</v>
      </c>
      <c r="D112" s="182">
        <v>1.05</v>
      </c>
      <c r="E112" s="180" t="str">
        <f t="shared" si="1"/>
        <v>level III</v>
      </c>
    </row>
    <row r="113" spans="1:5" x14ac:dyDescent="0.15">
      <c r="A113" s="180">
        <v>1794</v>
      </c>
      <c r="B113" s="181" t="s">
        <v>760</v>
      </c>
      <c r="C113" s="181" t="s">
        <v>783</v>
      </c>
      <c r="D113" s="182">
        <v>1.05</v>
      </c>
      <c r="E113" s="180" t="str">
        <f t="shared" si="1"/>
        <v>level III</v>
      </c>
    </row>
    <row r="114" spans="1:5" x14ac:dyDescent="0.15">
      <c r="A114" s="180">
        <v>1795</v>
      </c>
      <c r="B114" s="181" t="s">
        <v>760</v>
      </c>
      <c r="C114" s="181" t="s">
        <v>784</v>
      </c>
      <c r="D114" s="182">
        <v>1.05</v>
      </c>
      <c r="E114" s="180" t="str">
        <f t="shared" si="1"/>
        <v>level III</v>
      </c>
    </row>
    <row r="115" spans="1:5" x14ac:dyDescent="0.15">
      <c r="A115" s="180">
        <v>1796</v>
      </c>
      <c r="B115" s="181" t="s">
        <v>760</v>
      </c>
      <c r="C115" s="181" t="s">
        <v>785</v>
      </c>
      <c r="D115" s="182">
        <v>1.05</v>
      </c>
      <c r="E115" s="180" t="str">
        <f t="shared" si="1"/>
        <v>level III</v>
      </c>
    </row>
    <row r="116" spans="1:5" x14ac:dyDescent="0.15">
      <c r="A116" s="180">
        <v>1799</v>
      </c>
      <c r="B116" s="181" t="s">
        <v>760</v>
      </c>
      <c r="C116" s="181" t="s">
        <v>786</v>
      </c>
      <c r="D116" s="182">
        <v>1.05</v>
      </c>
      <c r="E116" s="180" t="str">
        <f t="shared" si="1"/>
        <v>level III</v>
      </c>
    </row>
    <row r="117" spans="1:5" x14ac:dyDescent="0.15">
      <c r="A117" s="180">
        <v>2011</v>
      </c>
      <c r="B117" s="181" t="s">
        <v>787</v>
      </c>
      <c r="C117" s="181" t="s">
        <v>788</v>
      </c>
      <c r="D117" s="182">
        <v>1.1499999999999999</v>
      </c>
      <c r="E117" s="180" t="str">
        <f t="shared" si="1"/>
        <v>level V</v>
      </c>
    </row>
    <row r="118" spans="1:5" x14ac:dyDescent="0.15">
      <c r="A118" s="180">
        <v>2013</v>
      </c>
      <c r="B118" s="181" t="s">
        <v>787</v>
      </c>
      <c r="C118" s="181" t="s">
        <v>789</v>
      </c>
      <c r="D118" s="182">
        <v>1.1499999999999999</v>
      </c>
      <c r="E118" s="180" t="str">
        <f t="shared" si="1"/>
        <v>level V</v>
      </c>
    </row>
    <row r="119" spans="1:5" x14ac:dyDescent="0.15">
      <c r="A119" s="180">
        <v>2015</v>
      </c>
      <c r="B119" s="181" t="s">
        <v>787</v>
      </c>
      <c r="C119" s="181" t="s">
        <v>790</v>
      </c>
      <c r="D119" s="182">
        <v>1.1499999999999999</v>
      </c>
      <c r="E119" s="180" t="str">
        <f t="shared" si="1"/>
        <v>level V</v>
      </c>
    </row>
    <row r="120" spans="1:5" x14ac:dyDescent="0.15">
      <c r="A120" s="180">
        <v>2021</v>
      </c>
      <c r="B120" s="181" t="s">
        <v>787</v>
      </c>
      <c r="C120" s="181" t="s">
        <v>791</v>
      </c>
      <c r="D120" s="182">
        <v>0.95</v>
      </c>
      <c r="E120" s="180" t="str">
        <f t="shared" si="1"/>
        <v>level I</v>
      </c>
    </row>
    <row r="121" spans="1:5" x14ac:dyDescent="0.15">
      <c r="A121" s="180">
        <v>2022</v>
      </c>
      <c r="B121" s="181" t="s">
        <v>787</v>
      </c>
      <c r="C121" s="181" t="s">
        <v>792</v>
      </c>
      <c r="D121" s="182">
        <v>0.95</v>
      </c>
      <c r="E121" s="180" t="str">
        <f t="shared" si="1"/>
        <v>level I</v>
      </c>
    </row>
    <row r="122" spans="1:5" x14ac:dyDescent="0.15">
      <c r="A122" s="180">
        <v>2023</v>
      </c>
      <c r="B122" s="181" t="s">
        <v>787</v>
      </c>
      <c r="C122" s="181" t="s">
        <v>793</v>
      </c>
      <c r="D122" s="182">
        <v>0.95</v>
      </c>
      <c r="E122" s="180" t="str">
        <f t="shared" si="1"/>
        <v>level I</v>
      </c>
    </row>
    <row r="123" spans="1:5" x14ac:dyDescent="0.15">
      <c r="A123" s="180">
        <v>2024</v>
      </c>
      <c r="B123" s="181" t="s">
        <v>787</v>
      </c>
      <c r="C123" s="181" t="s">
        <v>794</v>
      </c>
      <c r="D123" s="182">
        <v>0.95</v>
      </c>
      <c r="E123" s="180" t="str">
        <f t="shared" si="1"/>
        <v>level I</v>
      </c>
    </row>
    <row r="124" spans="1:5" x14ac:dyDescent="0.15">
      <c r="A124" s="180">
        <v>2026</v>
      </c>
      <c r="B124" s="181" t="s">
        <v>787</v>
      </c>
      <c r="C124" s="181" t="s">
        <v>795</v>
      </c>
      <c r="D124" s="182">
        <v>0.95</v>
      </c>
      <c r="E124" s="180" t="str">
        <f t="shared" si="1"/>
        <v>level I</v>
      </c>
    </row>
    <row r="125" spans="1:5" x14ac:dyDescent="0.15">
      <c r="A125" s="180">
        <v>2032</v>
      </c>
      <c r="B125" s="181" t="s">
        <v>787</v>
      </c>
      <c r="C125" s="181" t="s">
        <v>796</v>
      </c>
      <c r="D125" s="182">
        <v>0.95</v>
      </c>
      <c r="E125" s="180" t="str">
        <f t="shared" si="1"/>
        <v>level I</v>
      </c>
    </row>
    <row r="126" spans="1:5" x14ac:dyDescent="0.15">
      <c r="A126" s="180">
        <v>2033</v>
      </c>
      <c r="B126" s="181" t="s">
        <v>787</v>
      </c>
      <c r="C126" s="181" t="s">
        <v>797</v>
      </c>
      <c r="D126" s="182">
        <v>0.95</v>
      </c>
      <c r="E126" s="180" t="str">
        <f t="shared" si="1"/>
        <v>level I</v>
      </c>
    </row>
    <row r="127" spans="1:5" x14ac:dyDescent="0.15">
      <c r="A127" s="180">
        <v>2034</v>
      </c>
      <c r="B127" s="181" t="s">
        <v>787</v>
      </c>
      <c r="C127" s="181" t="s">
        <v>798</v>
      </c>
      <c r="D127" s="182">
        <v>0.95</v>
      </c>
      <c r="E127" s="180" t="str">
        <f t="shared" si="1"/>
        <v>level I</v>
      </c>
    </row>
    <row r="128" spans="1:5" x14ac:dyDescent="0.15">
      <c r="A128" s="180">
        <v>2035</v>
      </c>
      <c r="B128" s="181" t="s">
        <v>787</v>
      </c>
      <c r="C128" s="181" t="s">
        <v>799</v>
      </c>
      <c r="D128" s="182">
        <v>0.95</v>
      </c>
      <c r="E128" s="180" t="str">
        <f t="shared" si="1"/>
        <v>level I</v>
      </c>
    </row>
    <row r="129" spans="1:5" x14ac:dyDescent="0.15">
      <c r="A129" s="180">
        <v>2037</v>
      </c>
      <c r="B129" s="181" t="s">
        <v>787</v>
      </c>
      <c r="C129" s="181" t="s">
        <v>800</v>
      </c>
      <c r="D129" s="182">
        <v>0.95</v>
      </c>
      <c r="E129" s="180" t="str">
        <f t="shared" si="1"/>
        <v>level I</v>
      </c>
    </row>
    <row r="130" spans="1:5" x14ac:dyDescent="0.15">
      <c r="A130" s="180">
        <v>2038</v>
      </c>
      <c r="B130" s="181" t="s">
        <v>787</v>
      </c>
      <c r="C130" s="181" t="s">
        <v>801</v>
      </c>
      <c r="D130" s="182">
        <v>0.95</v>
      </c>
      <c r="E130" s="180" t="str">
        <f t="shared" ref="E130:E193" si="2">IF(D130=0.95,"level I",IF(D130=1,"level II",IF(D130=1.05,"level III",IF(D130=1.1,"level IV",IF(D130=1.15,"level V",IF(D130=1.2,"level VI",IF(D130=0.9,"level 0","level VII")))))))</f>
        <v>level I</v>
      </c>
    </row>
    <row r="131" spans="1:5" x14ac:dyDescent="0.15">
      <c r="A131" s="180">
        <v>2041</v>
      </c>
      <c r="B131" s="181" t="s">
        <v>787</v>
      </c>
      <c r="C131" s="181" t="s">
        <v>802</v>
      </c>
      <c r="D131" s="182">
        <v>0.95</v>
      </c>
      <c r="E131" s="180" t="str">
        <f t="shared" si="2"/>
        <v>level I</v>
      </c>
    </row>
    <row r="132" spans="1:5" x14ac:dyDescent="0.15">
      <c r="A132" s="180">
        <v>2043</v>
      </c>
      <c r="B132" s="181" t="s">
        <v>787</v>
      </c>
      <c r="C132" s="181" t="s">
        <v>803</v>
      </c>
      <c r="D132" s="182">
        <v>0.95</v>
      </c>
      <c r="E132" s="180" t="str">
        <f t="shared" si="2"/>
        <v>level I</v>
      </c>
    </row>
    <row r="133" spans="1:5" x14ac:dyDescent="0.15">
      <c r="A133" s="180">
        <v>2044</v>
      </c>
      <c r="B133" s="181" t="s">
        <v>787</v>
      </c>
      <c r="C133" s="181" t="s">
        <v>804</v>
      </c>
      <c r="D133" s="182">
        <v>0.95</v>
      </c>
      <c r="E133" s="180" t="str">
        <f t="shared" si="2"/>
        <v>level I</v>
      </c>
    </row>
    <row r="134" spans="1:5" x14ac:dyDescent="0.15">
      <c r="A134" s="180">
        <v>2045</v>
      </c>
      <c r="B134" s="181" t="s">
        <v>787</v>
      </c>
      <c r="C134" s="181" t="s">
        <v>805</v>
      </c>
      <c r="D134" s="182">
        <v>0.95</v>
      </c>
      <c r="E134" s="180" t="str">
        <f t="shared" si="2"/>
        <v>level I</v>
      </c>
    </row>
    <row r="135" spans="1:5" x14ac:dyDescent="0.15">
      <c r="A135" s="180">
        <v>2046</v>
      </c>
      <c r="B135" s="181" t="s">
        <v>787</v>
      </c>
      <c r="C135" s="181" t="s">
        <v>806</v>
      </c>
      <c r="D135" s="182">
        <v>0.95</v>
      </c>
      <c r="E135" s="180" t="str">
        <f t="shared" si="2"/>
        <v>level I</v>
      </c>
    </row>
    <row r="136" spans="1:5" x14ac:dyDescent="0.15">
      <c r="A136" s="180">
        <v>2047</v>
      </c>
      <c r="B136" s="181" t="s">
        <v>787</v>
      </c>
      <c r="C136" s="181" t="s">
        <v>807</v>
      </c>
      <c r="D136" s="182">
        <v>0.95</v>
      </c>
      <c r="E136" s="180" t="str">
        <f t="shared" si="2"/>
        <v>level I</v>
      </c>
    </row>
    <row r="137" spans="1:5" x14ac:dyDescent="0.15">
      <c r="A137" s="180">
        <v>2048</v>
      </c>
      <c r="B137" s="181" t="s">
        <v>787</v>
      </c>
      <c r="C137" s="181" t="s">
        <v>808</v>
      </c>
      <c r="D137" s="182">
        <v>0.95</v>
      </c>
      <c r="E137" s="180" t="str">
        <f t="shared" si="2"/>
        <v>level I</v>
      </c>
    </row>
    <row r="138" spans="1:5" x14ac:dyDescent="0.15">
      <c r="A138" s="180">
        <v>2051</v>
      </c>
      <c r="B138" s="181" t="s">
        <v>787</v>
      </c>
      <c r="C138" s="181" t="s">
        <v>809</v>
      </c>
      <c r="D138" s="182">
        <v>0.95</v>
      </c>
      <c r="E138" s="180" t="str">
        <f t="shared" si="2"/>
        <v>level I</v>
      </c>
    </row>
    <row r="139" spans="1:5" x14ac:dyDescent="0.15">
      <c r="A139" s="180">
        <v>2052</v>
      </c>
      <c r="B139" s="181" t="s">
        <v>787</v>
      </c>
      <c r="C139" s="181" t="s">
        <v>810</v>
      </c>
      <c r="D139" s="182">
        <v>0.95</v>
      </c>
      <c r="E139" s="180" t="str">
        <f t="shared" si="2"/>
        <v>level I</v>
      </c>
    </row>
    <row r="140" spans="1:5" x14ac:dyDescent="0.15">
      <c r="A140" s="180">
        <v>2053</v>
      </c>
      <c r="B140" s="181" t="s">
        <v>787</v>
      </c>
      <c r="C140" s="181" t="s">
        <v>811</v>
      </c>
      <c r="D140" s="182">
        <v>0.95</v>
      </c>
      <c r="E140" s="180" t="str">
        <f t="shared" si="2"/>
        <v>level I</v>
      </c>
    </row>
    <row r="141" spans="1:5" x14ac:dyDescent="0.15">
      <c r="A141" s="180">
        <v>2061</v>
      </c>
      <c r="B141" s="181" t="s">
        <v>787</v>
      </c>
      <c r="C141" s="181" t="s">
        <v>812</v>
      </c>
      <c r="D141" s="182">
        <v>0.95</v>
      </c>
      <c r="E141" s="180" t="str">
        <f t="shared" si="2"/>
        <v>level I</v>
      </c>
    </row>
    <row r="142" spans="1:5" x14ac:dyDescent="0.15">
      <c r="A142" s="180">
        <v>2062</v>
      </c>
      <c r="B142" s="181" t="s">
        <v>787</v>
      </c>
      <c r="C142" s="181" t="s">
        <v>813</v>
      </c>
      <c r="D142" s="182">
        <v>0.95</v>
      </c>
      <c r="E142" s="180" t="str">
        <f t="shared" si="2"/>
        <v>level I</v>
      </c>
    </row>
    <row r="143" spans="1:5" x14ac:dyDescent="0.15">
      <c r="A143" s="180">
        <v>2063</v>
      </c>
      <c r="B143" s="181" t="s">
        <v>787</v>
      </c>
      <c r="C143" s="181" t="s">
        <v>814</v>
      </c>
      <c r="D143" s="182">
        <v>0.95</v>
      </c>
      <c r="E143" s="180" t="str">
        <f t="shared" si="2"/>
        <v>level I</v>
      </c>
    </row>
    <row r="144" spans="1:5" x14ac:dyDescent="0.15">
      <c r="A144" s="180">
        <v>2064</v>
      </c>
      <c r="B144" s="181" t="s">
        <v>787</v>
      </c>
      <c r="C144" s="181" t="s">
        <v>815</v>
      </c>
      <c r="D144" s="182">
        <v>0.95</v>
      </c>
      <c r="E144" s="180" t="str">
        <f t="shared" si="2"/>
        <v>level I</v>
      </c>
    </row>
    <row r="145" spans="1:5" x14ac:dyDescent="0.15">
      <c r="A145" s="180">
        <v>2066</v>
      </c>
      <c r="B145" s="181" t="s">
        <v>787</v>
      </c>
      <c r="C145" s="181" t="s">
        <v>816</v>
      </c>
      <c r="D145" s="182">
        <v>0.95</v>
      </c>
      <c r="E145" s="180" t="str">
        <f t="shared" si="2"/>
        <v>level I</v>
      </c>
    </row>
    <row r="146" spans="1:5" x14ac:dyDescent="0.15">
      <c r="A146" s="180">
        <v>2067</v>
      </c>
      <c r="B146" s="181" t="s">
        <v>787</v>
      </c>
      <c r="C146" s="181" t="s">
        <v>817</v>
      </c>
      <c r="D146" s="182">
        <v>0.95</v>
      </c>
      <c r="E146" s="180" t="str">
        <f t="shared" si="2"/>
        <v>level I</v>
      </c>
    </row>
    <row r="147" spans="1:5" x14ac:dyDescent="0.15">
      <c r="A147" s="180">
        <v>2068</v>
      </c>
      <c r="B147" s="181" t="s">
        <v>787</v>
      </c>
      <c r="C147" s="181" t="s">
        <v>818</v>
      </c>
      <c r="D147" s="182">
        <v>0.95</v>
      </c>
      <c r="E147" s="180" t="str">
        <f t="shared" si="2"/>
        <v>level I</v>
      </c>
    </row>
    <row r="148" spans="1:5" x14ac:dyDescent="0.15">
      <c r="A148" s="180">
        <v>2074</v>
      </c>
      <c r="B148" s="181" t="s">
        <v>787</v>
      </c>
      <c r="C148" s="181" t="s">
        <v>819</v>
      </c>
      <c r="D148" s="182">
        <v>0.95</v>
      </c>
      <c r="E148" s="180" t="str">
        <f t="shared" si="2"/>
        <v>level I</v>
      </c>
    </row>
    <row r="149" spans="1:5" x14ac:dyDescent="0.15">
      <c r="A149" s="180">
        <v>2075</v>
      </c>
      <c r="B149" s="181" t="s">
        <v>787</v>
      </c>
      <c r="C149" s="181" t="s">
        <v>820</v>
      </c>
      <c r="D149" s="182">
        <v>0.95</v>
      </c>
      <c r="E149" s="180" t="str">
        <f t="shared" si="2"/>
        <v>level I</v>
      </c>
    </row>
    <row r="150" spans="1:5" x14ac:dyDescent="0.15">
      <c r="A150" s="180">
        <v>2076</v>
      </c>
      <c r="B150" s="181" t="s">
        <v>787</v>
      </c>
      <c r="C150" s="181" t="s">
        <v>821</v>
      </c>
      <c r="D150" s="182">
        <v>0.95</v>
      </c>
      <c r="E150" s="180" t="str">
        <f t="shared" si="2"/>
        <v>level I</v>
      </c>
    </row>
    <row r="151" spans="1:5" x14ac:dyDescent="0.15">
      <c r="A151" s="180">
        <v>2077</v>
      </c>
      <c r="B151" s="181" t="s">
        <v>787</v>
      </c>
      <c r="C151" s="181" t="s">
        <v>822</v>
      </c>
      <c r="D151" s="182">
        <v>0.95</v>
      </c>
      <c r="E151" s="180" t="str">
        <f t="shared" si="2"/>
        <v>level I</v>
      </c>
    </row>
    <row r="152" spans="1:5" x14ac:dyDescent="0.15">
      <c r="A152" s="180">
        <v>2079</v>
      </c>
      <c r="B152" s="181" t="s">
        <v>787</v>
      </c>
      <c r="C152" s="181" t="s">
        <v>823</v>
      </c>
      <c r="D152" s="182">
        <v>0.95</v>
      </c>
      <c r="E152" s="180" t="str">
        <f t="shared" si="2"/>
        <v>level I</v>
      </c>
    </row>
    <row r="153" spans="1:5" x14ac:dyDescent="0.15">
      <c r="A153" s="180">
        <v>2082</v>
      </c>
      <c r="B153" s="181" t="s">
        <v>787</v>
      </c>
      <c r="C153" s="181" t="s">
        <v>824</v>
      </c>
      <c r="D153" s="182">
        <v>0.95</v>
      </c>
      <c r="E153" s="180" t="str">
        <f t="shared" si="2"/>
        <v>level I</v>
      </c>
    </row>
    <row r="154" spans="1:5" x14ac:dyDescent="0.15">
      <c r="A154" s="180">
        <v>2083</v>
      </c>
      <c r="B154" s="181" t="s">
        <v>787</v>
      </c>
      <c r="C154" s="181" t="s">
        <v>825</v>
      </c>
      <c r="D154" s="182">
        <v>0.95</v>
      </c>
      <c r="E154" s="180" t="str">
        <f t="shared" si="2"/>
        <v>level I</v>
      </c>
    </row>
    <row r="155" spans="1:5" x14ac:dyDescent="0.15">
      <c r="A155" s="180">
        <v>2084</v>
      </c>
      <c r="B155" s="181" t="s">
        <v>787</v>
      </c>
      <c r="C155" s="181" t="s">
        <v>826</v>
      </c>
      <c r="D155" s="182">
        <v>0.95</v>
      </c>
      <c r="E155" s="180" t="str">
        <f t="shared" si="2"/>
        <v>level I</v>
      </c>
    </row>
    <row r="156" spans="1:5" x14ac:dyDescent="0.15">
      <c r="A156" s="180">
        <v>2085</v>
      </c>
      <c r="B156" s="181" t="s">
        <v>787</v>
      </c>
      <c r="C156" s="181" t="s">
        <v>827</v>
      </c>
      <c r="D156" s="182">
        <v>0.95</v>
      </c>
      <c r="E156" s="180" t="str">
        <f t="shared" si="2"/>
        <v>level I</v>
      </c>
    </row>
    <row r="157" spans="1:5" x14ac:dyDescent="0.15">
      <c r="A157" s="180">
        <v>2086</v>
      </c>
      <c r="B157" s="181" t="s">
        <v>787</v>
      </c>
      <c r="C157" s="181" t="s">
        <v>828</v>
      </c>
      <c r="D157" s="182">
        <v>0.95</v>
      </c>
      <c r="E157" s="180" t="str">
        <f t="shared" si="2"/>
        <v>level I</v>
      </c>
    </row>
    <row r="158" spans="1:5" x14ac:dyDescent="0.15">
      <c r="A158" s="180">
        <v>2087</v>
      </c>
      <c r="B158" s="181" t="s">
        <v>787</v>
      </c>
      <c r="C158" s="181" t="s">
        <v>829</v>
      </c>
      <c r="D158" s="182">
        <v>0.95</v>
      </c>
      <c r="E158" s="180" t="str">
        <f t="shared" si="2"/>
        <v>level I</v>
      </c>
    </row>
    <row r="159" spans="1:5" x14ac:dyDescent="0.15">
      <c r="A159" s="180">
        <v>2091</v>
      </c>
      <c r="B159" s="181" t="s">
        <v>787</v>
      </c>
      <c r="C159" s="181" t="s">
        <v>830</v>
      </c>
      <c r="D159" s="182">
        <v>0.95</v>
      </c>
      <c r="E159" s="180" t="str">
        <f t="shared" si="2"/>
        <v>level I</v>
      </c>
    </row>
    <row r="160" spans="1:5" x14ac:dyDescent="0.15">
      <c r="A160" s="180">
        <v>2092</v>
      </c>
      <c r="B160" s="181" t="s">
        <v>787</v>
      </c>
      <c r="C160" s="181" t="s">
        <v>831</v>
      </c>
      <c r="D160" s="182">
        <v>0.95</v>
      </c>
      <c r="E160" s="180" t="str">
        <f t="shared" si="2"/>
        <v>level I</v>
      </c>
    </row>
    <row r="161" spans="1:5" x14ac:dyDescent="0.15">
      <c r="A161" s="180">
        <v>2095</v>
      </c>
      <c r="B161" s="181" t="s">
        <v>787</v>
      </c>
      <c r="C161" s="181" t="s">
        <v>832</v>
      </c>
      <c r="D161" s="182">
        <v>0.95</v>
      </c>
      <c r="E161" s="180" t="str">
        <f t="shared" si="2"/>
        <v>level I</v>
      </c>
    </row>
    <row r="162" spans="1:5" x14ac:dyDescent="0.15">
      <c r="A162" s="180">
        <v>2096</v>
      </c>
      <c r="B162" s="181" t="s">
        <v>787</v>
      </c>
      <c r="C162" s="181" t="s">
        <v>833</v>
      </c>
      <c r="D162" s="182">
        <v>0.95</v>
      </c>
      <c r="E162" s="180" t="str">
        <f t="shared" si="2"/>
        <v>level I</v>
      </c>
    </row>
    <row r="163" spans="1:5" x14ac:dyDescent="0.15">
      <c r="A163" s="180">
        <v>2097</v>
      </c>
      <c r="B163" s="181" t="s">
        <v>787</v>
      </c>
      <c r="C163" s="181" t="s">
        <v>834</v>
      </c>
      <c r="D163" s="182">
        <v>0.95</v>
      </c>
      <c r="E163" s="180" t="str">
        <f t="shared" si="2"/>
        <v>level I</v>
      </c>
    </row>
    <row r="164" spans="1:5" x14ac:dyDescent="0.15">
      <c r="A164" s="180">
        <v>2098</v>
      </c>
      <c r="B164" s="181" t="s">
        <v>787</v>
      </c>
      <c r="C164" s="181" t="s">
        <v>835</v>
      </c>
      <c r="D164" s="182">
        <v>0.95</v>
      </c>
      <c r="E164" s="180" t="str">
        <f t="shared" si="2"/>
        <v>level I</v>
      </c>
    </row>
    <row r="165" spans="1:5" x14ac:dyDescent="0.15">
      <c r="A165" s="180">
        <v>2099</v>
      </c>
      <c r="B165" s="181" t="s">
        <v>787</v>
      </c>
      <c r="C165" s="181" t="s">
        <v>836</v>
      </c>
      <c r="D165" s="182">
        <v>0.95</v>
      </c>
      <c r="E165" s="180" t="str">
        <f t="shared" si="2"/>
        <v>level I</v>
      </c>
    </row>
    <row r="166" spans="1:5" x14ac:dyDescent="0.15">
      <c r="A166" s="180">
        <v>2111</v>
      </c>
      <c r="B166" s="181" t="s">
        <v>787</v>
      </c>
      <c r="C166" s="181" t="s">
        <v>837</v>
      </c>
      <c r="D166" s="182">
        <v>1.05</v>
      </c>
      <c r="E166" s="180" t="str">
        <f t="shared" si="2"/>
        <v>level III</v>
      </c>
    </row>
    <row r="167" spans="1:5" x14ac:dyDescent="0.15">
      <c r="A167" s="180">
        <v>2121</v>
      </c>
      <c r="B167" s="181" t="s">
        <v>787</v>
      </c>
      <c r="C167" s="181" t="s">
        <v>838</v>
      </c>
      <c r="D167" s="182">
        <v>1.05</v>
      </c>
      <c r="E167" s="180" t="str">
        <f t="shared" si="2"/>
        <v>level III</v>
      </c>
    </row>
    <row r="168" spans="1:5" x14ac:dyDescent="0.15">
      <c r="A168" s="180">
        <v>2131</v>
      </c>
      <c r="B168" s="181" t="s">
        <v>787</v>
      </c>
      <c r="C168" s="181" t="s">
        <v>839</v>
      </c>
      <c r="D168" s="182">
        <v>1.05</v>
      </c>
      <c r="E168" s="180" t="str">
        <f t="shared" si="2"/>
        <v>level III</v>
      </c>
    </row>
    <row r="169" spans="1:5" x14ac:dyDescent="0.15">
      <c r="A169" s="180">
        <v>2141</v>
      </c>
      <c r="B169" s="181" t="s">
        <v>787</v>
      </c>
      <c r="C169" s="181" t="s">
        <v>840</v>
      </c>
      <c r="D169" s="182">
        <v>1.05</v>
      </c>
      <c r="E169" s="180" t="str">
        <f t="shared" si="2"/>
        <v>level III</v>
      </c>
    </row>
    <row r="170" spans="1:5" x14ac:dyDescent="0.15">
      <c r="A170" s="180">
        <v>2211</v>
      </c>
      <c r="B170" s="181" t="s">
        <v>787</v>
      </c>
      <c r="C170" s="181" t="s">
        <v>841</v>
      </c>
      <c r="D170" s="182">
        <v>0.95</v>
      </c>
      <c r="E170" s="180" t="str">
        <f t="shared" si="2"/>
        <v>level I</v>
      </c>
    </row>
    <row r="171" spans="1:5" x14ac:dyDescent="0.15">
      <c r="A171" s="180">
        <v>2221</v>
      </c>
      <c r="B171" s="181" t="s">
        <v>787</v>
      </c>
      <c r="C171" s="181" t="s">
        <v>842</v>
      </c>
      <c r="D171" s="182">
        <v>0.95</v>
      </c>
      <c r="E171" s="180" t="str">
        <f t="shared" si="2"/>
        <v>level I</v>
      </c>
    </row>
    <row r="172" spans="1:5" x14ac:dyDescent="0.15">
      <c r="A172" s="180">
        <v>2231</v>
      </c>
      <c r="B172" s="181" t="s">
        <v>787</v>
      </c>
      <c r="C172" s="181" t="s">
        <v>843</v>
      </c>
      <c r="D172" s="182">
        <v>0.95</v>
      </c>
      <c r="E172" s="180" t="str">
        <f t="shared" si="2"/>
        <v>level I</v>
      </c>
    </row>
    <row r="173" spans="1:5" x14ac:dyDescent="0.15">
      <c r="A173" s="180">
        <v>2241</v>
      </c>
      <c r="B173" s="181" t="s">
        <v>787</v>
      </c>
      <c r="C173" s="181" t="s">
        <v>844</v>
      </c>
      <c r="D173" s="182">
        <v>0.95</v>
      </c>
      <c r="E173" s="180" t="str">
        <f t="shared" si="2"/>
        <v>level I</v>
      </c>
    </row>
    <row r="174" spans="1:5" x14ac:dyDescent="0.15">
      <c r="A174" s="180">
        <v>2251</v>
      </c>
      <c r="B174" s="181" t="s">
        <v>787</v>
      </c>
      <c r="C174" s="181" t="s">
        <v>845</v>
      </c>
      <c r="D174" s="182">
        <v>0.95</v>
      </c>
      <c r="E174" s="180" t="str">
        <f t="shared" si="2"/>
        <v>level I</v>
      </c>
    </row>
    <row r="175" spans="1:5" x14ac:dyDescent="0.15">
      <c r="A175" s="180">
        <v>2252</v>
      </c>
      <c r="B175" s="181" t="s">
        <v>787</v>
      </c>
      <c r="C175" s="181" t="s">
        <v>846</v>
      </c>
      <c r="D175" s="182">
        <v>0.95</v>
      </c>
      <c r="E175" s="180" t="str">
        <f t="shared" si="2"/>
        <v>level I</v>
      </c>
    </row>
    <row r="176" spans="1:5" x14ac:dyDescent="0.15">
      <c r="A176" s="180">
        <v>2253</v>
      </c>
      <c r="B176" s="181" t="s">
        <v>787</v>
      </c>
      <c r="C176" s="181" t="s">
        <v>847</v>
      </c>
      <c r="D176" s="182">
        <v>0.95</v>
      </c>
      <c r="E176" s="180" t="str">
        <f t="shared" si="2"/>
        <v>level I</v>
      </c>
    </row>
    <row r="177" spans="1:5" x14ac:dyDescent="0.15">
      <c r="A177" s="180">
        <v>2254</v>
      </c>
      <c r="B177" s="181" t="s">
        <v>787</v>
      </c>
      <c r="C177" s="181" t="s">
        <v>848</v>
      </c>
      <c r="D177" s="182">
        <v>0.95</v>
      </c>
      <c r="E177" s="180" t="str">
        <f t="shared" si="2"/>
        <v>level I</v>
      </c>
    </row>
    <row r="178" spans="1:5" x14ac:dyDescent="0.15">
      <c r="A178" s="180">
        <v>2257</v>
      </c>
      <c r="B178" s="181" t="s">
        <v>787</v>
      </c>
      <c r="C178" s="181" t="s">
        <v>849</v>
      </c>
      <c r="D178" s="182">
        <v>0.95</v>
      </c>
      <c r="E178" s="180" t="str">
        <f t="shared" si="2"/>
        <v>level I</v>
      </c>
    </row>
    <row r="179" spans="1:5" x14ac:dyDescent="0.15">
      <c r="A179" s="180">
        <v>2258</v>
      </c>
      <c r="B179" s="181" t="s">
        <v>787</v>
      </c>
      <c r="C179" s="181" t="s">
        <v>850</v>
      </c>
      <c r="D179" s="182">
        <v>0.95</v>
      </c>
      <c r="E179" s="180" t="str">
        <f t="shared" si="2"/>
        <v>level I</v>
      </c>
    </row>
    <row r="180" spans="1:5" x14ac:dyDescent="0.15">
      <c r="A180" s="180">
        <v>2259</v>
      </c>
      <c r="B180" s="181" t="s">
        <v>787</v>
      </c>
      <c r="C180" s="181" t="s">
        <v>851</v>
      </c>
      <c r="D180" s="182">
        <v>0.95</v>
      </c>
      <c r="E180" s="180" t="str">
        <f t="shared" si="2"/>
        <v>level I</v>
      </c>
    </row>
    <row r="181" spans="1:5" x14ac:dyDescent="0.15">
      <c r="A181" s="180">
        <v>2261</v>
      </c>
      <c r="B181" s="181" t="s">
        <v>787</v>
      </c>
      <c r="C181" s="181" t="s">
        <v>852</v>
      </c>
      <c r="D181" s="182">
        <v>0.95</v>
      </c>
      <c r="E181" s="180" t="str">
        <f t="shared" si="2"/>
        <v>level I</v>
      </c>
    </row>
    <row r="182" spans="1:5" x14ac:dyDescent="0.15">
      <c r="A182" s="180">
        <v>2262</v>
      </c>
      <c r="B182" s="181" t="s">
        <v>787</v>
      </c>
      <c r="C182" s="181" t="s">
        <v>853</v>
      </c>
      <c r="D182" s="182">
        <v>0.95</v>
      </c>
      <c r="E182" s="180" t="str">
        <f t="shared" si="2"/>
        <v>level I</v>
      </c>
    </row>
    <row r="183" spans="1:5" x14ac:dyDescent="0.15">
      <c r="A183" s="180">
        <v>2269</v>
      </c>
      <c r="B183" s="181" t="s">
        <v>787</v>
      </c>
      <c r="C183" s="181" t="s">
        <v>854</v>
      </c>
      <c r="D183" s="182">
        <v>0.95</v>
      </c>
      <c r="E183" s="180" t="str">
        <f t="shared" si="2"/>
        <v>level I</v>
      </c>
    </row>
    <row r="184" spans="1:5" x14ac:dyDescent="0.15">
      <c r="A184" s="180">
        <v>2273</v>
      </c>
      <c r="B184" s="181" t="s">
        <v>787</v>
      </c>
      <c r="C184" s="181" t="s">
        <v>855</v>
      </c>
      <c r="D184" s="182">
        <v>0.95</v>
      </c>
      <c r="E184" s="180" t="str">
        <f t="shared" si="2"/>
        <v>level I</v>
      </c>
    </row>
    <row r="185" spans="1:5" x14ac:dyDescent="0.15">
      <c r="A185" s="180">
        <v>2281</v>
      </c>
      <c r="B185" s="181" t="s">
        <v>787</v>
      </c>
      <c r="C185" s="181" t="s">
        <v>856</v>
      </c>
      <c r="D185" s="182">
        <v>0.95</v>
      </c>
      <c r="E185" s="180" t="str">
        <f t="shared" si="2"/>
        <v>level I</v>
      </c>
    </row>
    <row r="186" spans="1:5" x14ac:dyDescent="0.15">
      <c r="A186" s="180">
        <v>2282</v>
      </c>
      <c r="B186" s="181" t="s">
        <v>787</v>
      </c>
      <c r="C186" s="181" t="s">
        <v>857</v>
      </c>
      <c r="D186" s="182">
        <v>0.95</v>
      </c>
      <c r="E186" s="180" t="str">
        <f t="shared" si="2"/>
        <v>level I</v>
      </c>
    </row>
    <row r="187" spans="1:5" x14ac:dyDescent="0.15">
      <c r="A187" s="180">
        <v>2284</v>
      </c>
      <c r="B187" s="181" t="s">
        <v>787</v>
      </c>
      <c r="C187" s="181" t="s">
        <v>858</v>
      </c>
      <c r="D187" s="182">
        <v>0.95</v>
      </c>
      <c r="E187" s="180" t="str">
        <f t="shared" si="2"/>
        <v>level I</v>
      </c>
    </row>
    <row r="188" spans="1:5" x14ac:dyDescent="0.15">
      <c r="A188" s="180">
        <v>2295</v>
      </c>
      <c r="B188" s="181" t="s">
        <v>787</v>
      </c>
      <c r="C188" s="181" t="s">
        <v>859</v>
      </c>
      <c r="D188" s="182">
        <v>0.95</v>
      </c>
      <c r="E188" s="180" t="str">
        <f t="shared" si="2"/>
        <v>level I</v>
      </c>
    </row>
    <row r="189" spans="1:5" x14ac:dyDescent="0.15">
      <c r="A189" s="180">
        <v>2296</v>
      </c>
      <c r="B189" s="181" t="s">
        <v>787</v>
      </c>
      <c r="C189" s="181" t="s">
        <v>860</v>
      </c>
      <c r="D189" s="182">
        <v>0.95</v>
      </c>
      <c r="E189" s="180" t="str">
        <f t="shared" si="2"/>
        <v>level I</v>
      </c>
    </row>
    <row r="190" spans="1:5" x14ac:dyDescent="0.15">
      <c r="A190" s="180">
        <v>2297</v>
      </c>
      <c r="B190" s="181" t="s">
        <v>787</v>
      </c>
      <c r="C190" s="181" t="s">
        <v>861</v>
      </c>
      <c r="D190" s="182">
        <v>0.95</v>
      </c>
      <c r="E190" s="180" t="str">
        <f t="shared" si="2"/>
        <v>level I</v>
      </c>
    </row>
    <row r="191" spans="1:5" x14ac:dyDescent="0.15">
      <c r="A191" s="180">
        <v>2298</v>
      </c>
      <c r="B191" s="181" t="s">
        <v>787</v>
      </c>
      <c r="C191" s="181" t="s">
        <v>862</v>
      </c>
      <c r="D191" s="182">
        <v>0.95</v>
      </c>
      <c r="E191" s="180" t="str">
        <f t="shared" si="2"/>
        <v>level I</v>
      </c>
    </row>
    <row r="192" spans="1:5" x14ac:dyDescent="0.15">
      <c r="A192" s="180">
        <v>2299</v>
      </c>
      <c r="B192" s="181" t="s">
        <v>787</v>
      </c>
      <c r="C192" s="181" t="s">
        <v>863</v>
      </c>
      <c r="D192" s="182">
        <v>0.95</v>
      </c>
      <c r="E192" s="180" t="str">
        <f t="shared" si="2"/>
        <v>level I</v>
      </c>
    </row>
    <row r="193" spans="1:5" x14ac:dyDescent="0.15">
      <c r="A193" s="180">
        <v>2311</v>
      </c>
      <c r="B193" s="181" t="s">
        <v>787</v>
      </c>
      <c r="C193" s="181" t="s">
        <v>864</v>
      </c>
      <c r="D193" s="182">
        <v>0.95</v>
      </c>
      <c r="E193" s="180" t="str">
        <f t="shared" si="2"/>
        <v>level I</v>
      </c>
    </row>
    <row r="194" spans="1:5" x14ac:dyDescent="0.15">
      <c r="A194" s="180">
        <v>2321</v>
      </c>
      <c r="B194" s="181" t="s">
        <v>787</v>
      </c>
      <c r="C194" s="181" t="s">
        <v>865</v>
      </c>
      <c r="D194" s="182">
        <v>0.95</v>
      </c>
      <c r="E194" s="180" t="str">
        <f t="shared" ref="E194:E257" si="3">IF(D194=0.95,"level I",IF(D194=1,"level II",IF(D194=1.05,"level III",IF(D194=1.1,"level IV",IF(D194=1.15,"level V",IF(D194=1.2,"level VI",IF(D194=0.9,"level 0","level VII")))))))</f>
        <v>level I</v>
      </c>
    </row>
    <row r="195" spans="1:5" x14ac:dyDescent="0.15">
      <c r="A195" s="180">
        <v>2322</v>
      </c>
      <c r="B195" s="181" t="s">
        <v>787</v>
      </c>
      <c r="C195" s="181" t="s">
        <v>866</v>
      </c>
      <c r="D195" s="182">
        <v>0.95</v>
      </c>
      <c r="E195" s="180" t="str">
        <f t="shared" si="3"/>
        <v>level I</v>
      </c>
    </row>
    <row r="196" spans="1:5" x14ac:dyDescent="0.15">
      <c r="A196" s="180">
        <v>2323</v>
      </c>
      <c r="B196" s="181" t="s">
        <v>787</v>
      </c>
      <c r="C196" s="181" t="s">
        <v>867</v>
      </c>
      <c r="D196" s="182">
        <v>0.95</v>
      </c>
      <c r="E196" s="180" t="str">
        <f t="shared" si="3"/>
        <v>level I</v>
      </c>
    </row>
    <row r="197" spans="1:5" x14ac:dyDescent="0.15">
      <c r="A197" s="180">
        <v>2325</v>
      </c>
      <c r="B197" s="181" t="s">
        <v>787</v>
      </c>
      <c r="C197" s="181" t="s">
        <v>868</v>
      </c>
      <c r="D197" s="182">
        <v>0.95</v>
      </c>
      <c r="E197" s="180" t="str">
        <f t="shared" si="3"/>
        <v>level I</v>
      </c>
    </row>
    <row r="198" spans="1:5" x14ac:dyDescent="0.15">
      <c r="A198" s="180">
        <v>2326</v>
      </c>
      <c r="B198" s="181" t="s">
        <v>787</v>
      </c>
      <c r="C198" s="181" t="s">
        <v>869</v>
      </c>
      <c r="D198" s="182">
        <v>0.95</v>
      </c>
      <c r="E198" s="180" t="str">
        <f t="shared" si="3"/>
        <v>level I</v>
      </c>
    </row>
    <row r="199" spans="1:5" x14ac:dyDescent="0.15">
      <c r="A199" s="180">
        <v>2329</v>
      </c>
      <c r="B199" s="181" t="s">
        <v>787</v>
      </c>
      <c r="C199" s="181" t="s">
        <v>870</v>
      </c>
      <c r="D199" s="182">
        <v>0.95</v>
      </c>
      <c r="E199" s="180" t="str">
        <f t="shared" si="3"/>
        <v>level I</v>
      </c>
    </row>
    <row r="200" spans="1:5" x14ac:dyDescent="0.15">
      <c r="A200" s="180">
        <v>2331</v>
      </c>
      <c r="B200" s="181" t="s">
        <v>787</v>
      </c>
      <c r="C200" s="181" t="s">
        <v>871</v>
      </c>
      <c r="D200" s="182">
        <v>0.95</v>
      </c>
      <c r="E200" s="180" t="str">
        <f t="shared" si="3"/>
        <v>level I</v>
      </c>
    </row>
    <row r="201" spans="1:5" x14ac:dyDescent="0.15">
      <c r="A201" s="180">
        <v>2335</v>
      </c>
      <c r="B201" s="181" t="s">
        <v>787</v>
      </c>
      <c r="C201" s="181" t="s">
        <v>872</v>
      </c>
      <c r="D201" s="182">
        <v>0.95</v>
      </c>
      <c r="E201" s="180" t="str">
        <f t="shared" si="3"/>
        <v>level I</v>
      </c>
    </row>
    <row r="202" spans="1:5" x14ac:dyDescent="0.15">
      <c r="A202" s="180">
        <v>2337</v>
      </c>
      <c r="B202" s="181" t="s">
        <v>787</v>
      </c>
      <c r="C202" s="181" t="s">
        <v>873</v>
      </c>
      <c r="D202" s="182">
        <v>0.95</v>
      </c>
      <c r="E202" s="180" t="str">
        <f t="shared" si="3"/>
        <v>level I</v>
      </c>
    </row>
    <row r="203" spans="1:5" x14ac:dyDescent="0.15">
      <c r="A203" s="180">
        <v>2339</v>
      </c>
      <c r="B203" s="181" t="s">
        <v>787</v>
      </c>
      <c r="C203" s="181" t="s">
        <v>874</v>
      </c>
      <c r="D203" s="182">
        <v>0.95</v>
      </c>
      <c r="E203" s="180" t="str">
        <f t="shared" si="3"/>
        <v>level I</v>
      </c>
    </row>
    <row r="204" spans="1:5" x14ac:dyDescent="0.15">
      <c r="A204" s="180">
        <v>2341</v>
      </c>
      <c r="B204" s="181" t="s">
        <v>787</v>
      </c>
      <c r="C204" s="181" t="s">
        <v>875</v>
      </c>
      <c r="D204" s="182">
        <v>0.95</v>
      </c>
      <c r="E204" s="180" t="str">
        <f t="shared" si="3"/>
        <v>level I</v>
      </c>
    </row>
    <row r="205" spans="1:5" x14ac:dyDescent="0.15">
      <c r="A205" s="180">
        <v>2342</v>
      </c>
      <c r="B205" s="181" t="s">
        <v>787</v>
      </c>
      <c r="C205" s="181" t="s">
        <v>876</v>
      </c>
      <c r="D205" s="182">
        <v>0.95</v>
      </c>
      <c r="E205" s="180" t="str">
        <f t="shared" si="3"/>
        <v>level I</v>
      </c>
    </row>
    <row r="206" spans="1:5" x14ac:dyDescent="0.15">
      <c r="A206" s="180">
        <v>2353</v>
      </c>
      <c r="B206" s="181" t="s">
        <v>787</v>
      </c>
      <c r="C206" s="181" t="s">
        <v>877</v>
      </c>
      <c r="D206" s="182">
        <v>0.95</v>
      </c>
      <c r="E206" s="180" t="str">
        <f t="shared" si="3"/>
        <v>level I</v>
      </c>
    </row>
    <row r="207" spans="1:5" x14ac:dyDescent="0.15">
      <c r="A207" s="180">
        <v>2361</v>
      </c>
      <c r="B207" s="181" t="s">
        <v>787</v>
      </c>
      <c r="C207" s="181" t="s">
        <v>878</v>
      </c>
      <c r="D207" s="182">
        <v>0.95</v>
      </c>
      <c r="E207" s="180" t="str">
        <f t="shared" si="3"/>
        <v>level I</v>
      </c>
    </row>
    <row r="208" spans="1:5" x14ac:dyDescent="0.15">
      <c r="A208" s="180">
        <v>2369</v>
      </c>
      <c r="B208" s="181" t="s">
        <v>787</v>
      </c>
      <c r="C208" s="181" t="s">
        <v>879</v>
      </c>
      <c r="D208" s="182">
        <v>0.95</v>
      </c>
      <c r="E208" s="180" t="str">
        <f t="shared" si="3"/>
        <v>level I</v>
      </c>
    </row>
    <row r="209" spans="1:5" x14ac:dyDescent="0.15">
      <c r="A209" s="180">
        <v>2371</v>
      </c>
      <c r="B209" s="181" t="s">
        <v>787</v>
      </c>
      <c r="C209" s="181" t="s">
        <v>880</v>
      </c>
      <c r="D209" s="182">
        <v>0.95</v>
      </c>
      <c r="E209" s="180" t="str">
        <f t="shared" si="3"/>
        <v>level I</v>
      </c>
    </row>
    <row r="210" spans="1:5" x14ac:dyDescent="0.15">
      <c r="A210" s="180">
        <v>2381</v>
      </c>
      <c r="B210" s="181" t="s">
        <v>787</v>
      </c>
      <c r="C210" s="181" t="s">
        <v>881</v>
      </c>
      <c r="D210" s="182">
        <v>0.95</v>
      </c>
      <c r="E210" s="180" t="str">
        <f t="shared" si="3"/>
        <v>level I</v>
      </c>
    </row>
    <row r="211" spans="1:5" x14ac:dyDescent="0.15">
      <c r="A211" s="180">
        <v>2384</v>
      </c>
      <c r="B211" s="181" t="s">
        <v>787</v>
      </c>
      <c r="C211" s="181" t="s">
        <v>882</v>
      </c>
      <c r="D211" s="182">
        <v>0.95</v>
      </c>
      <c r="E211" s="180" t="str">
        <f t="shared" si="3"/>
        <v>level I</v>
      </c>
    </row>
    <row r="212" spans="1:5" x14ac:dyDescent="0.15">
      <c r="A212" s="180">
        <v>2385</v>
      </c>
      <c r="B212" s="181" t="s">
        <v>787</v>
      </c>
      <c r="C212" s="181" t="s">
        <v>883</v>
      </c>
      <c r="D212" s="182">
        <v>0.95</v>
      </c>
      <c r="E212" s="180" t="str">
        <f t="shared" si="3"/>
        <v>level I</v>
      </c>
    </row>
    <row r="213" spans="1:5" x14ac:dyDescent="0.15">
      <c r="A213" s="180">
        <v>2386</v>
      </c>
      <c r="B213" s="181" t="s">
        <v>787</v>
      </c>
      <c r="C213" s="181" t="s">
        <v>884</v>
      </c>
      <c r="D213" s="182">
        <v>0.95</v>
      </c>
      <c r="E213" s="180" t="str">
        <f t="shared" si="3"/>
        <v>level I</v>
      </c>
    </row>
    <row r="214" spans="1:5" x14ac:dyDescent="0.15">
      <c r="A214" s="180">
        <v>2387</v>
      </c>
      <c r="B214" s="181" t="s">
        <v>787</v>
      </c>
      <c r="C214" s="181" t="s">
        <v>885</v>
      </c>
      <c r="D214" s="182">
        <v>0.95</v>
      </c>
      <c r="E214" s="180" t="str">
        <f t="shared" si="3"/>
        <v>level I</v>
      </c>
    </row>
    <row r="215" spans="1:5" x14ac:dyDescent="0.15">
      <c r="A215" s="180">
        <v>2389</v>
      </c>
      <c r="B215" s="181" t="s">
        <v>787</v>
      </c>
      <c r="C215" s="181" t="s">
        <v>886</v>
      </c>
      <c r="D215" s="182">
        <v>0.95</v>
      </c>
      <c r="E215" s="180" t="str">
        <f t="shared" si="3"/>
        <v>level I</v>
      </c>
    </row>
    <row r="216" spans="1:5" x14ac:dyDescent="0.15">
      <c r="A216" s="180">
        <v>2391</v>
      </c>
      <c r="B216" s="181" t="s">
        <v>787</v>
      </c>
      <c r="C216" s="181" t="s">
        <v>887</v>
      </c>
      <c r="D216" s="182">
        <v>0.95</v>
      </c>
      <c r="E216" s="180" t="str">
        <f t="shared" si="3"/>
        <v>level I</v>
      </c>
    </row>
    <row r="217" spans="1:5" x14ac:dyDescent="0.15">
      <c r="A217" s="180">
        <v>2392</v>
      </c>
      <c r="B217" s="181" t="s">
        <v>787</v>
      </c>
      <c r="C217" s="181" t="s">
        <v>888</v>
      </c>
      <c r="D217" s="182">
        <v>0.95</v>
      </c>
      <c r="E217" s="180" t="str">
        <f t="shared" si="3"/>
        <v>level I</v>
      </c>
    </row>
    <row r="218" spans="1:5" x14ac:dyDescent="0.15">
      <c r="A218" s="180">
        <v>2393</v>
      </c>
      <c r="B218" s="181" t="s">
        <v>787</v>
      </c>
      <c r="C218" s="181" t="s">
        <v>889</v>
      </c>
      <c r="D218" s="182">
        <v>0.95</v>
      </c>
      <c r="E218" s="180" t="str">
        <f t="shared" si="3"/>
        <v>level I</v>
      </c>
    </row>
    <row r="219" spans="1:5" x14ac:dyDescent="0.15">
      <c r="A219" s="180">
        <v>2394</v>
      </c>
      <c r="B219" s="181" t="s">
        <v>787</v>
      </c>
      <c r="C219" s="181" t="s">
        <v>890</v>
      </c>
      <c r="D219" s="182">
        <v>0.95</v>
      </c>
      <c r="E219" s="180" t="str">
        <f t="shared" si="3"/>
        <v>level I</v>
      </c>
    </row>
    <row r="220" spans="1:5" x14ac:dyDescent="0.15">
      <c r="A220" s="180">
        <v>2395</v>
      </c>
      <c r="B220" s="181" t="s">
        <v>787</v>
      </c>
      <c r="C220" s="181" t="s">
        <v>891</v>
      </c>
      <c r="D220" s="182">
        <v>0.95</v>
      </c>
      <c r="E220" s="180" t="str">
        <f t="shared" si="3"/>
        <v>level I</v>
      </c>
    </row>
    <row r="221" spans="1:5" x14ac:dyDescent="0.15">
      <c r="A221" s="180">
        <v>2396</v>
      </c>
      <c r="B221" s="181" t="s">
        <v>787</v>
      </c>
      <c r="C221" s="181" t="s">
        <v>892</v>
      </c>
      <c r="D221" s="182">
        <v>0.95</v>
      </c>
      <c r="E221" s="180" t="str">
        <f t="shared" si="3"/>
        <v>level I</v>
      </c>
    </row>
    <row r="222" spans="1:5" x14ac:dyDescent="0.15">
      <c r="A222" s="180">
        <v>2397</v>
      </c>
      <c r="B222" s="181" t="s">
        <v>787</v>
      </c>
      <c r="C222" s="181" t="s">
        <v>893</v>
      </c>
      <c r="D222" s="182">
        <v>0.95</v>
      </c>
      <c r="E222" s="180" t="str">
        <f t="shared" si="3"/>
        <v>level I</v>
      </c>
    </row>
    <row r="223" spans="1:5" x14ac:dyDescent="0.15">
      <c r="A223" s="180">
        <v>2399</v>
      </c>
      <c r="B223" s="181" t="s">
        <v>787</v>
      </c>
      <c r="C223" s="181" t="s">
        <v>894</v>
      </c>
      <c r="D223" s="182">
        <v>0.95</v>
      </c>
      <c r="E223" s="180" t="str">
        <f t="shared" si="3"/>
        <v>level I</v>
      </c>
    </row>
    <row r="224" spans="1:5" x14ac:dyDescent="0.15">
      <c r="A224" s="180">
        <v>2411</v>
      </c>
      <c r="B224" s="181" t="s">
        <v>787</v>
      </c>
      <c r="C224" s="181" t="s">
        <v>895</v>
      </c>
      <c r="D224" s="182">
        <v>1.05</v>
      </c>
      <c r="E224" s="180" t="str">
        <f t="shared" si="3"/>
        <v>level III</v>
      </c>
    </row>
    <row r="225" spans="1:5" x14ac:dyDescent="0.15">
      <c r="A225" s="180">
        <v>2421</v>
      </c>
      <c r="B225" s="181" t="s">
        <v>787</v>
      </c>
      <c r="C225" s="181" t="s">
        <v>896</v>
      </c>
      <c r="D225" s="182">
        <v>1.05</v>
      </c>
      <c r="E225" s="180" t="str">
        <f t="shared" si="3"/>
        <v>level III</v>
      </c>
    </row>
    <row r="226" spans="1:5" x14ac:dyDescent="0.15">
      <c r="A226" s="180">
        <v>2426</v>
      </c>
      <c r="B226" s="181" t="s">
        <v>787</v>
      </c>
      <c r="C226" s="181" t="s">
        <v>897</v>
      </c>
      <c r="D226" s="182">
        <v>1.05</v>
      </c>
      <c r="E226" s="180" t="str">
        <f t="shared" si="3"/>
        <v>level III</v>
      </c>
    </row>
    <row r="227" spans="1:5" x14ac:dyDescent="0.15">
      <c r="A227" s="180">
        <v>2429</v>
      </c>
      <c r="B227" s="181" t="s">
        <v>787</v>
      </c>
      <c r="C227" s="181" t="s">
        <v>898</v>
      </c>
      <c r="D227" s="182">
        <v>1.05</v>
      </c>
      <c r="E227" s="180" t="str">
        <f t="shared" si="3"/>
        <v>level III</v>
      </c>
    </row>
    <row r="228" spans="1:5" x14ac:dyDescent="0.15">
      <c r="A228" s="180">
        <v>2431</v>
      </c>
      <c r="B228" s="181" t="s">
        <v>787</v>
      </c>
      <c r="C228" s="181" t="s">
        <v>899</v>
      </c>
      <c r="D228" s="182">
        <v>1.05</v>
      </c>
      <c r="E228" s="180" t="str">
        <f t="shared" si="3"/>
        <v>level III</v>
      </c>
    </row>
    <row r="229" spans="1:5" x14ac:dyDescent="0.15">
      <c r="A229" s="180">
        <v>2434</v>
      </c>
      <c r="B229" s="181" t="s">
        <v>787</v>
      </c>
      <c r="C229" s="181" t="s">
        <v>900</v>
      </c>
      <c r="D229" s="182">
        <v>1.05</v>
      </c>
      <c r="E229" s="180" t="str">
        <f t="shared" si="3"/>
        <v>level III</v>
      </c>
    </row>
    <row r="230" spans="1:5" x14ac:dyDescent="0.15">
      <c r="A230" s="180">
        <v>2435</v>
      </c>
      <c r="B230" s="181" t="s">
        <v>787</v>
      </c>
      <c r="C230" s="181" t="s">
        <v>901</v>
      </c>
      <c r="D230" s="182">
        <v>1.05</v>
      </c>
      <c r="E230" s="180" t="str">
        <f t="shared" si="3"/>
        <v>level III</v>
      </c>
    </row>
    <row r="231" spans="1:5" x14ac:dyDescent="0.15">
      <c r="A231" s="180">
        <v>2436</v>
      </c>
      <c r="B231" s="181" t="s">
        <v>787</v>
      </c>
      <c r="C231" s="181" t="s">
        <v>902</v>
      </c>
      <c r="D231" s="182">
        <v>1.05</v>
      </c>
      <c r="E231" s="180" t="str">
        <f t="shared" si="3"/>
        <v>level III</v>
      </c>
    </row>
    <row r="232" spans="1:5" x14ac:dyDescent="0.15">
      <c r="A232" s="180">
        <v>2439</v>
      </c>
      <c r="B232" s="181" t="s">
        <v>787</v>
      </c>
      <c r="C232" s="181" t="s">
        <v>903</v>
      </c>
      <c r="D232" s="182">
        <v>1.05</v>
      </c>
      <c r="E232" s="180" t="str">
        <f t="shared" si="3"/>
        <v>level III</v>
      </c>
    </row>
    <row r="233" spans="1:5" x14ac:dyDescent="0.15">
      <c r="A233" s="180">
        <v>2441</v>
      </c>
      <c r="B233" s="181" t="s">
        <v>787</v>
      </c>
      <c r="C233" s="181" t="s">
        <v>904</v>
      </c>
      <c r="D233" s="182">
        <v>1.05</v>
      </c>
      <c r="E233" s="180" t="str">
        <f t="shared" si="3"/>
        <v>level III</v>
      </c>
    </row>
    <row r="234" spans="1:5" x14ac:dyDescent="0.15">
      <c r="A234" s="180">
        <v>2448</v>
      </c>
      <c r="B234" s="181" t="s">
        <v>787</v>
      </c>
      <c r="C234" s="181" t="s">
        <v>905</v>
      </c>
      <c r="D234" s="182">
        <v>1.05</v>
      </c>
      <c r="E234" s="180" t="str">
        <f t="shared" si="3"/>
        <v>level III</v>
      </c>
    </row>
    <row r="235" spans="1:5" x14ac:dyDescent="0.15">
      <c r="A235" s="180">
        <v>2449</v>
      </c>
      <c r="B235" s="181" t="s">
        <v>787</v>
      </c>
      <c r="C235" s="181" t="s">
        <v>906</v>
      </c>
      <c r="D235" s="182">
        <v>1.05</v>
      </c>
      <c r="E235" s="180" t="str">
        <f t="shared" si="3"/>
        <v>level III</v>
      </c>
    </row>
    <row r="236" spans="1:5" x14ac:dyDescent="0.15">
      <c r="A236" s="180">
        <v>2451</v>
      </c>
      <c r="B236" s="181" t="s">
        <v>787</v>
      </c>
      <c r="C236" s="181" t="s">
        <v>907</v>
      </c>
      <c r="D236" s="182">
        <v>1.05</v>
      </c>
      <c r="E236" s="180" t="str">
        <f t="shared" si="3"/>
        <v>level III</v>
      </c>
    </row>
    <row r="237" spans="1:5" x14ac:dyDescent="0.15">
      <c r="A237" s="180">
        <v>2452</v>
      </c>
      <c r="B237" s="181" t="s">
        <v>787</v>
      </c>
      <c r="C237" s="181" t="s">
        <v>908</v>
      </c>
      <c r="D237" s="182">
        <v>1.05</v>
      </c>
      <c r="E237" s="180" t="str">
        <f t="shared" si="3"/>
        <v>level III</v>
      </c>
    </row>
    <row r="238" spans="1:5" x14ac:dyDescent="0.15">
      <c r="A238" s="180">
        <v>2491</v>
      </c>
      <c r="B238" s="181" t="s">
        <v>787</v>
      </c>
      <c r="C238" s="181" t="s">
        <v>909</v>
      </c>
      <c r="D238" s="182">
        <v>1.05</v>
      </c>
      <c r="E238" s="180" t="str">
        <f t="shared" si="3"/>
        <v>level III</v>
      </c>
    </row>
    <row r="239" spans="1:5" x14ac:dyDescent="0.15">
      <c r="A239" s="180">
        <v>2493</v>
      </c>
      <c r="B239" s="181" t="s">
        <v>787</v>
      </c>
      <c r="C239" s="181" t="s">
        <v>910</v>
      </c>
      <c r="D239" s="182">
        <v>1.05</v>
      </c>
      <c r="E239" s="180" t="str">
        <f t="shared" si="3"/>
        <v>level III</v>
      </c>
    </row>
    <row r="240" spans="1:5" x14ac:dyDescent="0.15">
      <c r="A240" s="180">
        <v>2499</v>
      </c>
      <c r="B240" s="181" t="s">
        <v>787</v>
      </c>
      <c r="C240" s="181" t="s">
        <v>911</v>
      </c>
      <c r="D240" s="182">
        <v>1.05</v>
      </c>
      <c r="E240" s="180" t="str">
        <f t="shared" si="3"/>
        <v>level III</v>
      </c>
    </row>
    <row r="241" spans="1:5" x14ac:dyDescent="0.15">
      <c r="A241" s="180">
        <v>2511</v>
      </c>
      <c r="B241" s="181" t="s">
        <v>787</v>
      </c>
      <c r="C241" s="181" t="s">
        <v>912</v>
      </c>
      <c r="D241" s="182">
        <v>0.95</v>
      </c>
      <c r="E241" s="180" t="str">
        <f t="shared" si="3"/>
        <v>level I</v>
      </c>
    </row>
    <row r="242" spans="1:5" x14ac:dyDescent="0.15">
      <c r="A242" s="180">
        <v>2512</v>
      </c>
      <c r="B242" s="181" t="s">
        <v>787</v>
      </c>
      <c r="C242" s="181" t="s">
        <v>913</v>
      </c>
      <c r="D242" s="182">
        <v>0.95</v>
      </c>
      <c r="E242" s="180" t="str">
        <f t="shared" si="3"/>
        <v>level I</v>
      </c>
    </row>
    <row r="243" spans="1:5" x14ac:dyDescent="0.15">
      <c r="A243" s="180">
        <v>2514</v>
      </c>
      <c r="B243" s="181" t="s">
        <v>787</v>
      </c>
      <c r="C243" s="181" t="s">
        <v>914</v>
      </c>
      <c r="D243" s="182">
        <v>0.95</v>
      </c>
      <c r="E243" s="180" t="str">
        <f t="shared" si="3"/>
        <v>level I</v>
      </c>
    </row>
    <row r="244" spans="1:5" x14ac:dyDescent="0.15">
      <c r="A244" s="180">
        <v>2515</v>
      </c>
      <c r="B244" s="181" t="s">
        <v>787</v>
      </c>
      <c r="C244" s="181" t="s">
        <v>915</v>
      </c>
      <c r="D244" s="182">
        <v>0.95</v>
      </c>
      <c r="E244" s="180" t="str">
        <f t="shared" si="3"/>
        <v>level I</v>
      </c>
    </row>
    <row r="245" spans="1:5" x14ac:dyDescent="0.15">
      <c r="A245" s="180">
        <v>2517</v>
      </c>
      <c r="B245" s="181" t="s">
        <v>787</v>
      </c>
      <c r="C245" s="181" t="s">
        <v>916</v>
      </c>
      <c r="D245" s="182">
        <v>0.95</v>
      </c>
      <c r="E245" s="180" t="str">
        <f t="shared" si="3"/>
        <v>level I</v>
      </c>
    </row>
    <row r="246" spans="1:5" x14ac:dyDescent="0.15">
      <c r="A246" s="180">
        <v>2519</v>
      </c>
      <c r="B246" s="181" t="s">
        <v>787</v>
      </c>
      <c r="C246" s="181" t="s">
        <v>917</v>
      </c>
      <c r="D246" s="182">
        <v>0.95</v>
      </c>
      <c r="E246" s="180" t="str">
        <f t="shared" si="3"/>
        <v>level I</v>
      </c>
    </row>
    <row r="247" spans="1:5" x14ac:dyDescent="0.15">
      <c r="A247" s="180">
        <v>2521</v>
      </c>
      <c r="B247" s="181" t="s">
        <v>787</v>
      </c>
      <c r="C247" s="181" t="s">
        <v>918</v>
      </c>
      <c r="D247" s="182">
        <v>0.95</v>
      </c>
      <c r="E247" s="180" t="str">
        <f t="shared" si="3"/>
        <v>level I</v>
      </c>
    </row>
    <row r="248" spans="1:5" x14ac:dyDescent="0.15">
      <c r="A248" s="180">
        <v>2522</v>
      </c>
      <c r="B248" s="181" t="s">
        <v>787</v>
      </c>
      <c r="C248" s="181" t="s">
        <v>919</v>
      </c>
      <c r="D248" s="182">
        <v>0.95</v>
      </c>
      <c r="E248" s="180" t="str">
        <f t="shared" si="3"/>
        <v>level I</v>
      </c>
    </row>
    <row r="249" spans="1:5" x14ac:dyDescent="0.15">
      <c r="A249" s="180">
        <v>2531</v>
      </c>
      <c r="B249" s="181" t="s">
        <v>787</v>
      </c>
      <c r="C249" s="181" t="s">
        <v>920</v>
      </c>
      <c r="D249" s="182">
        <v>0.95</v>
      </c>
      <c r="E249" s="180" t="str">
        <f t="shared" si="3"/>
        <v>level I</v>
      </c>
    </row>
    <row r="250" spans="1:5" x14ac:dyDescent="0.15">
      <c r="A250" s="180">
        <v>2541</v>
      </c>
      <c r="B250" s="181" t="s">
        <v>787</v>
      </c>
      <c r="C250" s="181" t="s">
        <v>921</v>
      </c>
      <c r="D250" s="182">
        <v>0.95</v>
      </c>
      <c r="E250" s="180" t="str">
        <f t="shared" si="3"/>
        <v>level I</v>
      </c>
    </row>
    <row r="251" spans="1:5" x14ac:dyDescent="0.15">
      <c r="A251" s="180">
        <v>2542</v>
      </c>
      <c r="B251" s="181" t="s">
        <v>787</v>
      </c>
      <c r="C251" s="181" t="s">
        <v>922</v>
      </c>
      <c r="D251" s="182">
        <v>0.95</v>
      </c>
      <c r="E251" s="180" t="str">
        <f t="shared" si="3"/>
        <v>level I</v>
      </c>
    </row>
    <row r="252" spans="1:5" x14ac:dyDescent="0.15">
      <c r="A252" s="180">
        <v>2591</v>
      </c>
      <c r="B252" s="181" t="s">
        <v>787</v>
      </c>
      <c r="C252" s="181" t="s">
        <v>923</v>
      </c>
      <c r="D252" s="182">
        <v>0.95</v>
      </c>
      <c r="E252" s="180" t="str">
        <f t="shared" si="3"/>
        <v>level I</v>
      </c>
    </row>
    <row r="253" spans="1:5" x14ac:dyDescent="0.15">
      <c r="A253" s="180">
        <v>2599</v>
      </c>
      <c r="B253" s="181" t="s">
        <v>787</v>
      </c>
      <c r="C253" s="181" t="s">
        <v>924</v>
      </c>
      <c r="D253" s="182">
        <v>0.95</v>
      </c>
      <c r="E253" s="180" t="str">
        <f t="shared" si="3"/>
        <v>level I</v>
      </c>
    </row>
    <row r="254" spans="1:5" x14ac:dyDescent="0.15">
      <c r="A254" s="180">
        <v>2611</v>
      </c>
      <c r="B254" s="181" t="s">
        <v>787</v>
      </c>
      <c r="C254" s="181" t="s">
        <v>925</v>
      </c>
      <c r="D254" s="182">
        <v>1.05</v>
      </c>
      <c r="E254" s="180" t="str">
        <f t="shared" si="3"/>
        <v>level III</v>
      </c>
    </row>
    <row r="255" spans="1:5" x14ac:dyDescent="0.15">
      <c r="A255" s="180">
        <v>2621</v>
      </c>
      <c r="B255" s="181" t="s">
        <v>787</v>
      </c>
      <c r="C255" s="181" t="s">
        <v>926</v>
      </c>
      <c r="D255" s="182">
        <v>1.05</v>
      </c>
      <c r="E255" s="180" t="str">
        <f t="shared" si="3"/>
        <v>level III</v>
      </c>
    </row>
    <row r="256" spans="1:5" x14ac:dyDescent="0.15">
      <c r="A256" s="180">
        <v>2631</v>
      </c>
      <c r="B256" s="181" t="s">
        <v>787</v>
      </c>
      <c r="C256" s="181" t="s">
        <v>927</v>
      </c>
      <c r="D256" s="182">
        <v>1.05</v>
      </c>
      <c r="E256" s="180" t="str">
        <f t="shared" si="3"/>
        <v>level III</v>
      </c>
    </row>
    <row r="257" spans="1:5" x14ac:dyDescent="0.15">
      <c r="A257" s="180">
        <v>2652</v>
      </c>
      <c r="B257" s="181" t="s">
        <v>787</v>
      </c>
      <c r="C257" s="181" t="s">
        <v>928</v>
      </c>
      <c r="D257" s="182">
        <v>1.05</v>
      </c>
      <c r="E257" s="180" t="str">
        <f t="shared" si="3"/>
        <v>level III</v>
      </c>
    </row>
    <row r="258" spans="1:5" x14ac:dyDescent="0.15">
      <c r="A258" s="180">
        <v>2653</v>
      </c>
      <c r="B258" s="181" t="s">
        <v>787</v>
      </c>
      <c r="C258" s="181" t="s">
        <v>929</v>
      </c>
      <c r="D258" s="182">
        <v>1.05</v>
      </c>
      <c r="E258" s="180" t="str">
        <f t="shared" ref="E258:E321" si="4">IF(D258=0.95,"level I",IF(D258=1,"level II",IF(D258=1.05,"level III",IF(D258=1.1,"level IV",IF(D258=1.15,"level V",IF(D258=1.2,"level VI",IF(D258=0.9,"level 0","level VII")))))))</f>
        <v>level III</v>
      </c>
    </row>
    <row r="259" spans="1:5" x14ac:dyDescent="0.15">
      <c r="A259" s="180">
        <v>2655</v>
      </c>
      <c r="B259" s="181" t="s">
        <v>787</v>
      </c>
      <c r="C259" s="181" t="s">
        <v>930</v>
      </c>
      <c r="D259" s="182">
        <v>1.05</v>
      </c>
      <c r="E259" s="180" t="str">
        <f t="shared" si="4"/>
        <v>level III</v>
      </c>
    </row>
    <row r="260" spans="1:5" x14ac:dyDescent="0.15">
      <c r="A260" s="180">
        <v>2656</v>
      </c>
      <c r="B260" s="181" t="s">
        <v>787</v>
      </c>
      <c r="C260" s="181" t="s">
        <v>931</v>
      </c>
      <c r="D260" s="182">
        <v>1.05</v>
      </c>
      <c r="E260" s="180" t="str">
        <f t="shared" si="4"/>
        <v>level III</v>
      </c>
    </row>
    <row r="261" spans="1:5" x14ac:dyDescent="0.15">
      <c r="A261" s="180">
        <v>2657</v>
      </c>
      <c r="B261" s="181" t="s">
        <v>787</v>
      </c>
      <c r="C261" s="181" t="s">
        <v>932</v>
      </c>
      <c r="D261" s="182">
        <v>1.05</v>
      </c>
      <c r="E261" s="180" t="str">
        <f t="shared" si="4"/>
        <v>level III</v>
      </c>
    </row>
    <row r="262" spans="1:5" x14ac:dyDescent="0.15">
      <c r="A262" s="180">
        <v>2671</v>
      </c>
      <c r="B262" s="181" t="s">
        <v>787</v>
      </c>
      <c r="C262" s="181" t="s">
        <v>933</v>
      </c>
      <c r="D262" s="182">
        <v>1.05</v>
      </c>
      <c r="E262" s="180" t="str">
        <f t="shared" si="4"/>
        <v>level III</v>
      </c>
    </row>
    <row r="263" spans="1:5" x14ac:dyDescent="0.15">
      <c r="A263" s="180">
        <v>2672</v>
      </c>
      <c r="B263" s="181" t="s">
        <v>787</v>
      </c>
      <c r="C263" s="181" t="s">
        <v>934</v>
      </c>
      <c r="D263" s="182">
        <v>1.05</v>
      </c>
      <c r="E263" s="180" t="str">
        <f t="shared" si="4"/>
        <v>level III</v>
      </c>
    </row>
    <row r="264" spans="1:5" x14ac:dyDescent="0.15">
      <c r="A264" s="180">
        <v>2673</v>
      </c>
      <c r="B264" s="181" t="s">
        <v>787</v>
      </c>
      <c r="C264" s="181" t="s">
        <v>935</v>
      </c>
      <c r="D264" s="182">
        <v>1.05</v>
      </c>
      <c r="E264" s="180" t="str">
        <f t="shared" si="4"/>
        <v>level III</v>
      </c>
    </row>
    <row r="265" spans="1:5" x14ac:dyDescent="0.15">
      <c r="A265" s="180">
        <v>2674</v>
      </c>
      <c r="B265" s="181" t="s">
        <v>787</v>
      </c>
      <c r="C265" s="181" t="s">
        <v>936</v>
      </c>
      <c r="D265" s="182">
        <v>1.05</v>
      </c>
      <c r="E265" s="180" t="str">
        <f t="shared" si="4"/>
        <v>level III</v>
      </c>
    </row>
    <row r="266" spans="1:5" x14ac:dyDescent="0.15">
      <c r="A266" s="180">
        <v>2675</v>
      </c>
      <c r="B266" s="181" t="s">
        <v>787</v>
      </c>
      <c r="C266" s="181" t="s">
        <v>937</v>
      </c>
      <c r="D266" s="182">
        <v>1.05</v>
      </c>
      <c r="E266" s="180" t="str">
        <f t="shared" si="4"/>
        <v>level III</v>
      </c>
    </row>
    <row r="267" spans="1:5" x14ac:dyDescent="0.15">
      <c r="A267" s="180">
        <v>2676</v>
      </c>
      <c r="B267" s="181" t="s">
        <v>787</v>
      </c>
      <c r="C267" s="181" t="s">
        <v>938</v>
      </c>
      <c r="D267" s="182">
        <v>1.05</v>
      </c>
      <c r="E267" s="180" t="str">
        <f t="shared" si="4"/>
        <v>level III</v>
      </c>
    </row>
    <row r="268" spans="1:5" x14ac:dyDescent="0.15">
      <c r="A268" s="180">
        <v>2677</v>
      </c>
      <c r="B268" s="181" t="s">
        <v>787</v>
      </c>
      <c r="C268" s="181" t="s">
        <v>939</v>
      </c>
      <c r="D268" s="182">
        <v>1.05</v>
      </c>
      <c r="E268" s="180" t="str">
        <f t="shared" si="4"/>
        <v>level III</v>
      </c>
    </row>
    <row r="269" spans="1:5" x14ac:dyDescent="0.15">
      <c r="A269" s="180">
        <v>2678</v>
      </c>
      <c r="B269" s="181" t="s">
        <v>787</v>
      </c>
      <c r="C269" s="181" t="s">
        <v>940</v>
      </c>
      <c r="D269" s="182">
        <v>1.05</v>
      </c>
      <c r="E269" s="180" t="str">
        <f t="shared" si="4"/>
        <v>level III</v>
      </c>
    </row>
    <row r="270" spans="1:5" x14ac:dyDescent="0.15">
      <c r="A270" s="180">
        <v>2679</v>
      </c>
      <c r="B270" s="181" t="s">
        <v>787</v>
      </c>
      <c r="C270" s="181" t="s">
        <v>941</v>
      </c>
      <c r="D270" s="182">
        <v>1.05</v>
      </c>
      <c r="E270" s="180" t="str">
        <f t="shared" si="4"/>
        <v>level III</v>
      </c>
    </row>
    <row r="271" spans="1:5" x14ac:dyDescent="0.15">
      <c r="A271" s="180">
        <v>2711</v>
      </c>
      <c r="B271" s="181" t="s">
        <v>787</v>
      </c>
      <c r="C271" s="181" t="s">
        <v>942</v>
      </c>
      <c r="D271" s="182">
        <v>1.1499999999999999</v>
      </c>
      <c r="E271" s="180" t="str">
        <f t="shared" si="4"/>
        <v>level V</v>
      </c>
    </row>
    <row r="272" spans="1:5" x14ac:dyDescent="0.15">
      <c r="A272" s="180">
        <v>2721</v>
      </c>
      <c r="B272" s="181" t="s">
        <v>787</v>
      </c>
      <c r="C272" s="181" t="s">
        <v>943</v>
      </c>
      <c r="D272" s="182">
        <v>1.1499999999999999</v>
      </c>
      <c r="E272" s="180" t="str">
        <f t="shared" si="4"/>
        <v>level V</v>
      </c>
    </row>
    <row r="273" spans="1:5" x14ac:dyDescent="0.15">
      <c r="A273" s="180">
        <v>2731</v>
      </c>
      <c r="B273" s="181" t="s">
        <v>787</v>
      </c>
      <c r="C273" s="181" t="s">
        <v>944</v>
      </c>
      <c r="D273" s="182">
        <v>1.1499999999999999</v>
      </c>
      <c r="E273" s="180" t="str">
        <f t="shared" si="4"/>
        <v>level V</v>
      </c>
    </row>
    <row r="274" spans="1:5" x14ac:dyDescent="0.15">
      <c r="A274" s="180">
        <v>2732</v>
      </c>
      <c r="B274" s="181" t="s">
        <v>787</v>
      </c>
      <c r="C274" s="181" t="s">
        <v>945</v>
      </c>
      <c r="D274" s="182">
        <v>1.1499999999999999</v>
      </c>
      <c r="E274" s="180" t="str">
        <f t="shared" si="4"/>
        <v>level V</v>
      </c>
    </row>
    <row r="275" spans="1:5" x14ac:dyDescent="0.15">
      <c r="A275" s="180">
        <v>2741</v>
      </c>
      <c r="B275" s="181" t="s">
        <v>787</v>
      </c>
      <c r="C275" s="181" t="s">
        <v>946</v>
      </c>
      <c r="D275" s="182">
        <v>1.1499999999999999</v>
      </c>
      <c r="E275" s="180" t="str">
        <f t="shared" si="4"/>
        <v>level V</v>
      </c>
    </row>
    <row r="276" spans="1:5" x14ac:dyDescent="0.15">
      <c r="A276" s="180">
        <v>2752</v>
      </c>
      <c r="B276" s="181" t="s">
        <v>787</v>
      </c>
      <c r="C276" s="181" t="s">
        <v>947</v>
      </c>
      <c r="D276" s="182">
        <v>1.1499999999999999</v>
      </c>
      <c r="E276" s="180" t="str">
        <f t="shared" si="4"/>
        <v>level V</v>
      </c>
    </row>
    <row r="277" spans="1:5" x14ac:dyDescent="0.15">
      <c r="A277" s="180">
        <v>2754</v>
      </c>
      <c r="B277" s="181" t="s">
        <v>787</v>
      </c>
      <c r="C277" s="181" t="s">
        <v>948</v>
      </c>
      <c r="D277" s="182">
        <v>1.1499999999999999</v>
      </c>
      <c r="E277" s="180" t="str">
        <f t="shared" si="4"/>
        <v>level V</v>
      </c>
    </row>
    <row r="278" spans="1:5" x14ac:dyDescent="0.15">
      <c r="A278" s="180">
        <v>2759</v>
      </c>
      <c r="B278" s="181" t="s">
        <v>787</v>
      </c>
      <c r="C278" s="181" t="s">
        <v>949</v>
      </c>
      <c r="D278" s="182">
        <v>1.1499999999999999</v>
      </c>
      <c r="E278" s="180" t="str">
        <f t="shared" si="4"/>
        <v>level V</v>
      </c>
    </row>
    <row r="279" spans="1:5" x14ac:dyDescent="0.15">
      <c r="A279" s="180">
        <v>2761</v>
      </c>
      <c r="B279" s="181" t="s">
        <v>787</v>
      </c>
      <c r="C279" s="181" t="s">
        <v>950</v>
      </c>
      <c r="D279" s="182">
        <v>1.1499999999999999</v>
      </c>
      <c r="E279" s="180" t="str">
        <f t="shared" si="4"/>
        <v>level V</v>
      </c>
    </row>
    <row r="280" spans="1:5" x14ac:dyDescent="0.15">
      <c r="A280" s="180">
        <v>2771</v>
      </c>
      <c r="B280" s="181" t="s">
        <v>787</v>
      </c>
      <c r="C280" s="181" t="s">
        <v>951</v>
      </c>
      <c r="D280" s="182">
        <v>1.1499999999999999</v>
      </c>
      <c r="E280" s="180" t="str">
        <f t="shared" si="4"/>
        <v>level V</v>
      </c>
    </row>
    <row r="281" spans="1:5" x14ac:dyDescent="0.15">
      <c r="A281" s="180">
        <v>2782</v>
      </c>
      <c r="B281" s="181" t="s">
        <v>787</v>
      </c>
      <c r="C281" s="181" t="s">
        <v>952</v>
      </c>
      <c r="D281" s="182">
        <v>1.1499999999999999</v>
      </c>
      <c r="E281" s="180" t="str">
        <f t="shared" si="4"/>
        <v>level V</v>
      </c>
    </row>
    <row r="282" spans="1:5" x14ac:dyDescent="0.15">
      <c r="A282" s="180">
        <v>2789</v>
      </c>
      <c r="B282" s="181" t="s">
        <v>787</v>
      </c>
      <c r="C282" s="181" t="s">
        <v>953</v>
      </c>
      <c r="D282" s="182">
        <v>1.1499999999999999</v>
      </c>
      <c r="E282" s="180" t="str">
        <f t="shared" si="4"/>
        <v>level V</v>
      </c>
    </row>
    <row r="283" spans="1:5" x14ac:dyDescent="0.15">
      <c r="A283" s="180">
        <v>2791</v>
      </c>
      <c r="B283" s="181" t="s">
        <v>787</v>
      </c>
      <c r="C283" s="181" t="s">
        <v>954</v>
      </c>
      <c r="D283" s="182">
        <v>1.1499999999999999</v>
      </c>
      <c r="E283" s="180" t="str">
        <f t="shared" si="4"/>
        <v>level V</v>
      </c>
    </row>
    <row r="284" spans="1:5" x14ac:dyDescent="0.15">
      <c r="A284" s="180">
        <v>2796</v>
      </c>
      <c r="B284" s="181" t="s">
        <v>787</v>
      </c>
      <c r="C284" s="181" t="s">
        <v>955</v>
      </c>
      <c r="D284" s="182">
        <v>1.1499999999999999</v>
      </c>
      <c r="E284" s="180" t="str">
        <f t="shared" si="4"/>
        <v>level V</v>
      </c>
    </row>
    <row r="285" spans="1:5" x14ac:dyDescent="0.15">
      <c r="A285" s="180">
        <v>2812</v>
      </c>
      <c r="B285" s="181" t="s">
        <v>787</v>
      </c>
      <c r="C285" s="181" t="s">
        <v>956</v>
      </c>
      <c r="D285" s="182">
        <v>0.95</v>
      </c>
      <c r="E285" s="180" t="str">
        <f t="shared" si="4"/>
        <v>level I</v>
      </c>
    </row>
    <row r="286" spans="1:5" x14ac:dyDescent="0.15">
      <c r="A286" s="180">
        <v>2813</v>
      </c>
      <c r="B286" s="181" t="s">
        <v>787</v>
      </c>
      <c r="C286" s="181" t="s">
        <v>957</v>
      </c>
      <c r="D286" s="182">
        <v>0.95</v>
      </c>
      <c r="E286" s="180" t="str">
        <f t="shared" si="4"/>
        <v>level I</v>
      </c>
    </row>
    <row r="287" spans="1:5" x14ac:dyDescent="0.15">
      <c r="A287" s="180">
        <v>2816</v>
      </c>
      <c r="B287" s="181" t="s">
        <v>787</v>
      </c>
      <c r="C287" s="181" t="s">
        <v>958</v>
      </c>
      <c r="D287" s="182">
        <v>0.95</v>
      </c>
      <c r="E287" s="180" t="str">
        <f t="shared" si="4"/>
        <v>level I</v>
      </c>
    </row>
    <row r="288" spans="1:5" x14ac:dyDescent="0.15">
      <c r="A288" s="180">
        <v>2819</v>
      </c>
      <c r="B288" s="181" t="s">
        <v>787</v>
      </c>
      <c r="C288" s="181" t="s">
        <v>959</v>
      </c>
      <c r="D288" s="182">
        <v>0.95</v>
      </c>
      <c r="E288" s="180" t="str">
        <f t="shared" si="4"/>
        <v>level I</v>
      </c>
    </row>
    <row r="289" spans="1:5" x14ac:dyDescent="0.15">
      <c r="A289" s="180">
        <v>2821</v>
      </c>
      <c r="B289" s="181" t="s">
        <v>787</v>
      </c>
      <c r="C289" s="181" t="s">
        <v>960</v>
      </c>
      <c r="D289" s="182">
        <v>0.95</v>
      </c>
      <c r="E289" s="180" t="str">
        <f t="shared" si="4"/>
        <v>level I</v>
      </c>
    </row>
    <row r="290" spans="1:5" x14ac:dyDescent="0.15">
      <c r="A290" s="180">
        <v>2822</v>
      </c>
      <c r="B290" s="181" t="s">
        <v>787</v>
      </c>
      <c r="C290" s="181" t="s">
        <v>961</v>
      </c>
      <c r="D290" s="182">
        <v>0.95</v>
      </c>
      <c r="E290" s="180" t="str">
        <f t="shared" si="4"/>
        <v>level I</v>
      </c>
    </row>
    <row r="291" spans="1:5" x14ac:dyDescent="0.15">
      <c r="A291" s="180">
        <v>2823</v>
      </c>
      <c r="B291" s="181" t="s">
        <v>787</v>
      </c>
      <c r="C291" s="181" t="s">
        <v>962</v>
      </c>
      <c r="D291" s="182">
        <v>0.95</v>
      </c>
      <c r="E291" s="180" t="str">
        <f t="shared" si="4"/>
        <v>level I</v>
      </c>
    </row>
    <row r="292" spans="1:5" x14ac:dyDescent="0.15">
      <c r="A292" s="180">
        <v>2824</v>
      </c>
      <c r="B292" s="181" t="s">
        <v>787</v>
      </c>
      <c r="C292" s="181" t="s">
        <v>963</v>
      </c>
      <c r="D292" s="182">
        <v>0.95</v>
      </c>
      <c r="E292" s="180" t="str">
        <f t="shared" si="4"/>
        <v>level I</v>
      </c>
    </row>
    <row r="293" spans="1:5" x14ac:dyDescent="0.15">
      <c r="A293" s="180">
        <v>2833</v>
      </c>
      <c r="B293" s="181" t="s">
        <v>787</v>
      </c>
      <c r="C293" s="181" t="s">
        <v>964</v>
      </c>
      <c r="D293" s="182">
        <v>0.95</v>
      </c>
      <c r="E293" s="180" t="str">
        <f t="shared" si="4"/>
        <v>level I</v>
      </c>
    </row>
    <row r="294" spans="1:5" x14ac:dyDescent="0.15">
      <c r="A294" s="180">
        <v>2834</v>
      </c>
      <c r="B294" s="181" t="s">
        <v>787</v>
      </c>
      <c r="C294" s="181" t="s">
        <v>965</v>
      </c>
      <c r="D294" s="182">
        <v>0.9</v>
      </c>
      <c r="E294" s="180" t="str">
        <f t="shared" si="4"/>
        <v>level 0</v>
      </c>
    </row>
    <row r="295" spans="1:5" x14ac:dyDescent="0.15">
      <c r="A295" s="180">
        <v>2835</v>
      </c>
      <c r="B295" s="181" t="s">
        <v>787</v>
      </c>
      <c r="C295" s="181" t="s">
        <v>966</v>
      </c>
      <c r="D295" s="182">
        <v>0.95</v>
      </c>
      <c r="E295" s="180" t="str">
        <f t="shared" si="4"/>
        <v>level I</v>
      </c>
    </row>
    <row r="296" spans="1:5" x14ac:dyDescent="0.15">
      <c r="A296" s="180">
        <v>2836</v>
      </c>
      <c r="B296" s="181" t="s">
        <v>787</v>
      </c>
      <c r="C296" s="181" t="s">
        <v>967</v>
      </c>
      <c r="D296" s="182">
        <v>0.95</v>
      </c>
      <c r="E296" s="180" t="str">
        <f t="shared" si="4"/>
        <v>level I</v>
      </c>
    </row>
    <row r="297" spans="1:5" x14ac:dyDescent="0.15">
      <c r="A297" s="180">
        <v>2841</v>
      </c>
      <c r="B297" s="181" t="s">
        <v>787</v>
      </c>
      <c r="C297" s="181" t="s">
        <v>968</v>
      </c>
      <c r="D297" s="182">
        <v>0.95</v>
      </c>
      <c r="E297" s="180" t="str">
        <f t="shared" si="4"/>
        <v>level I</v>
      </c>
    </row>
    <row r="298" spans="1:5" x14ac:dyDescent="0.15">
      <c r="A298" s="180">
        <v>2842</v>
      </c>
      <c r="B298" s="181" t="s">
        <v>787</v>
      </c>
      <c r="C298" s="181" t="s">
        <v>969</v>
      </c>
      <c r="D298" s="182">
        <v>0.95</v>
      </c>
      <c r="E298" s="180" t="str">
        <f t="shared" si="4"/>
        <v>level I</v>
      </c>
    </row>
    <row r="299" spans="1:5" x14ac:dyDescent="0.15">
      <c r="A299" s="180">
        <v>2843</v>
      </c>
      <c r="B299" s="181" t="s">
        <v>787</v>
      </c>
      <c r="C299" s="181" t="s">
        <v>970</v>
      </c>
      <c r="D299" s="182">
        <v>0.95</v>
      </c>
      <c r="E299" s="180" t="str">
        <f t="shared" si="4"/>
        <v>level I</v>
      </c>
    </row>
    <row r="300" spans="1:5" x14ac:dyDescent="0.15">
      <c r="A300" s="180">
        <v>2844</v>
      </c>
      <c r="B300" s="181" t="s">
        <v>787</v>
      </c>
      <c r="C300" s="181" t="s">
        <v>971</v>
      </c>
      <c r="D300" s="182">
        <v>0.95</v>
      </c>
      <c r="E300" s="180" t="str">
        <f t="shared" si="4"/>
        <v>level I</v>
      </c>
    </row>
    <row r="301" spans="1:5" x14ac:dyDescent="0.15">
      <c r="A301" s="180">
        <v>2851</v>
      </c>
      <c r="B301" s="181" t="s">
        <v>787</v>
      </c>
      <c r="C301" s="181" t="s">
        <v>972</v>
      </c>
      <c r="D301" s="182">
        <v>0.95</v>
      </c>
      <c r="E301" s="180" t="str">
        <f t="shared" si="4"/>
        <v>level I</v>
      </c>
    </row>
    <row r="302" spans="1:5" x14ac:dyDescent="0.15">
      <c r="A302" s="180">
        <v>2861</v>
      </c>
      <c r="B302" s="181" t="s">
        <v>787</v>
      </c>
      <c r="C302" s="181" t="s">
        <v>973</v>
      </c>
      <c r="D302" s="182">
        <v>0.95</v>
      </c>
      <c r="E302" s="180" t="str">
        <f t="shared" si="4"/>
        <v>level I</v>
      </c>
    </row>
    <row r="303" spans="1:5" x14ac:dyDescent="0.15">
      <c r="A303" s="180">
        <v>2865</v>
      </c>
      <c r="B303" s="181" t="s">
        <v>787</v>
      </c>
      <c r="C303" s="181" t="s">
        <v>974</v>
      </c>
      <c r="D303" s="182">
        <v>0.95</v>
      </c>
      <c r="E303" s="180" t="str">
        <f t="shared" si="4"/>
        <v>level I</v>
      </c>
    </row>
    <row r="304" spans="1:5" x14ac:dyDescent="0.15">
      <c r="A304" s="180">
        <v>2869</v>
      </c>
      <c r="B304" s="181" t="s">
        <v>787</v>
      </c>
      <c r="C304" s="181" t="s">
        <v>975</v>
      </c>
      <c r="D304" s="182">
        <v>0.95</v>
      </c>
      <c r="E304" s="180" t="str">
        <f t="shared" si="4"/>
        <v>level I</v>
      </c>
    </row>
    <row r="305" spans="1:5" x14ac:dyDescent="0.15">
      <c r="A305" s="180">
        <v>2873</v>
      </c>
      <c r="B305" s="181" t="s">
        <v>787</v>
      </c>
      <c r="C305" s="181" t="s">
        <v>976</v>
      </c>
      <c r="D305" s="182">
        <v>0.95</v>
      </c>
      <c r="E305" s="180" t="str">
        <f t="shared" si="4"/>
        <v>level I</v>
      </c>
    </row>
    <row r="306" spans="1:5" x14ac:dyDescent="0.15">
      <c r="A306" s="180">
        <v>2874</v>
      </c>
      <c r="B306" s="181" t="s">
        <v>787</v>
      </c>
      <c r="C306" s="181" t="s">
        <v>977</v>
      </c>
      <c r="D306" s="182">
        <v>0.95</v>
      </c>
      <c r="E306" s="180" t="str">
        <f t="shared" si="4"/>
        <v>level I</v>
      </c>
    </row>
    <row r="307" spans="1:5" x14ac:dyDescent="0.15">
      <c r="A307" s="180">
        <v>2875</v>
      </c>
      <c r="B307" s="181" t="s">
        <v>787</v>
      </c>
      <c r="C307" s="181" t="s">
        <v>978</v>
      </c>
      <c r="D307" s="182">
        <v>0.95</v>
      </c>
      <c r="E307" s="180" t="str">
        <f t="shared" si="4"/>
        <v>level I</v>
      </c>
    </row>
    <row r="308" spans="1:5" x14ac:dyDescent="0.15">
      <c r="A308" s="180">
        <v>2879</v>
      </c>
      <c r="B308" s="181" t="s">
        <v>787</v>
      </c>
      <c r="C308" s="181" t="s">
        <v>979</v>
      </c>
      <c r="D308" s="182">
        <v>0.95</v>
      </c>
      <c r="E308" s="180" t="str">
        <f t="shared" si="4"/>
        <v>level I</v>
      </c>
    </row>
    <row r="309" spans="1:5" x14ac:dyDescent="0.15">
      <c r="A309" s="180">
        <v>2891</v>
      </c>
      <c r="B309" s="181" t="s">
        <v>787</v>
      </c>
      <c r="C309" s="181" t="s">
        <v>980</v>
      </c>
      <c r="D309" s="182">
        <v>0.95</v>
      </c>
      <c r="E309" s="180" t="str">
        <f t="shared" si="4"/>
        <v>level I</v>
      </c>
    </row>
    <row r="310" spans="1:5" x14ac:dyDescent="0.15">
      <c r="A310" s="180">
        <v>2892</v>
      </c>
      <c r="B310" s="181" t="s">
        <v>787</v>
      </c>
      <c r="C310" s="181" t="s">
        <v>981</v>
      </c>
      <c r="D310" s="182">
        <v>0.95</v>
      </c>
      <c r="E310" s="180" t="str">
        <f t="shared" si="4"/>
        <v>level I</v>
      </c>
    </row>
    <row r="311" spans="1:5" x14ac:dyDescent="0.15">
      <c r="A311" s="180">
        <v>2893</v>
      </c>
      <c r="B311" s="181" t="s">
        <v>787</v>
      </c>
      <c r="C311" s="181" t="s">
        <v>982</v>
      </c>
      <c r="D311" s="182">
        <v>0.95</v>
      </c>
      <c r="E311" s="180" t="str">
        <f t="shared" si="4"/>
        <v>level I</v>
      </c>
    </row>
    <row r="312" spans="1:5" x14ac:dyDescent="0.15">
      <c r="A312" s="180">
        <v>2895</v>
      </c>
      <c r="B312" s="181" t="s">
        <v>787</v>
      </c>
      <c r="C312" s="181" t="s">
        <v>983</v>
      </c>
      <c r="D312" s="182">
        <v>0.95</v>
      </c>
      <c r="E312" s="180" t="str">
        <f t="shared" si="4"/>
        <v>level I</v>
      </c>
    </row>
    <row r="313" spans="1:5" x14ac:dyDescent="0.15">
      <c r="A313" s="180">
        <v>2899</v>
      </c>
      <c r="B313" s="181" t="s">
        <v>787</v>
      </c>
      <c r="C313" s="181" t="s">
        <v>984</v>
      </c>
      <c r="D313" s="182">
        <v>0.95</v>
      </c>
      <c r="E313" s="180" t="str">
        <f t="shared" si="4"/>
        <v>level I</v>
      </c>
    </row>
    <row r="314" spans="1:5" x14ac:dyDescent="0.15">
      <c r="A314" s="180">
        <v>2911</v>
      </c>
      <c r="B314" s="181" t="s">
        <v>787</v>
      </c>
      <c r="C314" s="181" t="s">
        <v>985</v>
      </c>
      <c r="D314" s="182">
        <v>1.05</v>
      </c>
      <c r="E314" s="180" t="str">
        <f t="shared" si="4"/>
        <v>level III</v>
      </c>
    </row>
    <row r="315" spans="1:5" x14ac:dyDescent="0.15">
      <c r="A315" s="180">
        <v>2951</v>
      </c>
      <c r="B315" s="181" t="s">
        <v>787</v>
      </c>
      <c r="C315" s="181" t="s">
        <v>986</v>
      </c>
      <c r="D315" s="182">
        <v>1.05</v>
      </c>
      <c r="E315" s="180" t="str">
        <f t="shared" si="4"/>
        <v>level III</v>
      </c>
    </row>
    <row r="316" spans="1:5" x14ac:dyDescent="0.15">
      <c r="A316" s="180">
        <v>2952</v>
      </c>
      <c r="B316" s="181" t="s">
        <v>787</v>
      </c>
      <c r="C316" s="181" t="s">
        <v>987</v>
      </c>
      <c r="D316" s="182">
        <v>1.05</v>
      </c>
      <c r="E316" s="180" t="str">
        <f t="shared" si="4"/>
        <v>level III</v>
      </c>
    </row>
    <row r="317" spans="1:5" x14ac:dyDescent="0.15">
      <c r="A317" s="180">
        <v>2992</v>
      </c>
      <c r="B317" s="181" t="s">
        <v>787</v>
      </c>
      <c r="C317" s="181" t="s">
        <v>988</v>
      </c>
      <c r="D317" s="182">
        <v>1.05</v>
      </c>
      <c r="E317" s="180" t="str">
        <f t="shared" si="4"/>
        <v>level III</v>
      </c>
    </row>
    <row r="318" spans="1:5" x14ac:dyDescent="0.15">
      <c r="A318" s="180">
        <v>2999</v>
      </c>
      <c r="B318" s="181" t="s">
        <v>787</v>
      </c>
      <c r="C318" s="181" t="s">
        <v>989</v>
      </c>
      <c r="D318" s="182">
        <v>1.05</v>
      </c>
      <c r="E318" s="180" t="str">
        <f t="shared" si="4"/>
        <v>level III</v>
      </c>
    </row>
    <row r="319" spans="1:5" x14ac:dyDescent="0.15">
      <c r="A319" s="180">
        <v>3011</v>
      </c>
      <c r="B319" s="181" t="s">
        <v>787</v>
      </c>
      <c r="C319" s="181" t="s">
        <v>990</v>
      </c>
      <c r="D319" s="182">
        <v>0.95</v>
      </c>
      <c r="E319" s="180" t="str">
        <f t="shared" si="4"/>
        <v>level I</v>
      </c>
    </row>
    <row r="320" spans="1:5" x14ac:dyDescent="0.15">
      <c r="A320" s="180">
        <v>3021</v>
      </c>
      <c r="B320" s="181" t="s">
        <v>787</v>
      </c>
      <c r="C320" s="181" t="s">
        <v>991</v>
      </c>
      <c r="D320" s="182">
        <v>0.95</v>
      </c>
      <c r="E320" s="180" t="str">
        <f t="shared" si="4"/>
        <v>level I</v>
      </c>
    </row>
    <row r="321" spans="1:5" x14ac:dyDescent="0.15">
      <c r="A321" s="180">
        <v>3052</v>
      </c>
      <c r="B321" s="181" t="s">
        <v>787</v>
      </c>
      <c r="C321" s="181" t="s">
        <v>992</v>
      </c>
      <c r="D321" s="182">
        <v>0.95</v>
      </c>
      <c r="E321" s="180" t="str">
        <f t="shared" si="4"/>
        <v>level I</v>
      </c>
    </row>
    <row r="322" spans="1:5" x14ac:dyDescent="0.15">
      <c r="A322" s="180">
        <v>3053</v>
      </c>
      <c r="B322" s="181" t="s">
        <v>787</v>
      </c>
      <c r="C322" s="181" t="s">
        <v>993</v>
      </c>
      <c r="D322" s="182">
        <v>0.95</v>
      </c>
      <c r="E322" s="180" t="str">
        <f t="shared" ref="E322:E385" si="5">IF(D322=0.95,"level I",IF(D322=1,"level II",IF(D322=1.05,"level III",IF(D322=1.1,"level IV",IF(D322=1.15,"level V",IF(D322=1.2,"level VI",IF(D322=0.9,"level 0","level VII")))))))</f>
        <v>level I</v>
      </c>
    </row>
    <row r="323" spans="1:5" x14ac:dyDescent="0.15">
      <c r="A323" s="180">
        <v>3061</v>
      </c>
      <c r="B323" s="181" t="s">
        <v>787</v>
      </c>
      <c r="C323" s="181" t="s">
        <v>994</v>
      </c>
      <c r="D323" s="182">
        <v>0.95</v>
      </c>
      <c r="E323" s="180" t="str">
        <f t="shared" si="5"/>
        <v>level I</v>
      </c>
    </row>
    <row r="324" spans="1:5" x14ac:dyDescent="0.15">
      <c r="A324" s="180">
        <v>3069</v>
      </c>
      <c r="B324" s="181" t="s">
        <v>787</v>
      </c>
      <c r="C324" s="181" t="s">
        <v>995</v>
      </c>
      <c r="D324" s="182">
        <v>0.95</v>
      </c>
      <c r="E324" s="180" t="str">
        <f t="shared" si="5"/>
        <v>level I</v>
      </c>
    </row>
    <row r="325" spans="1:5" x14ac:dyDescent="0.15">
      <c r="A325" s="180">
        <v>3081</v>
      </c>
      <c r="B325" s="181" t="s">
        <v>787</v>
      </c>
      <c r="C325" s="181" t="s">
        <v>996</v>
      </c>
      <c r="D325" s="182">
        <v>0.95</v>
      </c>
      <c r="E325" s="180" t="str">
        <f t="shared" si="5"/>
        <v>level I</v>
      </c>
    </row>
    <row r="326" spans="1:5" x14ac:dyDescent="0.15">
      <c r="A326" s="180">
        <v>3082</v>
      </c>
      <c r="B326" s="181" t="s">
        <v>787</v>
      </c>
      <c r="C326" s="181" t="s">
        <v>997</v>
      </c>
      <c r="D326" s="182">
        <v>0.95</v>
      </c>
      <c r="E326" s="180" t="str">
        <f t="shared" si="5"/>
        <v>level I</v>
      </c>
    </row>
    <row r="327" spans="1:5" x14ac:dyDescent="0.15">
      <c r="A327" s="180">
        <v>3083</v>
      </c>
      <c r="B327" s="181" t="s">
        <v>787</v>
      </c>
      <c r="C327" s="181" t="s">
        <v>998</v>
      </c>
      <c r="D327" s="182">
        <v>0.95</v>
      </c>
      <c r="E327" s="180" t="str">
        <f t="shared" si="5"/>
        <v>level I</v>
      </c>
    </row>
    <row r="328" spans="1:5" x14ac:dyDescent="0.15">
      <c r="A328" s="180">
        <v>3084</v>
      </c>
      <c r="B328" s="181" t="s">
        <v>787</v>
      </c>
      <c r="C328" s="181" t="s">
        <v>999</v>
      </c>
      <c r="D328" s="182">
        <v>0.95</v>
      </c>
      <c r="E328" s="180" t="str">
        <f t="shared" si="5"/>
        <v>level I</v>
      </c>
    </row>
    <row r="329" spans="1:5" x14ac:dyDescent="0.15">
      <c r="A329" s="180">
        <v>3085</v>
      </c>
      <c r="B329" s="181" t="s">
        <v>787</v>
      </c>
      <c r="C329" s="181" t="s">
        <v>1000</v>
      </c>
      <c r="D329" s="182">
        <v>0.95</v>
      </c>
      <c r="E329" s="180" t="str">
        <f t="shared" si="5"/>
        <v>level I</v>
      </c>
    </row>
    <row r="330" spans="1:5" x14ac:dyDescent="0.15">
      <c r="A330" s="180">
        <v>3086</v>
      </c>
      <c r="B330" s="181" t="s">
        <v>787</v>
      </c>
      <c r="C330" s="181" t="s">
        <v>1001</v>
      </c>
      <c r="D330" s="182">
        <v>0.95</v>
      </c>
      <c r="E330" s="180" t="str">
        <f t="shared" si="5"/>
        <v>level I</v>
      </c>
    </row>
    <row r="331" spans="1:5" x14ac:dyDescent="0.15">
      <c r="A331" s="180">
        <v>3087</v>
      </c>
      <c r="B331" s="181" t="s">
        <v>787</v>
      </c>
      <c r="C331" s="181" t="s">
        <v>1002</v>
      </c>
      <c r="D331" s="182">
        <v>0.95</v>
      </c>
      <c r="E331" s="180" t="str">
        <f t="shared" si="5"/>
        <v>level I</v>
      </c>
    </row>
    <row r="332" spans="1:5" x14ac:dyDescent="0.15">
      <c r="A332" s="180">
        <v>3088</v>
      </c>
      <c r="B332" s="181" t="s">
        <v>787</v>
      </c>
      <c r="C332" s="181" t="s">
        <v>1003</v>
      </c>
      <c r="D332" s="182">
        <v>0.95</v>
      </c>
      <c r="E332" s="180" t="str">
        <f t="shared" si="5"/>
        <v>level I</v>
      </c>
    </row>
    <row r="333" spans="1:5" x14ac:dyDescent="0.15">
      <c r="A333" s="180">
        <v>3089</v>
      </c>
      <c r="B333" s="181" t="s">
        <v>787</v>
      </c>
      <c r="C333" s="181" t="s">
        <v>1004</v>
      </c>
      <c r="D333" s="182">
        <v>0.95</v>
      </c>
      <c r="E333" s="180" t="str">
        <f t="shared" si="5"/>
        <v>level I</v>
      </c>
    </row>
    <row r="334" spans="1:5" x14ac:dyDescent="0.15">
      <c r="A334" s="180">
        <v>3111</v>
      </c>
      <c r="B334" s="181" t="s">
        <v>787</v>
      </c>
      <c r="C334" s="181" t="s">
        <v>1005</v>
      </c>
      <c r="D334" s="182">
        <v>0.95</v>
      </c>
      <c r="E334" s="180" t="str">
        <f t="shared" si="5"/>
        <v>level I</v>
      </c>
    </row>
    <row r="335" spans="1:5" x14ac:dyDescent="0.15">
      <c r="A335" s="180">
        <v>3131</v>
      </c>
      <c r="B335" s="181" t="s">
        <v>787</v>
      </c>
      <c r="C335" s="181" t="s">
        <v>1006</v>
      </c>
      <c r="D335" s="182">
        <v>0.95</v>
      </c>
      <c r="E335" s="180" t="str">
        <f t="shared" si="5"/>
        <v>level I</v>
      </c>
    </row>
    <row r="336" spans="1:5" x14ac:dyDescent="0.15">
      <c r="A336" s="180">
        <v>3142</v>
      </c>
      <c r="B336" s="181" t="s">
        <v>787</v>
      </c>
      <c r="C336" s="181" t="s">
        <v>1007</v>
      </c>
      <c r="D336" s="182">
        <v>0.95</v>
      </c>
      <c r="E336" s="180" t="str">
        <f t="shared" si="5"/>
        <v>level I</v>
      </c>
    </row>
    <row r="337" spans="1:5" x14ac:dyDescent="0.15">
      <c r="A337" s="180">
        <v>3143</v>
      </c>
      <c r="B337" s="181" t="s">
        <v>787</v>
      </c>
      <c r="C337" s="181" t="s">
        <v>1008</v>
      </c>
      <c r="D337" s="182">
        <v>0.95</v>
      </c>
      <c r="E337" s="180" t="str">
        <f t="shared" si="5"/>
        <v>level I</v>
      </c>
    </row>
    <row r="338" spans="1:5" x14ac:dyDescent="0.15">
      <c r="A338" s="180">
        <v>3144</v>
      </c>
      <c r="B338" s="181" t="s">
        <v>787</v>
      </c>
      <c r="C338" s="181" t="s">
        <v>1009</v>
      </c>
      <c r="D338" s="182">
        <v>0.95</v>
      </c>
      <c r="E338" s="180" t="str">
        <f t="shared" si="5"/>
        <v>level I</v>
      </c>
    </row>
    <row r="339" spans="1:5" x14ac:dyDescent="0.15">
      <c r="A339" s="180">
        <v>3149</v>
      </c>
      <c r="B339" s="181" t="s">
        <v>787</v>
      </c>
      <c r="C339" s="181" t="s">
        <v>1010</v>
      </c>
      <c r="D339" s="182">
        <v>0.95</v>
      </c>
      <c r="E339" s="180" t="str">
        <f t="shared" si="5"/>
        <v>level I</v>
      </c>
    </row>
    <row r="340" spans="1:5" x14ac:dyDescent="0.15">
      <c r="A340" s="180">
        <v>3151</v>
      </c>
      <c r="B340" s="181" t="s">
        <v>787</v>
      </c>
      <c r="C340" s="181" t="s">
        <v>1011</v>
      </c>
      <c r="D340" s="182">
        <v>0.95</v>
      </c>
      <c r="E340" s="180" t="str">
        <f t="shared" si="5"/>
        <v>level I</v>
      </c>
    </row>
    <row r="341" spans="1:5" x14ac:dyDescent="0.15">
      <c r="A341" s="180">
        <v>3161</v>
      </c>
      <c r="B341" s="181" t="s">
        <v>787</v>
      </c>
      <c r="C341" s="181" t="s">
        <v>1012</v>
      </c>
      <c r="D341" s="182">
        <v>0.95</v>
      </c>
      <c r="E341" s="180" t="str">
        <f t="shared" si="5"/>
        <v>level I</v>
      </c>
    </row>
    <row r="342" spans="1:5" x14ac:dyDescent="0.15">
      <c r="A342" s="180">
        <v>3171</v>
      </c>
      <c r="B342" s="181" t="s">
        <v>787</v>
      </c>
      <c r="C342" s="181" t="s">
        <v>1013</v>
      </c>
      <c r="D342" s="182">
        <v>0.95</v>
      </c>
      <c r="E342" s="180" t="str">
        <f t="shared" si="5"/>
        <v>level I</v>
      </c>
    </row>
    <row r="343" spans="1:5" x14ac:dyDescent="0.15">
      <c r="A343" s="180">
        <v>3172</v>
      </c>
      <c r="B343" s="181" t="s">
        <v>787</v>
      </c>
      <c r="C343" s="181" t="s">
        <v>1014</v>
      </c>
      <c r="D343" s="182">
        <v>0.95</v>
      </c>
      <c r="E343" s="180" t="str">
        <f t="shared" si="5"/>
        <v>level I</v>
      </c>
    </row>
    <row r="344" spans="1:5" x14ac:dyDescent="0.15">
      <c r="A344" s="180">
        <v>3199</v>
      </c>
      <c r="B344" s="181" t="s">
        <v>787</v>
      </c>
      <c r="C344" s="181" t="s">
        <v>1015</v>
      </c>
      <c r="D344" s="182">
        <v>0.95</v>
      </c>
      <c r="E344" s="180" t="str">
        <f t="shared" si="5"/>
        <v>level I</v>
      </c>
    </row>
    <row r="345" spans="1:5" x14ac:dyDescent="0.15">
      <c r="A345" s="180">
        <v>3211</v>
      </c>
      <c r="B345" s="181" t="s">
        <v>787</v>
      </c>
      <c r="C345" s="181" t="s">
        <v>1016</v>
      </c>
      <c r="D345" s="182">
        <v>1.05</v>
      </c>
      <c r="E345" s="180" t="str">
        <f t="shared" si="5"/>
        <v>level III</v>
      </c>
    </row>
    <row r="346" spans="1:5" x14ac:dyDescent="0.15">
      <c r="A346" s="180">
        <v>3221</v>
      </c>
      <c r="B346" s="181" t="s">
        <v>787</v>
      </c>
      <c r="C346" s="181" t="s">
        <v>1017</v>
      </c>
      <c r="D346" s="182">
        <v>1.05</v>
      </c>
      <c r="E346" s="180" t="str">
        <f t="shared" si="5"/>
        <v>level III</v>
      </c>
    </row>
    <row r="347" spans="1:5" x14ac:dyDescent="0.15">
      <c r="A347" s="180">
        <v>3229</v>
      </c>
      <c r="B347" s="181" t="s">
        <v>787</v>
      </c>
      <c r="C347" s="181" t="s">
        <v>1018</v>
      </c>
      <c r="D347" s="182">
        <v>1.05</v>
      </c>
      <c r="E347" s="180" t="str">
        <f t="shared" si="5"/>
        <v>level III</v>
      </c>
    </row>
    <row r="348" spans="1:5" x14ac:dyDescent="0.15">
      <c r="A348" s="180">
        <v>3231</v>
      </c>
      <c r="B348" s="181" t="s">
        <v>787</v>
      </c>
      <c r="C348" s="181" t="s">
        <v>1019</v>
      </c>
      <c r="D348" s="182">
        <v>1.05</v>
      </c>
      <c r="E348" s="180" t="str">
        <f t="shared" si="5"/>
        <v>level III</v>
      </c>
    </row>
    <row r="349" spans="1:5" x14ac:dyDescent="0.15">
      <c r="A349" s="180">
        <v>3241</v>
      </c>
      <c r="B349" s="181" t="s">
        <v>787</v>
      </c>
      <c r="C349" s="181" t="s">
        <v>1020</v>
      </c>
      <c r="D349" s="182">
        <v>1.05</v>
      </c>
      <c r="E349" s="180" t="str">
        <f t="shared" si="5"/>
        <v>level III</v>
      </c>
    </row>
    <row r="350" spans="1:5" x14ac:dyDescent="0.15">
      <c r="A350" s="180">
        <v>3251</v>
      </c>
      <c r="B350" s="181" t="s">
        <v>787</v>
      </c>
      <c r="C350" s="181" t="s">
        <v>1021</v>
      </c>
      <c r="D350" s="182">
        <v>1.05</v>
      </c>
      <c r="E350" s="180" t="str">
        <f t="shared" si="5"/>
        <v>level III</v>
      </c>
    </row>
    <row r="351" spans="1:5" x14ac:dyDescent="0.15">
      <c r="A351" s="180">
        <v>3253</v>
      </c>
      <c r="B351" s="181" t="s">
        <v>787</v>
      </c>
      <c r="C351" s="181" t="s">
        <v>1022</v>
      </c>
      <c r="D351" s="182">
        <v>1.05</v>
      </c>
      <c r="E351" s="180" t="str">
        <f t="shared" si="5"/>
        <v>level III</v>
      </c>
    </row>
    <row r="352" spans="1:5" x14ac:dyDescent="0.15">
      <c r="A352" s="180">
        <v>3255</v>
      </c>
      <c r="B352" s="181" t="s">
        <v>787</v>
      </c>
      <c r="C352" s="181" t="s">
        <v>1023</v>
      </c>
      <c r="D352" s="182">
        <v>1.05</v>
      </c>
      <c r="E352" s="180" t="str">
        <f t="shared" si="5"/>
        <v>level III</v>
      </c>
    </row>
    <row r="353" spans="1:5" x14ac:dyDescent="0.15">
      <c r="A353" s="180">
        <v>3259</v>
      </c>
      <c r="B353" s="181" t="s">
        <v>787</v>
      </c>
      <c r="C353" s="181" t="s">
        <v>1024</v>
      </c>
      <c r="D353" s="182">
        <v>1.05</v>
      </c>
      <c r="E353" s="180" t="str">
        <f t="shared" si="5"/>
        <v>level III</v>
      </c>
    </row>
    <row r="354" spans="1:5" x14ac:dyDescent="0.15">
      <c r="A354" s="180">
        <v>3261</v>
      </c>
      <c r="B354" s="181" t="s">
        <v>787</v>
      </c>
      <c r="C354" s="181" t="s">
        <v>1025</v>
      </c>
      <c r="D354" s="182">
        <v>1.05</v>
      </c>
      <c r="E354" s="180" t="str">
        <f t="shared" si="5"/>
        <v>level III</v>
      </c>
    </row>
    <row r="355" spans="1:5" x14ac:dyDescent="0.15">
      <c r="A355" s="180">
        <v>3262</v>
      </c>
      <c r="B355" s="181" t="s">
        <v>787</v>
      </c>
      <c r="C355" s="181" t="s">
        <v>1026</v>
      </c>
      <c r="D355" s="182">
        <v>1.05</v>
      </c>
      <c r="E355" s="180" t="str">
        <f t="shared" si="5"/>
        <v>level III</v>
      </c>
    </row>
    <row r="356" spans="1:5" x14ac:dyDescent="0.15">
      <c r="A356" s="180">
        <v>3263</v>
      </c>
      <c r="B356" s="181" t="s">
        <v>787</v>
      </c>
      <c r="C356" s="181" t="s">
        <v>1027</v>
      </c>
      <c r="D356" s="182">
        <v>1.05</v>
      </c>
      <c r="E356" s="180" t="str">
        <f t="shared" si="5"/>
        <v>level III</v>
      </c>
    </row>
    <row r="357" spans="1:5" x14ac:dyDescent="0.15">
      <c r="A357" s="180">
        <v>3264</v>
      </c>
      <c r="B357" s="181" t="s">
        <v>787</v>
      </c>
      <c r="C357" s="181" t="s">
        <v>1028</v>
      </c>
      <c r="D357" s="182">
        <v>1.05</v>
      </c>
      <c r="E357" s="180" t="str">
        <f t="shared" si="5"/>
        <v>level III</v>
      </c>
    </row>
    <row r="358" spans="1:5" x14ac:dyDescent="0.15">
      <c r="A358" s="180">
        <v>3269</v>
      </c>
      <c r="B358" s="181" t="s">
        <v>787</v>
      </c>
      <c r="C358" s="181" t="s">
        <v>1029</v>
      </c>
      <c r="D358" s="182">
        <v>1.05</v>
      </c>
      <c r="E358" s="180" t="str">
        <f t="shared" si="5"/>
        <v>level III</v>
      </c>
    </row>
    <row r="359" spans="1:5" x14ac:dyDescent="0.15">
      <c r="A359" s="180">
        <v>3271</v>
      </c>
      <c r="B359" s="181" t="s">
        <v>787</v>
      </c>
      <c r="C359" s="181" t="s">
        <v>1030</v>
      </c>
      <c r="D359" s="182">
        <v>1.05</v>
      </c>
      <c r="E359" s="180" t="str">
        <f t="shared" si="5"/>
        <v>level III</v>
      </c>
    </row>
    <row r="360" spans="1:5" x14ac:dyDescent="0.15">
      <c r="A360" s="180">
        <v>3272</v>
      </c>
      <c r="B360" s="181" t="s">
        <v>787</v>
      </c>
      <c r="C360" s="181" t="s">
        <v>1031</v>
      </c>
      <c r="D360" s="182">
        <v>1.05</v>
      </c>
      <c r="E360" s="180" t="str">
        <f t="shared" si="5"/>
        <v>level III</v>
      </c>
    </row>
    <row r="361" spans="1:5" x14ac:dyDescent="0.15">
      <c r="A361" s="180">
        <v>3273</v>
      </c>
      <c r="B361" s="181" t="s">
        <v>787</v>
      </c>
      <c r="C361" s="181" t="s">
        <v>1032</v>
      </c>
      <c r="D361" s="182">
        <v>1.05</v>
      </c>
      <c r="E361" s="180" t="str">
        <f t="shared" si="5"/>
        <v>level III</v>
      </c>
    </row>
    <row r="362" spans="1:5" x14ac:dyDescent="0.15">
      <c r="A362" s="180">
        <v>3274</v>
      </c>
      <c r="B362" s="181" t="s">
        <v>787</v>
      </c>
      <c r="C362" s="181" t="s">
        <v>1033</v>
      </c>
      <c r="D362" s="182">
        <v>1.05</v>
      </c>
      <c r="E362" s="180" t="str">
        <f t="shared" si="5"/>
        <v>level III</v>
      </c>
    </row>
    <row r="363" spans="1:5" x14ac:dyDescent="0.15">
      <c r="A363" s="180">
        <v>3275</v>
      </c>
      <c r="B363" s="181" t="s">
        <v>787</v>
      </c>
      <c r="C363" s="181" t="s">
        <v>1034</v>
      </c>
      <c r="D363" s="182">
        <v>1.05</v>
      </c>
      <c r="E363" s="180" t="str">
        <f t="shared" si="5"/>
        <v>level III</v>
      </c>
    </row>
    <row r="364" spans="1:5" x14ac:dyDescent="0.15">
      <c r="A364" s="180">
        <v>3281</v>
      </c>
      <c r="B364" s="181" t="s">
        <v>787</v>
      </c>
      <c r="C364" s="181" t="s">
        <v>1035</v>
      </c>
      <c r="D364" s="182">
        <v>1.05</v>
      </c>
      <c r="E364" s="180" t="str">
        <f t="shared" si="5"/>
        <v>level III</v>
      </c>
    </row>
    <row r="365" spans="1:5" x14ac:dyDescent="0.15">
      <c r="A365" s="180">
        <v>3291</v>
      </c>
      <c r="B365" s="181" t="s">
        <v>787</v>
      </c>
      <c r="C365" s="181" t="s">
        <v>1036</v>
      </c>
      <c r="D365" s="182">
        <v>1.05</v>
      </c>
      <c r="E365" s="180" t="str">
        <f t="shared" si="5"/>
        <v>level III</v>
      </c>
    </row>
    <row r="366" spans="1:5" x14ac:dyDescent="0.15">
      <c r="A366" s="180">
        <v>3292</v>
      </c>
      <c r="B366" s="181" t="s">
        <v>787</v>
      </c>
      <c r="C366" s="181" t="s">
        <v>1037</v>
      </c>
      <c r="D366" s="182">
        <v>1.05</v>
      </c>
      <c r="E366" s="180" t="str">
        <f t="shared" si="5"/>
        <v>level III</v>
      </c>
    </row>
    <row r="367" spans="1:5" x14ac:dyDescent="0.15">
      <c r="A367" s="180">
        <v>3295</v>
      </c>
      <c r="B367" s="181" t="s">
        <v>787</v>
      </c>
      <c r="C367" s="181" t="s">
        <v>1038</v>
      </c>
      <c r="D367" s="182">
        <v>1.05</v>
      </c>
      <c r="E367" s="180" t="str">
        <f t="shared" si="5"/>
        <v>level III</v>
      </c>
    </row>
    <row r="368" spans="1:5" x14ac:dyDescent="0.15">
      <c r="A368" s="180">
        <v>3296</v>
      </c>
      <c r="B368" s="181" t="s">
        <v>787</v>
      </c>
      <c r="C368" s="181" t="s">
        <v>1039</v>
      </c>
      <c r="D368" s="182">
        <v>1.05</v>
      </c>
      <c r="E368" s="180" t="str">
        <f t="shared" si="5"/>
        <v>level III</v>
      </c>
    </row>
    <row r="369" spans="1:5" x14ac:dyDescent="0.15">
      <c r="A369" s="180">
        <v>3297</v>
      </c>
      <c r="B369" s="181" t="s">
        <v>787</v>
      </c>
      <c r="C369" s="181" t="s">
        <v>1040</v>
      </c>
      <c r="D369" s="182">
        <v>1.05</v>
      </c>
      <c r="E369" s="180" t="str">
        <f t="shared" si="5"/>
        <v>level III</v>
      </c>
    </row>
    <row r="370" spans="1:5" x14ac:dyDescent="0.15">
      <c r="A370" s="180">
        <v>3299</v>
      </c>
      <c r="B370" s="181" t="s">
        <v>787</v>
      </c>
      <c r="C370" s="181" t="s">
        <v>1041</v>
      </c>
      <c r="D370" s="182">
        <v>1.05</v>
      </c>
      <c r="E370" s="180" t="str">
        <f t="shared" si="5"/>
        <v>level III</v>
      </c>
    </row>
    <row r="371" spans="1:5" x14ac:dyDescent="0.15">
      <c r="A371" s="180">
        <v>3312</v>
      </c>
      <c r="B371" s="181" t="s">
        <v>787</v>
      </c>
      <c r="C371" s="181" t="s">
        <v>1042</v>
      </c>
      <c r="D371" s="182">
        <v>1.05</v>
      </c>
      <c r="E371" s="180" t="str">
        <f t="shared" si="5"/>
        <v>level III</v>
      </c>
    </row>
    <row r="372" spans="1:5" x14ac:dyDescent="0.15">
      <c r="A372" s="180">
        <v>3313</v>
      </c>
      <c r="B372" s="181" t="s">
        <v>787</v>
      </c>
      <c r="C372" s="181" t="s">
        <v>1043</v>
      </c>
      <c r="D372" s="182">
        <v>1.05</v>
      </c>
      <c r="E372" s="180" t="str">
        <f t="shared" si="5"/>
        <v>level III</v>
      </c>
    </row>
    <row r="373" spans="1:5" x14ac:dyDescent="0.15">
      <c r="A373" s="180">
        <v>3315</v>
      </c>
      <c r="B373" s="181" t="s">
        <v>787</v>
      </c>
      <c r="C373" s="181" t="s">
        <v>1044</v>
      </c>
      <c r="D373" s="182">
        <v>1.05</v>
      </c>
      <c r="E373" s="180" t="str">
        <f t="shared" si="5"/>
        <v>level III</v>
      </c>
    </row>
    <row r="374" spans="1:5" x14ac:dyDescent="0.15">
      <c r="A374" s="180">
        <v>3316</v>
      </c>
      <c r="B374" s="181" t="s">
        <v>787</v>
      </c>
      <c r="C374" s="181" t="s">
        <v>1045</v>
      </c>
      <c r="D374" s="182">
        <v>1.05</v>
      </c>
      <c r="E374" s="180" t="str">
        <f t="shared" si="5"/>
        <v>level III</v>
      </c>
    </row>
    <row r="375" spans="1:5" x14ac:dyDescent="0.15">
      <c r="A375" s="180">
        <v>3317</v>
      </c>
      <c r="B375" s="181" t="s">
        <v>787</v>
      </c>
      <c r="C375" s="181" t="s">
        <v>1046</v>
      </c>
      <c r="D375" s="182">
        <v>1.05</v>
      </c>
      <c r="E375" s="180" t="str">
        <f t="shared" si="5"/>
        <v>level III</v>
      </c>
    </row>
    <row r="376" spans="1:5" x14ac:dyDescent="0.15">
      <c r="A376" s="180">
        <v>3321</v>
      </c>
      <c r="B376" s="181" t="s">
        <v>787</v>
      </c>
      <c r="C376" s="181" t="s">
        <v>1047</v>
      </c>
      <c r="D376" s="182">
        <v>1.05</v>
      </c>
      <c r="E376" s="180" t="str">
        <f t="shared" si="5"/>
        <v>level III</v>
      </c>
    </row>
    <row r="377" spans="1:5" x14ac:dyDescent="0.15">
      <c r="A377" s="180">
        <v>3322</v>
      </c>
      <c r="B377" s="181" t="s">
        <v>787</v>
      </c>
      <c r="C377" s="181" t="s">
        <v>1048</v>
      </c>
      <c r="D377" s="182">
        <v>1.05</v>
      </c>
      <c r="E377" s="180" t="str">
        <f t="shared" si="5"/>
        <v>level III</v>
      </c>
    </row>
    <row r="378" spans="1:5" x14ac:dyDescent="0.15">
      <c r="A378" s="180">
        <v>3324</v>
      </c>
      <c r="B378" s="181" t="s">
        <v>787</v>
      </c>
      <c r="C378" s="181" t="s">
        <v>1049</v>
      </c>
      <c r="D378" s="182">
        <v>1.05</v>
      </c>
      <c r="E378" s="180" t="str">
        <f t="shared" si="5"/>
        <v>level III</v>
      </c>
    </row>
    <row r="379" spans="1:5" x14ac:dyDescent="0.15">
      <c r="A379" s="180">
        <v>3325</v>
      </c>
      <c r="B379" s="181" t="s">
        <v>787</v>
      </c>
      <c r="C379" s="181" t="s">
        <v>1050</v>
      </c>
      <c r="D379" s="182">
        <v>1.05</v>
      </c>
      <c r="E379" s="180" t="str">
        <f t="shared" si="5"/>
        <v>level III</v>
      </c>
    </row>
    <row r="380" spans="1:5" x14ac:dyDescent="0.15">
      <c r="A380" s="180">
        <v>3331</v>
      </c>
      <c r="B380" s="181" t="s">
        <v>787</v>
      </c>
      <c r="C380" s="181" t="s">
        <v>1051</v>
      </c>
      <c r="D380" s="182">
        <v>1.05</v>
      </c>
      <c r="E380" s="180" t="str">
        <f t="shared" si="5"/>
        <v>level III</v>
      </c>
    </row>
    <row r="381" spans="1:5" x14ac:dyDescent="0.15">
      <c r="A381" s="180">
        <v>3334</v>
      </c>
      <c r="B381" s="181" t="s">
        <v>787</v>
      </c>
      <c r="C381" s="181" t="s">
        <v>1052</v>
      </c>
      <c r="D381" s="182">
        <v>1.05</v>
      </c>
      <c r="E381" s="180" t="str">
        <f t="shared" si="5"/>
        <v>level III</v>
      </c>
    </row>
    <row r="382" spans="1:5" x14ac:dyDescent="0.15">
      <c r="A382" s="180">
        <v>3339</v>
      </c>
      <c r="B382" s="181" t="s">
        <v>787</v>
      </c>
      <c r="C382" s="181" t="s">
        <v>1053</v>
      </c>
      <c r="D382" s="182">
        <v>1.05</v>
      </c>
      <c r="E382" s="180" t="str">
        <f t="shared" si="5"/>
        <v>level III</v>
      </c>
    </row>
    <row r="383" spans="1:5" x14ac:dyDescent="0.15">
      <c r="A383" s="180">
        <v>3341</v>
      </c>
      <c r="B383" s="181" t="s">
        <v>787</v>
      </c>
      <c r="C383" s="181" t="s">
        <v>1054</v>
      </c>
      <c r="D383" s="182">
        <v>1.05</v>
      </c>
      <c r="E383" s="180" t="str">
        <f t="shared" si="5"/>
        <v>level III</v>
      </c>
    </row>
    <row r="384" spans="1:5" x14ac:dyDescent="0.15">
      <c r="A384" s="180">
        <v>3351</v>
      </c>
      <c r="B384" s="181" t="s">
        <v>787</v>
      </c>
      <c r="C384" s="181" t="s">
        <v>1055</v>
      </c>
      <c r="D384" s="182">
        <v>1.05</v>
      </c>
      <c r="E384" s="180" t="str">
        <f t="shared" si="5"/>
        <v>level III</v>
      </c>
    </row>
    <row r="385" spans="1:5" x14ac:dyDescent="0.15">
      <c r="A385" s="180">
        <v>3353</v>
      </c>
      <c r="B385" s="181" t="s">
        <v>787</v>
      </c>
      <c r="C385" s="181" t="s">
        <v>1056</v>
      </c>
      <c r="D385" s="182">
        <v>1.05</v>
      </c>
      <c r="E385" s="180" t="str">
        <f t="shared" si="5"/>
        <v>level III</v>
      </c>
    </row>
    <row r="386" spans="1:5" x14ac:dyDescent="0.15">
      <c r="A386" s="180">
        <v>3354</v>
      </c>
      <c r="B386" s="181" t="s">
        <v>787</v>
      </c>
      <c r="C386" s="181" t="s">
        <v>1057</v>
      </c>
      <c r="D386" s="182">
        <v>1.05</v>
      </c>
      <c r="E386" s="180" t="str">
        <f t="shared" ref="E386:E449" si="6">IF(D386=0.95,"level I",IF(D386=1,"level II",IF(D386=1.05,"level III",IF(D386=1.1,"level IV",IF(D386=1.15,"level V",IF(D386=1.2,"level VI",IF(D386=0.9,"level 0","level VII")))))))</f>
        <v>level III</v>
      </c>
    </row>
    <row r="387" spans="1:5" x14ac:dyDescent="0.15">
      <c r="A387" s="180">
        <v>3355</v>
      </c>
      <c r="B387" s="181" t="s">
        <v>787</v>
      </c>
      <c r="C387" s="181" t="s">
        <v>1058</v>
      </c>
      <c r="D387" s="182">
        <v>1.05</v>
      </c>
      <c r="E387" s="180" t="str">
        <f t="shared" si="6"/>
        <v>level III</v>
      </c>
    </row>
    <row r="388" spans="1:5" x14ac:dyDescent="0.15">
      <c r="A388" s="180">
        <v>3356</v>
      </c>
      <c r="B388" s="181" t="s">
        <v>787</v>
      </c>
      <c r="C388" s="181" t="s">
        <v>1059</v>
      </c>
      <c r="D388" s="182">
        <v>1.05</v>
      </c>
      <c r="E388" s="180" t="str">
        <f t="shared" si="6"/>
        <v>level III</v>
      </c>
    </row>
    <row r="389" spans="1:5" x14ac:dyDescent="0.15">
      <c r="A389" s="180">
        <v>3357</v>
      </c>
      <c r="B389" s="181" t="s">
        <v>787</v>
      </c>
      <c r="C389" s="181" t="s">
        <v>1060</v>
      </c>
      <c r="D389" s="182">
        <v>1.05</v>
      </c>
      <c r="E389" s="180" t="str">
        <f t="shared" si="6"/>
        <v>level III</v>
      </c>
    </row>
    <row r="390" spans="1:5" x14ac:dyDescent="0.15">
      <c r="A390" s="180">
        <v>3363</v>
      </c>
      <c r="B390" s="181" t="s">
        <v>787</v>
      </c>
      <c r="C390" s="181" t="s">
        <v>1061</v>
      </c>
      <c r="D390" s="182">
        <v>1.05</v>
      </c>
      <c r="E390" s="180" t="str">
        <f t="shared" si="6"/>
        <v>level III</v>
      </c>
    </row>
    <row r="391" spans="1:5" x14ac:dyDescent="0.15">
      <c r="A391" s="180">
        <v>3364</v>
      </c>
      <c r="B391" s="181" t="s">
        <v>787</v>
      </c>
      <c r="C391" s="181" t="s">
        <v>1062</v>
      </c>
      <c r="D391" s="182">
        <v>1.05</v>
      </c>
      <c r="E391" s="180" t="str">
        <f t="shared" si="6"/>
        <v>level III</v>
      </c>
    </row>
    <row r="392" spans="1:5" x14ac:dyDescent="0.15">
      <c r="A392" s="180">
        <v>3365</v>
      </c>
      <c r="B392" s="181" t="s">
        <v>787</v>
      </c>
      <c r="C392" s="181" t="s">
        <v>1063</v>
      </c>
      <c r="D392" s="182">
        <v>1.05</v>
      </c>
      <c r="E392" s="180" t="str">
        <f t="shared" si="6"/>
        <v>level III</v>
      </c>
    </row>
    <row r="393" spans="1:5" x14ac:dyDescent="0.15">
      <c r="A393" s="180">
        <v>3366</v>
      </c>
      <c r="B393" s="181" t="s">
        <v>787</v>
      </c>
      <c r="C393" s="181" t="s">
        <v>1064</v>
      </c>
      <c r="D393" s="182">
        <v>1.05</v>
      </c>
      <c r="E393" s="180" t="str">
        <f t="shared" si="6"/>
        <v>level III</v>
      </c>
    </row>
    <row r="394" spans="1:5" x14ac:dyDescent="0.15">
      <c r="A394" s="180">
        <v>3369</v>
      </c>
      <c r="B394" s="181" t="s">
        <v>787</v>
      </c>
      <c r="C394" s="181" t="s">
        <v>1065</v>
      </c>
      <c r="D394" s="182">
        <v>1.05</v>
      </c>
      <c r="E394" s="180" t="str">
        <f t="shared" si="6"/>
        <v>level III</v>
      </c>
    </row>
    <row r="395" spans="1:5" x14ac:dyDescent="0.15">
      <c r="A395" s="180">
        <v>3398</v>
      </c>
      <c r="B395" s="181" t="s">
        <v>787</v>
      </c>
      <c r="C395" s="181" t="s">
        <v>1066</v>
      </c>
      <c r="D395" s="182">
        <v>1.05</v>
      </c>
      <c r="E395" s="180" t="str">
        <f t="shared" si="6"/>
        <v>level III</v>
      </c>
    </row>
    <row r="396" spans="1:5" x14ac:dyDescent="0.15">
      <c r="A396" s="180">
        <v>3399</v>
      </c>
      <c r="B396" s="181" t="s">
        <v>787</v>
      </c>
      <c r="C396" s="181" t="s">
        <v>1067</v>
      </c>
      <c r="D396" s="182">
        <v>1.05</v>
      </c>
      <c r="E396" s="180" t="str">
        <f t="shared" si="6"/>
        <v>level III</v>
      </c>
    </row>
    <row r="397" spans="1:5" x14ac:dyDescent="0.15">
      <c r="A397" s="180">
        <v>3411</v>
      </c>
      <c r="B397" s="181" t="s">
        <v>787</v>
      </c>
      <c r="C397" s="181" t="s">
        <v>1068</v>
      </c>
      <c r="D397" s="182">
        <v>0.95</v>
      </c>
      <c r="E397" s="180" t="str">
        <f t="shared" si="6"/>
        <v>level I</v>
      </c>
    </row>
    <row r="398" spans="1:5" x14ac:dyDescent="0.15">
      <c r="A398" s="180">
        <v>3412</v>
      </c>
      <c r="B398" s="181" t="s">
        <v>787</v>
      </c>
      <c r="C398" s="181" t="s">
        <v>1069</v>
      </c>
      <c r="D398" s="182">
        <v>0.95</v>
      </c>
      <c r="E398" s="180" t="str">
        <f t="shared" si="6"/>
        <v>level I</v>
      </c>
    </row>
    <row r="399" spans="1:5" x14ac:dyDescent="0.15">
      <c r="A399" s="180">
        <v>3421</v>
      </c>
      <c r="B399" s="181" t="s">
        <v>787</v>
      </c>
      <c r="C399" s="181" t="s">
        <v>1070</v>
      </c>
      <c r="D399" s="182">
        <v>0.95</v>
      </c>
      <c r="E399" s="180" t="str">
        <f t="shared" si="6"/>
        <v>level I</v>
      </c>
    </row>
    <row r="400" spans="1:5" x14ac:dyDescent="0.15">
      <c r="A400" s="180">
        <v>3423</v>
      </c>
      <c r="B400" s="181" t="s">
        <v>787</v>
      </c>
      <c r="C400" s="181" t="s">
        <v>1071</v>
      </c>
      <c r="D400" s="182">
        <v>0.95</v>
      </c>
      <c r="E400" s="180" t="str">
        <f t="shared" si="6"/>
        <v>level I</v>
      </c>
    </row>
    <row r="401" spans="1:5" x14ac:dyDescent="0.15">
      <c r="A401" s="180">
        <v>3425</v>
      </c>
      <c r="B401" s="181" t="s">
        <v>787</v>
      </c>
      <c r="C401" s="181" t="s">
        <v>1072</v>
      </c>
      <c r="D401" s="182">
        <v>0.95</v>
      </c>
      <c r="E401" s="180" t="str">
        <f t="shared" si="6"/>
        <v>level I</v>
      </c>
    </row>
    <row r="402" spans="1:5" x14ac:dyDescent="0.15">
      <c r="A402" s="180">
        <v>3429</v>
      </c>
      <c r="B402" s="181" t="s">
        <v>787</v>
      </c>
      <c r="C402" s="181" t="s">
        <v>1073</v>
      </c>
      <c r="D402" s="182">
        <v>0.95</v>
      </c>
      <c r="E402" s="180" t="str">
        <f t="shared" si="6"/>
        <v>level I</v>
      </c>
    </row>
    <row r="403" spans="1:5" x14ac:dyDescent="0.15">
      <c r="A403" s="180">
        <v>3431</v>
      </c>
      <c r="B403" s="181" t="s">
        <v>787</v>
      </c>
      <c r="C403" s="181" t="s">
        <v>1074</v>
      </c>
      <c r="D403" s="182">
        <v>0.95</v>
      </c>
      <c r="E403" s="180" t="str">
        <f t="shared" si="6"/>
        <v>level I</v>
      </c>
    </row>
    <row r="404" spans="1:5" x14ac:dyDescent="0.15">
      <c r="A404" s="180">
        <v>3432</v>
      </c>
      <c r="B404" s="181" t="s">
        <v>787</v>
      </c>
      <c r="C404" s="181" t="s">
        <v>1075</v>
      </c>
      <c r="D404" s="182">
        <v>0.95</v>
      </c>
      <c r="E404" s="180" t="str">
        <f t="shared" si="6"/>
        <v>level I</v>
      </c>
    </row>
    <row r="405" spans="1:5" x14ac:dyDescent="0.15">
      <c r="A405" s="180">
        <v>3433</v>
      </c>
      <c r="B405" s="181" t="s">
        <v>787</v>
      </c>
      <c r="C405" s="181" t="s">
        <v>1076</v>
      </c>
      <c r="D405" s="182">
        <v>0.95</v>
      </c>
      <c r="E405" s="180" t="str">
        <f t="shared" si="6"/>
        <v>level I</v>
      </c>
    </row>
    <row r="406" spans="1:5" x14ac:dyDescent="0.15">
      <c r="A406" s="180">
        <v>3441</v>
      </c>
      <c r="B406" s="181" t="s">
        <v>787</v>
      </c>
      <c r="C406" s="181" t="s">
        <v>1077</v>
      </c>
      <c r="D406" s="182">
        <v>0.95</v>
      </c>
      <c r="E406" s="180" t="str">
        <f t="shared" si="6"/>
        <v>level I</v>
      </c>
    </row>
    <row r="407" spans="1:5" x14ac:dyDescent="0.15">
      <c r="A407" s="180">
        <v>3442</v>
      </c>
      <c r="B407" s="181" t="s">
        <v>787</v>
      </c>
      <c r="C407" s="181" t="s">
        <v>1078</v>
      </c>
      <c r="D407" s="182">
        <v>0.95</v>
      </c>
      <c r="E407" s="180" t="str">
        <f t="shared" si="6"/>
        <v>level I</v>
      </c>
    </row>
    <row r="408" spans="1:5" x14ac:dyDescent="0.15">
      <c r="A408" s="180">
        <v>3443</v>
      </c>
      <c r="B408" s="181" t="s">
        <v>787</v>
      </c>
      <c r="C408" s="181" t="s">
        <v>1079</v>
      </c>
      <c r="D408" s="182">
        <v>0.95</v>
      </c>
      <c r="E408" s="180" t="str">
        <f t="shared" si="6"/>
        <v>level I</v>
      </c>
    </row>
    <row r="409" spans="1:5" x14ac:dyDescent="0.15">
      <c r="A409" s="180">
        <v>3444</v>
      </c>
      <c r="B409" s="181" t="s">
        <v>787</v>
      </c>
      <c r="C409" s="181" t="s">
        <v>1080</v>
      </c>
      <c r="D409" s="182">
        <v>0.95</v>
      </c>
      <c r="E409" s="180" t="str">
        <f t="shared" si="6"/>
        <v>level I</v>
      </c>
    </row>
    <row r="410" spans="1:5" x14ac:dyDescent="0.15">
      <c r="A410" s="180">
        <v>3446</v>
      </c>
      <c r="B410" s="181" t="s">
        <v>787</v>
      </c>
      <c r="C410" s="181" t="s">
        <v>1081</v>
      </c>
      <c r="D410" s="182">
        <v>0.95</v>
      </c>
      <c r="E410" s="180" t="str">
        <f t="shared" si="6"/>
        <v>level I</v>
      </c>
    </row>
    <row r="411" spans="1:5" x14ac:dyDescent="0.15">
      <c r="A411" s="180">
        <v>3448</v>
      </c>
      <c r="B411" s="181" t="s">
        <v>787</v>
      </c>
      <c r="C411" s="181" t="s">
        <v>1082</v>
      </c>
      <c r="D411" s="182">
        <v>0.95</v>
      </c>
      <c r="E411" s="180" t="str">
        <f t="shared" si="6"/>
        <v>level I</v>
      </c>
    </row>
    <row r="412" spans="1:5" x14ac:dyDescent="0.15">
      <c r="A412" s="180">
        <v>3449</v>
      </c>
      <c r="B412" s="181" t="s">
        <v>787</v>
      </c>
      <c r="C412" s="181" t="s">
        <v>1083</v>
      </c>
      <c r="D412" s="182">
        <v>0.95</v>
      </c>
      <c r="E412" s="180" t="str">
        <f t="shared" si="6"/>
        <v>level I</v>
      </c>
    </row>
    <row r="413" spans="1:5" x14ac:dyDescent="0.15">
      <c r="A413" s="180">
        <v>3451</v>
      </c>
      <c r="B413" s="181" t="s">
        <v>787</v>
      </c>
      <c r="C413" s="181" t="s">
        <v>1084</v>
      </c>
      <c r="D413" s="182">
        <v>0.95</v>
      </c>
      <c r="E413" s="180" t="str">
        <f t="shared" si="6"/>
        <v>level I</v>
      </c>
    </row>
    <row r="414" spans="1:5" x14ac:dyDescent="0.15">
      <c r="A414" s="180">
        <v>3452</v>
      </c>
      <c r="B414" s="181" t="s">
        <v>787</v>
      </c>
      <c r="C414" s="181" t="s">
        <v>1085</v>
      </c>
      <c r="D414" s="182">
        <v>0.95</v>
      </c>
      <c r="E414" s="180" t="str">
        <f t="shared" si="6"/>
        <v>level I</v>
      </c>
    </row>
    <row r="415" spans="1:5" x14ac:dyDescent="0.15">
      <c r="A415" s="180">
        <v>3462</v>
      </c>
      <c r="B415" s="181" t="s">
        <v>787</v>
      </c>
      <c r="C415" s="181" t="s">
        <v>1086</v>
      </c>
      <c r="D415" s="182">
        <v>0.95</v>
      </c>
      <c r="E415" s="180" t="str">
        <f t="shared" si="6"/>
        <v>level I</v>
      </c>
    </row>
    <row r="416" spans="1:5" x14ac:dyDescent="0.15">
      <c r="A416" s="180">
        <v>3463</v>
      </c>
      <c r="B416" s="181" t="s">
        <v>787</v>
      </c>
      <c r="C416" s="181" t="s">
        <v>1087</v>
      </c>
      <c r="D416" s="182">
        <v>0.95</v>
      </c>
      <c r="E416" s="180" t="str">
        <f t="shared" si="6"/>
        <v>level I</v>
      </c>
    </row>
    <row r="417" spans="1:5" x14ac:dyDescent="0.15">
      <c r="A417" s="180">
        <v>3465</v>
      </c>
      <c r="B417" s="181" t="s">
        <v>787</v>
      </c>
      <c r="C417" s="181" t="s">
        <v>1088</v>
      </c>
      <c r="D417" s="182">
        <v>0.95</v>
      </c>
      <c r="E417" s="180" t="str">
        <f t="shared" si="6"/>
        <v>level I</v>
      </c>
    </row>
    <row r="418" spans="1:5" x14ac:dyDescent="0.15">
      <c r="A418" s="180">
        <v>3466</v>
      </c>
      <c r="B418" s="181" t="s">
        <v>787</v>
      </c>
      <c r="C418" s="181" t="s">
        <v>1089</v>
      </c>
      <c r="D418" s="182">
        <v>0.95</v>
      </c>
      <c r="E418" s="180" t="str">
        <f t="shared" si="6"/>
        <v>level I</v>
      </c>
    </row>
    <row r="419" spans="1:5" x14ac:dyDescent="0.15">
      <c r="A419" s="180">
        <v>3469</v>
      </c>
      <c r="B419" s="181" t="s">
        <v>787</v>
      </c>
      <c r="C419" s="181" t="s">
        <v>1090</v>
      </c>
      <c r="D419" s="182">
        <v>0.95</v>
      </c>
      <c r="E419" s="180" t="str">
        <f t="shared" si="6"/>
        <v>level I</v>
      </c>
    </row>
    <row r="420" spans="1:5" x14ac:dyDescent="0.15">
      <c r="A420" s="180">
        <v>3471</v>
      </c>
      <c r="B420" s="181" t="s">
        <v>787</v>
      </c>
      <c r="C420" s="181" t="s">
        <v>1091</v>
      </c>
      <c r="D420" s="182">
        <v>0.95</v>
      </c>
      <c r="E420" s="180" t="str">
        <f t="shared" si="6"/>
        <v>level I</v>
      </c>
    </row>
    <row r="421" spans="1:5" x14ac:dyDescent="0.15">
      <c r="A421" s="180">
        <v>3479</v>
      </c>
      <c r="B421" s="181" t="s">
        <v>787</v>
      </c>
      <c r="C421" s="181" t="s">
        <v>1092</v>
      </c>
      <c r="D421" s="182">
        <v>0.95</v>
      </c>
      <c r="E421" s="180" t="str">
        <f t="shared" si="6"/>
        <v>level I</v>
      </c>
    </row>
    <row r="422" spans="1:5" x14ac:dyDescent="0.15">
      <c r="A422" s="180">
        <v>3482</v>
      </c>
      <c r="B422" s="181" t="s">
        <v>787</v>
      </c>
      <c r="C422" s="181" t="s">
        <v>1093</v>
      </c>
      <c r="D422" s="182">
        <v>0.95</v>
      </c>
      <c r="E422" s="180" t="str">
        <f t="shared" si="6"/>
        <v>level I</v>
      </c>
    </row>
    <row r="423" spans="1:5" x14ac:dyDescent="0.15">
      <c r="A423" s="180">
        <v>3483</v>
      </c>
      <c r="B423" s="181" t="s">
        <v>787</v>
      </c>
      <c r="C423" s="181" t="s">
        <v>1094</v>
      </c>
      <c r="D423" s="182">
        <v>0.95</v>
      </c>
      <c r="E423" s="180" t="str">
        <f t="shared" si="6"/>
        <v>level I</v>
      </c>
    </row>
    <row r="424" spans="1:5" x14ac:dyDescent="0.15">
      <c r="A424" s="180">
        <v>3484</v>
      </c>
      <c r="B424" s="181" t="s">
        <v>787</v>
      </c>
      <c r="C424" s="181" t="s">
        <v>1095</v>
      </c>
      <c r="D424" s="182">
        <v>0.95</v>
      </c>
      <c r="E424" s="180" t="str">
        <f t="shared" si="6"/>
        <v>level I</v>
      </c>
    </row>
    <row r="425" spans="1:5" x14ac:dyDescent="0.15">
      <c r="A425" s="180">
        <v>3489</v>
      </c>
      <c r="B425" s="181" t="s">
        <v>787</v>
      </c>
      <c r="C425" s="181" t="s">
        <v>1096</v>
      </c>
      <c r="D425" s="182">
        <v>0.95</v>
      </c>
      <c r="E425" s="180" t="str">
        <f t="shared" si="6"/>
        <v>level I</v>
      </c>
    </row>
    <row r="426" spans="1:5" x14ac:dyDescent="0.15">
      <c r="A426" s="180">
        <v>3491</v>
      </c>
      <c r="B426" s="181" t="s">
        <v>787</v>
      </c>
      <c r="C426" s="181" t="s">
        <v>1097</v>
      </c>
      <c r="D426" s="182">
        <v>0.95</v>
      </c>
      <c r="E426" s="180" t="str">
        <f t="shared" si="6"/>
        <v>level I</v>
      </c>
    </row>
    <row r="427" spans="1:5" x14ac:dyDescent="0.15">
      <c r="A427" s="180">
        <v>3492</v>
      </c>
      <c r="B427" s="181" t="s">
        <v>787</v>
      </c>
      <c r="C427" s="181" t="s">
        <v>1098</v>
      </c>
      <c r="D427" s="182">
        <v>0.95</v>
      </c>
      <c r="E427" s="180" t="str">
        <f t="shared" si="6"/>
        <v>level I</v>
      </c>
    </row>
    <row r="428" spans="1:5" x14ac:dyDescent="0.15">
      <c r="A428" s="180">
        <v>3493</v>
      </c>
      <c r="B428" s="181" t="s">
        <v>787</v>
      </c>
      <c r="C428" s="181" t="s">
        <v>1099</v>
      </c>
      <c r="D428" s="182">
        <v>0.95</v>
      </c>
      <c r="E428" s="180" t="str">
        <f t="shared" si="6"/>
        <v>level I</v>
      </c>
    </row>
    <row r="429" spans="1:5" x14ac:dyDescent="0.15">
      <c r="A429" s="180">
        <v>3494</v>
      </c>
      <c r="B429" s="181" t="s">
        <v>787</v>
      </c>
      <c r="C429" s="181" t="s">
        <v>1100</v>
      </c>
      <c r="D429" s="182">
        <v>0.95</v>
      </c>
      <c r="E429" s="180" t="str">
        <f t="shared" si="6"/>
        <v>level I</v>
      </c>
    </row>
    <row r="430" spans="1:5" x14ac:dyDescent="0.15">
      <c r="A430" s="180">
        <v>3495</v>
      </c>
      <c r="B430" s="181" t="s">
        <v>787</v>
      </c>
      <c r="C430" s="181" t="s">
        <v>1101</v>
      </c>
      <c r="D430" s="182">
        <v>0.95</v>
      </c>
      <c r="E430" s="180" t="str">
        <f t="shared" si="6"/>
        <v>level I</v>
      </c>
    </row>
    <row r="431" spans="1:5" x14ac:dyDescent="0.15">
      <c r="A431" s="180">
        <v>3496</v>
      </c>
      <c r="B431" s="181" t="s">
        <v>787</v>
      </c>
      <c r="C431" s="181" t="s">
        <v>1102</v>
      </c>
      <c r="D431" s="182">
        <v>0.95</v>
      </c>
      <c r="E431" s="180" t="str">
        <f t="shared" si="6"/>
        <v>level I</v>
      </c>
    </row>
    <row r="432" spans="1:5" x14ac:dyDescent="0.15">
      <c r="A432" s="180">
        <v>3497</v>
      </c>
      <c r="B432" s="181" t="s">
        <v>787</v>
      </c>
      <c r="C432" s="181" t="s">
        <v>1103</v>
      </c>
      <c r="D432" s="182">
        <v>0.95</v>
      </c>
      <c r="E432" s="180" t="str">
        <f t="shared" si="6"/>
        <v>level I</v>
      </c>
    </row>
    <row r="433" spans="1:5" x14ac:dyDescent="0.15">
      <c r="A433" s="180">
        <v>3498</v>
      </c>
      <c r="B433" s="181" t="s">
        <v>787</v>
      </c>
      <c r="C433" s="181" t="s">
        <v>1104</v>
      </c>
      <c r="D433" s="182">
        <v>0.95</v>
      </c>
      <c r="E433" s="180" t="str">
        <f t="shared" si="6"/>
        <v>level I</v>
      </c>
    </row>
    <row r="434" spans="1:5" x14ac:dyDescent="0.15">
      <c r="A434" s="180">
        <v>3499</v>
      </c>
      <c r="B434" s="181" t="s">
        <v>787</v>
      </c>
      <c r="C434" s="181" t="s">
        <v>1105</v>
      </c>
      <c r="D434" s="182">
        <v>0.95</v>
      </c>
      <c r="E434" s="180" t="str">
        <f t="shared" si="6"/>
        <v>level I</v>
      </c>
    </row>
    <row r="435" spans="1:5" x14ac:dyDescent="0.15">
      <c r="A435" s="180">
        <v>3511</v>
      </c>
      <c r="B435" s="181" t="s">
        <v>787</v>
      </c>
      <c r="C435" s="181" t="s">
        <v>1106</v>
      </c>
      <c r="D435" s="182">
        <v>0.9</v>
      </c>
      <c r="E435" s="180" t="str">
        <f t="shared" si="6"/>
        <v>level 0</v>
      </c>
    </row>
    <row r="436" spans="1:5" x14ac:dyDescent="0.15">
      <c r="A436" s="180">
        <v>3519</v>
      </c>
      <c r="B436" s="181" t="s">
        <v>787</v>
      </c>
      <c r="C436" s="181" t="s">
        <v>1107</v>
      </c>
      <c r="D436" s="182">
        <v>0.9</v>
      </c>
      <c r="E436" s="180" t="str">
        <f t="shared" si="6"/>
        <v>level 0</v>
      </c>
    </row>
    <row r="437" spans="1:5" x14ac:dyDescent="0.15">
      <c r="A437" s="180">
        <v>3523</v>
      </c>
      <c r="B437" s="181" t="s">
        <v>787</v>
      </c>
      <c r="C437" s="181" t="s">
        <v>1108</v>
      </c>
      <c r="D437" s="182">
        <v>0.9</v>
      </c>
      <c r="E437" s="180" t="str">
        <f t="shared" si="6"/>
        <v>level 0</v>
      </c>
    </row>
    <row r="438" spans="1:5" x14ac:dyDescent="0.15">
      <c r="A438" s="180">
        <v>3524</v>
      </c>
      <c r="B438" s="181" t="s">
        <v>787</v>
      </c>
      <c r="C438" s="181" t="s">
        <v>1109</v>
      </c>
      <c r="D438" s="182">
        <v>0.9</v>
      </c>
      <c r="E438" s="180" t="str">
        <f t="shared" si="6"/>
        <v>level 0</v>
      </c>
    </row>
    <row r="439" spans="1:5" x14ac:dyDescent="0.15">
      <c r="A439" s="180">
        <v>3531</v>
      </c>
      <c r="B439" s="181" t="s">
        <v>787</v>
      </c>
      <c r="C439" s="181" t="s">
        <v>1110</v>
      </c>
      <c r="D439" s="182">
        <v>0.9</v>
      </c>
      <c r="E439" s="180" t="str">
        <f t="shared" si="6"/>
        <v>level 0</v>
      </c>
    </row>
    <row r="440" spans="1:5" x14ac:dyDescent="0.15">
      <c r="A440" s="180">
        <v>3532</v>
      </c>
      <c r="B440" s="181" t="s">
        <v>787</v>
      </c>
      <c r="C440" s="181" t="s">
        <v>1111</v>
      </c>
      <c r="D440" s="182">
        <v>0.9</v>
      </c>
      <c r="E440" s="180" t="str">
        <f t="shared" si="6"/>
        <v>level 0</v>
      </c>
    </row>
    <row r="441" spans="1:5" x14ac:dyDescent="0.15">
      <c r="A441" s="180">
        <v>3533</v>
      </c>
      <c r="B441" s="181" t="s">
        <v>787</v>
      </c>
      <c r="C441" s="181" t="s">
        <v>1112</v>
      </c>
      <c r="D441" s="182">
        <v>0.9</v>
      </c>
      <c r="E441" s="180" t="str">
        <f t="shared" si="6"/>
        <v>level 0</v>
      </c>
    </row>
    <row r="442" spans="1:5" x14ac:dyDescent="0.15">
      <c r="A442" s="180">
        <v>3534</v>
      </c>
      <c r="B442" s="181" t="s">
        <v>787</v>
      </c>
      <c r="C442" s="181" t="s">
        <v>1113</v>
      </c>
      <c r="D442" s="182">
        <v>0.9</v>
      </c>
      <c r="E442" s="180" t="str">
        <f t="shared" si="6"/>
        <v>level 0</v>
      </c>
    </row>
    <row r="443" spans="1:5" x14ac:dyDescent="0.15">
      <c r="A443" s="180">
        <v>3535</v>
      </c>
      <c r="B443" s="181" t="s">
        <v>787</v>
      </c>
      <c r="C443" s="181" t="s">
        <v>1114</v>
      </c>
      <c r="D443" s="182">
        <v>0.9</v>
      </c>
      <c r="E443" s="180" t="str">
        <f t="shared" si="6"/>
        <v>level 0</v>
      </c>
    </row>
    <row r="444" spans="1:5" x14ac:dyDescent="0.15">
      <c r="A444" s="180">
        <v>3536</v>
      </c>
      <c r="B444" s="181" t="s">
        <v>787</v>
      </c>
      <c r="C444" s="181" t="s">
        <v>1115</v>
      </c>
      <c r="D444" s="182">
        <v>0.9</v>
      </c>
      <c r="E444" s="180" t="str">
        <f t="shared" si="6"/>
        <v>level 0</v>
      </c>
    </row>
    <row r="445" spans="1:5" x14ac:dyDescent="0.15">
      <c r="A445" s="180">
        <v>3537</v>
      </c>
      <c r="B445" s="181" t="s">
        <v>787</v>
      </c>
      <c r="C445" s="181" t="s">
        <v>1116</v>
      </c>
      <c r="D445" s="182">
        <v>0.9</v>
      </c>
      <c r="E445" s="180" t="str">
        <f t="shared" si="6"/>
        <v>level 0</v>
      </c>
    </row>
    <row r="446" spans="1:5" x14ac:dyDescent="0.15">
      <c r="A446" s="180">
        <v>3541</v>
      </c>
      <c r="B446" s="181" t="s">
        <v>787</v>
      </c>
      <c r="C446" s="181" t="s">
        <v>1117</v>
      </c>
      <c r="D446" s="182">
        <v>0.9</v>
      </c>
      <c r="E446" s="180" t="str">
        <f t="shared" si="6"/>
        <v>level 0</v>
      </c>
    </row>
    <row r="447" spans="1:5" x14ac:dyDescent="0.15">
      <c r="A447" s="180">
        <v>3542</v>
      </c>
      <c r="B447" s="181" t="s">
        <v>787</v>
      </c>
      <c r="C447" s="181" t="s">
        <v>1118</v>
      </c>
      <c r="D447" s="182">
        <v>0.9</v>
      </c>
      <c r="E447" s="180" t="str">
        <f t="shared" si="6"/>
        <v>level 0</v>
      </c>
    </row>
    <row r="448" spans="1:5" x14ac:dyDescent="0.15">
      <c r="A448" s="180">
        <v>3543</v>
      </c>
      <c r="B448" s="181" t="s">
        <v>787</v>
      </c>
      <c r="C448" s="181" t="s">
        <v>1119</v>
      </c>
      <c r="D448" s="182">
        <v>0.9</v>
      </c>
      <c r="E448" s="180" t="str">
        <f t="shared" si="6"/>
        <v>level 0</v>
      </c>
    </row>
    <row r="449" spans="1:5" x14ac:dyDescent="0.15">
      <c r="A449" s="180">
        <v>3544</v>
      </c>
      <c r="B449" s="181" t="s">
        <v>787</v>
      </c>
      <c r="C449" s="181" t="s">
        <v>1120</v>
      </c>
      <c r="D449" s="182">
        <v>0.9</v>
      </c>
      <c r="E449" s="180" t="str">
        <f t="shared" si="6"/>
        <v>level 0</v>
      </c>
    </row>
    <row r="450" spans="1:5" x14ac:dyDescent="0.15">
      <c r="A450" s="180">
        <v>3545</v>
      </c>
      <c r="B450" s="181" t="s">
        <v>787</v>
      </c>
      <c r="C450" s="181" t="s">
        <v>1121</v>
      </c>
      <c r="D450" s="182">
        <v>0.9</v>
      </c>
      <c r="E450" s="180" t="str">
        <f t="shared" ref="E450:E513" si="7">IF(D450=0.95,"level I",IF(D450=1,"level II",IF(D450=1.05,"level III",IF(D450=1.1,"level IV",IF(D450=1.15,"level V",IF(D450=1.2,"level VI",IF(D450=0.9,"level 0","level VII")))))))</f>
        <v>level 0</v>
      </c>
    </row>
    <row r="451" spans="1:5" x14ac:dyDescent="0.15">
      <c r="A451" s="180">
        <v>3546</v>
      </c>
      <c r="B451" s="181" t="s">
        <v>787</v>
      </c>
      <c r="C451" s="181" t="s">
        <v>1122</v>
      </c>
      <c r="D451" s="182">
        <v>0.9</v>
      </c>
      <c r="E451" s="180" t="str">
        <f t="shared" si="7"/>
        <v>level 0</v>
      </c>
    </row>
    <row r="452" spans="1:5" x14ac:dyDescent="0.15">
      <c r="A452" s="180">
        <v>3547</v>
      </c>
      <c r="B452" s="181" t="s">
        <v>787</v>
      </c>
      <c r="C452" s="181" t="s">
        <v>1123</v>
      </c>
      <c r="D452" s="182">
        <v>0.9</v>
      </c>
      <c r="E452" s="180" t="str">
        <f t="shared" si="7"/>
        <v>level 0</v>
      </c>
    </row>
    <row r="453" spans="1:5" x14ac:dyDescent="0.15">
      <c r="A453" s="180">
        <v>3548</v>
      </c>
      <c r="B453" s="181" t="s">
        <v>787</v>
      </c>
      <c r="C453" s="181" t="s">
        <v>1124</v>
      </c>
      <c r="D453" s="182">
        <v>0.9</v>
      </c>
      <c r="E453" s="180" t="str">
        <f t="shared" si="7"/>
        <v>level 0</v>
      </c>
    </row>
    <row r="454" spans="1:5" x14ac:dyDescent="0.15">
      <c r="A454" s="180">
        <v>3549</v>
      </c>
      <c r="B454" s="181" t="s">
        <v>787</v>
      </c>
      <c r="C454" s="181" t="s">
        <v>1125</v>
      </c>
      <c r="D454" s="182">
        <v>0.9</v>
      </c>
      <c r="E454" s="180" t="str">
        <f t="shared" si="7"/>
        <v>level 0</v>
      </c>
    </row>
    <row r="455" spans="1:5" x14ac:dyDescent="0.15">
      <c r="A455" s="180">
        <v>3552</v>
      </c>
      <c r="B455" s="181" t="s">
        <v>787</v>
      </c>
      <c r="C455" s="181" t="s">
        <v>1126</v>
      </c>
      <c r="D455" s="182">
        <v>0.9</v>
      </c>
      <c r="E455" s="180" t="str">
        <f t="shared" si="7"/>
        <v>level 0</v>
      </c>
    </row>
    <row r="456" spans="1:5" x14ac:dyDescent="0.15">
      <c r="A456" s="180">
        <v>3553</v>
      </c>
      <c r="B456" s="181" t="s">
        <v>787</v>
      </c>
      <c r="C456" s="181" t="s">
        <v>1127</v>
      </c>
      <c r="D456" s="182">
        <v>0.9</v>
      </c>
      <c r="E456" s="180" t="str">
        <f t="shared" si="7"/>
        <v>level 0</v>
      </c>
    </row>
    <row r="457" spans="1:5" x14ac:dyDescent="0.15">
      <c r="A457" s="180">
        <v>3554</v>
      </c>
      <c r="B457" s="181" t="s">
        <v>787</v>
      </c>
      <c r="C457" s="181" t="s">
        <v>1128</v>
      </c>
      <c r="D457" s="182">
        <v>0.9</v>
      </c>
      <c r="E457" s="180" t="str">
        <f t="shared" si="7"/>
        <v>level 0</v>
      </c>
    </row>
    <row r="458" spans="1:5" x14ac:dyDescent="0.15">
      <c r="A458" s="180">
        <v>3555</v>
      </c>
      <c r="B458" s="181" t="s">
        <v>787</v>
      </c>
      <c r="C458" s="181" t="s">
        <v>1129</v>
      </c>
      <c r="D458" s="182">
        <v>0.9</v>
      </c>
      <c r="E458" s="180" t="str">
        <f t="shared" si="7"/>
        <v>level 0</v>
      </c>
    </row>
    <row r="459" spans="1:5" x14ac:dyDescent="0.15">
      <c r="A459" s="180">
        <v>3556</v>
      </c>
      <c r="B459" s="181" t="s">
        <v>787</v>
      </c>
      <c r="C459" s="181" t="s">
        <v>1130</v>
      </c>
      <c r="D459" s="182">
        <v>0.9</v>
      </c>
      <c r="E459" s="180" t="str">
        <f t="shared" si="7"/>
        <v>level 0</v>
      </c>
    </row>
    <row r="460" spans="1:5" x14ac:dyDescent="0.15">
      <c r="A460" s="180">
        <v>3559</v>
      </c>
      <c r="B460" s="181" t="s">
        <v>787</v>
      </c>
      <c r="C460" s="181" t="s">
        <v>1131</v>
      </c>
      <c r="D460" s="182">
        <v>0.9</v>
      </c>
      <c r="E460" s="180" t="str">
        <f t="shared" si="7"/>
        <v>level 0</v>
      </c>
    </row>
    <row r="461" spans="1:5" x14ac:dyDescent="0.15">
      <c r="A461" s="180">
        <v>3561</v>
      </c>
      <c r="B461" s="181" t="s">
        <v>787</v>
      </c>
      <c r="C461" s="181" t="s">
        <v>1132</v>
      </c>
      <c r="D461" s="182">
        <v>0.9</v>
      </c>
      <c r="E461" s="180" t="str">
        <f t="shared" si="7"/>
        <v>level 0</v>
      </c>
    </row>
    <row r="462" spans="1:5" x14ac:dyDescent="0.15">
      <c r="A462" s="180">
        <v>3562</v>
      </c>
      <c r="B462" s="181" t="s">
        <v>787</v>
      </c>
      <c r="C462" s="181" t="s">
        <v>1133</v>
      </c>
      <c r="D462" s="182">
        <v>0.9</v>
      </c>
      <c r="E462" s="180" t="str">
        <f t="shared" si="7"/>
        <v>level 0</v>
      </c>
    </row>
    <row r="463" spans="1:5" x14ac:dyDescent="0.15">
      <c r="A463" s="180">
        <v>3563</v>
      </c>
      <c r="B463" s="181" t="s">
        <v>787</v>
      </c>
      <c r="C463" s="181" t="s">
        <v>1134</v>
      </c>
      <c r="D463" s="182">
        <v>0.9</v>
      </c>
      <c r="E463" s="180" t="str">
        <f t="shared" si="7"/>
        <v>level 0</v>
      </c>
    </row>
    <row r="464" spans="1:5" x14ac:dyDescent="0.15">
      <c r="A464" s="180">
        <v>3564</v>
      </c>
      <c r="B464" s="181" t="s">
        <v>787</v>
      </c>
      <c r="C464" s="181" t="s">
        <v>1135</v>
      </c>
      <c r="D464" s="182">
        <v>0.9</v>
      </c>
      <c r="E464" s="180" t="str">
        <f t="shared" si="7"/>
        <v>level 0</v>
      </c>
    </row>
    <row r="465" spans="1:5" x14ac:dyDescent="0.15">
      <c r="A465" s="180">
        <v>3565</v>
      </c>
      <c r="B465" s="181" t="s">
        <v>787</v>
      </c>
      <c r="C465" s="181" t="s">
        <v>1136</v>
      </c>
      <c r="D465" s="182">
        <v>0.9</v>
      </c>
      <c r="E465" s="180" t="str">
        <f t="shared" si="7"/>
        <v>level 0</v>
      </c>
    </row>
    <row r="466" spans="1:5" x14ac:dyDescent="0.15">
      <c r="A466" s="180">
        <v>3566</v>
      </c>
      <c r="B466" s="181" t="s">
        <v>787</v>
      </c>
      <c r="C466" s="181" t="s">
        <v>1137</v>
      </c>
      <c r="D466" s="182">
        <v>0.9</v>
      </c>
      <c r="E466" s="180" t="str">
        <f t="shared" si="7"/>
        <v>level 0</v>
      </c>
    </row>
    <row r="467" spans="1:5" x14ac:dyDescent="0.15">
      <c r="A467" s="180">
        <v>3567</v>
      </c>
      <c r="B467" s="181" t="s">
        <v>787</v>
      </c>
      <c r="C467" s="181" t="s">
        <v>1138</v>
      </c>
      <c r="D467" s="182">
        <v>0.9</v>
      </c>
      <c r="E467" s="180" t="str">
        <f t="shared" si="7"/>
        <v>level 0</v>
      </c>
    </row>
    <row r="468" spans="1:5" x14ac:dyDescent="0.15">
      <c r="A468" s="180">
        <v>3568</v>
      </c>
      <c r="B468" s="181" t="s">
        <v>787</v>
      </c>
      <c r="C468" s="181" t="s">
        <v>1139</v>
      </c>
      <c r="D468" s="182">
        <v>0.9</v>
      </c>
      <c r="E468" s="180" t="str">
        <f t="shared" si="7"/>
        <v>level 0</v>
      </c>
    </row>
    <row r="469" spans="1:5" x14ac:dyDescent="0.15">
      <c r="A469" s="180">
        <v>3569</v>
      </c>
      <c r="B469" s="181" t="s">
        <v>787</v>
      </c>
      <c r="C469" s="181" t="s">
        <v>1140</v>
      </c>
      <c r="D469" s="182">
        <v>0.9</v>
      </c>
      <c r="E469" s="180" t="str">
        <f t="shared" si="7"/>
        <v>level 0</v>
      </c>
    </row>
    <row r="470" spans="1:5" x14ac:dyDescent="0.15">
      <c r="A470" s="180">
        <v>3571</v>
      </c>
      <c r="B470" s="181" t="s">
        <v>787</v>
      </c>
      <c r="C470" s="181" t="s">
        <v>1141</v>
      </c>
      <c r="D470" s="182">
        <v>0.9</v>
      </c>
      <c r="E470" s="180" t="str">
        <f t="shared" si="7"/>
        <v>level 0</v>
      </c>
    </row>
    <row r="471" spans="1:5" x14ac:dyDescent="0.15">
      <c r="A471" s="180">
        <v>3572</v>
      </c>
      <c r="B471" s="181" t="s">
        <v>787</v>
      </c>
      <c r="C471" s="181" t="s">
        <v>1142</v>
      </c>
      <c r="D471" s="182">
        <v>0.9</v>
      </c>
      <c r="E471" s="180" t="str">
        <f t="shared" si="7"/>
        <v>level 0</v>
      </c>
    </row>
    <row r="472" spans="1:5" x14ac:dyDescent="0.15">
      <c r="A472" s="180">
        <v>3575</v>
      </c>
      <c r="B472" s="181" t="s">
        <v>787</v>
      </c>
      <c r="C472" s="181" t="s">
        <v>1143</v>
      </c>
      <c r="D472" s="182">
        <v>0.9</v>
      </c>
      <c r="E472" s="180" t="str">
        <f t="shared" si="7"/>
        <v>level 0</v>
      </c>
    </row>
    <row r="473" spans="1:5" x14ac:dyDescent="0.15">
      <c r="A473" s="180">
        <v>3577</v>
      </c>
      <c r="B473" s="181" t="s">
        <v>787</v>
      </c>
      <c r="C473" s="181" t="s">
        <v>1144</v>
      </c>
      <c r="D473" s="182">
        <v>0.9</v>
      </c>
      <c r="E473" s="180" t="str">
        <f t="shared" si="7"/>
        <v>level 0</v>
      </c>
    </row>
    <row r="474" spans="1:5" x14ac:dyDescent="0.15">
      <c r="A474" s="180">
        <v>3578</v>
      </c>
      <c r="B474" s="181" t="s">
        <v>787</v>
      </c>
      <c r="C474" s="181" t="s">
        <v>1145</v>
      </c>
      <c r="D474" s="182">
        <v>0.9</v>
      </c>
      <c r="E474" s="180" t="str">
        <f t="shared" si="7"/>
        <v>level 0</v>
      </c>
    </row>
    <row r="475" spans="1:5" x14ac:dyDescent="0.15">
      <c r="A475" s="180">
        <v>3579</v>
      </c>
      <c r="B475" s="181" t="s">
        <v>787</v>
      </c>
      <c r="C475" s="181" t="s">
        <v>1146</v>
      </c>
      <c r="D475" s="182">
        <v>0.9</v>
      </c>
      <c r="E475" s="180" t="str">
        <f t="shared" si="7"/>
        <v>level 0</v>
      </c>
    </row>
    <row r="476" spans="1:5" x14ac:dyDescent="0.15">
      <c r="A476" s="180">
        <v>3581</v>
      </c>
      <c r="B476" s="181" t="s">
        <v>787</v>
      </c>
      <c r="C476" s="181" t="s">
        <v>1147</v>
      </c>
      <c r="D476" s="182">
        <v>0.9</v>
      </c>
      <c r="E476" s="180" t="str">
        <f t="shared" si="7"/>
        <v>level 0</v>
      </c>
    </row>
    <row r="477" spans="1:5" x14ac:dyDescent="0.15">
      <c r="A477" s="180">
        <v>3582</v>
      </c>
      <c r="B477" s="181" t="s">
        <v>787</v>
      </c>
      <c r="C477" s="181" t="s">
        <v>1148</v>
      </c>
      <c r="D477" s="182">
        <v>0.9</v>
      </c>
      <c r="E477" s="180" t="str">
        <f t="shared" si="7"/>
        <v>level 0</v>
      </c>
    </row>
    <row r="478" spans="1:5" x14ac:dyDescent="0.15">
      <c r="A478" s="180">
        <v>3585</v>
      </c>
      <c r="B478" s="181" t="s">
        <v>787</v>
      </c>
      <c r="C478" s="181" t="s">
        <v>1149</v>
      </c>
      <c r="D478" s="182">
        <v>0.9</v>
      </c>
      <c r="E478" s="180" t="str">
        <f t="shared" si="7"/>
        <v>level 0</v>
      </c>
    </row>
    <row r="479" spans="1:5" x14ac:dyDescent="0.15">
      <c r="A479" s="180">
        <v>3586</v>
      </c>
      <c r="B479" s="181" t="s">
        <v>787</v>
      </c>
      <c r="C479" s="181" t="s">
        <v>1150</v>
      </c>
      <c r="D479" s="182">
        <v>0.9</v>
      </c>
      <c r="E479" s="180" t="str">
        <f t="shared" si="7"/>
        <v>level 0</v>
      </c>
    </row>
    <row r="480" spans="1:5" x14ac:dyDescent="0.15">
      <c r="A480" s="180">
        <v>3589</v>
      </c>
      <c r="B480" s="181" t="s">
        <v>787</v>
      </c>
      <c r="C480" s="181" t="s">
        <v>1151</v>
      </c>
      <c r="D480" s="182">
        <v>0.9</v>
      </c>
      <c r="E480" s="180" t="str">
        <f t="shared" si="7"/>
        <v>level 0</v>
      </c>
    </row>
    <row r="481" spans="1:5" x14ac:dyDescent="0.15">
      <c r="A481" s="180">
        <v>3592</v>
      </c>
      <c r="B481" s="181" t="s">
        <v>787</v>
      </c>
      <c r="C481" s="181" t="s">
        <v>1152</v>
      </c>
      <c r="D481" s="182">
        <v>0.9</v>
      </c>
      <c r="E481" s="180" t="str">
        <f t="shared" si="7"/>
        <v>level 0</v>
      </c>
    </row>
    <row r="482" spans="1:5" x14ac:dyDescent="0.15">
      <c r="A482" s="180">
        <v>3593</v>
      </c>
      <c r="B482" s="181" t="s">
        <v>787</v>
      </c>
      <c r="C482" s="181" t="s">
        <v>1153</v>
      </c>
      <c r="D482" s="182">
        <v>0.9</v>
      </c>
      <c r="E482" s="180" t="str">
        <f t="shared" si="7"/>
        <v>level 0</v>
      </c>
    </row>
    <row r="483" spans="1:5" x14ac:dyDescent="0.15">
      <c r="A483" s="180">
        <v>3594</v>
      </c>
      <c r="B483" s="181" t="s">
        <v>787</v>
      </c>
      <c r="C483" s="181" t="s">
        <v>1154</v>
      </c>
      <c r="D483" s="182">
        <v>0.9</v>
      </c>
      <c r="E483" s="180" t="str">
        <f t="shared" si="7"/>
        <v>level 0</v>
      </c>
    </row>
    <row r="484" spans="1:5" x14ac:dyDescent="0.15">
      <c r="A484" s="180">
        <v>3596</v>
      </c>
      <c r="B484" s="181" t="s">
        <v>787</v>
      </c>
      <c r="C484" s="181" t="s">
        <v>1155</v>
      </c>
      <c r="D484" s="182">
        <v>0.9</v>
      </c>
      <c r="E484" s="180" t="str">
        <f t="shared" si="7"/>
        <v>level 0</v>
      </c>
    </row>
    <row r="485" spans="1:5" x14ac:dyDescent="0.15">
      <c r="A485" s="180">
        <v>3599</v>
      </c>
      <c r="B485" s="181" t="s">
        <v>787</v>
      </c>
      <c r="C485" s="181" t="s">
        <v>1156</v>
      </c>
      <c r="D485" s="182">
        <v>0.9</v>
      </c>
      <c r="E485" s="180" t="str">
        <f t="shared" si="7"/>
        <v>level 0</v>
      </c>
    </row>
    <row r="486" spans="1:5" x14ac:dyDescent="0.15">
      <c r="A486" s="180">
        <v>3612</v>
      </c>
      <c r="B486" s="181" t="s">
        <v>787</v>
      </c>
      <c r="C486" s="181" t="s">
        <v>1157</v>
      </c>
      <c r="D486" s="182">
        <v>0.9</v>
      </c>
      <c r="E486" s="180" t="str">
        <f t="shared" si="7"/>
        <v>level 0</v>
      </c>
    </row>
    <row r="487" spans="1:5" x14ac:dyDescent="0.15">
      <c r="A487" s="180">
        <v>3613</v>
      </c>
      <c r="B487" s="181" t="s">
        <v>787</v>
      </c>
      <c r="C487" s="181" t="s">
        <v>1158</v>
      </c>
      <c r="D487" s="182">
        <v>0.9</v>
      </c>
      <c r="E487" s="180" t="str">
        <f t="shared" si="7"/>
        <v>level 0</v>
      </c>
    </row>
    <row r="488" spans="1:5" x14ac:dyDescent="0.15">
      <c r="A488" s="180">
        <v>3621</v>
      </c>
      <c r="B488" s="181" t="s">
        <v>787</v>
      </c>
      <c r="C488" s="181" t="s">
        <v>1159</v>
      </c>
      <c r="D488" s="182">
        <v>0.9</v>
      </c>
      <c r="E488" s="180" t="str">
        <f t="shared" si="7"/>
        <v>level 0</v>
      </c>
    </row>
    <row r="489" spans="1:5" x14ac:dyDescent="0.15">
      <c r="A489" s="180">
        <v>3624</v>
      </c>
      <c r="B489" s="181" t="s">
        <v>787</v>
      </c>
      <c r="C489" s="181" t="s">
        <v>1160</v>
      </c>
      <c r="D489" s="182">
        <v>0.9</v>
      </c>
      <c r="E489" s="180" t="str">
        <f t="shared" si="7"/>
        <v>level 0</v>
      </c>
    </row>
    <row r="490" spans="1:5" x14ac:dyDescent="0.15">
      <c r="A490" s="180">
        <v>3625</v>
      </c>
      <c r="B490" s="181" t="s">
        <v>787</v>
      </c>
      <c r="C490" s="181" t="s">
        <v>1161</v>
      </c>
      <c r="D490" s="182">
        <v>0.9</v>
      </c>
      <c r="E490" s="180" t="str">
        <f t="shared" si="7"/>
        <v>level 0</v>
      </c>
    </row>
    <row r="491" spans="1:5" x14ac:dyDescent="0.15">
      <c r="A491" s="180">
        <v>3629</v>
      </c>
      <c r="B491" s="181" t="s">
        <v>787</v>
      </c>
      <c r="C491" s="181" t="s">
        <v>1162</v>
      </c>
      <c r="D491" s="182">
        <v>0.9</v>
      </c>
      <c r="E491" s="180" t="str">
        <f t="shared" si="7"/>
        <v>level 0</v>
      </c>
    </row>
    <row r="492" spans="1:5" x14ac:dyDescent="0.15">
      <c r="A492" s="180">
        <v>3631</v>
      </c>
      <c r="B492" s="181" t="s">
        <v>787</v>
      </c>
      <c r="C492" s="181" t="s">
        <v>1163</v>
      </c>
      <c r="D492" s="182">
        <v>0.9</v>
      </c>
      <c r="E492" s="180" t="str">
        <f t="shared" si="7"/>
        <v>level 0</v>
      </c>
    </row>
    <row r="493" spans="1:5" x14ac:dyDescent="0.15">
      <c r="A493" s="180">
        <v>3632</v>
      </c>
      <c r="B493" s="181" t="s">
        <v>787</v>
      </c>
      <c r="C493" s="181" t="s">
        <v>1164</v>
      </c>
      <c r="D493" s="182">
        <v>0.9</v>
      </c>
      <c r="E493" s="180" t="str">
        <f t="shared" si="7"/>
        <v>level 0</v>
      </c>
    </row>
    <row r="494" spans="1:5" x14ac:dyDescent="0.15">
      <c r="A494" s="180">
        <v>3633</v>
      </c>
      <c r="B494" s="181" t="s">
        <v>787</v>
      </c>
      <c r="C494" s="181" t="s">
        <v>1165</v>
      </c>
      <c r="D494" s="182">
        <v>0.9</v>
      </c>
      <c r="E494" s="180" t="str">
        <f t="shared" si="7"/>
        <v>level 0</v>
      </c>
    </row>
    <row r="495" spans="1:5" x14ac:dyDescent="0.15">
      <c r="A495" s="180">
        <v>3634</v>
      </c>
      <c r="B495" s="181" t="s">
        <v>787</v>
      </c>
      <c r="C495" s="181" t="s">
        <v>1166</v>
      </c>
      <c r="D495" s="182">
        <v>0.9</v>
      </c>
      <c r="E495" s="180" t="str">
        <f t="shared" si="7"/>
        <v>level 0</v>
      </c>
    </row>
    <row r="496" spans="1:5" x14ac:dyDescent="0.15">
      <c r="A496" s="180">
        <v>3635</v>
      </c>
      <c r="B496" s="181" t="s">
        <v>787</v>
      </c>
      <c r="C496" s="181" t="s">
        <v>1167</v>
      </c>
      <c r="D496" s="182">
        <v>0.9</v>
      </c>
      <c r="E496" s="180" t="str">
        <f t="shared" si="7"/>
        <v>level 0</v>
      </c>
    </row>
    <row r="497" spans="1:5" x14ac:dyDescent="0.15">
      <c r="A497" s="180">
        <v>3639</v>
      </c>
      <c r="B497" s="181" t="s">
        <v>787</v>
      </c>
      <c r="C497" s="181" t="s">
        <v>1168</v>
      </c>
      <c r="D497" s="182">
        <v>0.9</v>
      </c>
      <c r="E497" s="180" t="str">
        <f t="shared" si="7"/>
        <v>level 0</v>
      </c>
    </row>
    <row r="498" spans="1:5" x14ac:dyDescent="0.15">
      <c r="A498" s="180">
        <v>3641</v>
      </c>
      <c r="B498" s="181" t="s">
        <v>787</v>
      </c>
      <c r="C498" s="181" t="s">
        <v>1169</v>
      </c>
      <c r="D498" s="182">
        <v>0.9</v>
      </c>
      <c r="E498" s="180" t="str">
        <f t="shared" si="7"/>
        <v>level 0</v>
      </c>
    </row>
    <row r="499" spans="1:5" x14ac:dyDescent="0.15">
      <c r="A499" s="180">
        <v>3643</v>
      </c>
      <c r="B499" s="181" t="s">
        <v>787</v>
      </c>
      <c r="C499" s="181" t="s">
        <v>1170</v>
      </c>
      <c r="D499" s="182">
        <v>0.9</v>
      </c>
      <c r="E499" s="180" t="str">
        <f t="shared" si="7"/>
        <v>level 0</v>
      </c>
    </row>
    <row r="500" spans="1:5" x14ac:dyDescent="0.15">
      <c r="A500" s="180">
        <v>3644</v>
      </c>
      <c r="B500" s="181" t="s">
        <v>787</v>
      </c>
      <c r="C500" s="181" t="s">
        <v>1171</v>
      </c>
      <c r="D500" s="182">
        <v>0.9</v>
      </c>
      <c r="E500" s="180" t="str">
        <f t="shared" si="7"/>
        <v>level 0</v>
      </c>
    </row>
    <row r="501" spans="1:5" x14ac:dyDescent="0.15">
      <c r="A501" s="180">
        <v>3645</v>
      </c>
      <c r="B501" s="181" t="s">
        <v>787</v>
      </c>
      <c r="C501" s="181" t="s">
        <v>1172</v>
      </c>
      <c r="D501" s="182">
        <v>0.9</v>
      </c>
      <c r="E501" s="180" t="str">
        <f t="shared" si="7"/>
        <v>level 0</v>
      </c>
    </row>
    <row r="502" spans="1:5" x14ac:dyDescent="0.15">
      <c r="A502" s="180">
        <v>3646</v>
      </c>
      <c r="B502" s="181" t="s">
        <v>787</v>
      </c>
      <c r="C502" s="181" t="s">
        <v>1173</v>
      </c>
      <c r="D502" s="182">
        <v>0.9</v>
      </c>
      <c r="E502" s="180" t="str">
        <f t="shared" si="7"/>
        <v>level 0</v>
      </c>
    </row>
    <row r="503" spans="1:5" x14ac:dyDescent="0.15">
      <c r="A503" s="180">
        <v>3647</v>
      </c>
      <c r="B503" s="181" t="s">
        <v>787</v>
      </c>
      <c r="C503" s="181" t="s">
        <v>1174</v>
      </c>
      <c r="D503" s="182">
        <v>0.9</v>
      </c>
      <c r="E503" s="180" t="str">
        <f t="shared" si="7"/>
        <v>level 0</v>
      </c>
    </row>
    <row r="504" spans="1:5" x14ac:dyDescent="0.15">
      <c r="A504" s="180">
        <v>3648</v>
      </c>
      <c r="B504" s="181" t="s">
        <v>787</v>
      </c>
      <c r="C504" s="181" t="s">
        <v>1175</v>
      </c>
      <c r="D504" s="182">
        <v>0.9</v>
      </c>
      <c r="E504" s="180" t="str">
        <f t="shared" si="7"/>
        <v>level 0</v>
      </c>
    </row>
    <row r="505" spans="1:5" x14ac:dyDescent="0.15">
      <c r="A505" s="180">
        <v>3651</v>
      </c>
      <c r="B505" s="181" t="s">
        <v>787</v>
      </c>
      <c r="C505" s="181" t="s">
        <v>1176</v>
      </c>
      <c r="D505" s="182">
        <v>0.9</v>
      </c>
      <c r="E505" s="180" t="str">
        <f t="shared" si="7"/>
        <v>level 0</v>
      </c>
    </row>
    <row r="506" spans="1:5" x14ac:dyDescent="0.15">
      <c r="A506" s="180">
        <v>3652</v>
      </c>
      <c r="B506" s="181" t="s">
        <v>787</v>
      </c>
      <c r="C506" s="181" t="s">
        <v>1177</v>
      </c>
      <c r="D506" s="182">
        <v>0.9</v>
      </c>
      <c r="E506" s="180" t="str">
        <f t="shared" si="7"/>
        <v>level 0</v>
      </c>
    </row>
    <row r="507" spans="1:5" x14ac:dyDescent="0.15">
      <c r="A507" s="180">
        <v>3661</v>
      </c>
      <c r="B507" s="181" t="s">
        <v>787</v>
      </c>
      <c r="C507" s="181" t="s">
        <v>1178</v>
      </c>
      <c r="D507" s="182">
        <v>0.9</v>
      </c>
      <c r="E507" s="180" t="str">
        <f t="shared" si="7"/>
        <v>level 0</v>
      </c>
    </row>
    <row r="508" spans="1:5" x14ac:dyDescent="0.15">
      <c r="A508" s="180">
        <v>3663</v>
      </c>
      <c r="B508" s="181" t="s">
        <v>787</v>
      </c>
      <c r="C508" s="181" t="s">
        <v>1179</v>
      </c>
      <c r="D508" s="182">
        <v>0.9</v>
      </c>
      <c r="E508" s="180" t="str">
        <f t="shared" si="7"/>
        <v>level 0</v>
      </c>
    </row>
    <row r="509" spans="1:5" x14ac:dyDescent="0.15">
      <c r="A509" s="180">
        <v>3669</v>
      </c>
      <c r="B509" s="181" t="s">
        <v>787</v>
      </c>
      <c r="C509" s="181" t="s">
        <v>1180</v>
      </c>
      <c r="D509" s="182">
        <v>0.9</v>
      </c>
      <c r="E509" s="180" t="str">
        <f t="shared" si="7"/>
        <v>level 0</v>
      </c>
    </row>
    <row r="510" spans="1:5" x14ac:dyDescent="0.15">
      <c r="A510" s="180">
        <v>3671</v>
      </c>
      <c r="B510" s="181" t="s">
        <v>787</v>
      </c>
      <c r="C510" s="181" t="s">
        <v>1181</v>
      </c>
      <c r="D510" s="182">
        <v>0.9</v>
      </c>
      <c r="E510" s="180" t="str">
        <f t="shared" si="7"/>
        <v>level 0</v>
      </c>
    </row>
    <row r="511" spans="1:5" x14ac:dyDescent="0.15">
      <c r="A511" s="180">
        <v>3672</v>
      </c>
      <c r="B511" s="181" t="s">
        <v>787</v>
      </c>
      <c r="C511" s="181" t="s">
        <v>1182</v>
      </c>
      <c r="D511" s="182">
        <v>0.9</v>
      </c>
      <c r="E511" s="180" t="str">
        <f t="shared" si="7"/>
        <v>level 0</v>
      </c>
    </row>
    <row r="512" spans="1:5" x14ac:dyDescent="0.15">
      <c r="A512" s="180">
        <v>3674</v>
      </c>
      <c r="B512" s="181" t="s">
        <v>787</v>
      </c>
      <c r="C512" s="181" t="s">
        <v>1183</v>
      </c>
      <c r="D512" s="182">
        <v>0.9</v>
      </c>
      <c r="E512" s="180" t="str">
        <f t="shared" si="7"/>
        <v>level 0</v>
      </c>
    </row>
    <row r="513" spans="1:5" x14ac:dyDescent="0.15">
      <c r="A513" s="180">
        <v>3675</v>
      </c>
      <c r="B513" s="181" t="s">
        <v>787</v>
      </c>
      <c r="C513" s="181" t="s">
        <v>1184</v>
      </c>
      <c r="D513" s="182">
        <v>0.9</v>
      </c>
      <c r="E513" s="180" t="str">
        <f t="shared" si="7"/>
        <v>level 0</v>
      </c>
    </row>
    <row r="514" spans="1:5" x14ac:dyDescent="0.15">
      <c r="A514" s="180">
        <v>3676</v>
      </c>
      <c r="B514" s="181" t="s">
        <v>787</v>
      </c>
      <c r="C514" s="181" t="s">
        <v>1185</v>
      </c>
      <c r="D514" s="182">
        <v>0.9</v>
      </c>
      <c r="E514" s="180" t="str">
        <f t="shared" ref="E514:E577" si="8">IF(D514=0.95,"level I",IF(D514=1,"level II",IF(D514=1.05,"level III",IF(D514=1.1,"level IV",IF(D514=1.15,"level V",IF(D514=1.2,"level VI",IF(D514=0.9,"level 0","level VII")))))))</f>
        <v>level 0</v>
      </c>
    </row>
    <row r="515" spans="1:5" x14ac:dyDescent="0.15">
      <c r="A515" s="180">
        <v>3677</v>
      </c>
      <c r="B515" s="181" t="s">
        <v>787</v>
      </c>
      <c r="C515" s="181" t="s">
        <v>1186</v>
      </c>
      <c r="D515" s="182">
        <v>0.9</v>
      </c>
      <c r="E515" s="180" t="str">
        <f t="shared" si="8"/>
        <v>level 0</v>
      </c>
    </row>
    <row r="516" spans="1:5" x14ac:dyDescent="0.15">
      <c r="A516" s="180">
        <v>3678</v>
      </c>
      <c r="B516" s="181" t="s">
        <v>787</v>
      </c>
      <c r="C516" s="181" t="s">
        <v>1187</v>
      </c>
      <c r="D516" s="182">
        <v>0.9</v>
      </c>
      <c r="E516" s="180" t="str">
        <f t="shared" si="8"/>
        <v>level 0</v>
      </c>
    </row>
    <row r="517" spans="1:5" x14ac:dyDescent="0.15">
      <c r="A517" s="180">
        <v>3679</v>
      </c>
      <c r="B517" s="181" t="s">
        <v>787</v>
      </c>
      <c r="C517" s="181" t="s">
        <v>1188</v>
      </c>
      <c r="D517" s="182">
        <v>0.9</v>
      </c>
      <c r="E517" s="180" t="str">
        <f t="shared" si="8"/>
        <v>level 0</v>
      </c>
    </row>
    <row r="518" spans="1:5" x14ac:dyDescent="0.15">
      <c r="A518" s="180">
        <v>3691</v>
      </c>
      <c r="B518" s="181" t="s">
        <v>787</v>
      </c>
      <c r="C518" s="181" t="s">
        <v>1189</v>
      </c>
      <c r="D518" s="182">
        <v>0.9</v>
      </c>
      <c r="E518" s="180" t="str">
        <f t="shared" si="8"/>
        <v>level 0</v>
      </c>
    </row>
    <row r="519" spans="1:5" x14ac:dyDescent="0.15">
      <c r="A519" s="180">
        <v>3692</v>
      </c>
      <c r="B519" s="181" t="s">
        <v>787</v>
      </c>
      <c r="C519" s="181" t="s">
        <v>1190</v>
      </c>
      <c r="D519" s="182">
        <v>0.9</v>
      </c>
      <c r="E519" s="180" t="str">
        <f t="shared" si="8"/>
        <v>level 0</v>
      </c>
    </row>
    <row r="520" spans="1:5" x14ac:dyDescent="0.15">
      <c r="A520" s="180">
        <v>3694</v>
      </c>
      <c r="B520" s="181" t="s">
        <v>787</v>
      </c>
      <c r="C520" s="181" t="s">
        <v>1191</v>
      </c>
      <c r="D520" s="182">
        <v>0.9</v>
      </c>
      <c r="E520" s="180" t="str">
        <f t="shared" si="8"/>
        <v>level 0</v>
      </c>
    </row>
    <row r="521" spans="1:5" x14ac:dyDescent="0.15">
      <c r="A521" s="180">
        <v>3695</v>
      </c>
      <c r="B521" s="181" t="s">
        <v>787</v>
      </c>
      <c r="C521" s="181" t="s">
        <v>1192</v>
      </c>
      <c r="D521" s="182">
        <v>0.9</v>
      </c>
      <c r="E521" s="180" t="str">
        <f t="shared" si="8"/>
        <v>level 0</v>
      </c>
    </row>
    <row r="522" spans="1:5" x14ac:dyDescent="0.15">
      <c r="A522" s="180">
        <v>3699</v>
      </c>
      <c r="B522" s="181" t="s">
        <v>787</v>
      </c>
      <c r="C522" s="181" t="s">
        <v>1193</v>
      </c>
      <c r="D522" s="182">
        <v>0.9</v>
      </c>
      <c r="E522" s="180" t="str">
        <f t="shared" si="8"/>
        <v>level 0</v>
      </c>
    </row>
    <row r="523" spans="1:5" x14ac:dyDescent="0.15">
      <c r="A523" s="180">
        <v>3711</v>
      </c>
      <c r="B523" s="181" t="s">
        <v>787</v>
      </c>
      <c r="C523" s="181" t="s">
        <v>1194</v>
      </c>
      <c r="D523" s="182">
        <v>0.95</v>
      </c>
      <c r="E523" s="180" t="str">
        <f t="shared" si="8"/>
        <v>level I</v>
      </c>
    </row>
    <row r="524" spans="1:5" x14ac:dyDescent="0.15">
      <c r="A524" s="180">
        <v>3713</v>
      </c>
      <c r="B524" s="181" t="s">
        <v>787</v>
      </c>
      <c r="C524" s="181" t="s">
        <v>1195</v>
      </c>
      <c r="D524" s="182">
        <v>0.95</v>
      </c>
      <c r="E524" s="180" t="str">
        <f t="shared" si="8"/>
        <v>level I</v>
      </c>
    </row>
    <row r="525" spans="1:5" x14ac:dyDescent="0.15">
      <c r="A525" s="180">
        <v>3714</v>
      </c>
      <c r="B525" s="181" t="s">
        <v>787</v>
      </c>
      <c r="C525" s="181" t="s">
        <v>1196</v>
      </c>
      <c r="D525" s="182">
        <v>0.95</v>
      </c>
      <c r="E525" s="180" t="str">
        <f t="shared" si="8"/>
        <v>level I</v>
      </c>
    </row>
    <row r="526" spans="1:5" x14ac:dyDescent="0.15">
      <c r="A526" s="180">
        <v>3715</v>
      </c>
      <c r="B526" s="181" t="s">
        <v>787</v>
      </c>
      <c r="C526" s="181" t="s">
        <v>1197</v>
      </c>
      <c r="D526" s="182">
        <v>0.95</v>
      </c>
      <c r="E526" s="180" t="str">
        <f t="shared" si="8"/>
        <v>level I</v>
      </c>
    </row>
    <row r="527" spans="1:5" x14ac:dyDescent="0.15">
      <c r="A527" s="180">
        <v>3716</v>
      </c>
      <c r="B527" s="181" t="s">
        <v>787</v>
      </c>
      <c r="C527" s="181" t="s">
        <v>1198</v>
      </c>
      <c r="D527" s="182">
        <v>0.95</v>
      </c>
      <c r="E527" s="180" t="str">
        <f t="shared" si="8"/>
        <v>level I</v>
      </c>
    </row>
    <row r="528" spans="1:5" x14ac:dyDescent="0.15">
      <c r="A528" s="180">
        <v>3721</v>
      </c>
      <c r="B528" s="181" t="s">
        <v>787</v>
      </c>
      <c r="C528" s="181" t="s">
        <v>1199</v>
      </c>
      <c r="D528" s="182">
        <v>0.95</v>
      </c>
      <c r="E528" s="180" t="str">
        <f t="shared" si="8"/>
        <v>level I</v>
      </c>
    </row>
    <row r="529" spans="1:5" x14ac:dyDescent="0.15">
      <c r="A529" s="180">
        <v>3724</v>
      </c>
      <c r="B529" s="181" t="s">
        <v>787</v>
      </c>
      <c r="C529" s="181" t="s">
        <v>1200</v>
      </c>
      <c r="D529" s="182">
        <v>0.95</v>
      </c>
      <c r="E529" s="180" t="str">
        <f t="shared" si="8"/>
        <v>level I</v>
      </c>
    </row>
    <row r="530" spans="1:5" x14ac:dyDescent="0.15">
      <c r="A530" s="180">
        <v>3728</v>
      </c>
      <c r="B530" s="181" t="s">
        <v>787</v>
      </c>
      <c r="C530" s="181" t="s">
        <v>1201</v>
      </c>
      <c r="D530" s="182">
        <v>0.95</v>
      </c>
      <c r="E530" s="180" t="str">
        <f t="shared" si="8"/>
        <v>level I</v>
      </c>
    </row>
    <row r="531" spans="1:5" x14ac:dyDescent="0.15">
      <c r="A531" s="180">
        <v>3731</v>
      </c>
      <c r="B531" s="181" t="s">
        <v>787</v>
      </c>
      <c r="C531" s="181" t="s">
        <v>1202</v>
      </c>
      <c r="D531" s="182">
        <v>0.95</v>
      </c>
      <c r="E531" s="180" t="str">
        <f t="shared" si="8"/>
        <v>level I</v>
      </c>
    </row>
    <row r="532" spans="1:5" x14ac:dyDescent="0.15">
      <c r="A532" s="180">
        <v>3732</v>
      </c>
      <c r="B532" s="181" t="s">
        <v>787</v>
      </c>
      <c r="C532" s="181" t="s">
        <v>1203</v>
      </c>
      <c r="D532" s="182">
        <v>0.95</v>
      </c>
      <c r="E532" s="180" t="str">
        <f t="shared" si="8"/>
        <v>level I</v>
      </c>
    </row>
    <row r="533" spans="1:5" x14ac:dyDescent="0.15">
      <c r="A533" s="180">
        <v>3743</v>
      </c>
      <c r="B533" s="181" t="s">
        <v>787</v>
      </c>
      <c r="C533" s="181" t="s">
        <v>1204</v>
      </c>
      <c r="D533" s="182">
        <v>0.95</v>
      </c>
      <c r="E533" s="180" t="str">
        <f t="shared" si="8"/>
        <v>level I</v>
      </c>
    </row>
    <row r="534" spans="1:5" x14ac:dyDescent="0.15">
      <c r="A534" s="180">
        <v>3751</v>
      </c>
      <c r="B534" s="181" t="s">
        <v>787</v>
      </c>
      <c r="C534" s="181" t="s">
        <v>1205</v>
      </c>
      <c r="D534" s="182">
        <v>0.95</v>
      </c>
      <c r="E534" s="180" t="str">
        <f t="shared" si="8"/>
        <v>level I</v>
      </c>
    </row>
    <row r="535" spans="1:5" x14ac:dyDescent="0.15">
      <c r="A535" s="180">
        <v>3761</v>
      </c>
      <c r="B535" s="181" t="s">
        <v>787</v>
      </c>
      <c r="C535" s="181" t="s">
        <v>1206</v>
      </c>
      <c r="D535" s="182">
        <v>0.95</v>
      </c>
      <c r="E535" s="180" t="str">
        <f t="shared" si="8"/>
        <v>level I</v>
      </c>
    </row>
    <row r="536" spans="1:5" x14ac:dyDescent="0.15">
      <c r="A536" s="180">
        <v>3764</v>
      </c>
      <c r="B536" s="181" t="s">
        <v>787</v>
      </c>
      <c r="C536" s="181" t="s">
        <v>1207</v>
      </c>
      <c r="D536" s="182">
        <v>0.95</v>
      </c>
      <c r="E536" s="180" t="str">
        <f t="shared" si="8"/>
        <v>level I</v>
      </c>
    </row>
    <row r="537" spans="1:5" x14ac:dyDescent="0.15">
      <c r="A537" s="180">
        <v>3769</v>
      </c>
      <c r="B537" s="181" t="s">
        <v>787</v>
      </c>
      <c r="C537" s="181" t="s">
        <v>1208</v>
      </c>
      <c r="D537" s="182">
        <v>0.95</v>
      </c>
      <c r="E537" s="180" t="str">
        <f t="shared" si="8"/>
        <v>level I</v>
      </c>
    </row>
    <row r="538" spans="1:5" x14ac:dyDescent="0.15">
      <c r="A538" s="180">
        <v>3792</v>
      </c>
      <c r="B538" s="181" t="s">
        <v>787</v>
      </c>
      <c r="C538" s="181" t="s">
        <v>1209</v>
      </c>
      <c r="D538" s="182">
        <v>0.95</v>
      </c>
      <c r="E538" s="180" t="str">
        <f t="shared" si="8"/>
        <v>level I</v>
      </c>
    </row>
    <row r="539" spans="1:5" x14ac:dyDescent="0.15">
      <c r="A539" s="180">
        <v>3795</v>
      </c>
      <c r="B539" s="181" t="s">
        <v>787</v>
      </c>
      <c r="C539" s="181" t="s">
        <v>1210</v>
      </c>
      <c r="D539" s="182">
        <v>0.95</v>
      </c>
      <c r="E539" s="180" t="str">
        <f t="shared" si="8"/>
        <v>level I</v>
      </c>
    </row>
    <row r="540" spans="1:5" x14ac:dyDescent="0.15">
      <c r="A540" s="180">
        <v>3799</v>
      </c>
      <c r="B540" s="181" t="s">
        <v>787</v>
      </c>
      <c r="C540" s="181" t="s">
        <v>1211</v>
      </c>
      <c r="D540" s="182">
        <v>0.95</v>
      </c>
      <c r="E540" s="180" t="str">
        <f t="shared" si="8"/>
        <v>level I</v>
      </c>
    </row>
    <row r="541" spans="1:5" x14ac:dyDescent="0.15">
      <c r="A541" s="180">
        <v>3812</v>
      </c>
      <c r="B541" s="181" t="s">
        <v>787</v>
      </c>
      <c r="C541" s="181" t="s">
        <v>1212</v>
      </c>
      <c r="D541" s="182">
        <v>0.95</v>
      </c>
      <c r="E541" s="180" t="str">
        <f t="shared" si="8"/>
        <v>level I</v>
      </c>
    </row>
    <row r="542" spans="1:5" x14ac:dyDescent="0.15">
      <c r="A542" s="180">
        <v>3821</v>
      </c>
      <c r="B542" s="181" t="s">
        <v>787</v>
      </c>
      <c r="C542" s="181" t="s">
        <v>1213</v>
      </c>
      <c r="D542" s="182">
        <v>0.95</v>
      </c>
      <c r="E542" s="180" t="str">
        <f t="shared" si="8"/>
        <v>level I</v>
      </c>
    </row>
    <row r="543" spans="1:5" x14ac:dyDescent="0.15">
      <c r="A543" s="180">
        <v>3822</v>
      </c>
      <c r="B543" s="181" t="s">
        <v>787</v>
      </c>
      <c r="C543" s="181" t="s">
        <v>1214</v>
      </c>
      <c r="D543" s="182">
        <v>0.95</v>
      </c>
      <c r="E543" s="180" t="str">
        <f t="shared" si="8"/>
        <v>level I</v>
      </c>
    </row>
    <row r="544" spans="1:5" x14ac:dyDescent="0.15">
      <c r="A544" s="180">
        <v>3823</v>
      </c>
      <c r="B544" s="181" t="s">
        <v>787</v>
      </c>
      <c r="C544" s="181" t="s">
        <v>1215</v>
      </c>
      <c r="D544" s="182">
        <v>0.95</v>
      </c>
      <c r="E544" s="180" t="str">
        <f t="shared" si="8"/>
        <v>level I</v>
      </c>
    </row>
    <row r="545" spans="1:5" x14ac:dyDescent="0.15">
      <c r="A545" s="180">
        <v>3824</v>
      </c>
      <c r="B545" s="181" t="s">
        <v>787</v>
      </c>
      <c r="C545" s="181" t="s">
        <v>1216</v>
      </c>
      <c r="D545" s="182">
        <v>0.95</v>
      </c>
      <c r="E545" s="180" t="str">
        <f t="shared" si="8"/>
        <v>level I</v>
      </c>
    </row>
    <row r="546" spans="1:5" x14ac:dyDescent="0.15">
      <c r="A546" s="180">
        <v>3825</v>
      </c>
      <c r="B546" s="181" t="s">
        <v>787</v>
      </c>
      <c r="C546" s="181" t="s">
        <v>1217</v>
      </c>
      <c r="D546" s="182">
        <v>0.95</v>
      </c>
      <c r="E546" s="180" t="str">
        <f t="shared" si="8"/>
        <v>level I</v>
      </c>
    </row>
    <row r="547" spans="1:5" x14ac:dyDescent="0.15">
      <c r="A547" s="180">
        <v>3826</v>
      </c>
      <c r="B547" s="181" t="s">
        <v>787</v>
      </c>
      <c r="C547" s="181" t="s">
        <v>1218</v>
      </c>
      <c r="D547" s="182">
        <v>0.95</v>
      </c>
      <c r="E547" s="180" t="str">
        <f t="shared" si="8"/>
        <v>level I</v>
      </c>
    </row>
    <row r="548" spans="1:5" x14ac:dyDescent="0.15">
      <c r="A548" s="180">
        <v>3827</v>
      </c>
      <c r="B548" s="181" t="s">
        <v>787</v>
      </c>
      <c r="C548" s="181" t="s">
        <v>1219</v>
      </c>
      <c r="D548" s="182">
        <v>0.95</v>
      </c>
      <c r="E548" s="180" t="str">
        <f t="shared" si="8"/>
        <v>level I</v>
      </c>
    </row>
    <row r="549" spans="1:5" x14ac:dyDescent="0.15">
      <c r="A549" s="180">
        <v>3829</v>
      </c>
      <c r="B549" s="181" t="s">
        <v>787</v>
      </c>
      <c r="C549" s="181" t="s">
        <v>1220</v>
      </c>
      <c r="D549" s="182">
        <v>0.95</v>
      </c>
      <c r="E549" s="180" t="str">
        <f t="shared" si="8"/>
        <v>level I</v>
      </c>
    </row>
    <row r="550" spans="1:5" x14ac:dyDescent="0.15">
      <c r="A550" s="180">
        <v>3841</v>
      </c>
      <c r="B550" s="181" t="s">
        <v>787</v>
      </c>
      <c r="C550" s="181" t="s">
        <v>1221</v>
      </c>
      <c r="D550" s="182">
        <v>0.95</v>
      </c>
      <c r="E550" s="180" t="str">
        <f t="shared" si="8"/>
        <v>level I</v>
      </c>
    </row>
    <row r="551" spans="1:5" x14ac:dyDescent="0.15">
      <c r="A551" s="180">
        <v>3842</v>
      </c>
      <c r="B551" s="181" t="s">
        <v>787</v>
      </c>
      <c r="C551" s="181" t="s">
        <v>1222</v>
      </c>
      <c r="D551" s="182">
        <v>0.95</v>
      </c>
      <c r="E551" s="180" t="str">
        <f t="shared" si="8"/>
        <v>level I</v>
      </c>
    </row>
    <row r="552" spans="1:5" x14ac:dyDescent="0.15">
      <c r="A552" s="180">
        <v>3843</v>
      </c>
      <c r="B552" s="181" t="s">
        <v>787</v>
      </c>
      <c r="C552" s="181" t="s">
        <v>1223</v>
      </c>
      <c r="D552" s="182">
        <v>0.95</v>
      </c>
      <c r="E552" s="180" t="str">
        <f t="shared" si="8"/>
        <v>level I</v>
      </c>
    </row>
    <row r="553" spans="1:5" x14ac:dyDescent="0.15">
      <c r="A553" s="180">
        <v>3844</v>
      </c>
      <c r="B553" s="181" t="s">
        <v>787</v>
      </c>
      <c r="C553" s="181" t="s">
        <v>1224</v>
      </c>
      <c r="D553" s="182">
        <v>0.95</v>
      </c>
      <c r="E553" s="180" t="str">
        <f t="shared" si="8"/>
        <v>level I</v>
      </c>
    </row>
    <row r="554" spans="1:5" x14ac:dyDescent="0.15">
      <c r="A554" s="180">
        <v>3845</v>
      </c>
      <c r="B554" s="181" t="s">
        <v>787</v>
      </c>
      <c r="C554" s="181" t="s">
        <v>1225</v>
      </c>
      <c r="D554" s="182">
        <v>0.95</v>
      </c>
      <c r="E554" s="180" t="str">
        <f t="shared" si="8"/>
        <v>level I</v>
      </c>
    </row>
    <row r="555" spans="1:5" x14ac:dyDescent="0.15">
      <c r="A555" s="180">
        <v>3851</v>
      </c>
      <c r="B555" s="181" t="s">
        <v>787</v>
      </c>
      <c r="C555" s="181" t="s">
        <v>1226</v>
      </c>
      <c r="D555" s="182">
        <v>0.95</v>
      </c>
      <c r="E555" s="180" t="str">
        <f t="shared" si="8"/>
        <v>level I</v>
      </c>
    </row>
    <row r="556" spans="1:5" x14ac:dyDescent="0.15">
      <c r="A556" s="180">
        <v>3861</v>
      </c>
      <c r="B556" s="181" t="s">
        <v>787</v>
      </c>
      <c r="C556" s="181" t="s">
        <v>1227</v>
      </c>
      <c r="D556" s="182">
        <v>0.95</v>
      </c>
      <c r="E556" s="180" t="str">
        <f t="shared" si="8"/>
        <v>level I</v>
      </c>
    </row>
    <row r="557" spans="1:5" x14ac:dyDescent="0.15">
      <c r="A557" s="180">
        <v>3873</v>
      </c>
      <c r="B557" s="181" t="s">
        <v>787</v>
      </c>
      <c r="C557" s="181" t="s">
        <v>1228</v>
      </c>
      <c r="D557" s="182">
        <v>0.95</v>
      </c>
      <c r="E557" s="180" t="str">
        <f t="shared" si="8"/>
        <v>level I</v>
      </c>
    </row>
    <row r="558" spans="1:5" x14ac:dyDescent="0.15">
      <c r="A558" s="180">
        <v>3911</v>
      </c>
      <c r="B558" s="181" t="s">
        <v>787</v>
      </c>
      <c r="C558" s="181" t="s">
        <v>1229</v>
      </c>
      <c r="D558" s="182">
        <v>0.95</v>
      </c>
      <c r="E558" s="180" t="str">
        <f t="shared" si="8"/>
        <v>level I</v>
      </c>
    </row>
    <row r="559" spans="1:5" x14ac:dyDescent="0.15">
      <c r="A559" s="180">
        <v>3914</v>
      </c>
      <c r="B559" s="181" t="s">
        <v>787</v>
      </c>
      <c r="C559" s="181" t="s">
        <v>1230</v>
      </c>
      <c r="D559" s="182">
        <v>0.95</v>
      </c>
      <c r="E559" s="180" t="str">
        <f t="shared" si="8"/>
        <v>level I</v>
      </c>
    </row>
    <row r="560" spans="1:5" x14ac:dyDescent="0.15">
      <c r="A560" s="180">
        <v>3915</v>
      </c>
      <c r="B560" s="181" t="s">
        <v>787</v>
      </c>
      <c r="C560" s="181" t="s">
        <v>1231</v>
      </c>
      <c r="D560" s="182">
        <v>0.95</v>
      </c>
      <c r="E560" s="180" t="str">
        <f t="shared" si="8"/>
        <v>level I</v>
      </c>
    </row>
    <row r="561" spans="1:5" x14ac:dyDescent="0.15">
      <c r="A561" s="180">
        <v>3931</v>
      </c>
      <c r="B561" s="181" t="s">
        <v>787</v>
      </c>
      <c r="C561" s="181" t="s">
        <v>1232</v>
      </c>
      <c r="D561" s="182">
        <v>0.95</v>
      </c>
      <c r="E561" s="180" t="str">
        <f t="shared" si="8"/>
        <v>level I</v>
      </c>
    </row>
    <row r="562" spans="1:5" x14ac:dyDescent="0.15">
      <c r="A562" s="180">
        <v>3942</v>
      </c>
      <c r="B562" s="181" t="s">
        <v>787</v>
      </c>
      <c r="C562" s="181" t="s">
        <v>1233</v>
      </c>
      <c r="D562" s="182">
        <v>0.95</v>
      </c>
      <c r="E562" s="180" t="str">
        <f t="shared" si="8"/>
        <v>level I</v>
      </c>
    </row>
    <row r="563" spans="1:5" x14ac:dyDescent="0.15">
      <c r="A563" s="180">
        <v>3944</v>
      </c>
      <c r="B563" s="181" t="s">
        <v>787</v>
      </c>
      <c r="C563" s="181" t="s">
        <v>1234</v>
      </c>
      <c r="D563" s="182">
        <v>0.95</v>
      </c>
      <c r="E563" s="180" t="str">
        <f t="shared" si="8"/>
        <v>level I</v>
      </c>
    </row>
    <row r="564" spans="1:5" x14ac:dyDescent="0.15">
      <c r="A564" s="180">
        <v>3949</v>
      </c>
      <c r="B564" s="181" t="s">
        <v>787</v>
      </c>
      <c r="C564" s="181" t="s">
        <v>1235</v>
      </c>
      <c r="D564" s="182">
        <v>0.95</v>
      </c>
      <c r="E564" s="180" t="str">
        <f t="shared" si="8"/>
        <v>level I</v>
      </c>
    </row>
    <row r="565" spans="1:5" x14ac:dyDescent="0.15">
      <c r="A565" s="180">
        <v>3951</v>
      </c>
      <c r="B565" s="181" t="s">
        <v>787</v>
      </c>
      <c r="C565" s="181" t="s">
        <v>1236</v>
      </c>
      <c r="D565" s="182">
        <v>0.95</v>
      </c>
      <c r="E565" s="180" t="str">
        <f t="shared" si="8"/>
        <v>level I</v>
      </c>
    </row>
    <row r="566" spans="1:5" x14ac:dyDescent="0.15">
      <c r="A566" s="180">
        <v>3952</v>
      </c>
      <c r="B566" s="181" t="s">
        <v>787</v>
      </c>
      <c r="C566" s="181" t="s">
        <v>1237</v>
      </c>
      <c r="D566" s="182">
        <v>0.95</v>
      </c>
      <c r="E566" s="180" t="str">
        <f t="shared" si="8"/>
        <v>level I</v>
      </c>
    </row>
    <row r="567" spans="1:5" x14ac:dyDescent="0.15">
      <c r="A567" s="180">
        <v>3953</v>
      </c>
      <c r="B567" s="181" t="s">
        <v>787</v>
      </c>
      <c r="C567" s="181" t="s">
        <v>1238</v>
      </c>
      <c r="D567" s="182">
        <v>0.95</v>
      </c>
      <c r="E567" s="180" t="str">
        <f t="shared" si="8"/>
        <v>level I</v>
      </c>
    </row>
    <row r="568" spans="1:5" x14ac:dyDescent="0.15">
      <c r="A568" s="180">
        <v>3955</v>
      </c>
      <c r="B568" s="181" t="s">
        <v>787</v>
      </c>
      <c r="C568" s="181" t="s">
        <v>1239</v>
      </c>
      <c r="D568" s="182">
        <v>0.95</v>
      </c>
      <c r="E568" s="180" t="str">
        <f t="shared" si="8"/>
        <v>level I</v>
      </c>
    </row>
    <row r="569" spans="1:5" x14ac:dyDescent="0.15">
      <c r="A569" s="180">
        <v>3961</v>
      </c>
      <c r="B569" s="181" t="s">
        <v>787</v>
      </c>
      <c r="C569" s="181" t="s">
        <v>1240</v>
      </c>
      <c r="D569" s="182">
        <v>0.95</v>
      </c>
      <c r="E569" s="180" t="str">
        <f t="shared" si="8"/>
        <v>level I</v>
      </c>
    </row>
    <row r="570" spans="1:5" x14ac:dyDescent="0.15">
      <c r="A570" s="180">
        <v>3965</v>
      </c>
      <c r="B570" s="181" t="s">
        <v>787</v>
      </c>
      <c r="C570" s="181" t="s">
        <v>1241</v>
      </c>
      <c r="D570" s="182">
        <v>0.95</v>
      </c>
      <c r="E570" s="180" t="str">
        <f t="shared" si="8"/>
        <v>level I</v>
      </c>
    </row>
    <row r="571" spans="1:5" x14ac:dyDescent="0.15">
      <c r="A571" s="180">
        <v>3991</v>
      </c>
      <c r="B571" s="181" t="s">
        <v>787</v>
      </c>
      <c r="C571" s="181" t="s">
        <v>1242</v>
      </c>
      <c r="D571" s="182">
        <v>0.95</v>
      </c>
      <c r="E571" s="180" t="str">
        <f t="shared" si="8"/>
        <v>level I</v>
      </c>
    </row>
    <row r="572" spans="1:5" x14ac:dyDescent="0.15">
      <c r="A572" s="180">
        <v>3993</v>
      </c>
      <c r="B572" s="181" t="s">
        <v>787</v>
      </c>
      <c r="C572" s="181" t="s">
        <v>1243</v>
      </c>
      <c r="D572" s="182">
        <v>0.95</v>
      </c>
      <c r="E572" s="180" t="str">
        <f t="shared" si="8"/>
        <v>level I</v>
      </c>
    </row>
    <row r="573" spans="1:5" x14ac:dyDescent="0.15">
      <c r="A573" s="180">
        <v>3995</v>
      </c>
      <c r="B573" s="181" t="s">
        <v>787</v>
      </c>
      <c r="C573" s="181" t="s">
        <v>1244</v>
      </c>
      <c r="D573" s="182">
        <v>0.95</v>
      </c>
      <c r="E573" s="180" t="str">
        <f t="shared" si="8"/>
        <v>level I</v>
      </c>
    </row>
    <row r="574" spans="1:5" x14ac:dyDescent="0.15">
      <c r="A574" s="180">
        <v>3996</v>
      </c>
      <c r="B574" s="181" t="s">
        <v>787</v>
      </c>
      <c r="C574" s="181" t="s">
        <v>1245</v>
      </c>
      <c r="D574" s="182">
        <v>0.95</v>
      </c>
      <c r="E574" s="180" t="str">
        <f t="shared" si="8"/>
        <v>level I</v>
      </c>
    </row>
    <row r="575" spans="1:5" x14ac:dyDescent="0.15">
      <c r="A575" s="180">
        <v>3999</v>
      </c>
      <c r="B575" s="181" t="s">
        <v>787</v>
      </c>
      <c r="C575" s="181" t="s">
        <v>1246</v>
      </c>
      <c r="D575" s="182">
        <v>0.95</v>
      </c>
      <c r="E575" s="180" t="str">
        <f t="shared" si="8"/>
        <v>level I</v>
      </c>
    </row>
    <row r="576" spans="1:5" x14ac:dyDescent="0.15">
      <c r="A576" s="180">
        <v>4011</v>
      </c>
      <c r="B576" s="181" t="s">
        <v>1247</v>
      </c>
      <c r="C576" s="181" t="s">
        <v>1248</v>
      </c>
      <c r="D576" s="182">
        <v>1.1000000000000001</v>
      </c>
      <c r="E576" s="180" t="str">
        <f t="shared" si="8"/>
        <v>level IV</v>
      </c>
    </row>
    <row r="577" spans="1:5" x14ac:dyDescent="0.15">
      <c r="A577" s="180">
        <v>4013</v>
      </c>
      <c r="B577" s="181" t="s">
        <v>1247</v>
      </c>
      <c r="C577" s="181" t="s">
        <v>1249</v>
      </c>
      <c r="D577" s="182">
        <v>1.1000000000000001</v>
      </c>
      <c r="E577" s="180" t="str">
        <f t="shared" si="8"/>
        <v>level IV</v>
      </c>
    </row>
    <row r="578" spans="1:5" x14ac:dyDescent="0.15">
      <c r="A578" s="180">
        <v>4111</v>
      </c>
      <c r="B578" s="181" t="s">
        <v>1247</v>
      </c>
      <c r="C578" s="181" t="s">
        <v>1250</v>
      </c>
      <c r="D578" s="182">
        <v>1.05</v>
      </c>
      <c r="E578" s="180" t="str">
        <f t="shared" ref="E578:E641" si="9">IF(D578=0.95,"level I",IF(D578=1,"level II",IF(D578=1.05,"level III",IF(D578=1.1,"level IV",IF(D578=1.15,"level V",IF(D578=1.2,"level VI",IF(D578=0.9,"level 0","level VII")))))))</f>
        <v>level III</v>
      </c>
    </row>
    <row r="579" spans="1:5" x14ac:dyDescent="0.15">
      <c r="A579" s="180">
        <v>4119</v>
      </c>
      <c r="B579" s="181" t="s">
        <v>1247</v>
      </c>
      <c r="C579" s="181" t="s">
        <v>1251</v>
      </c>
      <c r="D579" s="182">
        <v>1.05</v>
      </c>
      <c r="E579" s="180" t="str">
        <f t="shared" si="9"/>
        <v>level III</v>
      </c>
    </row>
    <row r="580" spans="1:5" x14ac:dyDescent="0.15">
      <c r="A580" s="180">
        <v>4121</v>
      </c>
      <c r="B580" s="181" t="s">
        <v>1247</v>
      </c>
      <c r="C580" s="181" t="s">
        <v>1252</v>
      </c>
      <c r="D580" s="182">
        <v>1.05</v>
      </c>
      <c r="E580" s="180" t="str">
        <f t="shared" si="9"/>
        <v>level III</v>
      </c>
    </row>
    <row r="581" spans="1:5" x14ac:dyDescent="0.15">
      <c r="A581" s="180">
        <v>4131</v>
      </c>
      <c r="B581" s="181" t="s">
        <v>1247</v>
      </c>
      <c r="C581" s="181" t="s">
        <v>1253</v>
      </c>
      <c r="D581" s="182">
        <v>1.1000000000000001</v>
      </c>
      <c r="E581" s="180" t="str">
        <f t="shared" si="9"/>
        <v>level IV</v>
      </c>
    </row>
    <row r="582" spans="1:5" x14ac:dyDescent="0.15">
      <c r="A582" s="180">
        <v>4141</v>
      </c>
      <c r="B582" s="181" t="s">
        <v>1247</v>
      </c>
      <c r="C582" s="181" t="s">
        <v>1254</v>
      </c>
      <c r="D582" s="182">
        <v>1.1000000000000001</v>
      </c>
      <c r="E582" s="180" t="str">
        <f t="shared" si="9"/>
        <v>level IV</v>
      </c>
    </row>
    <row r="583" spans="1:5" x14ac:dyDescent="0.15">
      <c r="A583" s="180">
        <v>4142</v>
      </c>
      <c r="B583" s="181" t="s">
        <v>1247</v>
      </c>
      <c r="C583" s="181" t="s">
        <v>1255</v>
      </c>
      <c r="D583" s="182">
        <v>1.1000000000000001</v>
      </c>
      <c r="E583" s="180" t="str">
        <f t="shared" si="9"/>
        <v>level IV</v>
      </c>
    </row>
    <row r="584" spans="1:5" x14ac:dyDescent="0.15">
      <c r="A584" s="180">
        <v>4151</v>
      </c>
      <c r="B584" s="181" t="s">
        <v>1247</v>
      </c>
      <c r="C584" s="181" t="s">
        <v>1256</v>
      </c>
      <c r="D584" s="182">
        <v>1.1000000000000001</v>
      </c>
      <c r="E584" s="180" t="str">
        <f t="shared" si="9"/>
        <v>level IV</v>
      </c>
    </row>
    <row r="585" spans="1:5" x14ac:dyDescent="0.15">
      <c r="A585" s="180">
        <v>4173</v>
      </c>
      <c r="B585" s="181" t="s">
        <v>1247</v>
      </c>
      <c r="C585" s="181" t="s">
        <v>1257</v>
      </c>
      <c r="D585" s="182">
        <v>1.1000000000000001</v>
      </c>
      <c r="E585" s="180" t="str">
        <f t="shared" si="9"/>
        <v>level IV</v>
      </c>
    </row>
    <row r="586" spans="1:5" x14ac:dyDescent="0.15">
      <c r="A586" s="180">
        <v>4212</v>
      </c>
      <c r="B586" s="181" t="s">
        <v>1247</v>
      </c>
      <c r="C586" s="181" t="s">
        <v>1258</v>
      </c>
      <c r="D586" s="182">
        <v>1.1000000000000001</v>
      </c>
      <c r="E586" s="180" t="str">
        <f t="shared" si="9"/>
        <v>level IV</v>
      </c>
    </row>
    <row r="587" spans="1:5" x14ac:dyDescent="0.15">
      <c r="A587" s="180">
        <v>4213</v>
      </c>
      <c r="B587" s="181" t="s">
        <v>1247</v>
      </c>
      <c r="C587" s="181" t="s">
        <v>1259</v>
      </c>
      <c r="D587" s="182">
        <v>1.1000000000000001</v>
      </c>
      <c r="E587" s="180" t="str">
        <f t="shared" si="9"/>
        <v>level IV</v>
      </c>
    </row>
    <row r="588" spans="1:5" x14ac:dyDescent="0.15">
      <c r="A588" s="180">
        <v>4214</v>
      </c>
      <c r="B588" s="181" t="s">
        <v>1247</v>
      </c>
      <c r="C588" s="181" t="s">
        <v>1260</v>
      </c>
      <c r="D588" s="182">
        <v>1.1000000000000001</v>
      </c>
      <c r="E588" s="180" t="str">
        <f t="shared" si="9"/>
        <v>level IV</v>
      </c>
    </row>
    <row r="589" spans="1:5" x14ac:dyDescent="0.15">
      <c r="A589" s="180">
        <v>4215</v>
      </c>
      <c r="B589" s="181" t="s">
        <v>1247</v>
      </c>
      <c r="C589" s="181" t="s">
        <v>1261</v>
      </c>
      <c r="D589" s="182">
        <v>1.1000000000000001</v>
      </c>
      <c r="E589" s="180" t="str">
        <f t="shared" si="9"/>
        <v>level IV</v>
      </c>
    </row>
    <row r="590" spans="1:5" x14ac:dyDescent="0.15">
      <c r="A590" s="180">
        <v>4221</v>
      </c>
      <c r="B590" s="181" t="s">
        <v>1247</v>
      </c>
      <c r="C590" s="181" t="s">
        <v>1262</v>
      </c>
      <c r="D590" s="182">
        <v>1.1000000000000001</v>
      </c>
      <c r="E590" s="180" t="str">
        <f t="shared" si="9"/>
        <v>level IV</v>
      </c>
    </row>
    <row r="591" spans="1:5" x14ac:dyDescent="0.15">
      <c r="A591" s="180">
        <v>4222</v>
      </c>
      <c r="B591" s="181" t="s">
        <v>1247</v>
      </c>
      <c r="C591" s="181" t="s">
        <v>1263</v>
      </c>
      <c r="D591" s="182">
        <v>1.1000000000000001</v>
      </c>
      <c r="E591" s="180" t="str">
        <f t="shared" si="9"/>
        <v>level IV</v>
      </c>
    </row>
    <row r="592" spans="1:5" x14ac:dyDescent="0.15">
      <c r="A592" s="180">
        <v>4225</v>
      </c>
      <c r="B592" s="181" t="s">
        <v>1247</v>
      </c>
      <c r="C592" s="181" t="s">
        <v>1264</v>
      </c>
      <c r="D592" s="182">
        <v>1.1000000000000001</v>
      </c>
      <c r="E592" s="180" t="str">
        <f t="shared" si="9"/>
        <v>level IV</v>
      </c>
    </row>
    <row r="593" spans="1:5" x14ac:dyDescent="0.15">
      <c r="A593" s="180">
        <v>4226</v>
      </c>
      <c r="B593" s="181" t="s">
        <v>1247</v>
      </c>
      <c r="C593" s="181" t="s">
        <v>1265</v>
      </c>
      <c r="D593" s="182">
        <v>1.1000000000000001</v>
      </c>
      <c r="E593" s="180" t="str">
        <f t="shared" si="9"/>
        <v>level IV</v>
      </c>
    </row>
    <row r="594" spans="1:5" x14ac:dyDescent="0.15">
      <c r="A594" s="180">
        <v>4231</v>
      </c>
      <c r="B594" s="181" t="s">
        <v>1247</v>
      </c>
      <c r="C594" s="181" t="s">
        <v>1266</v>
      </c>
      <c r="D594" s="182">
        <v>1.1000000000000001</v>
      </c>
      <c r="E594" s="180" t="str">
        <f t="shared" si="9"/>
        <v>level IV</v>
      </c>
    </row>
    <row r="595" spans="1:5" x14ac:dyDescent="0.15">
      <c r="A595" s="180">
        <v>4311</v>
      </c>
      <c r="B595" s="181" t="s">
        <v>1247</v>
      </c>
      <c r="C595" s="181" t="s">
        <v>1267</v>
      </c>
      <c r="D595" s="182">
        <v>1</v>
      </c>
      <c r="E595" s="180" t="str">
        <f t="shared" si="9"/>
        <v>level II</v>
      </c>
    </row>
    <row r="596" spans="1:5" x14ac:dyDescent="0.15">
      <c r="A596" s="180">
        <v>4412</v>
      </c>
      <c r="B596" s="181" t="s">
        <v>1247</v>
      </c>
      <c r="C596" s="181" t="s">
        <v>1268</v>
      </c>
      <c r="D596" s="182">
        <v>1.05</v>
      </c>
      <c r="E596" s="180" t="str">
        <f t="shared" si="9"/>
        <v>level III</v>
      </c>
    </row>
    <row r="597" spans="1:5" x14ac:dyDescent="0.15">
      <c r="A597" s="180">
        <v>4421</v>
      </c>
      <c r="B597" s="181" t="s">
        <v>1247</v>
      </c>
      <c r="C597" s="181" t="s">
        <v>1269</v>
      </c>
      <c r="D597" s="182">
        <v>1.05</v>
      </c>
      <c r="E597" s="180" t="str">
        <f t="shared" si="9"/>
        <v>level III</v>
      </c>
    </row>
    <row r="598" spans="1:5" x14ac:dyDescent="0.15">
      <c r="A598" s="180">
        <v>4432</v>
      </c>
      <c r="B598" s="181" t="s">
        <v>1247</v>
      </c>
      <c r="C598" s="181" t="s">
        <v>1270</v>
      </c>
      <c r="D598" s="182">
        <v>1.05</v>
      </c>
      <c r="E598" s="180" t="str">
        <f t="shared" si="9"/>
        <v>level III</v>
      </c>
    </row>
    <row r="599" spans="1:5" x14ac:dyDescent="0.15">
      <c r="A599" s="180">
        <v>4449</v>
      </c>
      <c r="B599" s="181" t="s">
        <v>1247</v>
      </c>
      <c r="C599" s="181" t="s">
        <v>1271</v>
      </c>
      <c r="D599" s="182">
        <v>1.05</v>
      </c>
      <c r="E599" s="180" t="str">
        <f t="shared" si="9"/>
        <v>level III</v>
      </c>
    </row>
    <row r="600" spans="1:5" x14ac:dyDescent="0.15">
      <c r="A600" s="180">
        <v>4481</v>
      </c>
      <c r="B600" s="181" t="s">
        <v>1247</v>
      </c>
      <c r="C600" s="181" t="s">
        <v>1272</v>
      </c>
      <c r="D600" s="182">
        <v>1.05</v>
      </c>
      <c r="E600" s="180" t="str">
        <f t="shared" si="9"/>
        <v>level III</v>
      </c>
    </row>
    <row r="601" spans="1:5" x14ac:dyDescent="0.15">
      <c r="A601" s="180">
        <v>4482</v>
      </c>
      <c r="B601" s="181" t="s">
        <v>1247</v>
      </c>
      <c r="C601" s="181" t="s">
        <v>1273</v>
      </c>
      <c r="D601" s="182">
        <v>1.05</v>
      </c>
      <c r="E601" s="180" t="str">
        <f t="shared" si="9"/>
        <v>level III</v>
      </c>
    </row>
    <row r="602" spans="1:5" x14ac:dyDescent="0.15">
      <c r="A602" s="180">
        <v>4489</v>
      </c>
      <c r="B602" s="181" t="s">
        <v>1247</v>
      </c>
      <c r="C602" s="181" t="s">
        <v>1274</v>
      </c>
      <c r="D602" s="182">
        <v>1.05</v>
      </c>
      <c r="E602" s="180" t="str">
        <f t="shared" si="9"/>
        <v>level III</v>
      </c>
    </row>
    <row r="603" spans="1:5" x14ac:dyDescent="0.15">
      <c r="A603" s="180">
        <v>4491</v>
      </c>
      <c r="B603" s="181" t="s">
        <v>1247</v>
      </c>
      <c r="C603" s="181" t="s">
        <v>1275</v>
      </c>
      <c r="D603" s="182">
        <v>1.05</v>
      </c>
      <c r="E603" s="180" t="str">
        <f t="shared" si="9"/>
        <v>level III</v>
      </c>
    </row>
    <row r="604" spans="1:5" x14ac:dyDescent="0.15">
      <c r="A604" s="180">
        <v>4492</v>
      </c>
      <c r="B604" s="181" t="s">
        <v>1247</v>
      </c>
      <c r="C604" s="181" t="s">
        <v>1276</v>
      </c>
      <c r="D604" s="182">
        <v>1.05</v>
      </c>
      <c r="E604" s="180" t="str">
        <f t="shared" si="9"/>
        <v>level III</v>
      </c>
    </row>
    <row r="605" spans="1:5" x14ac:dyDescent="0.15">
      <c r="A605" s="180">
        <v>4493</v>
      </c>
      <c r="B605" s="181" t="s">
        <v>1247</v>
      </c>
      <c r="C605" s="181" t="s">
        <v>1277</v>
      </c>
      <c r="D605" s="182">
        <v>1.05</v>
      </c>
      <c r="E605" s="180" t="str">
        <f t="shared" si="9"/>
        <v>level III</v>
      </c>
    </row>
    <row r="606" spans="1:5" x14ac:dyDescent="0.15">
      <c r="A606" s="180">
        <v>4499</v>
      </c>
      <c r="B606" s="181" t="s">
        <v>1247</v>
      </c>
      <c r="C606" s="181" t="s">
        <v>1278</v>
      </c>
      <c r="D606" s="182">
        <v>1.05</v>
      </c>
      <c r="E606" s="180" t="str">
        <f t="shared" si="9"/>
        <v>level III</v>
      </c>
    </row>
    <row r="607" spans="1:5" x14ac:dyDescent="0.15">
      <c r="A607" s="180">
        <v>4512</v>
      </c>
      <c r="B607" s="181" t="s">
        <v>1247</v>
      </c>
      <c r="C607" s="181" t="s">
        <v>1279</v>
      </c>
      <c r="D607" s="182">
        <v>1</v>
      </c>
      <c r="E607" s="180" t="str">
        <f t="shared" si="9"/>
        <v>level II</v>
      </c>
    </row>
    <row r="608" spans="1:5" x14ac:dyDescent="0.15">
      <c r="A608" s="180">
        <v>4513</v>
      </c>
      <c r="B608" s="181" t="s">
        <v>1247</v>
      </c>
      <c r="C608" s="181" t="s">
        <v>1280</v>
      </c>
      <c r="D608" s="182">
        <v>1</v>
      </c>
      <c r="E608" s="180" t="str">
        <f t="shared" si="9"/>
        <v>level II</v>
      </c>
    </row>
    <row r="609" spans="1:5" x14ac:dyDescent="0.15">
      <c r="A609" s="180">
        <v>4522</v>
      </c>
      <c r="B609" s="181" t="s">
        <v>1247</v>
      </c>
      <c r="C609" s="181" t="s">
        <v>1281</v>
      </c>
      <c r="D609" s="182">
        <v>1</v>
      </c>
      <c r="E609" s="180" t="str">
        <f t="shared" si="9"/>
        <v>level II</v>
      </c>
    </row>
    <row r="610" spans="1:5" x14ac:dyDescent="0.15">
      <c r="A610" s="180">
        <v>4581</v>
      </c>
      <c r="B610" s="181" t="s">
        <v>1247</v>
      </c>
      <c r="C610" s="181" t="s">
        <v>1282</v>
      </c>
      <c r="D610" s="182">
        <v>1</v>
      </c>
      <c r="E610" s="180" t="str">
        <f t="shared" si="9"/>
        <v>level II</v>
      </c>
    </row>
    <row r="611" spans="1:5" x14ac:dyDescent="0.15">
      <c r="A611" s="180">
        <v>4612</v>
      </c>
      <c r="B611" s="181" t="s">
        <v>1247</v>
      </c>
      <c r="C611" s="181" t="s">
        <v>1283</v>
      </c>
      <c r="D611" s="182">
        <v>1</v>
      </c>
      <c r="E611" s="180" t="str">
        <f t="shared" si="9"/>
        <v>level II</v>
      </c>
    </row>
    <row r="612" spans="1:5" x14ac:dyDescent="0.15">
      <c r="A612" s="180">
        <v>4613</v>
      </c>
      <c r="B612" s="181" t="s">
        <v>1247</v>
      </c>
      <c r="C612" s="181" t="s">
        <v>1284</v>
      </c>
      <c r="D612" s="182">
        <v>1</v>
      </c>
      <c r="E612" s="180" t="str">
        <f t="shared" si="9"/>
        <v>level II</v>
      </c>
    </row>
    <row r="613" spans="1:5" x14ac:dyDescent="0.15">
      <c r="A613" s="180">
        <v>4619</v>
      </c>
      <c r="B613" s="181" t="s">
        <v>1247</v>
      </c>
      <c r="C613" s="181" t="s">
        <v>1285</v>
      </c>
      <c r="D613" s="182">
        <v>1</v>
      </c>
      <c r="E613" s="180" t="str">
        <f t="shared" si="9"/>
        <v>level II</v>
      </c>
    </row>
    <row r="614" spans="1:5" x14ac:dyDescent="0.15">
      <c r="A614" s="180">
        <v>4724</v>
      </c>
      <c r="B614" s="181" t="s">
        <v>1247</v>
      </c>
      <c r="C614" s="181" t="s">
        <v>1286</v>
      </c>
      <c r="D614" s="182">
        <v>1</v>
      </c>
      <c r="E614" s="180" t="str">
        <f t="shared" si="9"/>
        <v>level II</v>
      </c>
    </row>
    <row r="615" spans="1:5" x14ac:dyDescent="0.15">
      <c r="A615" s="180">
        <v>4725</v>
      </c>
      <c r="B615" s="181" t="s">
        <v>1247</v>
      </c>
      <c r="C615" s="181" t="s">
        <v>1287</v>
      </c>
      <c r="D615" s="182">
        <v>1</v>
      </c>
      <c r="E615" s="180" t="str">
        <f t="shared" si="9"/>
        <v>level II</v>
      </c>
    </row>
    <row r="616" spans="1:5" x14ac:dyDescent="0.15">
      <c r="A616" s="180">
        <v>4729</v>
      </c>
      <c r="B616" s="181" t="s">
        <v>1247</v>
      </c>
      <c r="C616" s="181" t="s">
        <v>1288</v>
      </c>
      <c r="D616" s="182">
        <v>1</v>
      </c>
      <c r="E616" s="180" t="str">
        <f t="shared" si="9"/>
        <v>level II</v>
      </c>
    </row>
    <row r="617" spans="1:5" x14ac:dyDescent="0.15">
      <c r="A617" s="180">
        <v>4731</v>
      </c>
      <c r="B617" s="181" t="s">
        <v>1247</v>
      </c>
      <c r="C617" s="181" t="s">
        <v>1289</v>
      </c>
      <c r="D617" s="182">
        <v>1</v>
      </c>
      <c r="E617" s="180" t="str">
        <f t="shared" si="9"/>
        <v>level II</v>
      </c>
    </row>
    <row r="618" spans="1:5" x14ac:dyDescent="0.15">
      <c r="A618" s="180">
        <v>4741</v>
      </c>
      <c r="B618" s="181" t="s">
        <v>1247</v>
      </c>
      <c r="C618" s="181" t="s">
        <v>1290</v>
      </c>
      <c r="D618" s="182">
        <v>1</v>
      </c>
      <c r="E618" s="180" t="str">
        <f t="shared" si="9"/>
        <v>level II</v>
      </c>
    </row>
    <row r="619" spans="1:5" x14ac:dyDescent="0.15">
      <c r="A619" s="180">
        <v>4783</v>
      </c>
      <c r="B619" s="181" t="s">
        <v>1247</v>
      </c>
      <c r="C619" s="181" t="s">
        <v>1291</v>
      </c>
      <c r="D619" s="182">
        <v>1</v>
      </c>
      <c r="E619" s="180" t="str">
        <f t="shared" si="9"/>
        <v>level II</v>
      </c>
    </row>
    <row r="620" spans="1:5" x14ac:dyDescent="0.15">
      <c r="A620" s="180">
        <v>4785</v>
      </c>
      <c r="B620" s="181" t="s">
        <v>1247</v>
      </c>
      <c r="C620" s="181" t="s">
        <v>1292</v>
      </c>
      <c r="D620" s="182">
        <v>1</v>
      </c>
      <c r="E620" s="180" t="str">
        <f t="shared" si="9"/>
        <v>level II</v>
      </c>
    </row>
    <row r="621" spans="1:5" x14ac:dyDescent="0.15">
      <c r="A621" s="180">
        <v>4789</v>
      </c>
      <c r="B621" s="181" t="s">
        <v>1247</v>
      </c>
      <c r="C621" s="181" t="s">
        <v>1293</v>
      </c>
      <c r="D621" s="182">
        <v>1</v>
      </c>
      <c r="E621" s="180" t="str">
        <f t="shared" si="9"/>
        <v>level II</v>
      </c>
    </row>
    <row r="622" spans="1:5" x14ac:dyDescent="0.15">
      <c r="A622" s="180">
        <v>4812</v>
      </c>
      <c r="B622" s="181" t="s">
        <v>1247</v>
      </c>
      <c r="C622" s="181" t="s">
        <v>1294</v>
      </c>
      <c r="D622" s="182">
        <v>0.95</v>
      </c>
      <c r="E622" s="180" t="str">
        <f t="shared" si="9"/>
        <v>level I</v>
      </c>
    </row>
    <row r="623" spans="1:5" x14ac:dyDescent="0.15">
      <c r="A623" s="180">
        <v>4813</v>
      </c>
      <c r="B623" s="181" t="s">
        <v>1247</v>
      </c>
      <c r="C623" s="181" t="s">
        <v>1295</v>
      </c>
      <c r="D623" s="182">
        <v>0.95</v>
      </c>
      <c r="E623" s="180" t="str">
        <f t="shared" si="9"/>
        <v>level I</v>
      </c>
    </row>
    <row r="624" spans="1:5" x14ac:dyDescent="0.15">
      <c r="A624" s="180">
        <v>4822</v>
      </c>
      <c r="B624" s="181" t="s">
        <v>1247</v>
      </c>
      <c r="C624" s="181" t="s">
        <v>1296</v>
      </c>
      <c r="D624" s="182">
        <v>0.95</v>
      </c>
      <c r="E624" s="180" t="str">
        <f t="shared" si="9"/>
        <v>level I</v>
      </c>
    </row>
    <row r="625" spans="1:5" x14ac:dyDescent="0.15">
      <c r="A625" s="180">
        <v>4832</v>
      </c>
      <c r="B625" s="181" t="s">
        <v>1247</v>
      </c>
      <c r="C625" s="181" t="s">
        <v>1297</v>
      </c>
      <c r="D625" s="182">
        <v>0.95</v>
      </c>
      <c r="E625" s="180" t="str">
        <f t="shared" si="9"/>
        <v>level I</v>
      </c>
    </row>
    <row r="626" spans="1:5" x14ac:dyDescent="0.15">
      <c r="A626" s="180">
        <v>4833</v>
      </c>
      <c r="B626" s="181" t="s">
        <v>1247</v>
      </c>
      <c r="C626" s="181" t="s">
        <v>1298</v>
      </c>
      <c r="D626" s="182">
        <v>0.95</v>
      </c>
      <c r="E626" s="180" t="str">
        <f t="shared" si="9"/>
        <v>level I</v>
      </c>
    </row>
    <row r="627" spans="1:5" x14ac:dyDescent="0.15">
      <c r="A627" s="180">
        <v>4841</v>
      </c>
      <c r="B627" s="181" t="s">
        <v>1247</v>
      </c>
      <c r="C627" s="181" t="s">
        <v>1299</v>
      </c>
      <c r="D627" s="182">
        <v>0.95</v>
      </c>
      <c r="E627" s="180" t="str">
        <f t="shared" si="9"/>
        <v>level I</v>
      </c>
    </row>
    <row r="628" spans="1:5" x14ac:dyDescent="0.15">
      <c r="A628" s="180">
        <v>4899</v>
      </c>
      <c r="B628" s="181" t="s">
        <v>1247</v>
      </c>
      <c r="C628" s="181" t="s">
        <v>1300</v>
      </c>
      <c r="D628" s="182">
        <v>0.95</v>
      </c>
      <c r="E628" s="180" t="str">
        <f t="shared" si="9"/>
        <v>level I</v>
      </c>
    </row>
    <row r="629" spans="1:5" x14ac:dyDescent="0.15">
      <c r="A629" s="180">
        <v>4911</v>
      </c>
      <c r="B629" s="181" t="s">
        <v>1247</v>
      </c>
      <c r="C629" s="181" t="s">
        <v>1301</v>
      </c>
      <c r="D629" s="182">
        <v>1</v>
      </c>
      <c r="E629" s="180" t="str">
        <f t="shared" si="9"/>
        <v>level II</v>
      </c>
    </row>
    <row r="630" spans="1:5" x14ac:dyDescent="0.15">
      <c r="A630" s="180">
        <v>4922</v>
      </c>
      <c r="B630" s="181" t="s">
        <v>1247</v>
      </c>
      <c r="C630" s="181" t="s">
        <v>1302</v>
      </c>
      <c r="D630" s="182">
        <v>1</v>
      </c>
      <c r="E630" s="180" t="str">
        <f t="shared" si="9"/>
        <v>level II</v>
      </c>
    </row>
    <row r="631" spans="1:5" x14ac:dyDescent="0.15">
      <c r="A631" s="180">
        <v>4923</v>
      </c>
      <c r="B631" s="181" t="s">
        <v>1247</v>
      </c>
      <c r="C631" s="181" t="s">
        <v>1303</v>
      </c>
      <c r="D631" s="182">
        <v>1</v>
      </c>
      <c r="E631" s="180" t="str">
        <f t="shared" si="9"/>
        <v>level II</v>
      </c>
    </row>
    <row r="632" spans="1:5" x14ac:dyDescent="0.15">
      <c r="A632" s="180">
        <v>4924</v>
      </c>
      <c r="B632" s="181" t="s">
        <v>1247</v>
      </c>
      <c r="C632" s="181" t="s">
        <v>1304</v>
      </c>
      <c r="D632" s="182">
        <v>1</v>
      </c>
      <c r="E632" s="180" t="str">
        <f t="shared" si="9"/>
        <v>level II</v>
      </c>
    </row>
    <row r="633" spans="1:5" x14ac:dyDescent="0.15">
      <c r="A633" s="180">
        <v>4925</v>
      </c>
      <c r="B633" s="181" t="s">
        <v>1247</v>
      </c>
      <c r="C633" s="181" t="s">
        <v>1305</v>
      </c>
      <c r="D633" s="182">
        <v>1</v>
      </c>
      <c r="E633" s="180" t="str">
        <f t="shared" si="9"/>
        <v>level II</v>
      </c>
    </row>
    <row r="634" spans="1:5" x14ac:dyDescent="0.15">
      <c r="A634" s="180">
        <v>4931</v>
      </c>
      <c r="B634" s="181" t="s">
        <v>1247</v>
      </c>
      <c r="C634" s="181" t="s">
        <v>1306</v>
      </c>
      <c r="D634" s="182">
        <v>1</v>
      </c>
      <c r="E634" s="180" t="str">
        <f t="shared" si="9"/>
        <v>level II</v>
      </c>
    </row>
    <row r="635" spans="1:5" x14ac:dyDescent="0.15">
      <c r="A635" s="180">
        <v>4932</v>
      </c>
      <c r="B635" s="181" t="s">
        <v>1247</v>
      </c>
      <c r="C635" s="181" t="s">
        <v>1307</v>
      </c>
      <c r="D635" s="182">
        <v>1</v>
      </c>
      <c r="E635" s="180" t="str">
        <f t="shared" si="9"/>
        <v>level II</v>
      </c>
    </row>
    <row r="636" spans="1:5" x14ac:dyDescent="0.15">
      <c r="A636" s="180">
        <v>4939</v>
      </c>
      <c r="B636" s="181" t="s">
        <v>1247</v>
      </c>
      <c r="C636" s="181" t="s">
        <v>1308</v>
      </c>
      <c r="D636" s="182">
        <v>1</v>
      </c>
      <c r="E636" s="180" t="str">
        <f t="shared" si="9"/>
        <v>level II</v>
      </c>
    </row>
    <row r="637" spans="1:5" x14ac:dyDescent="0.15">
      <c r="A637" s="180">
        <v>4941</v>
      </c>
      <c r="B637" s="181" t="s">
        <v>1247</v>
      </c>
      <c r="C637" s="181" t="s">
        <v>1309</v>
      </c>
      <c r="D637" s="182">
        <v>1</v>
      </c>
      <c r="E637" s="180" t="str">
        <f t="shared" si="9"/>
        <v>level II</v>
      </c>
    </row>
    <row r="638" spans="1:5" x14ac:dyDescent="0.15">
      <c r="A638" s="180">
        <v>4952</v>
      </c>
      <c r="B638" s="181" t="s">
        <v>1247</v>
      </c>
      <c r="C638" s="181" t="s">
        <v>1310</v>
      </c>
      <c r="D638" s="182">
        <v>1</v>
      </c>
      <c r="E638" s="180" t="str">
        <f t="shared" si="9"/>
        <v>level II</v>
      </c>
    </row>
    <row r="639" spans="1:5" x14ac:dyDescent="0.15">
      <c r="A639" s="180">
        <v>4953</v>
      </c>
      <c r="B639" s="181" t="s">
        <v>1247</v>
      </c>
      <c r="C639" s="181" t="s">
        <v>1311</v>
      </c>
      <c r="D639" s="182">
        <v>1</v>
      </c>
      <c r="E639" s="180" t="str">
        <f t="shared" si="9"/>
        <v>level II</v>
      </c>
    </row>
    <row r="640" spans="1:5" x14ac:dyDescent="0.15">
      <c r="A640" s="180">
        <v>4959</v>
      </c>
      <c r="B640" s="181" t="s">
        <v>1247</v>
      </c>
      <c r="C640" s="181" t="s">
        <v>1312</v>
      </c>
      <c r="D640" s="182">
        <v>1</v>
      </c>
      <c r="E640" s="180" t="str">
        <f t="shared" si="9"/>
        <v>level II</v>
      </c>
    </row>
    <row r="641" spans="1:5" x14ac:dyDescent="0.15">
      <c r="A641" s="180">
        <v>4961</v>
      </c>
      <c r="B641" s="181" t="s">
        <v>1247</v>
      </c>
      <c r="C641" s="181" t="s">
        <v>1313</v>
      </c>
      <c r="D641" s="182">
        <v>1</v>
      </c>
      <c r="E641" s="180" t="str">
        <f t="shared" si="9"/>
        <v>level II</v>
      </c>
    </row>
    <row r="642" spans="1:5" x14ac:dyDescent="0.15">
      <c r="A642" s="180">
        <v>4971</v>
      </c>
      <c r="B642" s="181" t="s">
        <v>1247</v>
      </c>
      <c r="C642" s="181" t="s">
        <v>1314</v>
      </c>
      <c r="D642" s="182">
        <v>1</v>
      </c>
      <c r="E642" s="180" t="str">
        <f t="shared" ref="E642:E705" si="10">IF(D642=0.95,"level I",IF(D642=1,"level II",IF(D642=1.05,"level III",IF(D642=1.1,"level IV",IF(D642=1.15,"level V",IF(D642=1.2,"level VI",IF(D642=0.9,"level 0","level VII")))))))</f>
        <v>level II</v>
      </c>
    </row>
    <row r="643" spans="1:5" x14ac:dyDescent="0.15">
      <c r="A643" s="180">
        <v>5012</v>
      </c>
      <c r="B643" s="181" t="s">
        <v>1315</v>
      </c>
      <c r="C643" s="181" t="s">
        <v>1316</v>
      </c>
      <c r="D643" s="182">
        <v>1</v>
      </c>
      <c r="E643" s="180" t="str">
        <f t="shared" si="10"/>
        <v>level II</v>
      </c>
    </row>
    <row r="644" spans="1:5" x14ac:dyDescent="0.15">
      <c r="A644" s="180">
        <v>5013</v>
      </c>
      <c r="B644" s="181" t="s">
        <v>1315</v>
      </c>
      <c r="C644" s="181" t="s">
        <v>1317</v>
      </c>
      <c r="D644" s="182">
        <v>1</v>
      </c>
      <c r="E644" s="180" t="str">
        <f t="shared" si="10"/>
        <v>level II</v>
      </c>
    </row>
    <row r="645" spans="1:5" x14ac:dyDescent="0.15">
      <c r="A645" s="180">
        <v>5014</v>
      </c>
      <c r="B645" s="181" t="s">
        <v>1315</v>
      </c>
      <c r="C645" s="181" t="s">
        <v>1318</v>
      </c>
      <c r="D645" s="182">
        <v>1</v>
      </c>
      <c r="E645" s="180" t="str">
        <f t="shared" si="10"/>
        <v>level II</v>
      </c>
    </row>
    <row r="646" spans="1:5" x14ac:dyDescent="0.15">
      <c r="A646" s="180">
        <v>5015</v>
      </c>
      <c r="B646" s="181" t="s">
        <v>1315</v>
      </c>
      <c r="C646" s="181" t="s">
        <v>1319</v>
      </c>
      <c r="D646" s="182">
        <v>1</v>
      </c>
      <c r="E646" s="180" t="str">
        <f t="shared" si="10"/>
        <v>level II</v>
      </c>
    </row>
    <row r="647" spans="1:5" x14ac:dyDescent="0.15">
      <c r="A647" s="180">
        <v>5021</v>
      </c>
      <c r="B647" s="181" t="s">
        <v>1315</v>
      </c>
      <c r="C647" s="181" t="s">
        <v>1320</v>
      </c>
      <c r="D647" s="182">
        <v>1</v>
      </c>
      <c r="E647" s="180" t="str">
        <f t="shared" si="10"/>
        <v>level II</v>
      </c>
    </row>
    <row r="648" spans="1:5" x14ac:dyDescent="0.15">
      <c r="A648" s="180">
        <v>5023</v>
      </c>
      <c r="B648" s="181" t="s">
        <v>1315</v>
      </c>
      <c r="C648" s="181" t="s">
        <v>1321</v>
      </c>
      <c r="D648" s="182">
        <v>1</v>
      </c>
      <c r="E648" s="180" t="str">
        <f t="shared" si="10"/>
        <v>level II</v>
      </c>
    </row>
    <row r="649" spans="1:5" x14ac:dyDescent="0.15">
      <c r="A649" s="180">
        <v>5031</v>
      </c>
      <c r="B649" s="181" t="s">
        <v>1315</v>
      </c>
      <c r="C649" s="181" t="s">
        <v>1322</v>
      </c>
      <c r="D649" s="182">
        <v>1</v>
      </c>
      <c r="E649" s="180" t="str">
        <f t="shared" si="10"/>
        <v>level II</v>
      </c>
    </row>
    <row r="650" spans="1:5" x14ac:dyDescent="0.15">
      <c r="A650" s="180">
        <v>5032</v>
      </c>
      <c r="B650" s="181" t="s">
        <v>1315</v>
      </c>
      <c r="C650" s="181" t="s">
        <v>1323</v>
      </c>
      <c r="D650" s="182">
        <v>1</v>
      </c>
      <c r="E650" s="180" t="str">
        <f t="shared" si="10"/>
        <v>level II</v>
      </c>
    </row>
    <row r="651" spans="1:5" x14ac:dyDescent="0.15">
      <c r="A651" s="180">
        <v>5033</v>
      </c>
      <c r="B651" s="181" t="s">
        <v>1315</v>
      </c>
      <c r="C651" s="181" t="s">
        <v>1324</v>
      </c>
      <c r="D651" s="182">
        <v>1</v>
      </c>
      <c r="E651" s="180" t="str">
        <f t="shared" si="10"/>
        <v>level II</v>
      </c>
    </row>
    <row r="652" spans="1:5" x14ac:dyDescent="0.15">
      <c r="A652" s="180">
        <v>5039</v>
      </c>
      <c r="B652" s="181" t="s">
        <v>1315</v>
      </c>
      <c r="C652" s="181" t="s">
        <v>1325</v>
      </c>
      <c r="D652" s="182">
        <v>1</v>
      </c>
      <c r="E652" s="180" t="str">
        <f t="shared" si="10"/>
        <v>level II</v>
      </c>
    </row>
    <row r="653" spans="1:5" x14ac:dyDescent="0.15">
      <c r="A653" s="180">
        <v>5043</v>
      </c>
      <c r="B653" s="181" t="s">
        <v>1315</v>
      </c>
      <c r="C653" s="181" t="s">
        <v>1227</v>
      </c>
      <c r="D653" s="182">
        <v>1</v>
      </c>
      <c r="E653" s="180" t="str">
        <f t="shared" si="10"/>
        <v>level II</v>
      </c>
    </row>
    <row r="654" spans="1:5" x14ac:dyDescent="0.15">
      <c r="A654" s="180">
        <v>5044</v>
      </c>
      <c r="B654" s="181" t="s">
        <v>1315</v>
      </c>
      <c r="C654" s="181" t="s">
        <v>1326</v>
      </c>
      <c r="D654" s="182">
        <v>1</v>
      </c>
      <c r="E654" s="180" t="str">
        <f t="shared" si="10"/>
        <v>level II</v>
      </c>
    </row>
    <row r="655" spans="1:5" x14ac:dyDescent="0.15">
      <c r="A655" s="180">
        <v>5045</v>
      </c>
      <c r="B655" s="181" t="s">
        <v>1315</v>
      </c>
      <c r="C655" s="181" t="s">
        <v>1327</v>
      </c>
      <c r="D655" s="182">
        <v>1</v>
      </c>
      <c r="E655" s="180" t="str">
        <f t="shared" si="10"/>
        <v>level II</v>
      </c>
    </row>
    <row r="656" spans="1:5" x14ac:dyDescent="0.15">
      <c r="A656" s="180">
        <v>5046</v>
      </c>
      <c r="B656" s="181" t="s">
        <v>1315</v>
      </c>
      <c r="C656" s="181" t="s">
        <v>1328</v>
      </c>
      <c r="D656" s="182">
        <v>1</v>
      </c>
      <c r="E656" s="180" t="str">
        <f t="shared" si="10"/>
        <v>level II</v>
      </c>
    </row>
    <row r="657" spans="1:5" x14ac:dyDescent="0.15">
      <c r="A657" s="180">
        <v>5047</v>
      </c>
      <c r="B657" s="181" t="s">
        <v>1315</v>
      </c>
      <c r="C657" s="181" t="s">
        <v>1329</v>
      </c>
      <c r="D657" s="182">
        <v>1</v>
      </c>
      <c r="E657" s="180" t="str">
        <f t="shared" si="10"/>
        <v>level II</v>
      </c>
    </row>
    <row r="658" spans="1:5" x14ac:dyDescent="0.15">
      <c r="A658" s="180">
        <v>5048</v>
      </c>
      <c r="B658" s="181" t="s">
        <v>1315</v>
      </c>
      <c r="C658" s="181" t="s">
        <v>1330</v>
      </c>
      <c r="D658" s="182">
        <v>1</v>
      </c>
      <c r="E658" s="180" t="str">
        <f t="shared" si="10"/>
        <v>level II</v>
      </c>
    </row>
    <row r="659" spans="1:5" x14ac:dyDescent="0.15">
      <c r="A659" s="180">
        <v>5049</v>
      </c>
      <c r="B659" s="181" t="s">
        <v>1315</v>
      </c>
      <c r="C659" s="181" t="s">
        <v>1331</v>
      </c>
      <c r="D659" s="182">
        <v>1</v>
      </c>
      <c r="E659" s="180" t="str">
        <f t="shared" si="10"/>
        <v>level II</v>
      </c>
    </row>
    <row r="660" spans="1:5" x14ac:dyDescent="0.15">
      <c r="A660" s="180">
        <v>5051</v>
      </c>
      <c r="B660" s="181" t="s">
        <v>1315</v>
      </c>
      <c r="C660" s="181" t="s">
        <v>1332</v>
      </c>
      <c r="D660" s="182">
        <v>1</v>
      </c>
      <c r="E660" s="180" t="str">
        <f t="shared" si="10"/>
        <v>level II</v>
      </c>
    </row>
    <row r="661" spans="1:5" x14ac:dyDescent="0.15">
      <c r="A661" s="180">
        <v>5052</v>
      </c>
      <c r="B661" s="181" t="s">
        <v>1315</v>
      </c>
      <c r="C661" s="181" t="s">
        <v>1333</v>
      </c>
      <c r="D661" s="182">
        <v>1</v>
      </c>
      <c r="E661" s="180" t="str">
        <f t="shared" si="10"/>
        <v>level II</v>
      </c>
    </row>
    <row r="662" spans="1:5" x14ac:dyDescent="0.15">
      <c r="A662" s="180">
        <v>5063</v>
      </c>
      <c r="B662" s="181" t="s">
        <v>1315</v>
      </c>
      <c r="C662" s="181" t="s">
        <v>1334</v>
      </c>
      <c r="D662" s="182">
        <v>1</v>
      </c>
      <c r="E662" s="180" t="str">
        <f t="shared" si="10"/>
        <v>level II</v>
      </c>
    </row>
    <row r="663" spans="1:5" x14ac:dyDescent="0.15">
      <c r="A663" s="180">
        <v>5064</v>
      </c>
      <c r="B663" s="181" t="s">
        <v>1315</v>
      </c>
      <c r="C663" s="181" t="s">
        <v>1335</v>
      </c>
      <c r="D663" s="182">
        <v>1</v>
      </c>
      <c r="E663" s="180" t="str">
        <f t="shared" si="10"/>
        <v>level II</v>
      </c>
    </row>
    <row r="664" spans="1:5" x14ac:dyDescent="0.15">
      <c r="A664" s="180">
        <v>5065</v>
      </c>
      <c r="B664" s="181" t="s">
        <v>1315</v>
      </c>
      <c r="C664" s="181" t="s">
        <v>1336</v>
      </c>
      <c r="D664" s="182">
        <v>1</v>
      </c>
      <c r="E664" s="180" t="str">
        <f t="shared" si="10"/>
        <v>level II</v>
      </c>
    </row>
    <row r="665" spans="1:5" x14ac:dyDescent="0.15">
      <c r="A665" s="180">
        <v>5072</v>
      </c>
      <c r="B665" s="181" t="s">
        <v>1315</v>
      </c>
      <c r="C665" s="181" t="s">
        <v>1337</v>
      </c>
      <c r="D665" s="182">
        <v>1</v>
      </c>
      <c r="E665" s="180" t="str">
        <f t="shared" si="10"/>
        <v>level II</v>
      </c>
    </row>
    <row r="666" spans="1:5" x14ac:dyDescent="0.15">
      <c r="A666" s="180">
        <v>5074</v>
      </c>
      <c r="B666" s="181" t="s">
        <v>1315</v>
      </c>
      <c r="C666" s="181" t="s">
        <v>1338</v>
      </c>
      <c r="D666" s="182">
        <v>1</v>
      </c>
      <c r="E666" s="180" t="str">
        <f t="shared" si="10"/>
        <v>level II</v>
      </c>
    </row>
    <row r="667" spans="1:5" x14ac:dyDescent="0.15">
      <c r="A667" s="180">
        <v>5075</v>
      </c>
      <c r="B667" s="181" t="s">
        <v>1315</v>
      </c>
      <c r="C667" s="181" t="s">
        <v>1339</v>
      </c>
      <c r="D667" s="182">
        <v>1</v>
      </c>
      <c r="E667" s="180" t="str">
        <f t="shared" si="10"/>
        <v>level II</v>
      </c>
    </row>
    <row r="668" spans="1:5" x14ac:dyDescent="0.15">
      <c r="A668" s="180">
        <v>5078</v>
      </c>
      <c r="B668" s="181" t="s">
        <v>1315</v>
      </c>
      <c r="C668" s="181" t="s">
        <v>1340</v>
      </c>
      <c r="D668" s="182">
        <v>1</v>
      </c>
      <c r="E668" s="180" t="str">
        <f t="shared" si="10"/>
        <v>level II</v>
      </c>
    </row>
    <row r="669" spans="1:5" x14ac:dyDescent="0.15">
      <c r="A669" s="180">
        <v>5082</v>
      </c>
      <c r="B669" s="181" t="s">
        <v>1315</v>
      </c>
      <c r="C669" s="181" t="s">
        <v>1341</v>
      </c>
      <c r="D669" s="182">
        <v>1</v>
      </c>
      <c r="E669" s="180" t="str">
        <f t="shared" si="10"/>
        <v>level II</v>
      </c>
    </row>
    <row r="670" spans="1:5" x14ac:dyDescent="0.15">
      <c r="A670" s="180">
        <v>5083</v>
      </c>
      <c r="B670" s="181" t="s">
        <v>1315</v>
      </c>
      <c r="C670" s="181" t="s">
        <v>1342</v>
      </c>
      <c r="D670" s="182">
        <v>1</v>
      </c>
      <c r="E670" s="180" t="str">
        <f t="shared" si="10"/>
        <v>level II</v>
      </c>
    </row>
    <row r="671" spans="1:5" x14ac:dyDescent="0.15">
      <c r="A671" s="180">
        <v>5084</v>
      </c>
      <c r="B671" s="181" t="s">
        <v>1315</v>
      </c>
      <c r="C671" s="181" t="s">
        <v>1343</v>
      </c>
      <c r="D671" s="182">
        <v>1</v>
      </c>
      <c r="E671" s="180" t="str">
        <f t="shared" si="10"/>
        <v>level II</v>
      </c>
    </row>
    <row r="672" spans="1:5" x14ac:dyDescent="0.15">
      <c r="A672" s="180">
        <v>5085</v>
      </c>
      <c r="B672" s="181" t="s">
        <v>1315</v>
      </c>
      <c r="C672" s="181" t="s">
        <v>1344</v>
      </c>
      <c r="D672" s="182">
        <v>1</v>
      </c>
      <c r="E672" s="180" t="str">
        <f t="shared" si="10"/>
        <v>level II</v>
      </c>
    </row>
    <row r="673" spans="1:5" x14ac:dyDescent="0.15">
      <c r="A673" s="180">
        <v>5087</v>
      </c>
      <c r="B673" s="181" t="s">
        <v>1315</v>
      </c>
      <c r="C673" s="181" t="s">
        <v>1345</v>
      </c>
      <c r="D673" s="182">
        <v>1</v>
      </c>
      <c r="E673" s="180" t="str">
        <f t="shared" si="10"/>
        <v>level II</v>
      </c>
    </row>
    <row r="674" spans="1:5" x14ac:dyDescent="0.15">
      <c r="A674" s="180">
        <v>5088</v>
      </c>
      <c r="B674" s="181" t="s">
        <v>1315</v>
      </c>
      <c r="C674" s="181" t="s">
        <v>1346</v>
      </c>
      <c r="D674" s="182">
        <v>1</v>
      </c>
      <c r="E674" s="180" t="str">
        <f t="shared" si="10"/>
        <v>level II</v>
      </c>
    </row>
    <row r="675" spans="1:5" x14ac:dyDescent="0.15">
      <c r="A675" s="180">
        <v>5091</v>
      </c>
      <c r="B675" s="181" t="s">
        <v>1315</v>
      </c>
      <c r="C675" s="181" t="s">
        <v>1347</v>
      </c>
      <c r="D675" s="182">
        <v>1</v>
      </c>
      <c r="E675" s="180" t="str">
        <f t="shared" si="10"/>
        <v>level II</v>
      </c>
    </row>
    <row r="676" spans="1:5" x14ac:dyDescent="0.15">
      <c r="A676" s="180">
        <v>5092</v>
      </c>
      <c r="B676" s="181" t="s">
        <v>1315</v>
      </c>
      <c r="C676" s="181" t="s">
        <v>1348</v>
      </c>
      <c r="D676" s="182">
        <v>1</v>
      </c>
      <c r="E676" s="180" t="str">
        <f t="shared" si="10"/>
        <v>level II</v>
      </c>
    </row>
    <row r="677" spans="1:5" x14ac:dyDescent="0.15">
      <c r="A677" s="180">
        <v>5093</v>
      </c>
      <c r="B677" s="181" t="s">
        <v>1315</v>
      </c>
      <c r="C677" s="181" t="s">
        <v>1349</v>
      </c>
      <c r="D677" s="182">
        <v>1</v>
      </c>
      <c r="E677" s="180" t="str">
        <f t="shared" si="10"/>
        <v>level II</v>
      </c>
    </row>
    <row r="678" spans="1:5" x14ac:dyDescent="0.15">
      <c r="A678" s="180">
        <v>5094</v>
      </c>
      <c r="B678" s="181" t="s">
        <v>1315</v>
      </c>
      <c r="C678" s="181" t="s">
        <v>1350</v>
      </c>
      <c r="D678" s="182">
        <v>1</v>
      </c>
      <c r="E678" s="180" t="str">
        <f t="shared" si="10"/>
        <v>level II</v>
      </c>
    </row>
    <row r="679" spans="1:5" x14ac:dyDescent="0.15">
      <c r="A679" s="180">
        <v>5099</v>
      </c>
      <c r="B679" s="181" t="s">
        <v>1315</v>
      </c>
      <c r="C679" s="181" t="s">
        <v>1351</v>
      </c>
      <c r="D679" s="182">
        <v>1</v>
      </c>
      <c r="E679" s="180" t="str">
        <f t="shared" si="10"/>
        <v>level II</v>
      </c>
    </row>
    <row r="680" spans="1:5" x14ac:dyDescent="0.15">
      <c r="A680" s="180">
        <v>5111</v>
      </c>
      <c r="B680" s="181" t="s">
        <v>1315</v>
      </c>
      <c r="C680" s="181" t="s">
        <v>1352</v>
      </c>
      <c r="D680" s="182">
        <v>1.05</v>
      </c>
      <c r="E680" s="180" t="str">
        <f t="shared" si="10"/>
        <v>level III</v>
      </c>
    </row>
    <row r="681" spans="1:5" x14ac:dyDescent="0.15">
      <c r="A681" s="180">
        <v>5112</v>
      </c>
      <c r="B681" s="181" t="s">
        <v>1315</v>
      </c>
      <c r="C681" s="181" t="s">
        <v>1353</v>
      </c>
      <c r="D681" s="182">
        <v>1.05</v>
      </c>
      <c r="E681" s="180" t="str">
        <f t="shared" si="10"/>
        <v>level III</v>
      </c>
    </row>
    <row r="682" spans="1:5" x14ac:dyDescent="0.15">
      <c r="A682" s="180">
        <v>5113</v>
      </c>
      <c r="B682" s="181" t="s">
        <v>1315</v>
      </c>
      <c r="C682" s="181" t="s">
        <v>1354</v>
      </c>
      <c r="D682" s="182">
        <v>1.05</v>
      </c>
      <c r="E682" s="180" t="str">
        <f t="shared" si="10"/>
        <v>level III</v>
      </c>
    </row>
    <row r="683" spans="1:5" x14ac:dyDescent="0.15">
      <c r="A683" s="180">
        <v>5122</v>
      </c>
      <c r="B683" s="181" t="s">
        <v>1315</v>
      </c>
      <c r="C683" s="181" t="s">
        <v>1355</v>
      </c>
      <c r="D683" s="182">
        <v>1</v>
      </c>
      <c r="E683" s="180" t="str">
        <f t="shared" si="10"/>
        <v>level II</v>
      </c>
    </row>
    <row r="684" spans="1:5" x14ac:dyDescent="0.15">
      <c r="A684" s="180">
        <v>5131</v>
      </c>
      <c r="B684" s="181" t="s">
        <v>1315</v>
      </c>
      <c r="C684" s="181" t="s">
        <v>1356</v>
      </c>
      <c r="D684" s="182">
        <v>1</v>
      </c>
      <c r="E684" s="180" t="str">
        <f t="shared" si="10"/>
        <v>level II</v>
      </c>
    </row>
    <row r="685" spans="1:5" x14ac:dyDescent="0.15">
      <c r="A685" s="180">
        <v>5136</v>
      </c>
      <c r="B685" s="181" t="s">
        <v>1315</v>
      </c>
      <c r="C685" s="181" t="s">
        <v>1357</v>
      </c>
      <c r="D685" s="182">
        <v>1</v>
      </c>
      <c r="E685" s="180" t="str">
        <f t="shared" si="10"/>
        <v>level II</v>
      </c>
    </row>
    <row r="686" spans="1:5" x14ac:dyDescent="0.15">
      <c r="A686" s="180">
        <v>5137</v>
      </c>
      <c r="B686" s="181" t="s">
        <v>1315</v>
      </c>
      <c r="C686" s="181" t="s">
        <v>1358</v>
      </c>
      <c r="D686" s="182">
        <v>1</v>
      </c>
      <c r="E686" s="180" t="str">
        <f t="shared" si="10"/>
        <v>level II</v>
      </c>
    </row>
    <row r="687" spans="1:5" x14ac:dyDescent="0.15">
      <c r="A687" s="180">
        <v>5139</v>
      </c>
      <c r="B687" s="181" t="s">
        <v>1315</v>
      </c>
      <c r="C687" s="181" t="s">
        <v>1359</v>
      </c>
      <c r="D687" s="182">
        <v>1</v>
      </c>
      <c r="E687" s="180" t="str">
        <f t="shared" si="10"/>
        <v>level II</v>
      </c>
    </row>
    <row r="688" spans="1:5" x14ac:dyDescent="0.15">
      <c r="A688" s="180">
        <v>5141</v>
      </c>
      <c r="B688" s="181" t="s">
        <v>1315</v>
      </c>
      <c r="C688" s="181" t="s">
        <v>1360</v>
      </c>
      <c r="D688" s="182">
        <v>1</v>
      </c>
      <c r="E688" s="180" t="str">
        <f t="shared" si="10"/>
        <v>level II</v>
      </c>
    </row>
    <row r="689" spans="1:5" x14ac:dyDescent="0.15">
      <c r="A689" s="180">
        <v>5142</v>
      </c>
      <c r="B689" s="181" t="s">
        <v>1315</v>
      </c>
      <c r="C689" s="181" t="s">
        <v>1361</v>
      </c>
      <c r="D689" s="182">
        <v>1</v>
      </c>
      <c r="E689" s="180" t="str">
        <f t="shared" si="10"/>
        <v>level II</v>
      </c>
    </row>
    <row r="690" spans="1:5" x14ac:dyDescent="0.15">
      <c r="A690" s="180">
        <v>5143</v>
      </c>
      <c r="B690" s="181" t="s">
        <v>1315</v>
      </c>
      <c r="C690" s="181" t="s">
        <v>1362</v>
      </c>
      <c r="D690" s="182">
        <v>1</v>
      </c>
      <c r="E690" s="180" t="str">
        <f t="shared" si="10"/>
        <v>level II</v>
      </c>
    </row>
    <row r="691" spans="1:5" x14ac:dyDescent="0.15">
      <c r="A691" s="180">
        <v>5144</v>
      </c>
      <c r="B691" s="181" t="s">
        <v>1315</v>
      </c>
      <c r="C691" s="181" t="s">
        <v>1363</v>
      </c>
      <c r="D691" s="182">
        <v>1</v>
      </c>
      <c r="E691" s="180" t="str">
        <f t="shared" si="10"/>
        <v>level II</v>
      </c>
    </row>
    <row r="692" spans="1:5" x14ac:dyDescent="0.15">
      <c r="A692" s="180">
        <v>5145</v>
      </c>
      <c r="B692" s="181" t="s">
        <v>1315</v>
      </c>
      <c r="C692" s="181" t="s">
        <v>1364</v>
      </c>
      <c r="D692" s="182">
        <v>1</v>
      </c>
      <c r="E692" s="180" t="str">
        <f t="shared" si="10"/>
        <v>level II</v>
      </c>
    </row>
    <row r="693" spans="1:5" x14ac:dyDescent="0.15">
      <c r="A693" s="180">
        <v>5146</v>
      </c>
      <c r="B693" s="181" t="s">
        <v>1315</v>
      </c>
      <c r="C693" s="181" t="s">
        <v>1365</v>
      </c>
      <c r="D693" s="182">
        <v>1</v>
      </c>
      <c r="E693" s="180" t="str">
        <f t="shared" si="10"/>
        <v>level II</v>
      </c>
    </row>
    <row r="694" spans="1:5" x14ac:dyDescent="0.15">
      <c r="A694" s="180">
        <v>5147</v>
      </c>
      <c r="B694" s="181" t="s">
        <v>1315</v>
      </c>
      <c r="C694" s="181" t="s">
        <v>1366</v>
      </c>
      <c r="D694" s="182">
        <v>1</v>
      </c>
      <c r="E694" s="180" t="str">
        <f t="shared" si="10"/>
        <v>level II</v>
      </c>
    </row>
    <row r="695" spans="1:5" x14ac:dyDescent="0.15">
      <c r="A695" s="180">
        <v>5148</v>
      </c>
      <c r="B695" s="181" t="s">
        <v>1315</v>
      </c>
      <c r="C695" s="181" t="s">
        <v>1367</v>
      </c>
      <c r="D695" s="182">
        <v>1</v>
      </c>
      <c r="E695" s="180" t="str">
        <f t="shared" si="10"/>
        <v>level II</v>
      </c>
    </row>
    <row r="696" spans="1:5" x14ac:dyDescent="0.15">
      <c r="A696" s="180">
        <v>5149</v>
      </c>
      <c r="B696" s="181" t="s">
        <v>1315</v>
      </c>
      <c r="C696" s="181" t="s">
        <v>1368</v>
      </c>
      <c r="D696" s="182">
        <v>1</v>
      </c>
      <c r="E696" s="180" t="str">
        <f t="shared" si="10"/>
        <v>level II</v>
      </c>
    </row>
    <row r="697" spans="1:5" x14ac:dyDescent="0.15">
      <c r="A697" s="180">
        <v>5153</v>
      </c>
      <c r="B697" s="181" t="s">
        <v>1315</v>
      </c>
      <c r="C697" s="181" t="s">
        <v>1369</v>
      </c>
      <c r="D697" s="182">
        <v>1</v>
      </c>
      <c r="E697" s="180" t="str">
        <f t="shared" si="10"/>
        <v>level II</v>
      </c>
    </row>
    <row r="698" spans="1:5" x14ac:dyDescent="0.15">
      <c r="A698" s="180">
        <v>5154</v>
      </c>
      <c r="B698" s="181" t="s">
        <v>1315</v>
      </c>
      <c r="C698" s="181" t="s">
        <v>1370</v>
      </c>
      <c r="D698" s="182">
        <v>1</v>
      </c>
      <c r="E698" s="180" t="str">
        <f t="shared" si="10"/>
        <v>level II</v>
      </c>
    </row>
    <row r="699" spans="1:5" x14ac:dyDescent="0.15">
      <c r="A699" s="180">
        <v>5159</v>
      </c>
      <c r="B699" s="181" t="s">
        <v>1315</v>
      </c>
      <c r="C699" s="181" t="s">
        <v>1371</v>
      </c>
      <c r="D699" s="182">
        <v>1</v>
      </c>
      <c r="E699" s="180" t="str">
        <f t="shared" si="10"/>
        <v>level II</v>
      </c>
    </row>
    <row r="700" spans="1:5" x14ac:dyDescent="0.15">
      <c r="A700" s="180">
        <v>5162</v>
      </c>
      <c r="B700" s="181" t="s">
        <v>1315</v>
      </c>
      <c r="C700" s="181" t="s">
        <v>1372</v>
      </c>
      <c r="D700" s="182">
        <v>1</v>
      </c>
      <c r="E700" s="180" t="str">
        <f t="shared" si="10"/>
        <v>level II</v>
      </c>
    </row>
    <row r="701" spans="1:5" x14ac:dyDescent="0.15">
      <c r="A701" s="180">
        <v>5169</v>
      </c>
      <c r="B701" s="181" t="s">
        <v>1315</v>
      </c>
      <c r="C701" s="181" t="s">
        <v>1373</v>
      </c>
      <c r="D701" s="182">
        <v>1</v>
      </c>
      <c r="E701" s="180" t="str">
        <f t="shared" si="10"/>
        <v>level II</v>
      </c>
    </row>
    <row r="702" spans="1:5" x14ac:dyDescent="0.15">
      <c r="A702" s="180">
        <v>5171</v>
      </c>
      <c r="B702" s="181" t="s">
        <v>1315</v>
      </c>
      <c r="C702" s="181" t="s">
        <v>1374</v>
      </c>
      <c r="D702" s="182">
        <v>1</v>
      </c>
      <c r="E702" s="180" t="str">
        <f t="shared" si="10"/>
        <v>level II</v>
      </c>
    </row>
    <row r="703" spans="1:5" x14ac:dyDescent="0.15">
      <c r="A703" s="180">
        <v>5172</v>
      </c>
      <c r="B703" s="181" t="s">
        <v>1315</v>
      </c>
      <c r="C703" s="181" t="s">
        <v>1375</v>
      </c>
      <c r="D703" s="182">
        <v>1</v>
      </c>
      <c r="E703" s="180" t="str">
        <f t="shared" si="10"/>
        <v>level II</v>
      </c>
    </row>
    <row r="704" spans="1:5" x14ac:dyDescent="0.15">
      <c r="A704" s="180">
        <v>5181</v>
      </c>
      <c r="B704" s="181" t="s">
        <v>1315</v>
      </c>
      <c r="C704" s="181" t="s">
        <v>1376</v>
      </c>
      <c r="D704" s="182">
        <v>1</v>
      </c>
      <c r="E704" s="180" t="str">
        <f t="shared" si="10"/>
        <v>level II</v>
      </c>
    </row>
    <row r="705" spans="1:5" x14ac:dyDescent="0.15">
      <c r="A705" s="180">
        <v>5182</v>
      </c>
      <c r="B705" s="181" t="s">
        <v>1315</v>
      </c>
      <c r="C705" s="181" t="s">
        <v>1377</v>
      </c>
      <c r="D705" s="182">
        <v>1</v>
      </c>
      <c r="E705" s="180" t="str">
        <f t="shared" si="10"/>
        <v>level II</v>
      </c>
    </row>
    <row r="706" spans="1:5" x14ac:dyDescent="0.15">
      <c r="A706" s="180">
        <v>5191</v>
      </c>
      <c r="B706" s="181" t="s">
        <v>1315</v>
      </c>
      <c r="C706" s="181" t="s">
        <v>1378</v>
      </c>
      <c r="D706" s="182">
        <v>1</v>
      </c>
      <c r="E706" s="180" t="str">
        <f t="shared" ref="E706:E769" si="11">IF(D706=0.95,"level I",IF(D706=1,"level II",IF(D706=1.05,"level III",IF(D706=1.1,"level IV",IF(D706=1.15,"level V",IF(D706=1.2,"level VI",IF(D706=0.9,"level 0","level VII")))))))</f>
        <v>level II</v>
      </c>
    </row>
    <row r="707" spans="1:5" x14ac:dyDescent="0.15">
      <c r="A707" s="180">
        <v>5192</v>
      </c>
      <c r="B707" s="181" t="s">
        <v>1315</v>
      </c>
      <c r="C707" s="181" t="s">
        <v>1379</v>
      </c>
      <c r="D707" s="182">
        <v>1</v>
      </c>
      <c r="E707" s="180" t="str">
        <f t="shared" si="11"/>
        <v>level II</v>
      </c>
    </row>
    <row r="708" spans="1:5" x14ac:dyDescent="0.15">
      <c r="A708" s="180">
        <v>5193</v>
      </c>
      <c r="B708" s="181" t="s">
        <v>1315</v>
      </c>
      <c r="C708" s="181" t="s">
        <v>1380</v>
      </c>
      <c r="D708" s="182">
        <v>1</v>
      </c>
      <c r="E708" s="180" t="str">
        <f t="shared" si="11"/>
        <v>level II</v>
      </c>
    </row>
    <row r="709" spans="1:5" x14ac:dyDescent="0.15">
      <c r="A709" s="180">
        <v>5194</v>
      </c>
      <c r="B709" s="181" t="s">
        <v>1315</v>
      </c>
      <c r="C709" s="181" t="s">
        <v>1381</v>
      </c>
      <c r="D709" s="182">
        <v>1</v>
      </c>
      <c r="E709" s="180" t="str">
        <f t="shared" si="11"/>
        <v>level II</v>
      </c>
    </row>
    <row r="710" spans="1:5" x14ac:dyDescent="0.15">
      <c r="A710" s="180">
        <v>5198</v>
      </c>
      <c r="B710" s="181" t="s">
        <v>1315</v>
      </c>
      <c r="C710" s="181" t="s">
        <v>1382</v>
      </c>
      <c r="D710" s="182">
        <v>1</v>
      </c>
      <c r="E710" s="180" t="str">
        <f t="shared" si="11"/>
        <v>level II</v>
      </c>
    </row>
    <row r="711" spans="1:5" x14ac:dyDescent="0.15">
      <c r="A711" s="180">
        <v>5199</v>
      </c>
      <c r="B711" s="181" t="s">
        <v>1315</v>
      </c>
      <c r="C711" s="181" t="s">
        <v>1383</v>
      </c>
      <c r="D711" s="182">
        <v>1</v>
      </c>
      <c r="E711" s="180" t="str">
        <f t="shared" si="11"/>
        <v>level II</v>
      </c>
    </row>
    <row r="712" spans="1:5" x14ac:dyDescent="0.15">
      <c r="A712" s="180">
        <v>5211</v>
      </c>
      <c r="B712" s="181" t="s">
        <v>1384</v>
      </c>
      <c r="C712" s="181" t="s">
        <v>1385</v>
      </c>
      <c r="D712" s="182">
        <v>1</v>
      </c>
      <c r="E712" s="180" t="str">
        <f t="shared" si="11"/>
        <v>level II</v>
      </c>
    </row>
    <row r="713" spans="1:5" x14ac:dyDescent="0.15">
      <c r="A713" s="180">
        <v>5231</v>
      </c>
      <c r="B713" s="181" t="s">
        <v>1384</v>
      </c>
      <c r="C713" s="181" t="s">
        <v>1386</v>
      </c>
      <c r="D713" s="182">
        <v>1</v>
      </c>
      <c r="E713" s="180" t="str">
        <f t="shared" si="11"/>
        <v>level II</v>
      </c>
    </row>
    <row r="714" spans="1:5" x14ac:dyDescent="0.15">
      <c r="A714" s="180">
        <v>5251</v>
      </c>
      <c r="B714" s="181" t="s">
        <v>1384</v>
      </c>
      <c r="C714" s="181" t="s">
        <v>1387</v>
      </c>
      <c r="D714" s="182">
        <v>1</v>
      </c>
      <c r="E714" s="180" t="str">
        <f t="shared" si="11"/>
        <v>level II</v>
      </c>
    </row>
    <row r="715" spans="1:5" x14ac:dyDescent="0.15">
      <c r="A715" s="180">
        <v>5261</v>
      </c>
      <c r="B715" s="181" t="s">
        <v>1384</v>
      </c>
      <c r="C715" s="181" t="s">
        <v>1388</v>
      </c>
      <c r="D715" s="182">
        <v>1</v>
      </c>
      <c r="E715" s="180" t="str">
        <f t="shared" si="11"/>
        <v>level II</v>
      </c>
    </row>
    <row r="716" spans="1:5" x14ac:dyDescent="0.15">
      <c r="A716" s="180">
        <v>5271</v>
      </c>
      <c r="B716" s="181" t="s">
        <v>1384</v>
      </c>
      <c r="C716" s="181" t="s">
        <v>1389</v>
      </c>
      <c r="D716" s="182">
        <v>1.05</v>
      </c>
      <c r="E716" s="180" t="str">
        <f t="shared" si="11"/>
        <v>level III</v>
      </c>
    </row>
    <row r="717" spans="1:5" x14ac:dyDescent="0.15">
      <c r="A717" s="180">
        <v>5311</v>
      </c>
      <c r="B717" s="181" t="s">
        <v>1384</v>
      </c>
      <c r="C717" s="181" t="s">
        <v>1390</v>
      </c>
      <c r="D717" s="182">
        <v>0.95</v>
      </c>
      <c r="E717" s="180" t="str">
        <f t="shared" si="11"/>
        <v>level I</v>
      </c>
    </row>
    <row r="718" spans="1:5" x14ac:dyDescent="0.15">
      <c r="A718" s="180">
        <v>5331</v>
      </c>
      <c r="B718" s="181" t="s">
        <v>1384</v>
      </c>
      <c r="C718" s="181" t="s">
        <v>1391</v>
      </c>
      <c r="D718" s="182">
        <v>0.95</v>
      </c>
      <c r="E718" s="180" t="str">
        <f t="shared" si="11"/>
        <v>level I</v>
      </c>
    </row>
    <row r="719" spans="1:5" x14ac:dyDescent="0.15">
      <c r="A719" s="180">
        <v>5399</v>
      </c>
      <c r="B719" s="181" t="s">
        <v>1384</v>
      </c>
      <c r="C719" s="181" t="s">
        <v>1392</v>
      </c>
      <c r="D719" s="182">
        <v>0.95</v>
      </c>
      <c r="E719" s="180" t="str">
        <f t="shared" si="11"/>
        <v>level I</v>
      </c>
    </row>
    <row r="720" spans="1:5" x14ac:dyDescent="0.15">
      <c r="A720" s="180">
        <v>5411</v>
      </c>
      <c r="B720" s="181" t="s">
        <v>1384</v>
      </c>
      <c r="C720" s="181" t="s">
        <v>1393</v>
      </c>
      <c r="D720" s="182">
        <v>1</v>
      </c>
      <c r="E720" s="180" t="str">
        <f t="shared" si="11"/>
        <v>level II</v>
      </c>
    </row>
    <row r="721" spans="1:5" x14ac:dyDescent="0.15">
      <c r="A721" s="180">
        <v>5421</v>
      </c>
      <c r="B721" s="181" t="s">
        <v>1384</v>
      </c>
      <c r="C721" s="181" t="s">
        <v>1394</v>
      </c>
      <c r="D721" s="182">
        <v>1</v>
      </c>
      <c r="E721" s="180" t="str">
        <f t="shared" si="11"/>
        <v>level II</v>
      </c>
    </row>
    <row r="722" spans="1:5" x14ac:dyDescent="0.15">
      <c r="A722" s="180">
        <v>5431</v>
      </c>
      <c r="B722" s="181" t="s">
        <v>1384</v>
      </c>
      <c r="C722" s="181" t="s">
        <v>1395</v>
      </c>
      <c r="D722" s="182">
        <v>1</v>
      </c>
      <c r="E722" s="180" t="str">
        <f t="shared" si="11"/>
        <v>level II</v>
      </c>
    </row>
    <row r="723" spans="1:5" x14ac:dyDescent="0.15">
      <c r="A723" s="180">
        <v>5441</v>
      </c>
      <c r="B723" s="181" t="s">
        <v>1384</v>
      </c>
      <c r="C723" s="181" t="s">
        <v>1396</v>
      </c>
      <c r="D723" s="182">
        <v>1</v>
      </c>
      <c r="E723" s="180" t="str">
        <f t="shared" si="11"/>
        <v>level II</v>
      </c>
    </row>
    <row r="724" spans="1:5" x14ac:dyDescent="0.15">
      <c r="A724" s="180">
        <v>5451</v>
      </c>
      <c r="B724" s="181" t="s">
        <v>1384</v>
      </c>
      <c r="C724" s="181" t="s">
        <v>1397</v>
      </c>
      <c r="D724" s="182">
        <v>1</v>
      </c>
      <c r="E724" s="180" t="str">
        <f t="shared" si="11"/>
        <v>level II</v>
      </c>
    </row>
    <row r="725" spans="1:5" x14ac:dyDescent="0.15">
      <c r="A725" s="180">
        <v>5461</v>
      </c>
      <c r="B725" s="181" t="s">
        <v>1384</v>
      </c>
      <c r="C725" s="181" t="s">
        <v>1398</v>
      </c>
      <c r="D725" s="182">
        <v>1</v>
      </c>
      <c r="E725" s="180" t="str">
        <f t="shared" si="11"/>
        <v>level II</v>
      </c>
    </row>
    <row r="726" spans="1:5" x14ac:dyDescent="0.15">
      <c r="A726" s="180">
        <v>5499</v>
      </c>
      <c r="B726" s="181" t="s">
        <v>1384</v>
      </c>
      <c r="C726" s="181" t="s">
        <v>1399</v>
      </c>
      <c r="D726" s="182">
        <v>1</v>
      </c>
      <c r="E726" s="180" t="str">
        <f t="shared" si="11"/>
        <v>level II</v>
      </c>
    </row>
    <row r="727" spans="1:5" x14ac:dyDescent="0.15">
      <c r="A727" s="180">
        <v>5511</v>
      </c>
      <c r="B727" s="181" t="s">
        <v>1384</v>
      </c>
      <c r="C727" s="181" t="s">
        <v>1400</v>
      </c>
      <c r="D727" s="182">
        <v>1.35</v>
      </c>
      <c r="E727" s="180" t="str">
        <f t="shared" si="11"/>
        <v>level VII</v>
      </c>
    </row>
    <row r="728" spans="1:5" x14ac:dyDescent="0.15">
      <c r="A728" s="180">
        <v>5521</v>
      </c>
      <c r="B728" s="181" t="s">
        <v>1384</v>
      </c>
      <c r="C728" s="181" t="s">
        <v>1401</v>
      </c>
      <c r="D728" s="182">
        <v>1.35</v>
      </c>
      <c r="E728" s="180" t="str">
        <f t="shared" si="11"/>
        <v>level VII</v>
      </c>
    </row>
    <row r="729" spans="1:5" x14ac:dyDescent="0.15">
      <c r="A729" s="180">
        <v>5531</v>
      </c>
      <c r="B729" s="181" t="s">
        <v>1384</v>
      </c>
      <c r="C729" s="181" t="s">
        <v>1402</v>
      </c>
      <c r="D729" s="182">
        <v>1</v>
      </c>
      <c r="E729" s="180" t="str">
        <f t="shared" si="11"/>
        <v>level II</v>
      </c>
    </row>
    <row r="730" spans="1:5" x14ac:dyDescent="0.15">
      <c r="A730" s="180">
        <v>5541</v>
      </c>
      <c r="B730" s="181" t="s">
        <v>1384</v>
      </c>
      <c r="C730" s="181" t="s">
        <v>1403</v>
      </c>
      <c r="D730" s="182">
        <v>1.35</v>
      </c>
      <c r="E730" s="180" t="str">
        <f t="shared" si="11"/>
        <v>level VII</v>
      </c>
    </row>
    <row r="731" spans="1:5" x14ac:dyDescent="0.15">
      <c r="A731" s="180">
        <v>5551</v>
      </c>
      <c r="B731" s="181" t="s">
        <v>1384</v>
      </c>
      <c r="C731" s="181" t="s">
        <v>1404</v>
      </c>
      <c r="D731" s="182">
        <v>1.35</v>
      </c>
      <c r="E731" s="180" t="str">
        <f t="shared" si="11"/>
        <v>level VII</v>
      </c>
    </row>
    <row r="732" spans="1:5" x14ac:dyDescent="0.15">
      <c r="A732" s="180">
        <v>5561</v>
      </c>
      <c r="B732" s="181" t="s">
        <v>1384</v>
      </c>
      <c r="C732" s="181" t="s">
        <v>1405</v>
      </c>
      <c r="D732" s="182">
        <v>1.35</v>
      </c>
      <c r="E732" s="180" t="str">
        <f t="shared" si="11"/>
        <v>level VII</v>
      </c>
    </row>
    <row r="733" spans="1:5" x14ac:dyDescent="0.15">
      <c r="A733" s="180">
        <v>5571</v>
      </c>
      <c r="B733" s="181" t="s">
        <v>1384</v>
      </c>
      <c r="C733" s="181" t="s">
        <v>1406</v>
      </c>
      <c r="D733" s="182">
        <v>1.35</v>
      </c>
      <c r="E733" s="180" t="str">
        <f t="shared" si="11"/>
        <v>level VII</v>
      </c>
    </row>
    <row r="734" spans="1:5" x14ac:dyDescent="0.15">
      <c r="A734" s="180">
        <v>5599</v>
      </c>
      <c r="B734" s="181" t="s">
        <v>1384</v>
      </c>
      <c r="C734" s="181" t="s">
        <v>1407</v>
      </c>
      <c r="D734" s="182">
        <v>1.35</v>
      </c>
      <c r="E734" s="180" t="str">
        <f t="shared" si="11"/>
        <v>level VII</v>
      </c>
    </row>
    <row r="735" spans="1:5" x14ac:dyDescent="0.15">
      <c r="A735" s="180">
        <v>5611</v>
      </c>
      <c r="B735" s="181" t="s">
        <v>1384</v>
      </c>
      <c r="C735" s="181" t="s">
        <v>1408</v>
      </c>
      <c r="D735" s="182">
        <v>1.05</v>
      </c>
      <c r="E735" s="180" t="str">
        <f t="shared" si="11"/>
        <v>level III</v>
      </c>
    </row>
    <row r="736" spans="1:5" x14ac:dyDescent="0.15">
      <c r="A736" s="180">
        <v>5621</v>
      </c>
      <c r="B736" s="181" t="s">
        <v>1384</v>
      </c>
      <c r="C736" s="181" t="s">
        <v>1409</v>
      </c>
      <c r="D736" s="182">
        <v>1.05</v>
      </c>
      <c r="E736" s="180" t="str">
        <f t="shared" si="11"/>
        <v>level III</v>
      </c>
    </row>
    <row r="737" spans="1:5" x14ac:dyDescent="0.15">
      <c r="A737" s="180">
        <v>5632</v>
      </c>
      <c r="B737" s="181" t="s">
        <v>1384</v>
      </c>
      <c r="C737" s="181" t="s">
        <v>1410</v>
      </c>
      <c r="D737" s="182">
        <v>1.05</v>
      </c>
      <c r="E737" s="180" t="str">
        <f t="shared" si="11"/>
        <v>level III</v>
      </c>
    </row>
    <row r="738" spans="1:5" x14ac:dyDescent="0.15">
      <c r="A738" s="180">
        <v>5641</v>
      </c>
      <c r="B738" s="181" t="s">
        <v>1384</v>
      </c>
      <c r="C738" s="181" t="s">
        <v>1411</v>
      </c>
      <c r="D738" s="182">
        <v>1.05</v>
      </c>
      <c r="E738" s="180" t="str">
        <f t="shared" si="11"/>
        <v>level III</v>
      </c>
    </row>
    <row r="739" spans="1:5" x14ac:dyDescent="0.15">
      <c r="A739" s="180">
        <v>5651</v>
      </c>
      <c r="B739" s="181" t="s">
        <v>1384</v>
      </c>
      <c r="C739" s="181" t="s">
        <v>1412</v>
      </c>
      <c r="D739" s="182">
        <v>1.05</v>
      </c>
      <c r="E739" s="180" t="str">
        <f t="shared" si="11"/>
        <v>level III</v>
      </c>
    </row>
    <row r="740" spans="1:5" x14ac:dyDescent="0.15">
      <c r="A740" s="180">
        <v>5661</v>
      </c>
      <c r="B740" s="181" t="s">
        <v>1384</v>
      </c>
      <c r="C740" s="181" t="s">
        <v>1413</v>
      </c>
      <c r="D740" s="182">
        <v>1.05</v>
      </c>
      <c r="E740" s="180" t="str">
        <f t="shared" si="11"/>
        <v>level III</v>
      </c>
    </row>
    <row r="741" spans="1:5" x14ac:dyDescent="0.15">
      <c r="A741" s="180">
        <v>5699</v>
      </c>
      <c r="B741" s="181" t="s">
        <v>1384</v>
      </c>
      <c r="C741" s="181" t="s">
        <v>1414</v>
      </c>
      <c r="D741" s="182">
        <v>1.05</v>
      </c>
      <c r="E741" s="180" t="str">
        <f t="shared" si="11"/>
        <v>level III</v>
      </c>
    </row>
    <row r="742" spans="1:5" x14ac:dyDescent="0.15">
      <c r="A742" s="180">
        <v>5712</v>
      </c>
      <c r="B742" s="181" t="s">
        <v>1384</v>
      </c>
      <c r="C742" s="181" t="s">
        <v>1415</v>
      </c>
      <c r="D742" s="182">
        <v>1.05</v>
      </c>
      <c r="E742" s="180" t="str">
        <f t="shared" si="11"/>
        <v>level III</v>
      </c>
    </row>
    <row r="743" spans="1:5" x14ac:dyDescent="0.15">
      <c r="A743" s="180">
        <v>5713</v>
      </c>
      <c r="B743" s="181" t="s">
        <v>1384</v>
      </c>
      <c r="C743" s="181" t="s">
        <v>1416</v>
      </c>
      <c r="D743" s="182">
        <v>1.05</v>
      </c>
      <c r="E743" s="180" t="str">
        <f t="shared" si="11"/>
        <v>level III</v>
      </c>
    </row>
    <row r="744" spans="1:5" x14ac:dyDescent="0.15">
      <c r="A744" s="180">
        <v>5714</v>
      </c>
      <c r="B744" s="181" t="s">
        <v>1384</v>
      </c>
      <c r="C744" s="181" t="s">
        <v>1417</v>
      </c>
      <c r="D744" s="182">
        <v>1.05</v>
      </c>
      <c r="E744" s="180" t="str">
        <f t="shared" si="11"/>
        <v>level III</v>
      </c>
    </row>
    <row r="745" spans="1:5" x14ac:dyDescent="0.15">
      <c r="A745" s="180">
        <v>5719</v>
      </c>
      <c r="B745" s="181" t="s">
        <v>1384</v>
      </c>
      <c r="C745" s="181" t="s">
        <v>1418</v>
      </c>
      <c r="D745" s="182">
        <v>1.05</v>
      </c>
      <c r="E745" s="180" t="str">
        <f t="shared" si="11"/>
        <v>level III</v>
      </c>
    </row>
    <row r="746" spans="1:5" x14ac:dyDescent="0.15">
      <c r="A746" s="180">
        <v>5722</v>
      </c>
      <c r="B746" s="181" t="s">
        <v>1384</v>
      </c>
      <c r="C746" s="181" t="s">
        <v>1419</v>
      </c>
      <c r="D746" s="182">
        <v>1.05</v>
      </c>
      <c r="E746" s="180" t="str">
        <f t="shared" si="11"/>
        <v>level III</v>
      </c>
    </row>
    <row r="747" spans="1:5" x14ac:dyDescent="0.15">
      <c r="A747" s="180">
        <v>5731</v>
      </c>
      <c r="B747" s="181" t="s">
        <v>1384</v>
      </c>
      <c r="C747" s="181" t="s">
        <v>1420</v>
      </c>
      <c r="D747" s="182">
        <v>1.05</v>
      </c>
      <c r="E747" s="180" t="str">
        <f t="shared" si="11"/>
        <v>level III</v>
      </c>
    </row>
    <row r="748" spans="1:5" x14ac:dyDescent="0.15">
      <c r="A748" s="180">
        <v>5734</v>
      </c>
      <c r="B748" s="181" t="s">
        <v>1384</v>
      </c>
      <c r="C748" s="181" t="s">
        <v>1421</v>
      </c>
      <c r="D748" s="182">
        <v>1.05</v>
      </c>
      <c r="E748" s="180" t="str">
        <f t="shared" si="11"/>
        <v>level III</v>
      </c>
    </row>
    <row r="749" spans="1:5" x14ac:dyDescent="0.15">
      <c r="A749" s="180">
        <v>5735</v>
      </c>
      <c r="B749" s="181" t="s">
        <v>1384</v>
      </c>
      <c r="C749" s="181" t="s">
        <v>1422</v>
      </c>
      <c r="D749" s="182">
        <v>1.05</v>
      </c>
      <c r="E749" s="180" t="str">
        <f t="shared" si="11"/>
        <v>level III</v>
      </c>
    </row>
    <row r="750" spans="1:5" x14ac:dyDescent="0.15">
      <c r="A750" s="180">
        <v>5736</v>
      </c>
      <c r="B750" s="181" t="s">
        <v>1384</v>
      </c>
      <c r="C750" s="181" t="s">
        <v>1423</v>
      </c>
      <c r="D750" s="182">
        <v>1.05</v>
      </c>
      <c r="E750" s="180" t="str">
        <f t="shared" si="11"/>
        <v>level III</v>
      </c>
    </row>
    <row r="751" spans="1:5" x14ac:dyDescent="0.15">
      <c r="A751" s="180">
        <v>5812</v>
      </c>
      <c r="B751" s="181" t="s">
        <v>1384</v>
      </c>
      <c r="C751" s="181" t="s">
        <v>1424</v>
      </c>
      <c r="D751" s="182">
        <v>1.05</v>
      </c>
      <c r="E751" s="180" t="str">
        <f t="shared" si="11"/>
        <v>level III</v>
      </c>
    </row>
    <row r="752" spans="1:5" x14ac:dyDescent="0.15">
      <c r="A752" s="180">
        <v>5813</v>
      </c>
      <c r="B752" s="181" t="s">
        <v>1384</v>
      </c>
      <c r="C752" s="181" t="s">
        <v>1425</v>
      </c>
      <c r="D752" s="182">
        <v>1.05</v>
      </c>
      <c r="E752" s="180" t="str">
        <f t="shared" si="11"/>
        <v>level III</v>
      </c>
    </row>
    <row r="753" spans="1:5" x14ac:dyDescent="0.15">
      <c r="A753" s="180">
        <v>5912</v>
      </c>
      <c r="B753" s="181" t="s">
        <v>1384</v>
      </c>
      <c r="C753" s="181" t="s">
        <v>1426</v>
      </c>
      <c r="D753" s="182">
        <v>1.05</v>
      </c>
      <c r="E753" s="180" t="str">
        <f t="shared" si="11"/>
        <v>level III</v>
      </c>
    </row>
    <row r="754" spans="1:5" x14ac:dyDescent="0.15">
      <c r="A754" s="180">
        <v>5921</v>
      </c>
      <c r="B754" s="181" t="s">
        <v>1384</v>
      </c>
      <c r="C754" s="181" t="s">
        <v>1427</v>
      </c>
      <c r="D754" s="182">
        <v>1.05</v>
      </c>
      <c r="E754" s="180" t="str">
        <f t="shared" si="11"/>
        <v>level III</v>
      </c>
    </row>
    <row r="755" spans="1:5" x14ac:dyDescent="0.15">
      <c r="A755" s="180">
        <v>5932</v>
      </c>
      <c r="B755" s="181" t="s">
        <v>1384</v>
      </c>
      <c r="C755" s="181" t="s">
        <v>1428</v>
      </c>
      <c r="D755" s="182">
        <v>1.05</v>
      </c>
      <c r="E755" s="180" t="str">
        <f t="shared" si="11"/>
        <v>level III</v>
      </c>
    </row>
    <row r="756" spans="1:5" x14ac:dyDescent="0.15">
      <c r="A756" s="180">
        <v>5941</v>
      </c>
      <c r="B756" s="181" t="s">
        <v>1384</v>
      </c>
      <c r="C756" s="181" t="s">
        <v>1429</v>
      </c>
      <c r="D756" s="182">
        <v>1.05</v>
      </c>
      <c r="E756" s="180" t="str">
        <f t="shared" si="11"/>
        <v>level III</v>
      </c>
    </row>
    <row r="757" spans="1:5" x14ac:dyDescent="0.15">
      <c r="A757" s="180">
        <v>5942</v>
      </c>
      <c r="B757" s="181" t="s">
        <v>1384</v>
      </c>
      <c r="C757" s="181" t="s">
        <v>1430</v>
      </c>
      <c r="D757" s="182">
        <v>1.05</v>
      </c>
      <c r="E757" s="180" t="str">
        <f t="shared" si="11"/>
        <v>level III</v>
      </c>
    </row>
    <row r="758" spans="1:5" x14ac:dyDescent="0.15">
      <c r="A758" s="180">
        <v>5943</v>
      </c>
      <c r="B758" s="181" t="s">
        <v>1384</v>
      </c>
      <c r="C758" s="181" t="s">
        <v>1431</v>
      </c>
      <c r="D758" s="182">
        <v>1.05</v>
      </c>
      <c r="E758" s="180" t="str">
        <f t="shared" si="11"/>
        <v>level III</v>
      </c>
    </row>
    <row r="759" spans="1:5" x14ac:dyDescent="0.15">
      <c r="A759" s="180">
        <v>5944</v>
      </c>
      <c r="B759" s="181" t="s">
        <v>1384</v>
      </c>
      <c r="C759" s="181" t="s">
        <v>1432</v>
      </c>
      <c r="D759" s="182">
        <v>1.05</v>
      </c>
      <c r="E759" s="180" t="str">
        <f t="shared" si="11"/>
        <v>level III</v>
      </c>
    </row>
    <row r="760" spans="1:5" x14ac:dyDescent="0.15">
      <c r="A760" s="180">
        <v>5945</v>
      </c>
      <c r="B760" s="181" t="s">
        <v>1384</v>
      </c>
      <c r="C760" s="181" t="s">
        <v>1433</v>
      </c>
      <c r="D760" s="182">
        <v>1.05</v>
      </c>
      <c r="E760" s="180" t="str">
        <f t="shared" si="11"/>
        <v>level III</v>
      </c>
    </row>
    <row r="761" spans="1:5" x14ac:dyDescent="0.15">
      <c r="A761" s="180">
        <v>5946</v>
      </c>
      <c r="B761" s="181" t="s">
        <v>1384</v>
      </c>
      <c r="C761" s="181" t="s">
        <v>1434</v>
      </c>
      <c r="D761" s="182">
        <v>1.05</v>
      </c>
      <c r="E761" s="180" t="str">
        <f t="shared" si="11"/>
        <v>level III</v>
      </c>
    </row>
    <row r="762" spans="1:5" x14ac:dyDescent="0.15">
      <c r="A762" s="180">
        <v>5947</v>
      </c>
      <c r="B762" s="181" t="s">
        <v>1384</v>
      </c>
      <c r="C762" s="181" t="s">
        <v>1435</v>
      </c>
      <c r="D762" s="182">
        <v>1.05</v>
      </c>
      <c r="E762" s="180" t="str">
        <f t="shared" si="11"/>
        <v>level III</v>
      </c>
    </row>
    <row r="763" spans="1:5" x14ac:dyDescent="0.15">
      <c r="A763" s="180">
        <v>5948</v>
      </c>
      <c r="B763" s="181" t="s">
        <v>1384</v>
      </c>
      <c r="C763" s="181" t="s">
        <v>1436</v>
      </c>
      <c r="D763" s="182">
        <v>1.05</v>
      </c>
      <c r="E763" s="180" t="str">
        <f t="shared" si="11"/>
        <v>level III</v>
      </c>
    </row>
    <row r="764" spans="1:5" x14ac:dyDescent="0.15">
      <c r="A764" s="180">
        <v>5949</v>
      </c>
      <c r="B764" s="181" t="s">
        <v>1384</v>
      </c>
      <c r="C764" s="181" t="s">
        <v>1437</v>
      </c>
      <c r="D764" s="182">
        <v>1.05</v>
      </c>
      <c r="E764" s="180" t="str">
        <f t="shared" si="11"/>
        <v>level III</v>
      </c>
    </row>
    <row r="765" spans="1:5" x14ac:dyDescent="0.15">
      <c r="A765" s="180">
        <v>5961</v>
      </c>
      <c r="B765" s="181" t="s">
        <v>1384</v>
      </c>
      <c r="C765" s="181" t="s">
        <v>1438</v>
      </c>
      <c r="D765" s="182">
        <v>1.05</v>
      </c>
      <c r="E765" s="180" t="str">
        <f t="shared" si="11"/>
        <v>level III</v>
      </c>
    </row>
    <row r="766" spans="1:5" x14ac:dyDescent="0.15">
      <c r="A766" s="180">
        <v>5962</v>
      </c>
      <c r="B766" s="181" t="s">
        <v>1384</v>
      </c>
      <c r="C766" s="181" t="s">
        <v>1439</v>
      </c>
      <c r="D766" s="182">
        <v>1.05</v>
      </c>
      <c r="E766" s="180" t="str">
        <f t="shared" si="11"/>
        <v>level III</v>
      </c>
    </row>
    <row r="767" spans="1:5" x14ac:dyDescent="0.15">
      <c r="A767" s="180">
        <v>5963</v>
      </c>
      <c r="B767" s="181" t="s">
        <v>1384</v>
      </c>
      <c r="C767" s="181" t="s">
        <v>1440</v>
      </c>
      <c r="D767" s="182">
        <v>1.05</v>
      </c>
      <c r="E767" s="180" t="str">
        <f t="shared" si="11"/>
        <v>level III</v>
      </c>
    </row>
    <row r="768" spans="1:5" x14ac:dyDescent="0.15">
      <c r="A768" s="180">
        <v>5983</v>
      </c>
      <c r="B768" s="181" t="s">
        <v>1384</v>
      </c>
      <c r="C768" s="181" t="s">
        <v>1441</v>
      </c>
      <c r="D768" s="182">
        <v>1.05</v>
      </c>
      <c r="E768" s="180" t="str">
        <f t="shared" si="11"/>
        <v>level III</v>
      </c>
    </row>
    <row r="769" spans="1:5" x14ac:dyDescent="0.15">
      <c r="A769" s="180">
        <v>5984</v>
      </c>
      <c r="B769" s="181" t="s">
        <v>1384</v>
      </c>
      <c r="C769" s="181" t="s">
        <v>1442</v>
      </c>
      <c r="D769" s="182">
        <v>1.05</v>
      </c>
      <c r="E769" s="180" t="str">
        <f t="shared" si="11"/>
        <v>level III</v>
      </c>
    </row>
    <row r="770" spans="1:5" x14ac:dyDescent="0.15">
      <c r="A770" s="180">
        <v>5989</v>
      </c>
      <c r="B770" s="181" t="s">
        <v>1384</v>
      </c>
      <c r="C770" s="181" t="s">
        <v>1443</v>
      </c>
      <c r="D770" s="182">
        <v>1.05</v>
      </c>
      <c r="E770" s="180" t="str">
        <f t="shared" ref="E770:E833" si="12">IF(D770=0.95,"level I",IF(D770=1,"level II",IF(D770=1.05,"level III",IF(D770=1.1,"level IV",IF(D770=1.15,"level V",IF(D770=1.2,"level VI",IF(D770=0.9,"level 0","level VII")))))))</f>
        <v>level III</v>
      </c>
    </row>
    <row r="771" spans="1:5" x14ac:dyDescent="0.15">
      <c r="A771" s="180">
        <v>5992</v>
      </c>
      <c r="B771" s="181" t="s">
        <v>1384</v>
      </c>
      <c r="C771" s="181" t="s">
        <v>1444</v>
      </c>
      <c r="D771" s="182">
        <v>1.05</v>
      </c>
      <c r="E771" s="180" t="str">
        <f t="shared" si="12"/>
        <v>level III</v>
      </c>
    </row>
    <row r="772" spans="1:5" x14ac:dyDescent="0.15">
      <c r="A772" s="180">
        <v>5993</v>
      </c>
      <c r="B772" s="181" t="s">
        <v>1384</v>
      </c>
      <c r="C772" s="181" t="s">
        <v>1445</v>
      </c>
      <c r="D772" s="182">
        <v>1.05</v>
      </c>
      <c r="E772" s="180" t="str">
        <f t="shared" si="12"/>
        <v>level III</v>
      </c>
    </row>
    <row r="773" spans="1:5" x14ac:dyDescent="0.15">
      <c r="A773" s="180">
        <v>5994</v>
      </c>
      <c r="B773" s="181" t="s">
        <v>1384</v>
      </c>
      <c r="C773" s="181" t="s">
        <v>1446</v>
      </c>
      <c r="D773" s="182">
        <v>1.05</v>
      </c>
      <c r="E773" s="180" t="str">
        <f t="shared" si="12"/>
        <v>level III</v>
      </c>
    </row>
    <row r="774" spans="1:5" x14ac:dyDescent="0.15">
      <c r="A774" s="180">
        <v>5995</v>
      </c>
      <c r="B774" s="181" t="s">
        <v>1384</v>
      </c>
      <c r="C774" s="181" t="s">
        <v>1447</v>
      </c>
      <c r="D774" s="182">
        <v>1.05</v>
      </c>
      <c r="E774" s="180" t="str">
        <f t="shared" si="12"/>
        <v>level III</v>
      </c>
    </row>
    <row r="775" spans="1:5" x14ac:dyDescent="0.15">
      <c r="A775" s="180">
        <v>5999</v>
      </c>
      <c r="B775" s="181" t="s">
        <v>1384</v>
      </c>
      <c r="C775" s="181" t="s">
        <v>1448</v>
      </c>
      <c r="D775" s="182">
        <v>1.05</v>
      </c>
      <c r="E775" s="180" t="str">
        <f t="shared" si="12"/>
        <v>level III</v>
      </c>
    </row>
    <row r="776" spans="1:5" x14ac:dyDescent="0.15">
      <c r="A776" s="180">
        <v>6011</v>
      </c>
      <c r="B776" s="181" t="s">
        <v>1449</v>
      </c>
      <c r="C776" s="181" t="s">
        <v>1450</v>
      </c>
      <c r="D776" s="182">
        <v>1</v>
      </c>
      <c r="E776" s="180" t="str">
        <f t="shared" si="12"/>
        <v>level II</v>
      </c>
    </row>
    <row r="777" spans="1:5" x14ac:dyDescent="0.15">
      <c r="A777" s="180">
        <v>6019</v>
      </c>
      <c r="B777" s="181" t="s">
        <v>1449</v>
      </c>
      <c r="C777" s="181" t="s">
        <v>1451</v>
      </c>
      <c r="D777" s="182">
        <v>1</v>
      </c>
      <c r="E777" s="180" t="str">
        <f t="shared" si="12"/>
        <v>level II</v>
      </c>
    </row>
    <row r="778" spans="1:5" x14ac:dyDescent="0.15">
      <c r="A778" s="180">
        <v>6021</v>
      </c>
      <c r="B778" s="181" t="s">
        <v>1449</v>
      </c>
      <c r="C778" s="181" t="s">
        <v>1452</v>
      </c>
      <c r="D778" s="182">
        <v>1</v>
      </c>
      <c r="E778" s="180" t="str">
        <f t="shared" si="12"/>
        <v>level II</v>
      </c>
    </row>
    <row r="779" spans="1:5" x14ac:dyDescent="0.15">
      <c r="A779" s="180">
        <v>6022</v>
      </c>
      <c r="B779" s="181" t="s">
        <v>1449</v>
      </c>
      <c r="C779" s="181" t="s">
        <v>1453</v>
      </c>
      <c r="D779" s="182">
        <v>1</v>
      </c>
      <c r="E779" s="180" t="str">
        <f t="shared" si="12"/>
        <v>level II</v>
      </c>
    </row>
    <row r="780" spans="1:5" x14ac:dyDescent="0.15">
      <c r="A780" s="180">
        <v>6029</v>
      </c>
      <c r="B780" s="181" t="s">
        <v>1449</v>
      </c>
      <c r="C780" s="181" t="s">
        <v>1454</v>
      </c>
      <c r="D780" s="182">
        <v>1</v>
      </c>
      <c r="E780" s="180" t="str">
        <f t="shared" si="12"/>
        <v>level II</v>
      </c>
    </row>
    <row r="781" spans="1:5" x14ac:dyDescent="0.15">
      <c r="A781" s="180">
        <v>6035</v>
      </c>
      <c r="B781" s="181" t="s">
        <v>1449</v>
      </c>
      <c r="C781" s="181" t="s">
        <v>1455</v>
      </c>
      <c r="D781" s="182">
        <v>1</v>
      </c>
      <c r="E781" s="180" t="str">
        <f t="shared" si="12"/>
        <v>level II</v>
      </c>
    </row>
    <row r="782" spans="1:5" x14ac:dyDescent="0.15">
      <c r="A782" s="180">
        <v>6036</v>
      </c>
      <c r="B782" s="181" t="s">
        <v>1449</v>
      </c>
      <c r="C782" s="181" t="s">
        <v>1456</v>
      </c>
      <c r="D782" s="182">
        <v>1</v>
      </c>
      <c r="E782" s="180" t="str">
        <f t="shared" si="12"/>
        <v>level II</v>
      </c>
    </row>
    <row r="783" spans="1:5" x14ac:dyDescent="0.15">
      <c r="A783" s="180">
        <v>6061</v>
      </c>
      <c r="B783" s="181" t="s">
        <v>1449</v>
      </c>
      <c r="C783" s="181" t="s">
        <v>1457</v>
      </c>
      <c r="D783" s="182">
        <v>1</v>
      </c>
      <c r="E783" s="180" t="str">
        <f t="shared" si="12"/>
        <v>level II</v>
      </c>
    </row>
    <row r="784" spans="1:5" x14ac:dyDescent="0.15">
      <c r="A784" s="180">
        <v>6062</v>
      </c>
      <c r="B784" s="181" t="s">
        <v>1449</v>
      </c>
      <c r="C784" s="181" t="s">
        <v>1458</v>
      </c>
      <c r="D784" s="182">
        <v>1</v>
      </c>
      <c r="E784" s="180" t="str">
        <f t="shared" si="12"/>
        <v>level II</v>
      </c>
    </row>
    <row r="785" spans="1:5" x14ac:dyDescent="0.15">
      <c r="A785" s="180">
        <v>6081</v>
      </c>
      <c r="B785" s="181" t="s">
        <v>1449</v>
      </c>
      <c r="C785" s="181" t="s">
        <v>1459</v>
      </c>
      <c r="D785" s="182">
        <v>1</v>
      </c>
      <c r="E785" s="180" t="str">
        <f t="shared" si="12"/>
        <v>level II</v>
      </c>
    </row>
    <row r="786" spans="1:5" x14ac:dyDescent="0.15">
      <c r="A786" s="180">
        <v>6082</v>
      </c>
      <c r="B786" s="181" t="s">
        <v>1449</v>
      </c>
      <c r="C786" s="181" t="s">
        <v>1460</v>
      </c>
      <c r="D786" s="182">
        <v>1</v>
      </c>
      <c r="E786" s="180" t="str">
        <f t="shared" si="12"/>
        <v>level II</v>
      </c>
    </row>
    <row r="787" spans="1:5" x14ac:dyDescent="0.15">
      <c r="A787" s="180">
        <v>6091</v>
      </c>
      <c r="B787" s="181" t="s">
        <v>1449</v>
      </c>
      <c r="C787" s="181" t="s">
        <v>1461</v>
      </c>
      <c r="D787" s="182">
        <v>1</v>
      </c>
      <c r="E787" s="180" t="str">
        <f t="shared" si="12"/>
        <v>level II</v>
      </c>
    </row>
    <row r="788" spans="1:5" x14ac:dyDescent="0.15">
      <c r="A788" s="180">
        <v>6099</v>
      </c>
      <c r="B788" s="181" t="s">
        <v>1449</v>
      </c>
      <c r="C788" s="181" t="s">
        <v>1462</v>
      </c>
      <c r="D788" s="182">
        <v>1</v>
      </c>
      <c r="E788" s="180" t="str">
        <f t="shared" si="12"/>
        <v>level II</v>
      </c>
    </row>
    <row r="789" spans="1:5" x14ac:dyDescent="0.15">
      <c r="A789" s="180">
        <v>6111</v>
      </c>
      <c r="B789" s="181" t="s">
        <v>1449</v>
      </c>
      <c r="C789" s="181" t="s">
        <v>1463</v>
      </c>
      <c r="D789" s="182">
        <v>1</v>
      </c>
      <c r="E789" s="180" t="str">
        <f t="shared" si="12"/>
        <v>level II</v>
      </c>
    </row>
    <row r="790" spans="1:5" x14ac:dyDescent="0.15">
      <c r="A790" s="180">
        <v>6141</v>
      </c>
      <c r="B790" s="181" t="s">
        <v>1449</v>
      </c>
      <c r="C790" s="181" t="s">
        <v>1464</v>
      </c>
      <c r="D790" s="182">
        <v>1</v>
      </c>
      <c r="E790" s="180" t="str">
        <f t="shared" si="12"/>
        <v>level II</v>
      </c>
    </row>
    <row r="791" spans="1:5" x14ac:dyDescent="0.15">
      <c r="A791" s="180">
        <v>6153</v>
      </c>
      <c r="B791" s="181" t="s">
        <v>1449</v>
      </c>
      <c r="C791" s="181" t="s">
        <v>1465</v>
      </c>
      <c r="D791" s="182">
        <v>1</v>
      </c>
      <c r="E791" s="180" t="str">
        <f t="shared" si="12"/>
        <v>level II</v>
      </c>
    </row>
    <row r="792" spans="1:5" x14ac:dyDescent="0.15">
      <c r="A792" s="180">
        <v>6159</v>
      </c>
      <c r="B792" s="181" t="s">
        <v>1449</v>
      </c>
      <c r="C792" s="181" t="s">
        <v>1466</v>
      </c>
      <c r="D792" s="182">
        <v>1</v>
      </c>
      <c r="E792" s="180" t="str">
        <f t="shared" si="12"/>
        <v>level II</v>
      </c>
    </row>
    <row r="793" spans="1:5" x14ac:dyDescent="0.15">
      <c r="A793" s="180">
        <v>6162</v>
      </c>
      <c r="B793" s="181" t="s">
        <v>1449</v>
      </c>
      <c r="C793" s="181" t="s">
        <v>1467</v>
      </c>
      <c r="D793" s="182">
        <v>1</v>
      </c>
      <c r="E793" s="180" t="str">
        <f t="shared" si="12"/>
        <v>level II</v>
      </c>
    </row>
    <row r="794" spans="1:5" x14ac:dyDescent="0.15">
      <c r="A794" s="180">
        <v>6163</v>
      </c>
      <c r="B794" s="181" t="s">
        <v>1449</v>
      </c>
      <c r="C794" s="181" t="s">
        <v>1468</v>
      </c>
      <c r="D794" s="182">
        <v>1</v>
      </c>
      <c r="E794" s="180" t="str">
        <f t="shared" si="12"/>
        <v>level II</v>
      </c>
    </row>
    <row r="795" spans="1:5" x14ac:dyDescent="0.15">
      <c r="A795" s="180">
        <v>6211</v>
      </c>
      <c r="B795" s="181" t="s">
        <v>1449</v>
      </c>
      <c r="C795" s="181" t="s">
        <v>1469</v>
      </c>
      <c r="D795" s="182">
        <v>1.1499999999999999</v>
      </c>
      <c r="E795" s="180" t="str">
        <f t="shared" si="12"/>
        <v>level V</v>
      </c>
    </row>
    <row r="796" spans="1:5" x14ac:dyDescent="0.15">
      <c r="A796" s="180">
        <v>6221</v>
      </c>
      <c r="B796" s="181" t="s">
        <v>1449</v>
      </c>
      <c r="C796" s="181" t="s">
        <v>1470</v>
      </c>
      <c r="D796" s="182">
        <v>1.1499999999999999</v>
      </c>
      <c r="E796" s="180" t="str">
        <f t="shared" si="12"/>
        <v>level V</v>
      </c>
    </row>
    <row r="797" spans="1:5" x14ac:dyDescent="0.15">
      <c r="A797" s="180">
        <v>6231</v>
      </c>
      <c r="B797" s="181" t="s">
        <v>1449</v>
      </c>
      <c r="C797" s="181" t="s">
        <v>1471</v>
      </c>
      <c r="D797" s="182">
        <v>1.1499999999999999</v>
      </c>
      <c r="E797" s="180" t="str">
        <f t="shared" si="12"/>
        <v>level V</v>
      </c>
    </row>
    <row r="798" spans="1:5" x14ac:dyDescent="0.15">
      <c r="A798" s="180">
        <v>6282</v>
      </c>
      <c r="B798" s="181" t="s">
        <v>1449</v>
      </c>
      <c r="C798" s="181" t="s">
        <v>1472</v>
      </c>
      <c r="D798" s="182">
        <v>1.1499999999999999</v>
      </c>
      <c r="E798" s="180" t="str">
        <f t="shared" si="12"/>
        <v>level V</v>
      </c>
    </row>
    <row r="799" spans="1:5" x14ac:dyDescent="0.15">
      <c r="A799" s="180">
        <v>6289</v>
      </c>
      <c r="B799" s="181" t="s">
        <v>1449</v>
      </c>
      <c r="C799" s="181" t="s">
        <v>1473</v>
      </c>
      <c r="D799" s="182">
        <v>1.1499999999999999</v>
      </c>
      <c r="E799" s="180" t="str">
        <f t="shared" si="12"/>
        <v>level V</v>
      </c>
    </row>
    <row r="800" spans="1:5" x14ac:dyDescent="0.15">
      <c r="A800" s="180">
        <v>6311</v>
      </c>
      <c r="B800" s="181" t="s">
        <v>1449</v>
      </c>
      <c r="C800" s="181" t="s">
        <v>1474</v>
      </c>
      <c r="D800" s="182">
        <v>1</v>
      </c>
      <c r="E800" s="180" t="str">
        <f t="shared" si="12"/>
        <v>level II</v>
      </c>
    </row>
    <row r="801" spans="1:5" x14ac:dyDescent="0.15">
      <c r="A801" s="180">
        <v>6321</v>
      </c>
      <c r="B801" s="181" t="s">
        <v>1449</v>
      </c>
      <c r="C801" s="181" t="s">
        <v>1475</v>
      </c>
      <c r="D801" s="182">
        <v>1</v>
      </c>
      <c r="E801" s="180" t="str">
        <f t="shared" si="12"/>
        <v>level II</v>
      </c>
    </row>
    <row r="802" spans="1:5" x14ac:dyDescent="0.15">
      <c r="A802" s="180">
        <v>6324</v>
      </c>
      <c r="B802" s="181" t="s">
        <v>1449</v>
      </c>
      <c r="C802" s="181" t="s">
        <v>1476</v>
      </c>
      <c r="D802" s="182">
        <v>1</v>
      </c>
      <c r="E802" s="180" t="str">
        <f t="shared" si="12"/>
        <v>level II</v>
      </c>
    </row>
    <row r="803" spans="1:5" x14ac:dyDescent="0.15">
      <c r="A803" s="180">
        <v>6331</v>
      </c>
      <c r="B803" s="181" t="s">
        <v>1449</v>
      </c>
      <c r="C803" s="181" t="s">
        <v>1477</v>
      </c>
      <c r="D803" s="182">
        <v>1</v>
      </c>
      <c r="E803" s="180" t="str">
        <f t="shared" si="12"/>
        <v>level II</v>
      </c>
    </row>
    <row r="804" spans="1:5" x14ac:dyDescent="0.15">
      <c r="A804" s="180">
        <v>6351</v>
      </c>
      <c r="B804" s="181" t="s">
        <v>1449</v>
      </c>
      <c r="C804" s="181" t="s">
        <v>1478</v>
      </c>
      <c r="D804" s="182">
        <v>1</v>
      </c>
      <c r="E804" s="180" t="str">
        <f t="shared" si="12"/>
        <v>level II</v>
      </c>
    </row>
    <row r="805" spans="1:5" x14ac:dyDescent="0.15">
      <c r="A805" s="180">
        <v>6361</v>
      </c>
      <c r="B805" s="181" t="s">
        <v>1449</v>
      </c>
      <c r="C805" s="181" t="s">
        <v>1479</v>
      </c>
      <c r="D805" s="182">
        <v>1</v>
      </c>
      <c r="E805" s="180" t="str">
        <f t="shared" si="12"/>
        <v>level II</v>
      </c>
    </row>
    <row r="806" spans="1:5" x14ac:dyDescent="0.15">
      <c r="A806" s="180">
        <v>6371</v>
      </c>
      <c r="B806" s="181" t="s">
        <v>1449</v>
      </c>
      <c r="C806" s="181" t="s">
        <v>1480</v>
      </c>
      <c r="D806" s="182">
        <v>1</v>
      </c>
      <c r="E806" s="180" t="str">
        <f t="shared" si="12"/>
        <v>level II</v>
      </c>
    </row>
    <row r="807" spans="1:5" x14ac:dyDescent="0.15">
      <c r="A807" s="180">
        <v>6399</v>
      </c>
      <c r="B807" s="181" t="s">
        <v>1449</v>
      </c>
      <c r="C807" s="181" t="s">
        <v>1481</v>
      </c>
      <c r="D807" s="182">
        <v>1</v>
      </c>
      <c r="E807" s="180" t="str">
        <f t="shared" si="12"/>
        <v>level II</v>
      </c>
    </row>
    <row r="808" spans="1:5" x14ac:dyDescent="0.15">
      <c r="A808" s="180">
        <v>6411</v>
      </c>
      <c r="B808" s="181" t="s">
        <v>1449</v>
      </c>
      <c r="C808" s="181" t="s">
        <v>1482</v>
      </c>
      <c r="D808" s="182">
        <v>1.05</v>
      </c>
      <c r="E808" s="180" t="str">
        <f t="shared" si="12"/>
        <v>level III</v>
      </c>
    </row>
    <row r="809" spans="1:5" x14ac:dyDescent="0.15">
      <c r="A809" s="180">
        <v>6512</v>
      </c>
      <c r="B809" s="181" t="s">
        <v>1449</v>
      </c>
      <c r="C809" s="181" t="s">
        <v>1483</v>
      </c>
      <c r="D809" s="182">
        <v>1.05</v>
      </c>
      <c r="E809" s="180" t="str">
        <f t="shared" si="12"/>
        <v>level III</v>
      </c>
    </row>
    <row r="810" spans="1:5" x14ac:dyDescent="0.15">
      <c r="A810" s="180">
        <v>6513</v>
      </c>
      <c r="B810" s="181" t="s">
        <v>1449</v>
      </c>
      <c r="C810" s="181" t="s">
        <v>1484</v>
      </c>
      <c r="D810" s="182">
        <v>1.05</v>
      </c>
      <c r="E810" s="180" t="str">
        <f t="shared" si="12"/>
        <v>level III</v>
      </c>
    </row>
    <row r="811" spans="1:5" x14ac:dyDescent="0.15">
      <c r="A811" s="180">
        <v>6514</v>
      </c>
      <c r="B811" s="181" t="s">
        <v>1449</v>
      </c>
      <c r="C811" s="181" t="s">
        <v>1485</v>
      </c>
      <c r="D811" s="182">
        <v>1.05</v>
      </c>
      <c r="E811" s="180" t="str">
        <f t="shared" si="12"/>
        <v>level III</v>
      </c>
    </row>
    <row r="812" spans="1:5" x14ac:dyDescent="0.15">
      <c r="A812" s="180">
        <v>6515</v>
      </c>
      <c r="B812" s="181" t="s">
        <v>1449</v>
      </c>
      <c r="C812" s="181" t="s">
        <v>1486</v>
      </c>
      <c r="D812" s="182">
        <v>1.05</v>
      </c>
      <c r="E812" s="180" t="str">
        <f t="shared" si="12"/>
        <v>level III</v>
      </c>
    </row>
    <row r="813" spans="1:5" x14ac:dyDescent="0.15">
      <c r="A813" s="180">
        <v>6517</v>
      </c>
      <c r="B813" s="181" t="s">
        <v>1449</v>
      </c>
      <c r="C813" s="181" t="s">
        <v>1487</v>
      </c>
      <c r="D813" s="182">
        <v>1.05</v>
      </c>
      <c r="E813" s="180" t="str">
        <f t="shared" si="12"/>
        <v>level III</v>
      </c>
    </row>
    <row r="814" spans="1:5" x14ac:dyDescent="0.15">
      <c r="A814" s="180">
        <v>6519</v>
      </c>
      <c r="B814" s="181" t="s">
        <v>1449</v>
      </c>
      <c r="C814" s="181" t="s">
        <v>1488</v>
      </c>
      <c r="D814" s="182">
        <v>1.05</v>
      </c>
      <c r="E814" s="180" t="str">
        <f t="shared" si="12"/>
        <v>level III</v>
      </c>
    </row>
    <row r="815" spans="1:5" x14ac:dyDescent="0.15">
      <c r="A815" s="180">
        <v>6531</v>
      </c>
      <c r="B815" s="181" t="s">
        <v>1449</v>
      </c>
      <c r="C815" s="181" t="s">
        <v>1489</v>
      </c>
      <c r="D815" s="182">
        <v>1.05</v>
      </c>
      <c r="E815" s="180" t="str">
        <f t="shared" si="12"/>
        <v>level III</v>
      </c>
    </row>
    <row r="816" spans="1:5" x14ac:dyDescent="0.15">
      <c r="A816" s="180">
        <v>6552</v>
      </c>
      <c r="B816" s="181" t="s">
        <v>1449</v>
      </c>
      <c r="C816" s="181" t="s">
        <v>1490</v>
      </c>
      <c r="D816" s="182">
        <v>1.05</v>
      </c>
      <c r="E816" s="180" t="str">
        <f t="shared" si="12"/>
        <v>level III</v>
      </c>
    </row>
    <row r="817" spans="1:5" x14ac:dyDescent="0.15">
      <c r="A817" s="180">
        <v>6553</v>
      </c>
      <c r="B817" s="181" t="s">
        <v>1449</v>
      </c>
      <c r="C817" s="181" t="s">
        <v>1491</v>
      </c>
      <c r="D817" s="182">
        <v>1.05</v>
      </c>
      <c r="E817" s="180" t="str">
        <f t="shared" si="12"/>
        <v>level III</v>
      </c>
    </row>
    <row r="818" spans="1:5" x14ac:dyDescent="0.15">
      <c r="A818" s="180">
        <v>6712</v>
      </c>
      <c r="B818" s="181" t="s">
        <v>1449</v>
      </c>
      <c r="C818" s="181" t="s">
        <v>1492</v>
      </c>
      <c r="D818" s="182">
        <v>1</v>
      </c>
      <c r="E818" s="180" t="str">
        <f t="shared" si="12"/>
        <v>level II</v>
      </c>
    </row>
    <row r="819" spans="1:5" x14ac:dyDescent="0.15">
      <c r="A819" s="180">
        <v>6719</v>
      </c>
      <c r="B819" s="181" t="s">
        <v>1449</v>
      </c>
      <c r="C819" s="181" t="s">
        <v>1493</v>
      </c>
      <c r="D819" s="182">
        <v>1</v>
      </c>
      <c r="E819" s="180" t="str">
        <f t="shared" si="12"/>
        <v>level II</v>
      </c>
    </row>
    <row r="820" spans="1:5" x14ac:dyDescent="0.15">
      <c r="A820" s="180">
        <v>6722</v>
      </c>
      <c r="B820" s="181" t="s">
        <v>1449</v>
      </c>
      <c r="C820" s="181" t="s">
        <v>1494</v>
      </c>
      <c r="D820" s="182">
        <v>1</v>
      </c>
      <c r="E820" s="180" t="str">
        <f t="shared" si="12"/>
        <v>level II</v>
      </c>
    </row>
    <row r="821" spans="1:5" x14ac:dyDescent="0.15">
      <c r="A821" s="180">
        <v>6726</v>
      </c>
      <c r="B821" s="181" t="s">
        <v>1449</v>
      </c>
      <c r="C821" s="181" t="s">
        <v>1495</v>
      </c>
      <c r="D821" s="182">
        <v>1</v>
      </c>
      <c r="E821" s="180" t="str">
        <f t="shared" si="12"/>
        <v>level II</v>
      </c>
    </row>
    <row r="822" spans="1:5" x14ac:dyDescent="0.15">
      <c r="A822" s="180">
        <v>6732</v>
      </c>
      <c r="B822" s="181" t="s">
        <v>1449</v>
      </c>
      <c r="C822" s="181" t="s">
        <v>1496</v>
      </c>
      <c r="D822" s="182">
        <v>1</v>
      </c>
      <c r="E822" s="180" t="str">
        <f t="shared" si="12"/>
        <v>level II</v>
      </c>
    </row>
    <row r="823" spans="1:5" x14ac:dyDescent="0.15">
      <c r="A823" s="180">
        <v>6733</v>
      </c>
      <c r="B823" s="181" t="s">
        <v>1449</v>
      </c>
      <c r="C823" s="181" t="s">
        <v>1497</v>
      </c>
      <c r="D823" s="182">
        <v>1</v>
      </c>
      <c r="E823" s="180" t="str">
        <f t="shared" si="12"/>
        <v>level II</v>
      </c>
    </row>
    <row r="824" spans="1:5" x14ac:dyDescent="0.15">
      <c r="A824" s="180">
        <v>6792</v>
      </c>
      <c r="B824" s="181" t="s">
        <v>1449</v>
      </c>
      <c r="C824" s="181" t="s">
        <v>1498</v>
      </c>
      <c r="D824" s="182">
        <v>1</v>
      </c>
      <c r="E824" s="180" t="str">
        <f t="shared" si="12"/>
        <v>level II</v>
      </c>
    </row>
    <row r="825" spans="1:5" x14ac:dyDescent="0.15">
      <c r="A825" s="180">
        <v>6794</v>
      </c>
      <c r="B825" s="181" t="s">
        <v>1449</v>
      </c>
      <c r="C825" s="181" t="s">
        <v>1499</v>
      </c>
      <c r="D825" s="182">
        <v>1</v>
      </c>
      <c r="E825" s="180" t="str">
        <f t="shared" si="12"/>
        <v>level II</v>
      </c>
    </row>
    <row r="826" spans="1:5" x14ac:dyDescent="0.15">
      <c r="A826" s="180">
        <v>6798</v>
      </c>
      <c r="B826" s="181" t="s">
        <v>1449</v>
      </c>
      <c r="C826" s="181" t="s">
        <v>1500</v>
      </c>
      <c r="D826" s="182">
        <v>1</v>
      </c>
      <c r="E826" s="180" t="str">
        <f t="shared" si="12"/>
        <v>level II</v>
      </c>
    </row>
    <row r="827" spans="1:5" x14ac:dyDescent="0.15">
      <c r="A827" s="180">
        <v>6799</v>
      </c>
      <c r="B827" s="181" t="s">
        <v>1449</v>
      </c>
      <c r="C827" s="181" t="s">
        <v>1501</v>
      </c>
      <c r="D827" s="182">
        <v>1</v>
      </c>
      <c r="E827" s="180" t="str">
        <f t="shared" si="12"/>
        <v>level II</v>
      </c>
    </row>
    <row r="828" spans="1:5" x14ac:dyDescent="0.15">
      <c r="A828" s="180">
        <v>7011</v>
      </c>
      <c r="B828" s="181" t="s">
        <v>1502</v>
      </c>
      <c r="C828" s="181" t="s">
        <v>1503</v>
      </c>
      <c r="D828" s="182">
        <v>1.2</v>
      </c>
      <c r="E828" s="180" t="str">
        <f t="shared" si="12"/>
        <v>level VI</v>
      </c>
    </row>
    <row r="829" spans="1:5" x14ac:dyDescent="0.15">
      <c r="A829" s="180">
        <v>7021</v>
      </c>
      <c r="B829" s="181" t="s">
        <v>1502</v>
      </c>
      <c r="C829" s="181" t="s">
        <v>1504</v>
      </c>
      <c r="D829" s="182">
        <v>1.2</v>
      </c>
      <c r="E829" s="180" t="str">
        <f t="shared" si="12"/>
        <v>level VI</v>
      </c>
    </row>
    <row r="830" spans="1:5" x14ac:dyDescent="0.15">
      <c r="A830" s="180">
        <v>7032</v>
      </c>
      <c r="B830" s="181" t="s">
        <v>1502</v>
      </c>
      <c r="C830" s="181" t="s">
        <v>1505</v>
      </c>
      <c r="D830" s="182">
        <v>1.2</v>
      </c>
      <c r="E830" s="180" t="str">
        <f t="shared" si="12"/>
        <v>level VI</v>
      </c>
    </row>
    <row r="831" spans="1:5" x14ac:dyDescent="0.15">
      <c r="A831" s="180">
        <v>7033</v>
      </c>
      <c r="B831" s="181" t="s">
        <v>1502</v>
      </c>
      <c r="C831" s="181" t="s">
        <v>1506</v>
      </c>
      <c r="D831" s="182">
        <v>1.2</v>
      </c>
      <c r="E831" s="180" t="str">
        <f t="shared" si="12"/>
        <v>level VI</v>
      </c>
    </row>
    <row r="832" spans="1:5" x14ac:dyDescent="0.15">
      <c r="A832" s="180">
        <v>7041</v>
      </c>
      <c r="B832" s="181" t="s">
        <v>1502</v>
      </c>
      <c r="C832" s="181" t="s">
        <v>1507</v>
      </c>
      <c r="D832" s="182">
        <v>1.2</v>
      </c>
      <c r="E832" s="180" t="str">
        <f t="shared" si="12"/>
        <v>level VI</v>
      </c>
    </row>
    <row r="833" spans="1:5" x14ac:dyDescent="0.15">
      <c r="A833" s="180">
        <v>7211</v>
      </c>
      <c r="B833" s="181" t="s">
        <v>1502</v>
      </c>
      <c r="C833" s="181" t="s">
        <v>1508</v>
      </c>
      <c r="D833" s="182">
        <v>1.2</v>
      </c>
      <c r="E833" s="180" t="str">
        <f t="shared" si="12"/>
        <v>level VI</v>
      </c>
    </row>
    <row r="834" spans="1:5" x14ac:dyDescent="0.15">
      <c r="A834" s="180">
        <v>7212</v>
      </c>
      <c r="B834" s="181" t="s">
        <v>1502</v>
      </c>
      <c r="C834" s="181" t="s">
        <v>1509</v>
      </c>
      <c r="D834" s="182">
        <v>1.2</v>
      </c>
      <c r="E834" s="180" t="str">
        <f t="shared" ref="E834:E897" si="13">IF(D834=0.95,"level I",IF(D834=1,"level II",IF(D834=1.05,"level III",IF(D834=1.1,"level IV",IF(D834=1.15,"level V",IF(D834=1.2,"level VI",IF(D834=0.9,"level 0","level VII")))))))</f>
        <v>level VI</v>
      </c>
    </row>
    <row r="835" spans="1:5" x14ac:dyDescent="0.15">
      <c r="A835" s="180">
        <v>7213</v>
      </c>
      <c r="B835" s="181" t="s">
        <v>1502</v>
      </c>
      <c r="C835" s="181" t="s">
        <v>1510</v>
      </c>
      <c r="D835" s="182">
        <v>1.2</v>
      </c>
      <c r="E835" s="180" t="str">
        <f t="shared" si="13"/>
        <v>level VI</v>
      </c>
    </row>
    <row r="836" spans="1:5" x14ac:dyDescent="0.15">
      <c r="A836" s="180">
        <v>7215</v>
      </c>
      <c r="B836" s="181" t="s">
        <v>1502</v>
      </c>
      <c r="C836" s="181" t="s">
        <v>1511</v>
      </c>
      <c r="D836" s="182">
        <v>1.2</v>
      </c>
      <c r="E836" s="180" t="str">
        <f t="shared" si="13"/>
        <v>level VI</v>
      </c>
    </row>
    <row r="837" spans="1:5" x14ac:dyDescent="0.15">
      <c r="A837" s="180">
        <v>7216</v>
      </c>
      <c r="B837" s="181" t="s">
        <v>1502</v>
      </c>
      <c r="C837" s="181" t="s">
        <v>1512</v>
      </c>
      <c r="D837" s="182">
        <v>1.2</v>
      </c>
      <c r="E837" s="180" t="str">
        <f t="shared" si="13"/>
        <v>level VI</v>
      </c>
    </row>
    <row r="838" spans="1:5" x14ac:dyDescent="0.15">
      <c r="A838" s="180">
        <v>7217</v>
      </c>
      <c r="B838" s="181" t="s">
        <v>1502</v>
      </c>
      <c r="C838" s="181" t="s">
        <v>1513</v>
      </c>
      <c r="D838" s="182">
        <v>1.2</v>
      </c>
      <c r="E838" s="180" t="str">
        <f t="shared" si="13"/>
        <v>level VI</v>
      </c>
    </row>
    <row r="839" spans="1:5" x14ac:dyDescent="0.15">
      <c r="A839" s="180">
        <v>7218</v>
      </c>
      <c r="B839" s="181" t="s">
        <v>1502</v>
      </c>
      <c r="C839" s="181" t="s">
        <v>1514</v>
      </c>
      <c r="D839" s="182">
        <v>1.2</v>
      </c>
      <c r="E839" s="180" t="str">
        <f t="shared" si="13"/>
        <v>level VI</v>
      </c>
    </row>
    <row r="840" spans="1:5" x14ac:dyDescent="0.15">
      <c r="A840" s="180">
        <v>7219</v>
      </c>
      <c r="B840" s="181" t="s">
        <v>1502</v>
      </c>
      <c r="C840" s="181" t="s">
        <v>1515</v>
      </c>
      <c r="D840" s="182">
        <v>1.2</v>
      </c>
      <c r="E840" s="180" t="str">
        <f t="shared" si="13"/>
        <v>level VI</v>
      </c>
    </row>
    <row r="841" spans="1:5" x14ac:dyDescent="0.15">
      <c r="A841" s="180">
        <v>7221</v>
      </c>
      <c r="B841" s="181" t="s">
        <v>1502</v>
      </c>
      <c r="C841" s="181" t="s">
        <v>1516</v>
      </c>
      <c r="D841" s="182">
        <v>1.2</v>
      </c>
      <c r="E841" s="180" t="str">
        <f t="shared" si="13"/>
        <v>level VI</v>
      </c>
    </row>
    <row r="842" spans="1:5" x14ac:dyDescent="0.15">
      <c r="A842" s="180">
        <v>7231</v>
      </c>
      <c r="B842" s="181" t="s">
        <v>1502</v>
      </c>
      <c r="C842" s="181" t="s">
        <v>1517</v>
      </c>
      <c r="D842" s="182">
        <v>1.2</v>
      </c>
      <c r="E842" s="180" t="str">
        <f t="shared" si="13"/>
        <v>level VI</v>
      </c>
    </row>
    <row r="843" spans="1:5" x14ac:dyDescent="0.15">
      <c r="A843" s="180">
        <v>7241</v>
      </c>
      <c r="B843" s="181" t="s">
        <v>1502</v>
      </c>
      <c r="C843" s="181" t="s">
        <v>1518</v>
      </c>
      <c r="D843" s="182">
        <v>1.2</v>
      </c>
      <c r="E843" s="180" t="str">
        <f t="shared" si="13"/>
        <v>level VI</v>
      </c>
    </row>
    <row r="844" spans="1:5" x14ac:dyDescent="0.15">
      <c r="A844" s="180">
        <v>7251</v>
      </c>
      <c r="B844" s="181" t="s">
        <v>1502</v>
      </c>
      <c r="C844" s="181" t="s">
        <v>1519</v>
      </c>
      <c r="D844" s="182">
        <v>1.2</v>
      </c>
      <c r="E844" s="180" t="str">
        <f t="shared" si="13"/>
        <v>level VI</v>
      </c>
    </row>
    <row r="845" spans="1:5" x14ac:dyDescent="0.15">
      <c r="A845" s="180">
        <v>7261</v>
      </c>
      <c r="B845" s="181" t="s">
        <v>1502</v>
      </c>
      <c r="C845" s="181" t="s">
        <v>1520</v>
      </c>
      <c r="D845" s="182">
        <v>1.2</v>
      </c>
      <c r="E845" s="180" t="str">
        <f t="shared" si="13"/>
        <v>level VI</v>
      </c>
    </row>
    <row r="846" spans="1:5" x14ac:dyDescent="0.15">
      <c r="A846" s="180">
        <v>7291</v>
      </c>
      <c r="B846" s="181" t="s">
        <v>1502</v>
      </c>
      <c r="C846" s="181" t="s">
        <v>1521</v>
      </c>
      <c r="D846" s="182">
        <v>1.2</v>
      </c>
      <c r="E846" s="180" t="str">
        <f t="shared" si="13"/>
        <v>level VI</v>
      </c>
    </row>
    <row r="847" spans="1:5" x14ac:dyDescent="0.15">
      <c r="A847" s="180">
        <v>7299</v>
      </c>
      <c r="B847" s="181" t="s">
        <v>1502</v>
      </c>
      <c r="C847" s="181" t="s">
        <v>1522</v>
      </c>
      <c r="D847" s="182">
        <v>1.2</v>
      </c>
      <c r="E847" s="180" t="str">
        <f t="shared" si="13"/>
        <v>level VI</v>
      </c>
    </row>
    <row r="848" spans="1:5" x14ac:dyDescent="0.15">
      <c r="A848" s="180">
        <v>7311</v>
      </c>
      <c r="B848" s="181" t="s">
        <v>1502</v>
      </c>
      <c r="C848" s="181" t="s">
        <v>1523</v>
      </c>
      <c r="D848" s="182">
        <v>1.05</v>
      </c>
      <c r="E848" s="180" t="str">
        <f t="shared" si="13"/>
        <v>level III</v>
      </c>
    </row>
    <row r="849" spans="1:5" x14ac:dyDescent="0.15">
      <c r="A849" s="180">
        <v>7312</v>
      </c>
      <c r="B849" s="181" t="s">
        <v>1502</v>
      </c>
      <c r="C849" s="181" t="s">
        <v>1524</v>
      </c>
      <c r="D849" s="182">
        <v>1.05</v>
      </c>
      <c r="E849" s="180" t="str">
        <f t="shared" si="13"/>
        <v>level III</v>
      </c>
    </row>
    <row r="850" spans="1:5" x14ac:dyDescent="0.15">
      <c r="A850" s="180">
        <v>7313</v>
      </c>
      <c r="B850" s="181" t="s">
        <v>1502</v>
      </c>
      <c r="C850" s="181" t="s">
        <v>1525</v>
      </c>
      <c r="D850" s="182">
        <v>1.05</v>
      </c>
      <c r="E850" s="180" t="str">
        <f t="shared" si="13"/>
        <v>level III</v>
      </c>
    </row>
    <row r="851" spans="1:5" x14ac:dyDescent="0.15">
      <c r="A851" s="180">
        <v>7319</v>
      </c>
      <c r="B851" s="181" t="s">
        <v>1502</v>
      </c>
      <c r="C851" s="181" t="s">
        <v>1526</v>
      </c>
      <c r="D851" s="182">
        <v>1.05</v>
      </c>
      <c r="E851" s="180" t="str">
        <f t="shared" si="13"/>
        <v>level III</v>
      </c>
    </row>
    <row r="852" spans="1:5" x14ac:dyDescent="0.15">
      <c r="A852" s="180">
        <v>7322</v>
      </c>
      <c r="B852" s="181" t="s">
        <v>1502</v>
      </c>
      <c r="C852" s="181" t="s">
        <v>1527</v>
      </c>
      <c r="D852" s="182">
        <v>1.05</v>
      </c>
      <c r="E852" s="180" t="str">
        <f t="shared" si="13"/>
        <v>level III</v>
      </c>
    </row>
    <row r="853" spans="1:5" x14ac:dyDescent="0.15">
      <c r="A853" s="180">
        <v>7323</v>
      </c>
      <c r="B853" s="181" t="s">
        <v>1502</v>
      </c>
      <c r="C853" s="181" t="s">
        <v>1528</v>
      </c>
      <c r="D853" s="182">
        <v>1.05</v>
      </c>
      <c r="E853" s="180" t="str">
        <f t="shared" si="13"/>
        <v>level III</v>
      </c>
    </row>
    <row r="854" spans="1:5" x14ac:dyDescent="0.15">
      <c r="A854" s="180">
        <v>7331</v>
      </c>
      <c r="B854" s="181" t="s">
        <v>1502</v>
      </c>
      <c r="C854" s="181" t="s">
        <v>1529</v>
      </c>
      <c r="D854" s="182">
        <v>1.05</v>
      </c>
      <c r="E854" s="180" t="str">
        <f t="shared" si="13"/>
        <v>level III</v>
      </c>
    </row>
    <row r="855" spans="1:5" x14ac:dyDescent="0.15">
      <c r="A855" s="180">
        <v>7334</v>
      </c>
      <c r="B855" s="181" t="s">
        <v>1502</v>
      </c>
      <c r="C855" s="181" t="s">
        <v>1530</v>
      </c>
      <c r="D855" s="182">
        <v>1.05</v>
      </c>
      <c r="E855" s="180" t="str">
        <f t="shared" si="13"/>
        <v>level III</v>
      </c>
    </row>
    <row r="856" spans="1:5" x14ac:dyDescent="0.15">
      <c r="A856" s="180">
        <v>7335</v>
      </c>
      <c r="B856" s="181" t="s">
        <v>1502</v>
      </c>
      <c r="C856" s="181" t="s">
        <v>1531</v>
      </c>
      <c r="D856" s="182">
        <v>1.05</v>
      </c>
      <c r="E856" s="180" t="str">
        <f t="shared" si="13"/>
        <v>level III</v>
      </c>
    </row>
    <row r="857" spans="1:5" x14ac:dyDescent="0.15">
      <c r="A857" s="180">
        <v>7336</v>
      </c>
      <c r="B857" s="181" t="s">
        <v>1502</v>
      </c>
      <c r="C857" s="181" t="s">
        <v>1532</v>
      </c>
      <c r="D857" s="182">
        <v>1.05</v>
      </c>
      <c r="E857" s="180" t="str">
        <f t="shared" si="13"/>
        <v>level III</v>
      </c>
    </row>
    <row r="858" spans="1:5" x14ac:dyDescent="0.15">
      <c r="A858" s="180">
        <v>7338</v>
      </c>
      <c r="B858" s="181" t="s">
        <v>1502</v>
      </c>
      <c r="C858" s="181" t="s">
        <v>1533</v>
      </c>
      <c r="D858" s="182">
        <v>1.05</v>
      </c>
      <c r="E858" s="180" t="str">
        <f t="shared" si="13"/>
        <v>level III</v>
      </c>
    </row>
    <row r="859" spans="1:5" x14ac:dyDescent="0.15">
      <c r="A859" s="180">
        <v>7342</v>
      </c>
      <c r="B859" s="181" t="s">
        <v>1502</v>
      </c>
      <c r="C859" s="181" t="s">
        <v>1534</v>
      </c>
      <c r="D859" s="182">
        <v>1.05</v>
      </c>
      <c r="E859" s="180" t="str">
        <f t="shared" si="13"/>
        <v>level III</v>
      </c>
    </row>
    <row r="860" spans="1:5" x14ac:dyDescent="0.15">
      <c r="A860" s="180">
        <v>7349</v>
      </c>
      <c r="B860" s="181" t="s">
        <v>1502</v>
      </c>
      <c r="C860" s="181" t="s">
        <v>1535</v>
      </c>
      <c r="D860" s="182">
        <v>1.05</v>
      </c>
      <c r="E860" s="180" t="str">
        <f t="shared" si="13"/>
        <v>level III</v>
      </c>
    </row>
    <row r="861" spans="1:5" x14ac:dyDescent="0.15">
      <c r="A861" s="180">
        <v>7352</v>
      </c>
      <c r="B861" s="181" t="s">
        <v>1502</v>
      </c>
      <c r="C861" s="181" t="s">
        <v>1536</v>
      </c>
      <c r="D861" s="182">
        <v>1.05</v>
      </c>
      <c r="E861" s="180" t="str">
        <f t="shared" si="13"/>
        <v>level III</v>
      </c>
    </row>
    <row r="862" spans="1:5" x14ac:dyDescent="0.15">
      <c r="A862" s="180">
        <v>7353</v>
      </c>
      <c r="B862" s="181" t="s">
        <v>1502</v>
      </c>
      <c r="C862" s="181" t="s">
        <v>1537</v>
      </c>
      <c r="D862" s="182">
        <v>1.05</v>
      </c>
      <c r="E862" s="180" t="str">
        <f t="shared" si="13"/>
        <v>level III</v>
      </c>
    </row>
    <row r="863" spans="1:5" x14ac:dyDescent="0.15">
      <c r="A863" s="180">
        <v>7359</v>
      </c>
      <c r="B863" s="181" t="s">
        <v>1502</v>
      </c>
      <c r="C863" s="181" t="s">
        <v>1538</v>
      </c>
      <c r="D863" s="182">
        <v>1.05</v>
      </c>
      <c r="E863" s="180" t="str">
        <f t="shared" si="13"/>
        <v>level III</v>
      </c>
    </row>
    <row r="864" spans="1:5" x14ac:dyDescent="0.15">
      <c r="A864" s="180">
        <v>7361</v>
      </c>
      <c r="B864" s="181" t="s">
        <v>1502</v>
      </c>
      <c r="C864" s="181" t="s">
        <v>1539</v>
      </c>
      <c r="D864" s="182">
        <v>1.05</v>
      </c>
      <c r="E864" s="180" t="str">
        <f t="shared" si="13"/>
        <v>level III</v>
      </c>
    </row>
    <row r="865" spans="1:5" x14ac:dyDescent="0.15">
      <c r="A865" s="180">
        <v>7363</v>
      </c>
      <c r="B865" s="181" t="s">
        <v>1502</v>
      </c>
      <c r="C865" s="181" t="s">
        <v>1540</v>
      </c>
      <c r="D865" s="182">
        <v>1.05</v>
      </c>
      <c r="E865" s="180" t="str">
        <f t="shared" si="13"/>
        <v>level III</v>
      </c>
    </row>
    <row r="866" spans="1:5" x14ac:dyDescent="0.15">
      <c r="A866" s="180">
        <v>7371</v>
      </c>
      <c r="B866" s="181" t="s">
        <v>1502</v>
      </c>
      <c r="C866" s="181" t="s">
        <v>1541</v>
      </c>
      <c r="D866" s="182">
        <v>0.9</v>
      </c>
      <c r="E866" s="180" t="str">
        <f t="shared" si="13"/>
        <v>level 0</v>
      </c>
    </row>
    <row r="867" spans="1:5" x14ac:dyDescent="0.15">
      <c r="A867" s="180">
        <v>7372</v>
      </c>
      <c r="B867" s="181" t="s">
        <v>1502</v>
      </c>
      <c r="C867" s="181" t="s">
        <v>1542</v>
      </c>
      <c r="D867" s="182">
        <v>0.9</v>
      </c>
      <c r="E867" s="180" t="str">
        <f t="shared" si="13"/>
        <v>level 0</v>
      </c>
    </row>
    <row r="868" spans="1:5" x14ac:dyDescent="0.15">
      <c r="A868" s="180">
        <v>7373</v>
      </c>
      <c r="B868" s="181" t="s">
        <v>1502</v>
      </c>
      <c r="C868" s="181" t="s">
        <v>1543</v>
      </c>
      <c r="D868" s="182">
        <v>0.9</v>
      </c>
      <c r="E868" s="180" t="str">
        <f t="shared" si="13"/>
        <v>level 0</v>
      </c>
    </row>
    <row r="869" spans="1:5" x14ac:dyDescent="0.15">
      <c r="A869" s="180">
        <v>7374</v>
      </c>
      <c r="B869" s="181" t="s">
        <v>1502</v>
      </c>
      <c r="C869" s="181" t="s">
        <v>1544</v>
      </c>
      <c r="D869" s="182">
        <v>0.9</v>
      </c>
      <c r="E869" s="180" t="str">
        <f t="shared" si="13"/>
        <v>level 0</v>
      </c>
    </row>
    <row r="870" spans="1:5" x14ac:dyDescent="0.15">
      <c r="A870" s="180">
        <v>7375</v>
      </c>
      <c r="B870" s="181" t="s">
        <v>1502</v>
      </c>
      <c r="C870" s="181" t="s">
        <v>1545</v>
      </c>
      <c r="D870" s="182">
        <v>0.9</v>
      </c>
      <c r="E870" s="180" t="str">
        <f t="shared" si="13"/>
        <v>level 0</v>
      </c>
    </row>
    <row r="871" spans="1:5" x14ac:dyDescent="0.15">
      <c r="A871" s="180">
        <v>7376</v>
      </c>
      <c r="B871" s="181" t="s">
        <v>1502</v>
      </c>
      <c r="C871" s="181" t="s">
        <v>1546</v>
      </c>
      <c r="D871" s="182">
        <v>0.9</v>
      </c>
      <c r="E871" s="180" t="str">
        <f t="shared" si="13"/>
        <v>level 0</v>
      </c>
    </row>
    <row r="872" spans="1:5" x14ac:dyDescent="0.15">
      <c r="A872" s="180">
        <v>7377</v>
      </c>
      <c r="B872" s="181" t="s">
        <v>1502</v>
      </c>
      <c r="C872" s="181" t="s">
        <v>1547</v>
      </c>
      <c r="D872" s="182">
        <v>0.9</v>
      </c>
      <c r="E872" s="180" t="str">
        <f t="shared" si="13"/>
        <v>level 0</v>
      </c>
    </row>
    <row r="873" spans="1:5" x14ac:dyDescent="0.15">
      <c r="A873" s="180">
        <v>7378</v>
      </c>
      <c r="B873" s="181" t="s">
        <v>1502</v>
      </c>
      <c r="C873" s="181" t="s">
        <v>1548</v>
      </c>
      <c r="D873" s="182">
        <v>0.9</v>
      </c>
      <c r="E873" s="180" t="str">
        <f t="shared" si="13"/>
        <v>level 0</v>
      </c>
    </row>
    <row r="874" spans="1:5" x14ac:dyDescent="0.15">
      <c r="A874" s="180">
        <v>7379</v>
      </c>
      <c r="B874" s="181" t="s">
        <v>1502</v>
      </c>
      <c r="C874" s="181" t="s">
        <v>1549</v>
      </c>
      <c r="D874" s="182">
        <v>0.9</v>
      </c>
      <c r="E874" s="180" t="str">
        <f t="shared" si="13"/>
        <v>level 0</v>
      </c>
    </row>
    <row r="875" spans="1:5" x14ac:dyDescent="0.15">
      <c r="A875" s="180">
        <v>7381</v>
      </c>
      <c r="B875" s="181" t="s">
        <v>1502</v>
      </c>
      <c r="C875" s="181" t="s">
        <v>1550</v>
      </c>
      <c r="D875" s="182">
        <v>1.05</v>
      </c>
      <c r="E875" s="180" t="str">
        <f t="shared" si="13"/>
        <v>level III</v>
      </c>
    </row>
    <row r="876" spans="1:5" x14ac:dyDescent="0.15">
      <c r="A876" s="180">
        <v>7382</v>
      </c>
      <c r="B876" s="181" t="s">
        <v>1502</v>
      </c>
      <c r="C876" s="181" t="s">
        <v>1551</v>
      </c>
      <c r="D876" s="182">
        <v>1.05</v>
      </c>
      <c r="E876" s="180" t="str">
        <f t="shared" si="13"/>
        <v>level III</v>
      </c>
    </row>
    <row r="877" spans="1:5" x14ac:dyDescent="0.15">
      <c r="A877" s="180">
        <v>7383</v>
      </c>
      <c r="B877" s="181" t="s">
        <v>1502</v>
      </c>
      <c r="C877" s="181" t="s">
        <v>1552</v>
      </c>
      <c r="D877" s="182">
        <v>1.05</v>
      </c>
      <c r="E877" s="180" t="str">
        <f t="shared" si="13"/>
        <v>level III</v>
      </c>
    </row>
    <row r="878" spans="1:5" x14ac:dyDescent="0.15">
      <c r="A878" s="180">
        <v>7384</v>
      </c>
      <c r="B878" s="181" t="s">
        <v>1502</v>
      </c>
      <c r="C878" s="181" t="s">
        <v>1553</v>
      </c>
      <c r="D878" s="182">
        <v>1.05</v>
      </c>
      <c r="E878" s="180" t="str">
        <f t="shared" si="13"/>
        <v>level III</v>
      </c>
    </row>
    <row r="879" spans="1:5" x14ac:dyDescent="0.15">
      <c r="A879" s="180">
        <v>7389</v>
      </c>
      <c r="B879" s="181" t="s">
        <v>1502</v>
      </c>
      <c r="C879" s="181" t="s">
        <v>1554</v>
      </c>
      <c r="D879" s="182">
        <v>1.05</v>
      </c>
      <c r="E879" s="180" t="str">
        <f t="shared" si="13"/>
        <v>level III</v>
      </c>
    </row>
    <row r="880" spans="1:5" x14ac:dyDescent="0.15">
      <c r="A880" s="180">
        <v>7513</v>
      </c>
      <c r="B880" s="181" t="s">
        <v>1502</v>
      </c>
      <c r="C880" s="181" t="s">
        <v>1555</v>
      </c>
      <c r="D880" s="182">
        <v>1.1000000000000001</v>
      </c>
      <c r="E880" s="180" t="str">
        <f t="shared" si="13"/>
        <v>level IV</v>
      </c>
    </row>
    <row r="881" spans="1:5" x14ac:dyDescent="0.15">
      <c r="A881" s="180">
        <v>7514</v>
      </c>
      <c r="B881" s="181" t="s">
        <v>1502</v>
      </c>
      <c r="C881" s="181" t="s">
        <v>1556</v>
      </c>
      <c r="D881" s="182">
        <v>1.1000000000000001</v>
      </c>
      <c r="E881" s="180" t="str">
        <f t="shared" si="13"/>
        <v>level IV</v>
      </c>
    </row>
    <row r="882" spans="1:5" x14ac:dyDescent="0.15">
      <c r="A882" s="180">
        <v>7515</v>
      </c>
      <c r="B882" s="181" t="s">
        <v>1502</v>
      </c>
      <c r="C882" s="181" t="s">
        <v>1557</v>
      </c>
      <c r="D882" s="182">
        <v>1.1000000000000001</v>
      </c>
      <c r="E882" s="180" t="str">
        <f t="shared" si="13"/>
        <v>level IV</v>
      </c>
    </row>
    <row r="883" spans="1:5" x14ac:dyDescent="0.15">
      <c r="A883" s="180">
        <v>7519</v>
      </c>
      <c r="B883" s="181" t="s">
        <v>1502</v>
      </c>
      <c r="C883" s="181" t="s">
        <v>1558</v>
      </c>
      <c r="D883" s="182">
        <v>1.1000000000000001</v>
      </c>
      <c r="E883" s="180" t="str">
        <f t="shared" si="13"/>
        <v>level IV</v>
      </c>
    </row>
    <row r="884" spans="1:5" x14ac:dyDescent="0.15">
      <c r="A884" s="180">
        <v>7521</v>
      </c>
      <c r="B884" s="181" t="s">
        <v>1502</v>
      </c>
      <c r="C884" s="181" t="s">
        <v>1559</v>
      </c>
      <c r="D884" s="182">
        <v>1.1000000000000001</v>
      </c>
      <c r="E884" s="180" t="str">
        <f t="shared" si="13"/>
        <v>level IV</v>
      </c>
    </row>
    <row r="885" spans="1:5" x14ac:dyDescent="0.15">
      <c r="A885" s="180">
        <v>7532</v>
      </c>
      <c r="B885" s="181" t="s">
        <v>1502</v>
      </c>
      <c r="C885" s="181" t="s">
        <v>1560</v>
      </c>
      <c r="D885" s="182">
        <v>1.1000000000000001</v>
      </c>
      <c r="E885" s="180" t="str">
        <f t="shared" si="13"/>
        <v>level IV</v>
      </c>
    </row>
    <row r="886" spans="1:5" x14ac:dyDescent="0.15">
      <c r="A886" s="180">
        <v>7533</v>
      </c>
      <c r="B886" s="181" t="s">
        <v>1502</v>
      </c>
      <c r="C886" s="181" t="s">
        <v>1561</v>
      </c>
      <c r="D886" s="182">
        <v>1.1000000000000001</v>
      </c>
      <c r="E886" s="180" t="str">
        <f t="shared" si="13"/>
        <v>level IV</v>
      </c>
    </row>
    <row r="887" spans="1:5" x14ac:dyDescent="0.15">
      <c r="A887" s="180">
        <v>7534</v>
      </c>
      <c r="B887" s="181" t="s">
        <v>1502</v>
      </c>
      <c r="C887" s="181" t="s">
        <v>1562</v>
      </c>
      <c r="D887" s="182">
        <v>1.1000000000000001</v>
      </c>
      <c r="E887" s="180" t="str">
        <f t="shared" si="13"/>
        <v>level IV</v>
      </c>
    </row>
    <row r="888" spans="1:5" x14ac:dyDescent="0.15">
      <c r="A888" s="180">
        <v>7536</v>
      </c>
      <c r="B888" s="181" t="s">
        <v>1502</v>
      </c>
      <c r="C888" s="181" t="s">
        <v>1563</v>
      </c>
      <c r="D888" s="182">
        <v>1.1000000000000001</v>
      </c>
      <c r="E888" s="180" t="str">
        <f t="shared" si="13"/>
        <v>level IV</v>
      </c>
    </row>
    <row r="889" spans="1:5" x14ac:dyDescent="0.15">
      <c r="A889" s="180">
        <v>7537</v>
      </c>
      <c r="B889" s="181" t="s">
        <v>1502</v>
      </c>
      <c r="C889" s="181" t="s">
        <v>1564</v>
      </c>
      <c r="D889" s="182">
        <v>1.1000000000000001</v>
      </c>
      <c r="E889" s="180" t="str">
        <f t="shared" si="13"/>
        <v>level IV</v>
      </c>
    </row>
    <row r="890" spans="1:5" x14ac:dyDescent="0.15">
      <c r="A890" s="180">
        <v>7538</v>
      </c>
      <c r="B890" s="181" t="s">
        <v>1502</v>
      </c>
      <c r="C890" s="181" t="s">
        <v>1565</v>
      </c>
      <c r="D890" s="182">
        <v>1.1000000000000001</v>
      </c>
      <c r="E890" s="180" t="str">
        <f t="shared" si="13"/>
        <v>level IV</v>
      </c>
    </row>
    <row r="891" spans="1:5" x14ac:dyDescent="0.15">
      <c r="A891" s="180">
        <v>7539</v>
      </c>
      <c r="B891" s="181" t="s">
        <v>1502</v>
      </c>
      <c r="C891" s="181" t="s">
        <v>1566</v>
      </c>
      <c r="D891" s="182">
        <v>1.1000000000000001</v>
      </c>
      <c r="E891" s="180" t="str">
        <f t="shared" si="13"/>
        <v>level IV</v>
      </c>
    </row>
    <row r="892" spans="1:5" x14ac:dyDescent="0.15">
      <c r="A892" s="180">
        <v>7542</v>
      </c>
      <c r="B892" s="181" t="s">
        <v>1502</v>
      </c>
      <c r="C892" s="181" t="s">
        <v>1567</v>
      </c>
      <c r="D892" s="182">
        <v>1.1000000000000001</v>
      </c>
      <c r="E892" s="180" t="str">
        <f t="shared" si="13"/>
        <v>level IV</v>
      </c>
    </row>
    <row r="893" spans="1:5" x14ac:dyDescent="0.15">
      <c r="A893" s="180">
        <v>7549</v>
      </c>
      <c r="B893" s="181" t="s">
        <v>1502</v>
      </c>
      <c r="C893" s="181" t="s">
        <v>1568</v>
      </c>
      <c r="D893" s="182">
        <v>1.1000000000000001</v>
      </c>
      <c r="E893" s="180" t="str">
        <f t="shared" si="13"/>
        <v>level IV</v>
      </c>
    </row>
    <row r="894" spans="1:5" x14ac:dyDescent="0.15">
      <c r="A894" s="180">
        <v>7622</v>
      </c>
      <c r="B894" s="181" t="s">
        <v>1502</v>
      </c>
      <c r="C894" s="181" t="s">
        <v>1569</v>
      </c>
      <c r="D894" s="182">
        <v>1.05</v>
      </c>
      <c r="E894" s="180" t="str">
        <f t="shared" si="13"/>
        <v>level III</v>
      </c>
    </row>
    <row r="895" spans="1:5" x14ac:dyDescent="0.15">
      <c r="A895" s="180">
        <v>7623</v>
      </c>
      <c r="B895" s="181" t="s">
        <v>1502</v>
      </c>
      <c r="C895" s="181" t="s">
        <v>1570</v>
      </c>
      <c r="D895" s="182">
        <v>1.05</v>
      </c>
      <c r="E895" s="180" t="str">
        <f t="shared" si="13"/>
        <v>level III</v>
      </c>
    </row>
    <row r="896" spans="1:5" x14ac:dyDescent="0.15">
      <c r="A896" s="180">
        <v>7629</v>
      </c>
      <c r="B896" s="181" t="s">
        <v>1502</v>
      </c>
      <c r="C896" s="181" t="s">
        <v>1571</v>
      </c>
      <c r="D896" s="182">
        <v>1.05</v>
      </c>
      <c r="E896" s="180" t="str">
        <f t="shared" si="13"/>
        <v>level III</v>
      </c>
    </row>
    <row r="897" spans="1:5" x14ac:dyDescent="0.15">
      <c r="A897" s="180">
        <v>7631</v>
      </c>
      <c r="B897" s="181" t="s">
        <v>1502</v>
      </c>
      <c r="C897" s="181" t="s">
        <v>1572</v>
      </c>
      <c r="D897" s="182">
        <v>1.05</v>
      </c>
      <c r="E897" s="180" t="str">
        <f t="shared" si="13"/>
        <v>level III</v>
      </c>
    </row>
    <row r="898" spans="1:5" x14ac:dyDescent="0.15">
      <c r="A898" s="180">
        <v>7641</v>
      </c>
      <c r="B898" s="181" t="s">
        <v>1502</v>
      </c>
      <c r="C898" s="181" t="s">
        <v>1573</v>
      </c>
      <c r="D898" s="182">
        <v>1.05</v>
      </c>
      <c r="E898" s="180" t="str">
        <f t="shared" ref="E898:E961" si="14">IF(D898=0.95,"level I",IF(D898=1,"level II",IF(D898=1.05,"level III",IF(D898=1.1,"level IV",IF(D898=1.15,"level V",IF(D898=1.2,"level VI",IF(D898=0.9,"level 0","level VII")))))))</f>
        <v>level III</v>
      </c>
    </row>
    <row r="899" spans="1:5" x14ac:dyDescent="0.15">
      <c r="A899" s="180">
        <v>7692</v>
      </c>
      <c r="B899" s="181" t="s">
        <v>1502</v>
      </c>
      <c r="C899" s="181" t="s">
        <v>1574</v>
      </c>
      <c r="D899" s="182">
        <v>1.05</v>
      </c>
      <c r="E899" s="180" t="str">
        <f t="shared" si="14"/>
        <v>level III</v>
      </c>
    </row>
    <row r="900" spans="1:5" x14ac:dyDescent="0.15">
      <c r="A900" s="180">
        <v>7694</v>
      </c>
      <c r="B900" s="181" t="s">
        <v>1502</v>
      </c>
      <c r="C900" s="181" t="s">
        <v>1575</v>
      </c>
      <c r="D900" s="182">
        <v>1.05</v>
      </c>
      <c r="E900" s="180" t="str">
        <f t="shared" si="14"/>
        <v>level III</v>
      </c>
    </row>
    <row r="901" spans="1:5" x14ac:dyDescent="0.15">
      <c r="A901" s="180">
        <v>7699</v>
      </c>
      <c r="B901" s="181" t="s">
        <v>1502</v>
      </c>
      <c r="C901" s="181" t="s">
        <v>1576</v>
      </c>
      <c r="D901" s="182">
        <v>1.05</v>
      </c>
      <c r="E901" s="180" t="str">
        <f t="shared" si="14"/>
        <v>level III</v>
      </c>
    </row>
    <row r="902" spans="1:5" x14ac:dyDescent="0.15">
      <c r="A902" s="180">
        <v>7812</v>
      </c>
      <c r="B902" s="181" t="s">
        <v>1502</v>
      </c>
      <c r="C902" s="181" t="s">
        <v>1577</v>
      </c>
      <c r="D902" s="182">
        <v>1.2</v>
      </c>
      <c r="E902" s="180" t="str">
        <f t="shared" si="14"/>
        <v>level VI</v>
      </c>
    </row>
    <row r="903" spans="1:5" x14ac:dyDescent="0.15">
      <c r="A903" s="180">
        <v>7819</v>
      </c>
      <c r="B903" s="181" t="s">
        <v>1502</v>
      </c>
      <c r="C903" s="181" t="s">
        <v>1578</v>
      </c>
      <c r="D903" s="182">
        <v>1.2</v>
      </c>
      <c r="E903" s="180" t="str">
        <f t="shared" si="14"/>
        <v>level VI</v>
      </c>
    </row>
    <row r="904" spans="1:5" x14ac:dyDescent="0.15">
      <c r="A904" s="180">
        <v>7822</v>
      </c>
      <c r="B904" s="181" t="s">
        <v>1502</v>
      </c>
      <c r="C904" s="181" t="s">
        <v>1579</v>
      </c>
      <c r="D904" s="182">
        <v>1.2</v>
      </c>
      <c r="E904" s="180" t="str">
        <f t="shared" si="14"/>
        <v>level VI</v>
      </c>
    </row>
    <row r="905" spans="1:5" x14ac:dyDescent="0.15">
      <c r="A905" s="180">
        <v>7829</v>
      </c>
      <c r="B905" s="181" t="s">
        <v>1502</v>
      </c>
      <c r="C905" s="181" t="s">
        <v>1580</v>
      </c>
      <c r="D905" s="182">
        <v>1.2</v>
      </c>
      <c r="E905" s="180" t="str">
        <f t="shared" si="14"/>
        <v>level VI</v>
      </c>
    </row>
    <row r="906" spans="1:5" x14ac:dyDescent="0.15">
      <c r="A906" s="180">
        <v>7832</v>
      </c>
      <c r="B906" s="181" t="s">
        <v>1502</v>
      </c>
      <c r="C906" s="181" t="s">
        <v>1581</v>
      </c>
      <c r="D906" s="182">
        <v>1.2</v>
      </c>
      <c r="E906" s="180" t="str">
        <f t="shared" si="14"/>
        <v>level VI</v>
      </c>
    </row>
    <row r="907" spans="1:5" x14ac:dyDescent="0.15">
      <c r="A907" s="180">
        <v>7833</v>
      </c>
      <c r="B907" s="181" t="s">
        <v>1502</v>
      </c>
      <c r="C907" s="181" t="s">
        <v>1582</v>
      </c>
      <c r="D907" s="182">
        <v>1.2</v>
      </c>
      <c r="E907" s="180" t="str">
        <f t="shared" si="14"/>
        <v>level VI</v>
      </c>
    </row>
    <row r="908" spans="1:5" x14ac:dyDescent="0.15">
      <c r="A908" s="180">
        <v>7841</v>
      </c>
      <c r="B908" s="181" t="s">
        <v>1502</v>
      </c>
      <c r="C908" s="181" t="s">
        <v>1583</v>
      </c>
      <c r="D908" s="182">
        <v>1.05</v>
      </c>
      <c r="E908" s="180" t="str">
        <f t="shared" si="14"/>
        <v>level III</v>
      </c>
    </row>
    <row r="909" spans="1:5" x14ac:dyDescent="0.15">
      <c r="A909" s="180">
        <v>7911</v>
      </c>
      <c r="B909" s="181" t="s">
        <v>1502</v>
      </c>
      <c r="C909" s="181" t="s">
        <v>1584</v>
      </c>
      <c r="D909" s="182">
        <v>1.2</v>
      </c>
      <c r="E909" s="180" t="str">
        <f t="shared" si="14"/>
        <v>level VI</v>
      </c>
    </row>
    <row r="910" spans="1:5" x14ac:dyDescent="0.15">
      <c r="A910" s="180">
        <v>7922</v>
      </c>
      <c r="B910" s="181" t="s">
        <v>1502</v>
      </c>
      <c r="C910" s="181" t="s">
        <v>1585</v>
      </c>
      <c r="D910" s="182">
        <v>1.2</v>
      </c>
      <c r="E910" s="180" t="str">
        <f t="shared" si="14"/>
        <v>level VI</v>
      </c>
    </row>
    <row r="911" spans="1:5" x14ac:dyDescent="0.15">
      <c r="A911" s="180">
        <v>7929</v>
      </c>
      <c r="B911" s="181" t="s">
        <v>1502</v>
      </c>
      <c r="C911" s="181" t="s">
        <v>1586</v>
      </c>
      <c r="D911" s="182">
        <v>1.2</v>
      </c>
      <c r="E911" s="180" t="str">
        <f t="shared" si="14"/>
        <v>level VI</v>
      </c>
    </row>
    <row r="912" spans="1:5" x14ac:dyDescent="0.15">
      <c r="A912" s="180">
        <v>7933</v>
      </c>
      <c r="B912" s="181" t="s">
        <v>1502</v>
      </c>
      <c r="C912" s="181" t="s">
        <v>1587</v>
      </c>
      <c r="D912" s="182">
        <v>1.2</v>
      </c>
      <c r="E912" s="180" t="str">
        <f t="shared" si="14"/>
        <v>level VI</v>
      </c>
    </row>
    <row r="913" spans="1:5" x14ac:dyDescent="0.15">
      <c r="A913" s="180">
        <v>7941</v>
      </c>
      <c r="B913" s="181" t="s">
        <v>1502</v>
      </c>
      <c r="C913" s="181" t="s">
        <v>1588</v>
      </c>
      <c r="D913" s="182">
        <v>1.2</v>
      </c>
      <c r="E913" s="180" t="str">
        <f t="shared" si="14"/>
        <v>level VI</v>
      </c>
    </row>
    <row r="914" spans="1:5" x14ac:dyDescent="0.15">
      <c r="A914" s="180">
        <v>7948</v>
      </c>
      <c r="B914" s="181" t="s">
        <v>1502</v>
      </c>
      <c r="C914" s="181" t="s">
        <v>1589</v>
      </c>
      <c r="D914" s="182">
        <v>1.2</v>
      </c>
      <c r="E914" s="180" t="str">
        <f t="shared" si="14"/>
        <v>level VI</v>
      </c>
    </row>
    <row r="915" spans="1:5" x14ac:dyDescent="0.15">
      <c r="A915" s="180">
        <v>7991</v>
      </c>
      <c r="B915" s="181" t="s">
        <v>1502</v>
      </c>
      <c r="C915" s="181" t="s">
        <v>1590</v>
      </c>
      <c r="D915" s="182">
        <v>1</v>
      </c>
      <c r="E915" s="180" t="str">
        <f t="shared" si="14"/>
        <v>level II</v>
      </c>
    </row>
    <row r="916" spans="1:5" x14ac:dyDescent="0.15">
      <c r="A916" s="180">
        <v>7992</v>
      </c>
      <c r="B916" s="181" t="s">
        <v>1502</v>
      </c>
      <c r="C916" s="181" t="s">
        <v>1591</v>
      </c>
      <c r="D916" s="182">
        <v>1.2</v>
      </c>
      <c r="E916" s="180" t="str">
        <f t="shared" si="14"/>
        <v>level VI</v>
      </c>
    </row>
    <row r="917" spans="1:5" x14ac:dyDescent="0.15">
      <c r="A917" s="180">
        <v>7993</v>
      </c>
      <c r="B917" s="181" t="s">
        <v>1502</v>
      </c>
      <c r="C917" s="181" t="s">
        <v>1592</v>
      </c>
      <c r="D917" s="182">
        <v>1.2</v>
      </c>
      <c r="E917" s="180" t="str">
        <f t="shared" si="14"/>
        <v>level VI</v>
      </c>
    </row>
    <row r="918" spans="1:5" x14ac:dyDescent="0.15">
      <c r="A918" s="180">
        <v>7996</v>
      </c>
      <c r="B918" s="181" t="s">
        <v>1502</v>
      </c>
      <c r="C918" s="181" t="s">
        <v>1593</v>
      </c>
      <c r="D918" s="182">
        <v>1.2</v>
      </c>
      <c r="E918" s="180" t="str">
        <f t="shared" si="14"/>
        <v>level VI</v>
      </c>
    </row>
    <row r="919" spans="1:5" x14ac:dyDescent="0.15">
      <c r="A919" s="180">
        <v>7997</v>
      </c>
      <c r="B919" s="181" t="s">
        <v>1502</v>
      </c>
      <c r="C919" s="181" t="s">
        <v>1594</v>
      </c>
      <c r="D919" s="182">
        <v>1.2</v>
      </c>
      <c r="E919" s="180" t="str">
        <f t="shared" si="14"/>
        <v>level VI</v>
      </c>
    </row>
    <row r="920" spans="1:5" x14ac:dyDescent="0.15">
      <c r="A920" s="180">
        <v>7999</v>
      </c>
      <c r="B920" s="181" t="s">
        <v>1502</v>
      </c>
      <c r="C920" s="181" t="s">
        <v>1595</v>
      </c>
      <c r="D920" s="182">
        <v>1.2</v>
      </c>
      <c r="E920" s="180" t="str">
        <f t="shared" si="14"/>
        <v>level VI</v>
      </c>
    </row>
    <row r="921" spans="1:5" x14ac:dyDescent="0.15">
      <c r="A921" s="180">
        <v>8011</v>
      </c>
      <c r="B921" s="181" t="s">
        <v>1502</v>
      </c>
      <c r="C921" s="181" t="s">
        <v>1596</v>
      </c>
      <c r="D921" s="182">
        <v>1.2</v>
      </c>
      <c r="E921" s="180" t="str">
        <f t="shared" si="14"/>
        <v>level VI</v>
      </c>
    </row>
    <row r="922" spans="1:5" x14ac:dyDescent="0.15">
      <c r="A922" s="180">
        <v>8021</v>
      </c>
      <c r="B922" s="181" t="s">
        <v>1502</v>
      </c>
      <c r="C922" s="181" t="s">
        <v>1597</v>
      </c>
      <c r="D922" s="182">
        <v>1.2</v>
      </c>
      <c r="E922" s="180" t="str">
        <f t="shared" si="14"/>
        <v>level VI</v>
      </c>
    </row>
    <row r="923" spans="1:5" x14ac:dyDescent="0.15">
      <c r="A923" s="180">
        <v>8031</v>
      </c>
      <c r="B923" s="181" t="s">
        <v>1502</v>
      </c>
      <c r="C923" s="181" t="s">
        <v>1598</v>
      </c>
      <c r="D923" s="182">
        <v>1.2</v>
      </c>
      <c r="E923" s="180" t="str">
        <f t="shared" si="14"/>
        <v>level VI</v>
      </c>
    </row>
    <row r="924" spans="1:5" x14ac:dyDescent="0.15">
      <c r="A924" s="180">
        <v>8041</v>
      </c>
      <c r="B924" s="181" t="s">
        <v>1502</v>
      </c>
      <c r="C924" s="181" t="s">
        <v>1599</v>
      </c>
      <c r="D924" s="182">
        <v>1.2</v>
      </c>
      <c r="E924" s="180" t="str">
        <f t="shared" si="14"/>
        <v>level VI</v>
      </c>
    </row>
    <row r="925" spans="1:5" x14ac:dyDescent="0.15">
      <c r="A925" s="180">
        <v>8042</v>
      </c>
      <c r="B925" s="181" t="s">
        <v>1502</v>
      </c>
      <c r="C925" s="181" t="s">
        <v>1600</v>
      </c>
      <c r="D925" s="182">
        <v>1.2</v>
      </c>
      <c r="E925" s="180" t="str">
        <f t="shared" si="14"/>
        <v>level VI</v>
      </c>
    </row>
    <row r="926" spans="1:5" x14ac:dyDescent="0.15">
      <c r="A926" s="180">
        <v>8043</v>
      </c>
      <c r="B926" s="181" t="s">
        <v>1502</v>
      </c>
      <c r="C926" s="181" t="s">
        <v>1601</v>
      </c>
      <c r="D926" s="182">
        <v>1.2</v>
      </c>
      <c r="E926" s="180" t="str">
        <f t="shared" si="14"/>
        <v>level VI</v>
      </c>
    </row>
    <row r="927" spans="1:5" x14ac:dyDescent="0.15">
      <c r="A927" s="180">
        <v>8049</v>
      </c>
      <c r="B927" s="181" t="s">
        <v>1502</v>
      </c>
      <c r="C927" s="181" t="s">
        <v>1602</v>
      </c>
      <c r="D927" s="182">
        <v>1.2</v>
      </c>
      <c r="E927" s="180" t="str">
        <f t="shared" si="14"/>
        <v>level VI</v>
      </c>
    </row>
    <row r="928" spans="1:5" x14ac:dyDescent="0.15">
      <c r="A928" s="180">
        <v>8051</v>
      </c>
      <c r="B928" s="181" t="s">
        <v>1502</v>
      </c>
      <c r="C928" s="181" t="s">
        <v>1603</v>
      </c>
      <c r="D928" s="182">
        <v>1.2</v>
      </c>
      <c r="E928" s="180" t="str">
        <f t="shared" si="14"/>
        <v>level VI</v>
      </c>
    </row>
    <row r="929" spans="1:5" x14ac:dyDescent="0.15">
      <c r="A929" s="180">
        <v>8052</v>
      </c>
      <c r="B929" s="181" t="s">
        <v>1502</v>
      </c>
      <c r="C929" s="181" t="s">
        <v>1604</v>
      </c>
      <c r="D929" s="182">
        <v>1.2</v>
      </c>
      <c r="E929" s="180" t="str">
        <f t="shared" si="14"/>
        <v>level VI</v>
      </c>
    </row>
    <row r="930" spans="1:5" x14ac:dyDescent="0.15">
      <c r="A930" s="180">
        <v>8059</v>
      </c>
      <c r="B930" s="181" t="s">
        <v>1502</v>
      </c>
      <c r="C930" s="181" t="s">
        <v>1605</v>
      </c>
      <c r="D930" s="182">
        <v>1.2</v>
      </c>
      <c r="E930" s="180" t="str">
        <f t="shared" si="14"/>
        <v>level VI</v>
      </c>
    </row>
    <row r="931" spans="1:5" x14ac:dyDescent="0.15">
      <c r="A931" s="180">
        <v>8062</v>
      </c>
      <c r="B931" s="181" t="s">
        <v>1502</v>
      </c>
      <c r="C931" s="181" t="s">
        <v>1606</v>
      </c>
      <c r="D931" s="182">
        <v>1.2</v>
      </c>
      <c r="E931" s="180" t="str">
        <f t="shared" si="14"/>
        <v>level VI</v>
      </c>
    </row>
    <row r="932" spans="1:5" x14ac:dyDescent="0.15">
      <c r="A932" s="180">
        <v>8063</v>
      </c>
      <c r="B932" s="181" t="s">
        <v>1502</v>
      </c>
      <c r="C932" s="181" t="s">
        <v>1607</v>
      </c>
      <c r="D932" s="182">
        <v>1.2</v>
      </c>
      <c r="E932" s="180" t="str">
        <f t="shared" si="14"/>
        <v>level VI</v>
      </c>
    </row>
    <row r="933" spans="1:5" x14ac:dyDescent="0.15">
      <c r="A933" s="180">
        <v>8069</v>
      </c>
      <c r="B933" s="181" t="s">
        <v>1502</v>
      </c>
      <c r="C933" s="181" t="s">
        <v>1608</v>
      </c>
      <c r="D933" s="182">
        <v>1.2</v>
      </c>
      <c r="E933" s="180" t="str">
        <f t="shared" si="14"/>
        <v>level VI</v>
      </c>
    </row>
    <row r="934" spans="1:5" x14ac:dyDescent="0.15">
      <c r="A934" s="180">
        <v>8071</v>
      </c>
      <c r="B934" s="181" t="s">
        <v>1502</v>
      </c>
      <c r="C934" s="181" t="s">
        <v>1609</v>
      </c>
      <c r="D934" s="182">
        <v>1.2</v>
      </c>
      <c r="E934" s="180" t="str">
        <f t="shared" si="14"/>
        <v>level VI</v>
      </c>
    </row>
    <row r="935" spans="1:5" x14ac:dyDescent="0.15">
      <c r="A935" s="180">
        <v>8072</v>
      </c>
      <c r="B935" s="181" t="s">
        <v>1502</v>
      </c>
      <c r="C935" s="181" t="s">
        <v>1610</v>
      </c>
      <c r="D935" s="182">
        <v>1.2</v>
      </c>
      <c r="E935" s="180" t="str">
        <f t="shared" si="14"/>
        <v>level VI</v>
      </c>
    </row>
    <row r="936" spans="1:5" x14ac:dyDescent="0.15">
      <c r="A936" s="180">
        <v>8082</v>
      </c>
      <c r="B936" s="181" t="s">
        <v>1502</v>
      </c>
      <c r="C936" s="181" t="s">
        <v>1611</v>
      </c>
      <c r="D936" s="182">
        <v>1.2</v>
      </c>
      <c r="E936" s="180" t="str">
        <f t="shared" si="14"/>
        <v>level VI</v>
      </c>
    </row>
    <row r="937" spans="1:5" x14ac:dyDescent="0.15">
      <c r="A937" s="180">
        <v>8092</v>
      </c>
      <c r="B937" s="181" t="s">
        <v>1502</v>
      </c>
      <c r="C937" s="181" t="s">
        <v>1612</v>
      </c>
      <c r="D937" s="182">
        <v>1.2</v>
      </c>
      <c r="E937" s="180" t="str">
        <f t="shared" si="14"/>
        <v>level VI</v>
      </c>
    </row>
    <row r="938" spans="1:5" x14ac:dyDescent="0.15">
      <c r="A938" s="180">
        <v>8093</v>
      </c>
      <c r="B938" s="181" t="s">
        <v>1502</v>
      </c>
      <c r="C938" s="181" t="s">
        <v>1613</v>
      </c>
      <c r="D938" s="182">
        <v>1.2</v>
      </c>
      <c r="E938" s="180" t="str">
        <f t="shared" si="14"/>
        <v>level VI</v>
      </c>
    </row>
    <row r="939" spans="1:5" x14ac:dyDescent="0.15">
      <c r="A939" s="180">
        <v>8099</v>
      </c>
      <c r="B939" s="181" t="s">
        <v>1502</v>
      </c>
      <c r="C939" s="181" t="s">
        <v>1614</v>
      </c>
      <c r="D939" s="182">
        <v>1.2</v>
      </c>
      <c r="E939" s="180" t="str">
        <f t="shared" si="14"/>
        <v>level VI</v>
      </c>
    </row>
    <row r="940" spans="1:5" x14ac:dyDescent="0.15">
      <c r="A940" s="180">
        <v>8111</v>
      </c>
      <c r="B940" s="181" t="s">
        <v>1502</v>
      </c>
      <c r="C940" s="181" t="s">
        <v>1615</v>
      </c>
      <c r="D940" s="182">
        <v>1.2</v>
      </c>
      <c r="E940" s="180" t="str">
        <f t="shared" si="14"/>
        <v>level VI</v>
      </c>
    </row>
    <row r="941" spans="1:5" x14ac:dyDescent="0.15">
      <c r="A941" s="180">
        <v>8211</v>
      </c>
      <c r="B941" s="181" t="s">
        <v>1616</v>
      </c>
      <c r="C941" s="181" t="s">
        <v>1617</v>
      </c>
      <c r="D941" s="182">
        <v>1</v>
      </c>
      <c r="E941" s="180" t="str">
        <f t="shared" si="14"/>
        <v>level II</v>
      </c>
    </row>
    <row r="942" spans="1:5" x14ac:dyDescent="0.15">
      <c r="A942" s="180">
        <v>8221</v>
      </c>
      <c r="B942" s="181" t="s">
        <v>1616</v>
      </c>
      <c r="C942" s="181" t="s">
        <v>1618</v>
      </c>
      <c r="D942" s="182">
        <v>1</v>
      </c>
      <c r="E942" s="180" t="str">
        <f t="shared" si="14"/>
        <v>level II</v>
      </c>
    </row>
    <row r="943" spans="1:5" x14ac:dyDescent="0.15">
      <c r="A943" s="180">
        <v>8222</v>
      </c>
      <c r="B943" s="181" t="s">
        <v>1616</v>
      </c>
      <c r="C943" s="181" t="s">
        <v>1619</v>
      </c>
      <c r="D943" s="182">
        <v>1</v>
      </c>
      <c r="E943" s="180" t="str">
        <f t="shared" si="14"/>
        <v>level II</v>
      </c>
    </row>
    <row r="944" spans="1:5" x14ac:dyDescent="0.15">
      <c r="A944" s="180">
        <v>8231</v>
      </c>
      <c r="B944" s="181" t="s">
        <v>1616</v>
      </c>
      <c r="C944" s="181" t="s">
        <v>1620</v>
      </c>
      <c r="D944" s="182">
        <v>1</v>
      </c>
      <c r="E944" s="180" t="str">
        <f t="shared" si="14"/>
        <v>level II</v>
      </c>
    </row>
    <row r="945" spans="1:5" x14ac:dyDescent="0.15">
      <c r="A945" s="180">
        <v>8243</v>
      </c>
      <c r="B945" s="181" t="s">
        <v>1616</v>
      </c>
      <c r="C945" s="181" t="s">
        <v>1621</v>
      </c>
      <c r="D945" s="182">
        <v>1</v>
      </c>
      <c r="E945" s="180" t="str">
        <f t="shared" si="14"/>
        <v>level II</v>
      </c>
    </row>
    <row r="946" spans="1:5" x14ac:dyDescent="0.15">
      <c r="A946" s="180">
        <v>8244</v>
      </c>
      <c r="B946" s="181" t="s">
        <v>1616</v>
      </c>
      <c r="C946" s="181" t="s">
        <v>1622</v>
      </c>
      <c r="D946" s="182">
        <v>1</v>
      </c>
      <c r="E946" s="180" t="str">
        <f t="shared" si="14"/>
        <v>level II</v>
      </c>
    </row>
    <row r="947" spans="1:5" x14ac:dyDescent="0.15">
      <c r="A947" s="180">
        <v>8249</v>
      </c>
      <c r="B947" s="181" t="s">
        <v>1616</v>
      </c>
      <c r="C947" s="181" t="s">
        <v>1623</v>
      </c>
      <c r="D947" s="182">
        <v>1</v>
      </c>
      <c r="E947" s="180" t="str">
        <f t="shared" si="14"/>
        <v>level II</v>
      </c>
    </row>
    <row r="948" spans="1:5" x14ac:dyDescent="0.15">
      <c r="A948" s="180">
        <v>8299</v>
      </c>
      <c r="B948" s="181" t="s">
        <v>1616</v>
      </c>
      <c r="C948" s="181" t="s">
        <v>1624</v>
      </c>
      <c r="D948" s="182">
        <v>1</v>
      </c>
      <c r="E948" s="180" t="str">
        <f t="shared" si="14"/>
        <v>level II</v>
      </c>
    </row>
    <row r="949" spans="1:5" x14ac:dyDescent="0.15">
      <c r="A949" s="180">
        <v>8322</v>
      </c>
      <c r="B949" s="181" t="s">
        <v>1502</v>
      </c>
      <c r="C949" s="181" t="s">
        <v>1625</v>
      </c>
      <c r="D949" s="182">
        <v>1.2</v>
      </c>
      <c r="E949" s="180" t="str">
        <f t="shared" si="14"/>
        <v>level VI</v>
      </c>
    </row>
    <row r="950" spans="1:5" x14ac:dyDescent="0.15">
      <c r="A950" s="180">
        <v>8331</v>
      </c>
      <c r="B950" s="181" t="s">
        <v>1502</v>
      </c>
      <c r="C950" s="181" t="s">
        <v>1626</v>
      </c>
      <c r="D950" s="182">
        <v>1.2</v>
      </c>
      <c r="E950" s="180" t="str">
        <f t="shared" si="14"/>
        <v>level VI</v>
      </c>
    </row>
    <row r="951" spans="1:5" x14ac:dyDescent="0.15">
      <c r="A951" s="180">
        <v>8351</v>
      </c>
      <c r="B951" s="181" t="s">
        <v>1502</v>
      </c>
      <c r="C951" s="181" t="s">
        <v>1627</v>
      </c>
      <c r="D951" s="182">
        <v>1.2</v>
      </c>
      <c r="E951" s="180" t="str">
        <f t="shared" si="14"/>
        <v>level VI</v>
      </c>
    </row>
    <row r="952" spans="1:5" x14ac:dyDescent="0.15">
      <c r="A952" s="180">
        <v>8361</v>
      </c>
      <c r="B952" s="181" t="s">
        <v>1502</v>
      </c>
      <c r="C952" s="181" t="s">
        <v>1628</v>
      </c>
      <c r="D952" s="182">
        <v>1.2</v>
      </c>
      <c r="E952" s="180" t="str">
        <f t="shared" si="14"/>
        <v>level VI</v>
      </c>
    </row>
    <row r="953" spans="1:5" x14ac:dyDescent="0.15">
      <c r="A953" s="180">
        <v>8399</v>
      </c>
      <c r="B953" s="181" t="s">
        <v>1502</v>
      </c>
      <c r="C953" s="181" t="s">
        <v>1629</v>
      </c>
      <c r="D953" s="182">
        <v>1.2</v>
      </c>
      <c r="E953" s="180" t="str">
        <f t="shared" si="14"/>
        <v>level VI</v>
      </c>
    </row>
    <row r="954" spans="1:5" x14ac:dyDescent="0.15">
      <c r="A954" s="180">
        <v>8412</v>
      </c>
      <c r="B954" s="181" t="s">
        <v>1502</v>
      </c>
      <c r="C954" s="181" t="s">
        <v>1630</v>
      </c>
      <c r="D954" s="182">
        <v>1.2</v>
      </c>
      <c r="E954" s="180" t="str">
        <f t="shared" si="14"/>
        <v>level VI</v>
      </c>
    </row>
    <row r="955" spans="1:5" x14ac:dyDescent="0.15">
      <c r="A955" s="180">
        <v>8422</v>
      </c>
      <c r="B955" s="181" t="s">
        <v>1502</v>
      </c>
      <c r="C955" s="181" t="s">
        <v>1631</v>
      </c>
      <c r="D955" s="182">
        <v>1.2</v>
      </c>
      <c r="E955" s="180" t="str">
        <f t="shared" si="14"/>
        <v>level VI</v>
      </c>
    </row>
    <row r="956" spans="1:5" x14ac:dyDescent="0.15">
      <c r="A956" s="180">
        <v>8611</v>
      </c>
      <c r="B956" s="181" t="s">
        <v>1502</v>
      </c>
      <c r="C956" s="181" t="s">
        <v>1632</v>
      </c>
      <c r="D956" s="182">
        <v>1.1000000000000001</v>
      </c>
      <c r="E956" s="180" t="str">
        <f t="shared" si="14"/>
        <v>level IV</v>
      </c>
    </row>
    <row r="957" spans="1:5" x14ac:dyDescent="0.15">
      <c r="A957" s="180">
        <v>8621</v>
      </c>
      <c r="B957" s="181" t="s">
        <v>1502</v>
      </c>
      <c r="C957" s="181" t="s">
        <v>1633</v>
      </c>
      <c r="D957" s="182">
        <v>1.1000000000000001</v>
      </c>
      <c r="E957" s="180" t="str">
        <f t="shared" si="14"/>
        <v>level IV</v>
      </c>
    </row>
    <row r="958" spans="1:5" x14ac:dyDescent="0.15">
      <c r="A958" s="180">
        <v>8631</v>
      </c>
      <c r="B958" s="181" t="s">
        <v>1502</v>
      </c>
      <c r="C958" s="181" t="s">
        <v>1634</v>
      </c>
      <c r="D958" s="182">
        <v>1.1000000000000001</v>
      </c>
      <c r="E958" s="180" t="str">
        <f t="shared" si="14"/>
        <v>level IV</v>
      </c>
    </row>
    <row r="959" spans="1:5" x14ac:dyDescent="0.15">
      <c r="A959" s="180">
        <v>8641</v>
      </c>
      <c r="B959" s="181" t="s">
        <v>1502</v>
      </c>
      <c r="C959" s="181" t="s">
        <v>1635</v>
      </c>
      <c r="D959" s="182">
        <v>1.1000000000000001</v>
      </c>
      <c r="E959" s="180" t="str">
        <f t="shared" si="14"/>
        <v>level IV</v>
      </c>
    </row>
    <row r="960" spans="1:5" x14ac:dyDescent="0.15">
      <c r="A960" s="180">
        <v>8651</v>
      </c>
      <c r="B960" s="181" t="s">
        <v>1502</v>
      </c>
      <c r="C960" s="181" t="s">
        <v>1636</v>
      </c>
      <c r="D960" s="182">
        <v>1.1000000000000001</v>
      </c>
      <c r="E960" s="180" t="str">
        <f t="shared" si="14"/>
        <v>level IV</v>
      </c>
    </row>
    <row r="961" spans="1:5" x14ac:dyDescent="0.15">
      <c r="A961" s="180">
        <v>8661</v>
      </c>
      <c r="B961" s="181" t="s">
        <v>1502</v>
      </c>
      <c r="C961" s="181" t="s">
        <v>1637</v>
      </c>
      <c r="D961" s="182">
        <v>1.1000000000000001</v>
      </c>
      <c r="E961" s="180" t="str">
        <f t="shared" si="14"/>
        <v>level IV</v>
      </c>
    </row>
    <row r="962" spans="1:5" x14ac:dyDescent="0.15">
      <c r="A962" s="180">
        <v>8699</v>
      </c>
      <c r="B962" s="181" t="s">
        <v>1502</v>
      </c>
      <c r="C962" s="181" t="s">
        <v>1638</v>
      </c>
      <c r="D962" s="182">
        <v>1.1000000000000001</v>
      </c>
      <c r="E962" s="180" t="str">
        <f t="shared" ref="E962:E1005" si="15">IF(D962=0.95,"level I",IF(D962=1,"level II",IF(D962=1.05,"level III",IF(D962=1.1,"level IV",IF(D962=1.15,"level V",IF(D962=1.2,"level VI",IF(D962=0.9,"level 0","level VII")))))))</f>
        <v>level IV</v>
      </c>
    </row>
    <row r="963" spans="1:5" x14ac:dyDescent="0.15">
      <c r="A963" s="180">
        <v>8711</v>
      </c>
      <c r="B963" s="181" t="s">
        <v>1502</v>
      </c>
      <c r="C963" s="181" t="s">
        <v>1639</v>
      </c>
      <c r="D963" s="182">
        <v>1.05</v>
      </c>
      <c r="E963" s="180" t="str">
        <f t="shared" si="15"/>
        <v>level III</v>
      </c>
    </row>
    <row r="964" spans="1:5" x14ac:dyDescent="0.15">
      <c r="A964" s="180">
        <v>8712</v>
      </c>
      <c r="B964" s="181" t="s">
        <v>1502</v>
      </c>
      <c r="C964" s="181" t="s">
        <v>1640</v>
      </c>
      <c r="D964" s="182">
        <v>1.05</v>
      </c>
      <c r="E964" s="180" t="str">
        <f t="shared" si="15"/>
        <v>level III</v>
      </c>
    </row>
    <row r="965" spans="1:5" x14ac:dyDescent="0.15">
      <c r="A965" s="180">
        <v>8713</v>
      </c>
      <c r="B965" s="181" t="s">
        <v>1502</v>
      </c>
      <c r="C965" s="181" t="s">
        <v>1641</v>
      </c>
      <c r="D965" s="182">
        <v>1.05</v>
      </c>
      <c r="E965" s="180" t="str">
        <f t="shared" si="15"/>
        <v>level III</v>
      </c>
    </row>
    <row r="966" spans="1:5" x14ac:dyDescent="0.15">
      <c r="A966" s="180">
        <v>8721</v>
      </c>
      <c r="B966" s="181" t="s">
        <v>1502</v>
      </c>
      <c r="C966" s="181" t="s">
        <v>1642</v>
      </c>
      <c r="D966" s="182">
        <v>1.05</v>
      </c>
      <c r="E966" s="180" t="str">
        <f t="shared" si="15"/>
        <v>level III</v>
      </c>
    </row>
    <row r="967" spans="1:5" x14ac:dyDescent="0.15">
      <c r="A967" s="180">
        <v>8731</v>
      </c>
      <c r="B967" s="181" t="s">
        <v>1502</v>
      </c>
      <c r="C967" s="181" t="s">
        <v>1643</v>
      </c>
      <c r="D967" s="182">
        <v>1</v>
      </c>
      <c r="E967" s="180" t="str">
        <f t="shared" si="15"/>
        <v>level II</v>
      </c>
    </row>
    <row r="968" spans="1:5" x14ac:dyDescent="0.15">
      <c r="A968" s="180">
        <v>8732</v>
      </c>
      <c r="B968" s="181" t="s">
        <v>1502</v>
      </c>
      <c r="C968" s="181" t="s">
        <v>1644</v>
      </c>
      <c r="D968" s="182">
        <v>1.05</v>
      </c>
      <c r="E968" s="180" t="str">
        <f t="shared" si="15"/>
        <v>level III</v>
      </c>
    </row>
    <row r="969" spans="1:5" x14ac:dyDescent="0.15">
      <c r="A969" s="180">
        <v>8733</v>
      </c>
      <c r="B969" s="181" t="s">
        <v>1502</v>
      </c>
      <c r="C969" s="181" t="s">
        <v>1645</v>
      </c>
      <c r="D969" s="182">
        <v>1.05</v>
      </c>
      <c r="E969" s="180" t="str">
        <f t="shared" si="15"/>
        <v>level III</v>
      </c>
    </row>
    <row r="970" spans="1:5" x14ac:dyDescent="0.15">
      <c r="A970" s="180">
        <v>8734</v>
      </c>
      <c r="B970" s="181" t="s">
        <v>1502</v>
      </c>
      <c r="C970" s="181" t="s">
        <v>1646</v>
      </c>
      <c r="D970" s="182">
        <v>1.05</v>
      </c>
      <c r="E970" s="180" t="str">
        <f t="shared" si="15"/>
        <v>level III</v>
      </c>
    </row>
    <row r="971" spans="1:5" x14ac:dyDescent="0.15">
      <c r="A971" s="180">
        <v>8741</v>
      </c>
      <c r="B971" s="181" t="s">
        <v>1502</v>
      </c>
      <c r="C971" s="181" t="s">
        <v>1647</v>
      </c>
      <c r="D971" s="182">
        <v>1.05</v>
      </c>
      <c r="E971" s="180" t="str">
        <f t="shared" si="15"/>
        <v>level III</v>
      </c>
    </row>
    <row r="972" spans="1:5" x14ac:dyDescent="0.15">
      <c r="A972" s="180">
        <v>8742</v>
      </c>
      <c r="B972" s="181" t="s">
        <v>1502</v>
      </c>
      <c r="C972" s="181" t="s">
        <v>1648</v>
      </c>
      <c r="D972" s="182">
        <v>1.05</v>
      </c>
      <c r="E972" s="180" t="str">
        <f t="shared" si="15"/>
        <v>level III</v>
      </c>
    </row>
    <row r="973" spans="1:5" x14ac:dyDescent="0.15">
      <c r="A973" s="180">
        <v>8743</v>
      </c>
      <c r="B973" s="181" t="s">
        <v>1502</v>
      </c>
      <c r="C973" s="181" t="s">
        <v>1649</v>
      </c>
      <c r="D973" s="182">
        <v>1.05</v>
      </c>
      <c r="E973" s="180" t="str">
        <f t="shared" si="15"/>
        <v>level III</v>
      </c>
    </row>
    <row r="974" spans="1:5" x14ac:dyDescent="0.15">
      <c r="A974" s="180">
        <v>8744</v>
      </c>
      <c r="B974" s="181" t="s">
        <v>1502</v>
      </c>
      <c r="C974" s="181" t="s">
        <v>1650</v>
      </c>
      <c r="D974" s="182">
        <v>1.05</v>
      </c>
      <c r="E974" s="180" t="str">
        <f t="shared" si="15"/>
        <v>level III</v>
      </c>
    </row>
    <row r="975" spans="1:5" x14ac:dyDescent="0.15">
      <c r="A975" s="180">
        <v>8748</v>
      </c>
      <c r="B975" s="181" t="s">
        <v>1502</v>
      </c>
      <c r="C975" s="181" t="s">
        <v>1651</v>
      </c>
      <c r="D975" s="182">
        <v>1.05</v>
      </c>
      <c r="E975" s="180" t="str">
        <f t="shared" si="15"/>
        <v>level III</v>
      </c>
    </row>
    <row r="976" spans="1:5" x14ac:dyDescent="0.15">
      <c r="A976" s="180">
        <v>8811</v>
      </c>
      <c r="B976" s="181" t="s">
        <v>1502</v>
      </c>
      <c r="C976" s="181" t="s">
        <v>1652</v>
      </c>
      <c r="D976" s="182">
        <v>1.5</v>
      </c>
      <c r="E976" s="180" t="str">
        <f t="shared" si="15"/>
        <v>level VII</v>
      </c>
    </row>
    <row r="977" spans="1:5" x14ac:dyDescent="0.15">
      <c r="A977" s="180">
        <v>8999</v>
      </c>
      <c r="B977" s="181" t="s">
        <v>1502</v>
      </c>
      <c r="C977" s="181" t="s">
        <v>1653</v>
      </c>
      <c r="D977" s="182">
        <v>1.5</v>
      </c>
      <c r="E977" s="180" t="str">
        <f t="shared" si="15"/>
        <v>level VII</v>
      </c>
    </row>
    <row r="978" spans="1:5" x14ac:dyDescent="0.15">
      <c r="A978" s="180">
        <v>9111</v>
      </c>
      <c r="B978" s="181" t="s">
        <v>1654</v>
      </c>
      <c r="C978" s="181" t="s">
        <v>1655</v>
      </c>
      <c r="D978" s="182">
        <v>1.05</v>
      </c>
      <c r="E978" s="180" t="str">
        <f t="shared" si="15"/>
        <v>level III</v>
      </c>
    </row>
    <row r="979" spans="1:5" x14ac:dyDescent="0.15">
      <c r="A979" s="180">
        <v>9121</v>
      </c>
      <c r="B979" s="181" t="s">
        <v>1654</v>
      </c>
      <c r="C979" s="181" t="s">
        <v>1656</v>
      </c>
      <c r="D979" s="182">
        <v>1.05</v>
      </c>
      <c r="E979" s="180" t="str">
        <f t="shared" si="15"/>
        <v>level III</v>
      </c>
    </row>
    <row r="980" spans="1:5" x14ac:dyDescent="0.15">
      <c r="A980" s="180">
        <v>9131</v>
      </c>
      <c r="B980" s="181" t="s">
        <v>1654</v>
      </c>
      <c r="C980" s="181" t="s">
        <v>1657</v>
      </c>
      <c r="D980" s="182">
        <v>1.05</v>
      </c>
      <c r="E980" s="180" t="str">
        <f t="shared" si="15"/>
        <v>level III</v>
      </c>
    </row>
    <row r="981" spans="1:5" x14ac:dyDescent="0.15">
      <c r="A981" s="180">
        <v>9199</v>
      </c>
      <c r="B981" s="181" t="s">
        <v>1654</v>
      </c>
      <c r="C981" s="181" t="s">
        <v>1658</v>
      </c>
      <c r="D981" s="182">
        <v>1.05</v>
      </c>
      <c r="E981" s="180" t="str">
        <f t="shared" si="15"/>
        <v>level III</v>
      </c>
    </row>
    <row r="982" spans="1:5" x14ac:dyDescent="0.15">
      <c r="A982" s="180">
        <v>9211</v>
      </c>
      <c r="B982" s="181" t="s">
        <v>1654</v>
      </c>
      <c r="C982" s="181" t="s">
        <v>1659</v>
      </c>
      <c r="D982" s="182">
        <v>1.05</v>
      </c>
      <c r="E982" s="180" t="str">
        <f t="shared" si="15"/>
        <v>level III</v>
      </c>
    </row>
    <row r="983" spans="1:5" x14ac:dyDescent="0.15">
      <c r="A983" s="180">
        <v>9221</v>
      </c>
      <c r="B983" s="181" t="s">
        <v>1654</v>
      </c>
      <c r="C983" s="181" t="s">
        <v>1660</v>
      </c>
      <c r="D983" s="182">
        <v>1.05</v>
      </c>
      <c r="E983" s="180" t="str">
        <f t="shared" si="15"/>
        <v>level III</v>
      </c>
    </row>
    <row r="984" spans="1:5" x14ac:dyDescent="0.15">
      <c r="A984" s="180">
        <v>9222</v>
      </c>
      <c r="B984" s="181" t="s">
        <v>1654</v>
      </c>
      <c r="C984" s="181" t="s">
        <v>1661</v>
      </c>
      <c r="D984" s="182">
        <v>1.05</v>
      </c>
      <c r="E984" s="180" t="str">
        <f t="shared" si="15"/>
        <v>level III</v>
      </c>
    </row>
    <row r="985" spans="1:5" x14ac:dyDescent="0.15">
      <c r="A985" s="180">
        <v>9223</v>
      </c>
      <c r="B985" s="181" t="s">
        <v>1654</v>
      </c>
      <c r="C985" s="181" t="s">
        <v>1662</v>
      </c>
      <c r="D985" s="182">
        <v>1.05</v>
      </c>
      <c r="E985" s="180" t="str">
        <f t="shared" si="15"/>
        <v>level III</v>
      </c>
    </row>
    <row r="986" spans="1:5" x14ac:dyDescent="0.15">
      <c r="A986" s="180">
        <v>9224</v>
      </c>
      <c r="B986" s="181" t="s">
        <v>1654</v>
      </c>
      <c r="C986" s="181" t="s">
        <v>1663</v>
      </c>
      <c r="D986" s="182">
        <v>1.05</v>
      </c>
      <c r="E986" s="180" t="str">
        <f t="shared" si="15"/>
        <v>level III</v>
      </c>
    </row>
    <row r="987" spans="1:5" x14ac:dyDescent="0.15">
      <c r="A987" s="180">
        <v>9229</v>
      </c>
      <c r="B987" s="181" t="s">
        <v>1654</v>
      </c>
      <c r="C987" s="181" t="s">
        <v>1664</v>
      </c>
      <c r="D987" s="182">
        <v>1.05</v>
      </c>
      <c r="E987" s="180" t="str">
        <f t="shared" si="15"/>
        <v>level III</v>
      </c>
    </row>
    <row r="988" spans="1:5" x14ac:dyDescent="0.15">
      <c r="A988" s="180">
        <v>9311</v>
      </c>
      <c r="B988" s="181" t="s">
        <v>1654</v>
      </c>
      <c r="C988" s="181" t="s">
        <v>1665</v>
      </c>
      <c r="D988" s="182">
        <v>1.05</v>
      </c>
      <c r="E988" s="180" t="str">
        <f t="shared" si="15"/>
        <v>level III</v>
      </c>
    </row>
    <row r="989" spans="1:5" x14ac:dyDescent="0.15">
      <c r="A989" s="180">
        <v>9411</v>
      </c>
      <c r="B989" s="181" t="s">
        <v>1654</v>
      </c>
      <c r="C989" s="181" t="s">
        <v>1666</v>
      </c>
      <c r="D989" s="182">
        <v>1.05</v>
      </c>
      <c r="E989" s="180" t="str">
        <f t="shared" si="15"/>
        <v>level III</v>
      </c>
    </row>
    <row r="990" spans="1:5" x14ac:dyDescent="0.15">
      <c r="A990" s="180">
        <v>9431</v>
      </c>
      <c r="B990" s="181" t="s">
        <v>1654</v>
      </c>
      <c r="C990" s="181" t="s">
        <v>1667</v>
      </c>
      <c r="D990" s="182">
        <v>1.05</v>
      </c>
      <c r="E990" s="180" t="str">
        <f t="shared" si="15"/>
        <v>level III</v>
      </c>
    </row>
    <row r="991" spans="1:5" x14ac:dyDescent="0.15">
      <c r="A991" s="180">
        <v>9441</v>
      </c>
      <c r="B991" s="181" t="s">
        <v>1654</v>
      </c>
      <c r="C991" s="181" t="s">
        <v>1668</v>
      </c>
      <c r="D991" s="182">
        <v>1.05</v>
      </c>
      <c r="E991" s="180" t="str">
        <f t="shared" si="15"/>
        <v>level III</v>
      </c>
    </row>
    <row r="992" spans="1:5" x14ac:dyDescent="0.15">
      <c r="A992" s="180">
        <v>9451</v>
      </c>
      <c r="B992" s="181" t="s">
        <v>1654</v>
      </c>
      <c r="C992" s="181" t="s">
        <v>1669</v>
      </c>
      <c r="D992" s="182">
        <v>1.05</v>
      </c>
      <c r="E992" s="180" t="str">
        <f t="shared" si="15"/>
        <v>level III</v>
      </c>
    </row>
    <row r="993" spans="1:5" x14ac:dyDescent="0.15">
      <c r="A993" s="180">
        <v>9511</v>
      </c>
      <c r="B993" s="181" t="s">
        <v>1654</v>
      </c>
      <c r="C993" s="181" t="s">
        <v>1670</v>
      </c>
      <c r="D993" s="182">
        <v>1.05</v>
      </c>
      <c r="E993" s="180" t="str">
        <f t="shared" si="15"/>
        <v>level III</v>
      </c>
    </row>
    <row r="994" spans="1:5" x14ac:dyDescent="0.15">
      <c r="A994" s="180">
        <v>9512</v>
      </c>
      <c r="B994" s="181" t="s">
        <v>1654</v>
      </c>
      <c r="C994" s="181" t="s">
        <v>1671</v>
      </c>
      <c r="D994" s="182">
        <v>1.05</v>
      </c>
      <c r="E994" s="180" t="str">
        <f t="shared" si="15"/>
        <v>level III</v>
      </c>
    </row>
    <row r="995" spans="1:5" x14ac:dyDescent="0.15">
      <c r="A995" s="180">
        <v>9531</v>
      </c>
      <c r="B995" s="181" t="s">
        <v>1654</v>
      </c>
      <c r="C995" s="181" t="s">
        <v>1672</v>
      </c>
      <c r="D995" s="182">
        <v>1.05</v>
      </c>
      <c r="E995" s="180" t="str">
        <f t="shared" si="15"/>
        <v>level III</v>
      </c>
    </row>
    <row r="996" spans="1:5" x14ac:dyDescent="0.15">
      <c r="A996" s="180">
        <v>9532</v>
      </c>
      <c r="B996" s="181" t="s">
        <v>1654</v>
      </c>
      <c r="C996" s="181" t="s">
        <v>1673</v>
      </c>
      <c r="D996" s="182">
        <v>1.05</v>
      </c>
      <c r="E996" s="180" t="str">
        <f t="shared" si="15"/>
        <v>level III</v>
      </c>
    </row>
    <row r="997" spans="1:5" x14ac:dyDescent="0.15">
      <c r="A997" s="180">
        <v>9611</v>
      </c>
      <c r="B997" s="181" t="s">
        <v>1654</v>
      </c>
      <c r="C997" s="181" t="s">
        <v>1674</v>
      </c>
      <c r="D997" s="182">
        <v>1.05</v>
      </c>
      <c r="E997" s="180" t="str">
        <f t="shared" si="15"/>
        <v>level III</v>
      </c>
    </row>
    <row r="998" spans="1:5" x14ac:dyDescent="0.15">
      <c r="A998" s="180">
        <v>9621</v>
      </c>
      <c r="B998" s="181" t="s">
        <v>1654</v>
      </c>
      <c r="C998" s="181" t="s">
        <v>1675</v>
      </c>
      <c r="D998" s="182">
        <v>1.05</v>
      </c>
      <c r="E998" s="180" t="str">
        <f t="shared" si="15"/>
        <v>level III</v>
      </c>
    </row>
    <row r="999" spans="1:5" x14ac:dyDescent="0.15">
      <c r="A999" s="180">
        <v>9631</v>
      </c>
      <c r="B999" s="181" t="s">
        <v>1654</v>
      </c>
      <c r="C999" s="181" t="s">
        <v>1676</v>
      </c>
      <c r="D999" s="182">
        <v>1.05</v>
      </c>
      <c r="E999" s="180" t="str">
        <f t="shared" si="15"/>
        <v>level III</v>
      </c>
    </row>
    <row r="1000" spans="1:5" x14ac:dyDescent="0.15">
      <c r="A1000" s="180">
        <v>9641</v>
      </c>
      <c r="B1000" s="181" t="s">
        <v>1654</v>
      </c>
      <c r="C1000" s="181" t="s">
        <v>1677</v>
      </c>
      <c r="D1000" s="182">
        <v>1.05</v>
      </c>
      <c r="E1000" s="180" t="str">
        <f t="shared" si="15"/>
        <v>level III</v>
      </c>
    </row>
    <row r="1001" spans="1:5" x14ac:dyDescent="0.15">
      <c r="A1001" s="180">
        <v>9651</v>
      </c>
      <c r="B1001" s="181" t="s">
        <v>1654</v>
      </c>
      <c r="C1001" s="181" t="s">
        <v>1678</v>
      </c>
      <c r="D1001" s="182">
        <v>1.05</v>
      </c>
      <c r="E1001" s="180" t="str">
        <f t="shared" si="15"/>
        <v>level III</v>
      </c>
    </row>
    <row r="1002" spans="1:5" x14ac:dyDescent="0.15">
      <c r="A1002" s="180">
        <v>9661</v>
      </c>
      <c r="B1002" s="181" t="s">
        <v>1654</v>
      </c>
      <c r="C1002" s="181" t="s">
        <v>1679</v>
      </c>
      <c r="D1002" s="182">
        <v>1.05</v>
      </c>
      <c r="E1002" s="180" t="str">
        <f t="shared" si="15"/>
        <v>level III</v>
      </c>
    </row>
    <row r="1003" spans="1:5" x14ac:dyDescent="0.15">
      <c r="A1003" s="180">
        <v>9711</v>
      </c>
      <c r="B1003" s="181" t="s">
        <v>1654</v>
      </c>
      <c r="C1003" s="181" t="s">
        <v>1680</v>
      </c>
      <c r="D1003" s="182">
        <v>1.05</v>
      </c>
      <c r="E1003" s="180" t="str">
        <f t="shared" si="15"/>
        <v>level III</v>
      </c>
    </row>
    <row r="1004" spans="1:5" x14ac:dyDescent="0.15">
      <c r="A1004" s="180">
        <v>9721</v>
      </c>
      <c r="B1004" s="181" t="s">
        <v>1654</v>
      </c>
      <c r="C1004" s="181" t="s">
        <v>1681</v>
      </c>
      <c r="D1004" s="182">
        <v>1.05</v>
      </c>
      <c r="E1004" s="180" t="str">
        <f t="shared" si="15"/>
        <v>level III</v>
      </c>
    </row>
    <row r="1005" spans="1:5" x14ac:dyDescent="0.15">
      <c r="A1005" s="183">
        <v>9990</v>
      </c>
      <c r="B1005" s="184" t="s">
        <v>1682</v>
      </c>
      <c r="C1005" s="184" t="s">
        <v>1682</v>
      </c>
      <c r="D1005" s="185">
        <v>1.5</v>
      </c>
      <c r="E1005" s="183" t="str">
        <f t="shared" si="15"/>
        <v>level VII</v>
      </c>
    </row>
    <row r="1006" spans="1:5" x14ac:dyDescent="0.15">
      <c r="A1006" s="186"/>
      <c r="B1006" s="187"/>
      <c r="C1006" s="187"/>
      <c r="D1006" s="188"/>
      <c r="E1006" s="18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A1:G6"/>
  <sheetViews>
    <sheetView showGridLines="0" zoomScale="85" zoomScaleNormal="85" workbookViewId="0">
      <selection activeCell="B6" sqref="B6:G6"/>
    </sheetView>
  </sheetViews>
  <sheetFormatPr baseColWidth="10" defaultColWidth="10.6640625" defaultRowHeight="15" x14ac:dyDescent="0.2"/>
  <cols>
    <col min="1" max="1" width="2.6640625" style="631" customWidth="1"/>
    <col min="2" max="2" width="20.6640625" style="631" customWidth="1"/>
    <col min="3" max="16384" width="10.6640625" style="631"/>
  </cols>
  <sheetData>
    <row r="1" spans="1:7" ht="25.25" customHeight="1" x14ac:dyDescent="0.2">
      <c r="A1" s="729" t="s">
        <v>1962</v>
      </c>
      <c r="B1" s="730"/>
      <c r="C1" s="730"/>
      <c r="D1" s="730"/>
      <c r="E1" s="730"/>
      <c r="F1" s="730"/>
      <c r="G1" s="731"/>
    </row>
    <row r="2" spans="1:7" ht="30" customHeight="1" x14ac:dyDescent="0.2">
      <c r="A2" s="688" t="s">
        <v>1921</v>
      </c>
      <c r="B2" s="732" t="s">
        <v>1960</v>
      </c>
      <c r="C2" s="732"/>
      <c r="D2" s="732"/>
      <c r="E2" s="732"/>
      <c r="F2" s="732"/>
      <c r="G2" s="732"/>
    </row>
    <row r="3" spans="1:7" ht="30" customHeight="1" x14ac:dyDescent="0.2">
      <c r="A3" s="688" t="s">
        <v>1922</v>
      </c>
      <c r="B3" s="728" t="s">
        <v>1916</v>
      </c>
      <c r="C3" s="728"/>
      <c r="D3" s="728"/>
      <c r="E3" s="728"/>
      <c r="F3" s="728"/>
      <c r="G3" s="728"/>
    </row>
    <row r="4" spans="1:7" ht="30" customHeight="1" x14ac:dyDescent="0.2">
      <c r="A4" s="688" t="s">
        <v>1923</v>
      </c>
      <c r="B4" s="728" t="s">
        <v>1917</v>
      </c>
      <c r="C4" s="728"/>
      <c r="D4" s="728"/>
      <c r="E4" s="728"/>
      <c r="F4" s="728"/>
      <c r="G4" s="728"/>
    </row>
    <row r="5" spans="1:7" ht="30" customHeight="1" x14ac:dyDescent="0.2">
      <c r="A5" s="688" t="s">
        <v>1924</v>
      </c>
      <c r="B5" s="728" t="s">
        <v>1961</v>
      </c>
      <c r="C5" s="728"/>
      <c r="D5" s="728"/>
      <c r="E5" s="728"/>
      <c r="F5" s="728"/>
      <c r="G5" s="728"/>
    </row>
    <row r="6" spans="1:7" ht="30" customHeight="1" x14ac:dyDescent="0.2">
      <c r="A6" s="688" t="s">
        <v>1925</v>
      </c>
      <c r="B6" s="728" t="s">
        <v>1977</v>
      </c>
      <c r="C6" s="728"/>
      <c r="D6" s="728"/>
      <c r="E6" s="728"/>
      <c r="F6" s="728"/>
      <c r="G6" s="728"/>
    </row>
  </sheetData>
  <mergeCells count="6">
    <mergeCell ref="B6:G6"/>
    <mergeCell ref="A1:G1"/>
    <mergeCell ref="B2:G2"/>
    <mergeCell ref="B3:G3"/>
    <mergeCell ref="B4:G4"/>
    <mergeCell ref="B5:G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W72"/>
  <sheetViews>
    <sheetView showGridLines="0" tabSelected="1" topLeftCell="A4" workbookViewId="0">
      <selection activeCell="E12" sqref="E12:H12"/>
    </sheetView>
  </sheetViews>
  <sheetFormatPr baseColWidth="10" defaultColWidth="8.83203125" defaultRowHeight="15" x14ac:dyDescent="0.2"/>
  <cols>
    <col min="1" max="1" width="2.33203125" style="6" customWidth="1"/>
    <col min="2" max="2" width="13" style="6" customWidth="1"/>
    <col min="3" max="3" width="6.33203125" style="6" customWidth="1"/>
    <col min="4" max="4" width="8.33203125" style="6" customWidth="1"/>
    <col min="5" max="5" width="11.5" style="6" customWidth="1"/>
    <col min="6" max="7" width="5.83203125" style="6" customWidth="1"/>
    <col min="8" max="8" width="7.33203125" style="6" customWidth="1"/>
    <col min="9" max="11" width="9.33203125" style="6" customWidth="1"/>
    <col min="12" max="12" width="10.33203125" style="6" customWidth="1"/>
    <col min="13" max="13" width="7.5" style="10" customWidth="1"/>
    <col min="14" max="16" width="9.6640625" style="6" customWidth="1"/>
    <col min="17" max="17" width="12.5" style="6" customWidth="1"/>
    <col min="18" max="18" width="11.33203125" style="6" customWidth="1"/>
    <col min="19" max="19" width="19.6640625" style="6" customWidth="1"/>
    <col min="20" max="20" width="2.33203125" style="6" customWidth="1"/>
    <col min="21" max="22" width="8.83203125" style="6"/>
    <col min="23" max="23" width="13.83203125" style="6" customWidth="1"/>
    <col min="24" max="16384" width="8.83203125" style="6"/>
  </cols>
  <sheetData>
    <row r="1" spans="1:23" s="3" customFormat="1" ht="40.25" customHeight="1" thickTop="1" x14ac:dyDescent="0.2">
      <c r="A1" s="46"/>
      <c r="B1" s="626" t="s">
        <v>0</v>
      </c>
      <c r="C1" s="626"/>
      <c r="D1" s="626"/>
      <c r="E1" s="626"/>
      <c r="F1" s="626"/>
      <c r="G1" s="626"/>
      <c r="H1" s="626"/>
      <c r="I1" s="626"/>
      <c r="J1" s="626"/>
      <c r="K1" s="626"/>
      <c r="L1" s="626"/>
      <c r="M1" s="626"/>
      <c r="N1" s="626"/>
      <c r="O1" s="626"/>
      <c r="P1" s="626"/>
      <c r="Q1" s="626"/>
      <c r="R1" s="626"/>
      <c r="S1" s="626"/>
      <c r="T1" s="47"/>
      <c r="V1" s="428"/>
      <c r="W1" s="490"/>
    </row>
    <row r="2" spans="1:23" s="285" customFormat="1" ht="21" x14ac:dyDescent="0.2">
      <c r="A2" s="283"/>
      <c r="B2" s="275" t="s">
        <v>1976</v>
      </c>
      <c r="C2" s="275"/>
      <c r="D2" s="286"/>
      <c r="E2" s="286"/>
      <c r="F2" s="287"/>
      <c r="G2" s="287"/>
      <c r="H2" s="287"/>
      <c r="I2" s="282"/>
      <c r="J2" s="282"/>
      <c r="K2" s="282"/>
      <c r="L2" s="735" t="s">
        <v>46</v>
      </c>
      <c r="M2" s="736"/>
      <c r="N2" s="727" t="s">
        <v>1882</v>
      </c>
      <c r="O2" s="627"/>
      <c r="P2" s="627"/>
      <c r="Q2" s="627"/>
      <c r="R2" s="627"/>
      <c r="S2" s="627"/>
      <c r="T2" s="284"/>
    </row>
    <row r="3" spans="1:23" s="285" customFormat="1" ht="17" thickBot="1" x14ac:dyDescent="0.25">
      <c r="A3" s="283"/>
      <c r="B3" s="395" t="str">
        <f>E8</f>
        <v>DEVSALE_FIRST_NAME DEVSALE_LAST_NAME</v>
      </c>
      <c r="C3" s="282"/>
      <c r="D3" s="282"/>
      <c r="E3" s="282"/>
      <c r="F3" s="282"/>
      <c r="G3" s="282"/>
      <c r="H3" s="282"/>
      <c r="I3" s="282"/>
      <c r="J3" s="282"/>
      <c r="K3" s="282"/>
      <c r="L3" s="282"/>
      <c r="M3" s="282"/>
      <c r="N3" s="282"/>
      <c r="O3" s="282"/>
      <c r="P3" s="282"/>
      <c r="Q3" s="282"/>
      <c r="R3" s="282"/>
      <c r="S3" s="282"/>
      <c r="T3" s="284"/>
    </row>
    <row r="4" spans="1:23" ht="16" x14ac:dyDescent="0.2">
      <c r="A4" s="48"/>
      <c r="B4" s="744" t="s">
        <v>1</v>
      </c>
      <c r="C4" s="745"/>
      <c r="D4" s="746"/>
      <c r="E4" s="746"/>
      <c r="F4" s="746"/>
      <c r="G4" s="746"/>
      <c r="H4" s="746"/>
      <c r="I4" s="746"/>
      <c r="J4" s="747"/>
      <c r="K4" s="4"/>
      <c r="L4" s="27" t="s">
        <v>2</v>
      </c>
      <c r="M4" s="28"/>
      <c r="N4" s="28"/>
      <c r="O4" s="29"/>
      <c r="P4" s="5"/>
      <c r="Q4" s="30" t="s">
        <v>3</v>
      </c>
      <c r="R4" s="28"/>
      <c r="S4" s="29"/>
      <c r="T4" s="49"/>
    </row>
    <row r="5" spans="1:23" ht="16" thickBot="1" x14ac:dyDescent="0.25">
      <c r="A5" s="48"/>
      <c r="B5" s="748" t="s">
        <v>4</v>
      </c>
      <c r="C5" s="749"/>
      <c r="D5" s="750"/>
      <c r="E5" s="751" t="s">
        <v>2005</v>
      </c>
      <c r="F5" s="751"/>
      <c r="G5" s="751"/>
      <c r="H5" s="751"/>
      <c r="I5" s="677" t="s">
        <v>5</v>
      </c>
      <c r="J5" s="715">
        <v>1542</v>
      </c>
      <c r="K5" s="7"/>
      <c r="L5" s="748" t="s">
        <v>6</v>
      </c>
      <c r="M5" s="750"/>
      <c r="N5" s="752">
        <f>SUM(N6:O9)</f>
        <v>26</v>
      </c>
      <c r="O5" s="753"/>
      <c r="P5" s="2"/>
      <c r="Q5" s="31" t="s">
        <v>7</v>
      </c>
      <c r="R5" s="754"/>
      <c r="S5" s="743"/>
      <c r="T5" s="49"/>
    </row>
    <row r="6" spans="1:23" ht="16" thickBot="1" x14ac:dyDescent="0.25">
      <c r="A6" s="48"/>
      <c r="B6" s="748" t="s">
        <v>8</v>
      </c>
      <c r="C6" s="749"/>
      <c r="D6" s="750"/>
      <c r="E6" s="855"/>
      <c r="F6" s="855"/>
      <c r="G6" s="855"/>
      <c r="H6" s="855"/>
      <c r="I6" s="675" t="s">
        <v>9</v>
      </c>
      <c r="J6" s="190">
        <f>IF(J5="","",VLOOKUP(J5,'SIC Look Up'!A1:E1005,4,FALSE))</f>
        <v>1</v>
      </c>
      <c r="K6" s="5"/>
      <c r="L6" s="748" t="s">
        <v>10</v>
      </c>
      <c r="M6" s="750"/>
      <c r="N6" s="752">
        <f>M37</f>
        <v>26</v>
      </c>
      <c r="O6" s="753"/>
      <c r="P6" s="4"/>
      <c r="Q6" s="4"/>
      <c r="R6" s="4"/>
      <c r="S6" s="682"/>
      <c r="T6" s="49"/>
    </row>
    <row r="7" spans="1:23" x14ac:dyDescent="0.2">
      <c r="A7" s="48"/>
      <c r="B7" s="748" t="s">
        <v>11</v>
      </c>
      <c r="C7" s="749"/>
      <c r="D7" s="750"/>
      <c r="E7" s="859">
        <v>43387</v>
      </c>
      <c r="F7" s="859"/>
      <c r="G7" s="859"/>
      <c r="H7" s="859"/>
      <c r="I7" s="675" t="s">
        <v>12</v>
      </c>
      <c r="J7" s="25">
        <v>333</v>
      </c>
      <c r="K7" s="5"/>
      <c r="L7" s="748" t="s">
        <v>13</v>
      </c>
      <c r="M7" s="750"/>
      <c r="N7" s="758"/>
      <c r="O7" s="759"/>
      <c r="P7" s="8"/>
      <c r="Q7" s="755" t="s">
        <v>14</v>
      </c>
      <c r="R7" s="756"/>
      <c r="S7" s="757"/>
      <c r="T7" s="49"/>
    </row>
    <row r="8" spans="1:23" ht="15" customHeight="1" x14ac:dyDescent="0.2">
      <c r="A8" s="48"/>
      <c r="B8" s="748" t="s">
        <v>15</v>
      </c>
      <c r="C8" s="749"/>
      <c r="D8" s="750"/>
      <c r="E8" s="1597" t="s">
        <v>2007</v>
      </c>
      <c r="F8" s="1598"/>
      <c r="G8" s="1598"/>
      <c r="H8" s="1599"/>
      <c r="I8" s="856" t="s">
        <v>2006</v>
      </c>
      <c r="J8" s="857"/>
      <c r="K8" s="5"/>
      <c r="L8" s="748" t="s">
        <v>17</v>
      </c>
      <c r="M8" s="750"/>
      <c r="N8" s="758"/>
      <c r="O8" s="759"/>
      <c r="P8" s="4"/>
      <c r="Q8" s="32">
        <v>1</v>
      </c>
      <c r="R8" s="758"/>
      <c r="S8" s="759"/>
      <c r="T8" s="49"/>
    </row>
    <row r="9" spans="1:23" ht="15" customHeight="1" x14ac:dyDescent="0.2">
      <c r="A9" s="48"/>
      <c r="B9" s="748" t="s">
        <v>18</v>
      </c>
      <c r="C9" s="749"/>
      <c r="D9" s="750"/>
      <c r="E9" s="1600" t="s">
        <v>2008</v>
      </c>
      <c r="F9" s="1601"/>
      <c r="G9" s="1601"/>
      <c r="H9" s="1602"/>
      <c r="I9" s="858" t="s">
        <v>2003</v>
      </c>
      <c r="J9" s="857"/>
      <c r="K9" s="5"/>
      <c r="L9" s="737" t="s">
        <v>46</v>
      </c>
      <c r="M9" s="738"/>
      <c r="N9" s="758"/>
      <c r="O9" s="759"/>
      <c r="P9" s="4"/>
      <c r="Q9" s="32">
        <v>2</v>
      </c>
      <c r="R9" s="758">
        <f>R8</f>
        <v>0</v>
      </c>
      <c r="S9" s="759"/>
      <c r="T9" s="49"/>
    </row>
    <row r="10" spans="1:23" ht="15" customHeight="1" thickBot="1" x14ac:dyDescent="0.25">
      <c r="A10" s="48"/>
      <c r="B10" s="748" t="s">
        <v>20</v>
      </c>
      <c r="C10" s="749"/>
      <c r="D10" s="750"/>
      <c r="E10" s="751"/>
      <c r="F10" s="751"/>
      <c r="G10" s="751"/>
      <c r="H10" s="751"/>
      <c r="I10" s="14"/>
      <c r="J10" s="26"/>
      <c r="K10" s="5"/>
      <c r="L10" s="620" t="s">
        <v>1883</v>
      </c>
      <c r="M10" s="621"/>
      <c r="N10" s="879"/>
      <c r="O10" s="880"/>
      <c r="P10" s="4"/>
      <c r="Q10" s="32">
        <v>3</v>
      </c>
      <c r="R10" s="758">
        <f>R9</f>
        <v>0</v>
      </c>
      <c r="S10" s="759"/>
      <c r="T10" s="49"/>
    </row>
    <row r="11" spans="1:23" ht="16.25" customHeight="1" x14ac:dyDescent="0.2">
      <c r="A11" s="48"/>
      <c r="B11" s="748" t="s">
        <v>22</v>
      </c>
      <c r="C11" s="749"/>
      <c r="D11" s="750"/>
      <c r="E11" s="866" t="s">
        <v>2004</v>
      </c>
      <c r="F11" s="866"/>
      <c r="G11" s="866"/>
      <c r="H11" s="866"/>
      <c r="I11" s="677" t="s">
        <v>23</v>
      </c>
      <c r="J11" s="25"/>
      <c r="K11" s="5"/>
      <c r="L11" s="622" t="s">
        <v>24</v>
      </c>
      <c r="M11" s="623"/>
      <c r="N11" s="867" t="s">
        <v>46</v>
      </c>
      <c r="O11" s="868"/>
      <c r="P11" s="4"/>
      <c r="Q11" s="32">
        <v>4</v>
      </c>
      <c r="R11" s="758">
        <f>R10</f>
        <v>0</v>
      </c>
      <c r="S11" s="759"/>
      <c r="T11" s="49"/>
    </row>
    <row r="12" spans="1:23" ht="16.25" customHeight="1" thickBot="1" x14ac:dyDescent="0.25">
      <c r="A12" s="48"/>
      <c r="B12" s="871" t="s">
        <v>1853</v>
      </c>
      <c r="C12" s="872"/>
      <c r="D12" s="873"/>
      <c r="E12" s="874"/>
      <c r="F12" s="874"/>
      <c r="G12" s="874"/>
      <c r="H12" s="874"/>
      <c r="I12" s="644"/>
      <c r="J12" s="645"/>
      <c r="K12" s="5"/>
      <c r="L12" s="624" t="s">
        <v>1871</v>
      </c>
      <c r="M12" s="625"/>
      <c r="N12" s="881" t="s">
        <v>51</v>
      </c>
      <c r="O12" s="882"/>
      <c r="P12" s="5"/>
      <c r="Q12" s="33">
        <v>5</v>
      </c>
      <c r="R12" s="742">
        <f>R11</f>
        <v>0</v>
      </c>
      <c r="S12" s="743"/>
      <c r="T12" s="49"/>
    </row>
    <row r="13" spans="1:23" ht="6.5" customHeight="1" thickBot="1" x14ac:dyDescent="0.25">
      <c r="A13" s="48"/>
      <c r="B13" s="282"/>
      <c r="C13" s="282"/>
      <c r="D13" s="282"/>
      <c r="E13" s="282"/>
      <c r="F13" s="282"/>
      <c r="G13" s="282"/>
      <c r="H13" s="282"/>
      <c r="I13" s="282"/>
      <c r="J13" s="282"/>
      <c r="K13" s="282"/>
      <c r="L13" s="282"/>
      <c r="M13" s="282"/>
      <c r="N13" s="282"/>
      <c r="O13" s="282"/>
      <c r="P13" s="282"/>
      <c r="Q13" s="282"/>
      <c r="R13" s="282"/>
      <c r="S13" s="282"/>
      <c r="T13" s="49"/>
    </row>
    <row r="14" spans="1:23" ht="16" x14ac:dyDescent="0.2">
      <c r="A14" s="48"/>
      <c r="B14" s="27" t="s">
        <v>1685</v>
      </c>
      <c r="C14" s="191"/>
      <c r="D14" s="37"/>
      <c r="E14" s="28"/>
      <c r="F14" s="38"/>
      <c r="G14" s="37"/>
      <c r="H14" s="28"/>
      <c r="I14" s="37"/>
      <c r="J14" s="28"/>
      <c r="K14" s="28"/>
      <c r="L14" s="28"/>
      <c r="M14" s="39"/>
      <c r="N14" s="28"/>
      <c r="O14" s="28"/>
      <c r="P14" s="28"/>
      <c r="Q14" s="28"/>
      <c r="R14" s="28"/>
      <c r="S14" s="29"/>
      <c r="T14" s="49"/>
    </row>
    <row r="15" spans="1:23" ht="27" customHeight="1" x14ac:dyDescent="0.2">
      <c r="A15" s="48"/>
      <c r="B15" s="883" t="s">
        <v>1855</v>
      </c>
      <c r="C15" s="884"/>
      <c r="D15" s="877">
        <v>1</v>
      </c>
      <c r="E15" s="878"/>
      <c r="F15" s="885" t="s">
        <v>25</v>
      </c>
      <c r="G15" s="886"/>
      <c r="H15" s="933" t="s">
        <v>1854</v>
      </c>
      <c r="I15" s="934"/>
      <c r="J15" s="934"/>
      <c r="K15" s="935"/>
      <c r="L15" s="632">
        <v>4</v>
      </c>
      <c r="M15" s="547"/>
      <c r="N15" s="887" t="s">
        <v>27</v>
      </c>
      <c r="O15" s="888"/>
      <c r="P15" s="888"/>
      <c r="Q15" s="888"/>
      <c r="R15" s="888"/>
      <c r="S15" s="889"/>
      <c r="T15" s="49"/>
    </row>
    <row r="16" spans="1:23" ht="29" customHeight="1" x14ac:dyDescent="0.2">
      <c r="A16" s="48"/>
      <c r="B16" s="40" t="s">
        <v>28</v>
      </c>
      <c r="C16" s="197" t="s">
        <v>544</v>
      </c>
      <c r="D16" s="890" t="s">
        <v>29</v>
      </c>
      <c r="E16" s="891"/>
      <c r="F16" s="15" t="s">
        <v>30</v>
      </c>
      <c r="G16" s="18" t="s">
        <v>31</v>
      </c>
      <c r="H16" s="548" t="s">
        <v>26</v>
      </c>
      <c r="I16" s="11" t="s">
        <v>30</v>
      </c>
      <c r="J16" s="11" t="str">
        <f>IF(L15=2,"EF",IF(L15=3,"EE+1","ES"))</f>
        <v>ES</v>
      </c>
      <c r="K16" s="11" t="str">
        <f>IF(L15=2,"N/A",IF(L15=3,"EE+2","EC"))</f>
        <v>EC</v>
      </c>
      <c r="L16" s="11" t="str">
        <f>IF(L15=2,"N/A",IF(L15=3,"N/A","EF"))</f>
        <v>EF</v>
      </c>
      <c r="M16" s="17" t="s">
        <v>32</v>
      </c>
      <c r="N16" s="19" t="s">
        <v>33</v>
      </c>
      <c r="O16" s="11" t="s">
        <v>34</v>
      </c>
      <c r="P16" s="12" t="s">
        <v>35</v>
      </c>
      <c r="Q16" s="12" t="s">
        <v>36</v>
      </c>
      <c r="R16" s="12" t="s">
        <v>1794</v>
      </c>
      <c r="S16" s="16" t="s">
        <v>37</v>
      </c>
      <c r="T16" s="49"/>
    </row>
    <row r="17" spans="1:20" ht="14.5" customHeight="1" x14ac:dyDescent="0.2">
      <c r="A17" s="48"/>
      <c r="B17" s="860" t="s">
        <v>1997</v>
      </c>
      <c r="C17" s="733" t="s">
        <v>1838</v>
      </c>
      <c r="D17" s="861" t="s">
        <v>1998</v>
      </c>
      <c r="E17" s="862"/>
      <c r="F17" s="863">
        <v>0.04</v>
      </c>
      <c r="G17" s="863">
        <v>0.06</v>
      </c>
      <c r="H17" s="22" t="s">
        <v>1857</v>
      </c>
      <c r="I17" s="633">
        <v>1</v>
      </c>
      <c r="J17" s="633">
        <v>2</v>
      </c>
      <c r="K17" s="680">
        <v>3</v>
      </c>
      <c r="L17" s="680">
        <v>4</v>
      </c>
      <c r="M17" s="864">
        <f>SUM(I18:L18)</f>
        <v>26</v>
      </c>
      <c r="N17" s="869"/>
      <c r="O17" s="869"/>
      <c r="P17" s="869"/>
      <c r="Q17" s="869"/>
      <c r="R17" s="869"/>
      <c r="S17" s="876"/>
      <c r="T17" s="49"/>
    </row>
    <row r="18" spans="1:20" x14ac:dyDescent="0.2">
      <c r="A18" s="48"/>
      <c r="B18" s="860"/>
      <c r="C18" s="875"/>
      <c r="D18" s="861"/>
      <c r="E18" s="862"/>
      <c r="F18" s="863"/>
      <c r="G18" s="863"/>
      <c r="H18" s="21" t="s">
        <v>1858</v>
      </c>
      <c r="I18" s="634">
        <v>5</v>
      </c>
      <c r="J18" s="634">
        <v>6</v>
      </c>
      <c r="K18" s="634">
        <v>7</v>
      </c>
      <c r="L18" s="634">
        <v>8</v>
      </c>
      <c r="M18" s="865"/>
      <c r="N18" s="870"/>
      <c r="O18" s="870"/>
      <c r="P18" s="870"/>
      <c r="Q18" s="870"/>
      <c r="R18" s="870"/>
      <c r="S18" s="876"/>
      <c r="T18" s="49"/>
    </row>
    <row r="19" spans="1:20" ht="14.5" hidden="1" customHeight="1" x14ac:dyDescent="0.2">
      <c r="A19" s="48"/>
      <c r="B19" s="860"/>
      <c r="C19" s="733"/>
      <c r="D19" s="861"/>
      <c r="E19" s="862"/>
      <c r="F19" s="863"/>
      <c r="G19" s="863"/>
      <c r="H19" s="22" t="s">
        <v>1857</v>
      </c>
      <c r="I19" s="633">
        <f>IF($N$12="YES",0,"")</f>
        <v>0</v>
      </c>
      <c r="J19" s="633">
        <f>IF($N$12="YES",0,"")</f>
        <v>0</v>
      </c>
      <c r="K19" s="680">
        <f>IF($N$12="YES",0,"")</f>
        <v>0</v>
      </c>
      <c r="L19" s="680">
        <f>IF($N$12="YES",0,"")</f>
        <v>0</v>
      </c>
      <c r="M19" s="864">
        <f>SUM(I20:L20)</f>
        <v>0</v>
      </c>
      <c r="N19" s="869"/>
      <c r="O19" s="869"/>
      <c r="P19" s="869"/>
      <c r="Q19" s="869"/>
      <c r="R19" s="869"/>
      <c r="S19" s="876"/>
      <c r="T19" s="49"/>
    </row>
    <row r="20" spans="1:20" hidden="1" x14ac:dyDescent="0.2">
      <c r="A20" s="48"/>
      <c r="B20" s="860"/>
      <c r="C20" s="875"/>
      <c r="D20" s="861"/>
      <c r="E20" s="862"/>
      <c r="F20" s="863"/>
      <c r="G20" s="863"/>
      <c r="H20" s="21" t="s">
        <v>1858</v>
      </c>
      <c r="I20" s="634">
        <v>0</v>
      </c>
      <c r="J20" s="634">
        <v>0</v>
      </c>
      <c r="K20" s="634">
        <v>0</v>
      </c>
      <c r="L20" s="634">
        <v>0</v>
      </c>
      <c r="M20" s="865"/>
      <c r="N20" s="870"/>
      <c r="O20" s="870"/>
      <c r="P20" s="870"/>
      <c r="Q20" s="870"/>
      <c r="R20" s="870"/>
      <c r="S20" s="876"/>
      <c r="T20" s="49"/>
    </row>
    <row r="21" spans="1:20" ht="14.5" hidden="1" customHeight="1" x14ac:dyDescent="0.2">
      <c r="A21" s="48"/>
      <c r="B21" s="860"/>
      <c r="C21" s="733"/>
      <c r="D21" s="861"/>
      <c r="E21" s="862"/>
      <c r="F21" s="863"/>
      <c r="G21" s="863"/>
      <c r="H21" s="22" t="s">
        <v>1857</v>
      </c>
      <c r="I21" s="633">
        <f>IF($N$12="YES",0,"")</f>
        <v>0</v>
      </c>
      <c r="J21" s="633">
        <f>IF($N$12="YES",0,"")</f>
        <v>0</v>
      </c>
      <c r="K21" s="680">
        <f>IF($N$12="YES",0,"")</f>
        <v>0</v>
      </c>
      <c r="L21" s="680">
        <f>IF($N$12="YES",0,"")</f>
        <v>0</v>
      </c>
      <c r="M21" s="864">
        <f>SUM(I22:L22)</f>
        <v>0</v>
      </c>
      <c r="N21" s="869"/>
      <c r="O21" s="869"/>
      <c r="P21" s="869"/>
      <c r="Q21" s="869"/>
      <c r="R21" s="869"/>
      <c r="S21" s="876"/>
      <c r="T21" s="49"/>
    </row>
    <row r="22" spans="1:20" hidden="1" x14ac:dyDescent="0.2">
      <c r="A22" s="48"/>
      <c r="B22" s="860"/>
      <c r="C22" s="875"/>
      <c r="D22" s="861"/>
      <c r="E22" s="862"/>
      <c r="F22" s="863"/>
      <c r="G22" s="863"/>
      <c r="H22" s="21" t="s">
        <v>1858</v>
      </c>
      <c r="I22" s="634">
        <v>0</v>
      </c>
      <c r="J22" s="634">
        <v>0</v>
      </c>
      <c r="K22" s="634">
        <v>0</v>
      </c>
      <c r="L22" s="634">
        <v>0</v>
      </c>
      <c r="M22" s="865"/>
      <c r="N22" s="870"/>
      <c r="O22" s="870"/>
      <c r="P22" s="870"/>
      <c r="Q22" s="870"/>
      <c r="R22" s="870"/>
      <c r="S22" s="876"/>
      <c r="T22" s="49"/>
    </row>
    <row r="23" spans="1:20" ht="14.5" hidden="1" customHeight="1" x14ac:dyDescent="0.2">
      <c r="A23" s="48"/>
      <c r="B23" s="860"/>
      <c r="C23" s="733"/>
      <c r="D23" s="861"/>
      <c r="E23" s="862"/>
      <c r="F23" s="863"/>
      <c r="G23" s="863"/>
      <c r="H23" s="22" t="s">
        <v>1857</v>
      </c>
      <c r="I23" s="633">
        <f>IF($N$12="YES",0,"")</f>
        <v>0</v>
      </c>
      <c r="J23" s="633">
        <f>IF($N$12="YES",0,"")</f>
        <v>0</v>
      </c>
      <c r="K23" s="680">
        <f>IF($N$12="YES",0,"")</f>
        <v>0</v>
      </c>
      <c r="L23" s="680">
        <f>IF($N$12="YES",0,"")</f>
        <v>0</v>
      </c>
      <c r="M23" s="864">
        <f>SUM(I24:L24)</f>
        <v>0</v>
      </c>
      <c r="N23" s="869"/>
      <c r="O23" s="869"/>
      <c r="P23" s="869"/>
      <c r="Q23" s="869"/>
      <c r="R23" s="869"/>
      <c r="S23" s="876"/>
      <c r="T23" s="49"/>
    </row>
    <row r="24" spans="1:20" hidden="1" x14ac:dyDescent="0.2">
      <c r="A24" s="48"/>
      <c r="B24" s="860"/>
      <c r="C24" s="875"/>
      <c r="D24" s="861"/>
      <c r="E24" s="862"/>
      <c r="F24" s="863"/>
      <c r="G24" s="863"/>
      <c r="H24" s="21" t="s">
        <v>1858</v>
      </c>
      <c r="I24" s="634">
        <v>0</v>
      </c>
      <c r="J24" s="634">
        <v>0</v>
      </c>
      <c r="K24" s="634">
        <v>0</v>
      </c>
      <c r="L24" s="634">
        <v>0</v>
      </c>
      <c r="M24" s="865"/>
      <c r="N24" s="870"/>
      <c r="O24" s="870"/>
      <c r="P24" s="870"/>
      <c r="Q24" s="870"/>
      <c r="R24" s="870"/>
      <c r="S24" s="876"/>
      <c r="T24" s="49"/>
    </row>
    <row r="25" spans="1:20" ht="14.5" hidden="1" customHeight="1" x14ac:dyDescent="0.2">
      <c r="A25" s="48"/>
      <c r="B25" s="860"/>
      <c r="C25" s="733"/>
      <c r="D25" s="861"/>
      <c r="E25" s="862"/>
      <c r="F25" s="863"/>
      <c r="G25" s="863"/>
      <c r="H25" s="22" t="s">
        <v>1857</v>
      </c>
      <c r="I25" s="633">
        <f>IF($N$12="YES",0,"")</f>
        <v>0</v>
      </c>
      <c r="J25" s="633">
        <f>IF($N$12="YES",0,"")</f>
        <v>0</v>
      </c>
      <c r="K25" s="680">
        <f>IF($N$12="YES",0,"")</f>
        <v>0</v>
      </c>
      <c r="L25" s="680">
        <f>IF($N$12="YES",0,"")</f>
        <v>0</v>
      </c>
      <c r="M25" s="864">
        <f>SUM(I26:L26)</f>
        <v>0</v>
      </c>
      <c r="N25" s="869"/>
      <c r="O25" s="869"/>
      <c r="P25" s="869"/>
      <c r="Q25" s="869"/>
      <c r="R25" s="869"/>
      <c r="S25" s="876"/>
      <c r="T25" s="49"/>
    </row>
    <row r="26" spans="1:20" ht="14.5" hidden="1" customHeight="1" x14ac:dyDescent="0.2">
      <c r="A26" s="48"/>
      <c r="B26" s="860"/>
      <c r="C26" s="875"/>
      <c r="D26" s="861"/>
      <c r="E26" s="862"/>
      <c r="F26" s="863"/>
      <c r="G26" s="863"/>
      <c r="H26" s="21" t="s">
        <v>1858</v>
      </c>
      <c r="I26" s="634">
        <v>0</v>
      </c>
      <c r="J26" s="634">
        <v>0</v>
      </c>
      <c r="K26" s="634">
        <v>0</v>
      </c>
      <c r="L26" s="634">
        <v>0</v>
      </c>
      <c r="M26" s="865"/>
      <c r="N26" s="870"/>
      <c r="O26" s="870"/>
      <c r="P26" s="870"/>
      <c r="Q26" s="870"/>
      <c r="R26" s="870"/>
      <c r="S26" s="876"/>
      <c r="T26" s="49"/>
    </row>
    <row r="27" spans="1:20" ht="14.5" hidden="1" customHeight="1" x14ac:dyDescent="0.2">
      <c r="A27" s="48"/>
      <c r="B27" s="860"/>
      <c r="C27" s="733"/>
      <c r="D27" s="861"/>
      <c r="E27" s="862"/>
      <c r="F27" s="863"/>
      <c r="G27" s="863"/>
      <c r="H27" s="22" t="s">
        <v>1857</v>
      </c>
      <c r="I27" s="633">
        <f>IF($N$12="YES",0,"")</f>
        <v>0</v>
      </c>
      <c r="J27" s="633">
        <f>IF($N$12="YES",0,"")</f>
        <v>0</v>
      </c>
      <c r="K27" s="680">
        <f>IF($N$12="YES",0,"")</f>
        <v>0</v>
      </c>
      <c r="L27" s="680">
        <f>IF($N$12="YES",0,"")</f>
        <v>0</v>
      </c>
      <c r="M27" s="864">
        <f>SUM(I28:L28)</f>
        <v>0</v>
      </c>
      <c r="N27" s="869"/>
      <c r="O27" s="869"/>
      <c r="P27" s="869"/>
      <c r="Q27" s="869"/>
      <c r="R27" s="869"/>
      <c r="S27" s="876"/>
      <c r="T27" s="49"/>
    </row>
    <row r="28" spans="1:20" ht="14.5" hidden="1" customHeight="1" x14ac:dyDescent="0.2">
      <c r="A28" s="48"/>
      <c r="B28" s="860"/>
      <c r="C28" s="875"/>
      <c r="D28" s="861"/>
      <c r="E28" s="862"/>
      <c r="F28" s="863"/>
      <c r="G28" s="863"/>
      <c r="H28" s="21" t="s">
        <v>1858</v>
      </c>
      <c r="I28" s="634">
        <v>0</v>
      </c>
      <c r="J28" s="634">
        <v>0</v>
      </c>
      <c r="K28" s="634">
        <v>0</v>
      </c>
      <c r="L28" s="634">
        <v>0</v>
      </c>
      <c r="M28" s="865"/>
      <c r="N28" s="870"/>
      <c r="O28" s="870"/>
      <c r="P28" s="870"/>
      <c r="Q28" s="870"/>
      <c r="R28" s="870"/>
      <c r="S28" s="876"/>
      <c r="T28" s="49"/>
    </row>
    <row r="29" spans="1:20" ht="14.5" hidden="1" customHeight="1" x14ac:dyDescent="0.2">
      <c r="A29" s="48"/>
      <c r="B29" s="860"/>
      <c r="C29" s="733"/>
      <c r="D29" s="861"/>
      <c r="E29" s="862"/>
      <c r="F29" s="863"/>
      <c r="G29" s="863"/>
      <c r="H29" s="22" t="s">
        <v>1857</v>
      </c>
      <c r="I29" s="633">
        <f>IF($N$12="YES",0,"")</f>
        <v>0</v>
      </c>
      <c r="J29" s="633">
        <f>IF($N$12="YES",0,"")</f>
        <v>0</v>
      </c>
      <c r="K29" s="680">
        <f>IF($N$12="YES",0,"")</f>
        <v>0</v>
      </c>
      <c r="L29" s="680">
        <f>IF($N$12="YES",0,"")</f>
        <v>0</v>
      </c>
      <c r="M29" s="864">
        <f>SUM(I30:L30)</f>
        <v>0</v>
      </c>
      <c r="N29" s="869"/>
      <c r="O29" s="869"/>
      <c r="P29" s="869"/>
      <c r="Q29" s="869"/>
      <c r="R29" s="869"/>
      <c r="S29" s="876"/>
      <c r="T29" s="49"/>
    </row>
    <row r="30" spans="1:20" ht="14.5" hidden="1" customHeight="1" x14ac:dyDescent="0.2">
      <c r="A30" s="48"/>
      <c r="B30" s="860"/>
      <c r="C30" s="875"/>
      <c r="D30" s="861"/>
      <c r="E30" s="862"/>
      <c r="F30" s="863"/>
      <c r="G30" s="863"/>
      <c r="H30" s="21" t="s">
        <v>1858</v>
      </c>
      <c r="I30" s="634">
        <v>0</v>
      </c>
      <c r="J30" s="634">
        <v>0</v>
      </c>
      <c r="K30" s="634">
        <v>0</v>
      </c>
      <c r="L30" s="634">
        <v>0</v>
      </c>
      <c r="M30" s="865"/>
      <c r="N30" s="870"/>
      <c r="O30" s="870"/>
      <c r="P30" s="870"/>
      <c r="Q30" s="870"/>
      <c r="R30" s="870"/>
      <c r="S30" s="876"/>
      <c r="T30" s="49"/>
    </row>
    <row r="31" spans="1:20" ht="14.5" hidden="1" customHeight="1" x14ac:dyDescent="0.2">
      <c r="A31" s="48"/>
      <c r="B31" s="860"/>
      <c r="C31" s="733"/>
      <c r="D31" s="861"/>
      <c r="E31" s="862"/>
      <c r="F31" s="863"/>
      <c r="G31" s="863"/>
      <c r="H31" s="22" t="s">
        <v>1857</v>
      </c>
      <c r="I31" s="633">
        <f>IF($N$12="YES",0,"")</f>
        <v>0</v>
      </c>
      <c r="J31" s="633">
        <f>IF($N$12="YES",0,"")</f>
        <v>0</v>
      </c>
      <c r="K31" s="680">
        <f>IF($N$12="YES",0,"")</f>
        <v>0</v>
      </c>
      <c r="L31" s="680">
        <f>IF($N$12="YES",0,"")</f>
        <v>0</v>
      </c>
      <c r="M31" s="864">
        <f>SUM(I32:L32)</f>
        <v>0</v>
      </c>
      <c r="N31" s="869"/>
      <c r="O31" s="869"/>
      <c r="P31" s="869"/>
      <c r="Q31" s="869"/>
      <c r="R31" s="869"/>
      <c r="S31" s="876"/>
      <c r="T31" s="49"/>
    </row>
    <row r="32" spans="1:20" ht="14.5" hidden="1" customHeight="1" x14ac:dyDescent="0.2">
      <c r="A32" s="48"/>
      <c r="B32" s="860"/>
      <c r="C32" s="875"/>
      <c r="D32" s="861"/>
      <c r="E32" s="862"/>
      <c r="F32" s="863"/>
      <c r="G32" s="863"/>
      <c r="H32" s="21" t="s">
        <v>1858</v>
      </c>
      <c r="I32" s="634">
        <v>0</v>
      </c>
      <c r="J32" s="634">
        <v>0</v>
      </c>
      <c r="K32" s="634">
        <v>0</v>
      </c>
      <c r="L32" s="634">
        <v>0</v>
      </c>
      <c r="M32" s="865"/>
      <c r="N32" s="870"/>
      <c r="O32" s="870"/>
      <c r="P32" s="870"/>
      <c r="Q32" s="870"/>
      <c r="R32" s="870"/>
      <c r="S32" s="876"/>
      <c r="T32" s="49"/>
    </row>
    <row r="33" spans="1:20" ht="14.5" hidden="1" customHeight="1" x14ac:dyDescent="0.2">
      <c r="A33" s="48"/>
      <c r="B33" s="860"/>
      <c r="C33" s="733"/>
      <c r="D33" s="861"/>
      <c r="E33" s="862"/>
      <c r="F33" s="863"/>
      <c r="G33" s="863"/>
      <c r="H33" s="22" t="s">
        <v>1857</v>
      </c>
      <c r="I33" s="633">
        <f>IF($N$12="YES",0,"")</f>
        <v>0</v>
      </c>
      <c r="J33" s="633">
        <f>IF($N$12="YES",0,"")</f>
        <v>0</v>
      </c>
      <c r="K33" s="680">
        <f>IF($N$12="YES",0,"")</f>
        <v>0</v>
      </c>
      <c r="L33" s="680">
        <f>IF($N$12="YES",0,"")</f>
        <v>0</v>
      </c>
      <c r="M33" s="864">
        <f>SUM(I34:L34)</f>
        <v>0</v>
      </c>
      <c r="N33" s="869"/>
      <c r="O33" s="869"/>
      <c r="P33" s="869"/>
      <c r="Q33" s="869"/>
      <c r="R33" s="869"/>
      <c r="S33" s="876"/>
      <c r="T33" s="49"/>
    </row>
    <row r="34" spans="1:20" ht="14.5" hidden="1" customHeight="1" x14ac:dyDescent="0.2">
      <c r="A34" s="48"/>
      <c r="B34" s="860"/>
      <c r="C34" s="875"/>
      <c r="D34" s="861"/>
      <c r="E34" s="862"/>
      <c r="F34" s="863"/>
      <c r="G34" s="863"/>
      <c r="H34" s="21" t="s">
        <v>1858</v>
      </c>
      <c r="I34" s="634">
        <v>0</v>
      </c>
      <c r="J34" s="634">
        <v>0</v>
      </c>
      <c r="K34" s="634">
        <v>0</v>
      </c>
      <c r="L34" s="634">
        <v>0</v>
      </c>
      <c r="M34" s="865"/>
      <c r="N34" s="870"/>
      <c r="O34" s="870"/>
      <c r="P34" s="870"/>
      <c r="Q34" s="870"/>
      <c r="R34" s="870"/>
      <c r="S34" s="876"/>
      <c r="T34" s="49"/>
    </row>
    <row r="35" spans="1:20" ht="14.5" hidden="1" customHeight="1" x14ac:dyDescent="0.2">
      <c r="A35" s="48"/>
      <c r="B35" s="860"/>
      <c r="C35" s="733"/>
      <c r="D35" s="861"/>
      <c r="E35" s="862"/>
      <c r="F35" s="940"/>
      <c r="G35" s="863"/>
      <c r="H35" s="22" t="s">
        <v>1857</v>
      </c>
      <c r="I35" s="633">
        <f>IF($N$12="YES",0,"")</f>
        <v>0</v>
      </c>
      <c r="J35" s="633">
        <f>IF($N$12="YES",0,"")</f>
        <v>0</v>
      </c>
      <c r="K35" s="680">
        <f>IF($N$12="YES",0,"")</f>
        <v>0</v>
      </c>
      <c r="L35" s="680">
        <f>IF($N$12="YES",0,"")</f>
        <v>0</v>
      </c>
      <c r="M35" s="864">
        <f>SUM(I36:L36)</f>
        <v>0</v>
      </c>
      <c r="N35" s="937"/>
      <c r="O35" s="869"/>
      <c r="P35" s="869"/>
      <c r="Q35" s="869"/>
      <c r="R35" s="869"/>
      <c r="S35" s="876"/>
      <c r="T35" s="49"/>
    </row>
    <row r="36" spans="1:20" ht="14.5" hidden="1" customHeight="1" thickBot="1" x14ac:dyDescent="0.25">
      <c r="A36" s="50"/>
      <c r="B36" s="930"/>
      <c r="C36" s="734"/>
      <c r="D36" s="931"/>
      <c r="E36" s="932"/>
      <c r="F36" s="941"/>
      <c r="G36" s="942"/>
      <c r="H36" s="642" t="s">
        <v>1858</v>
      </c>
      <c r="I36" s="643">
        <v>0</v>
      </c>
      <c r="J36" s="643">
        <v>0</v>
      </c>
      <c r="K36" s="643">
        <v>0</v>
      </c>
      <c r="L36" s="643">
        <v>0</v>
      </c>
      <c r="M36" s="939"/>
      <c r="N36" s="938"/>
      <c r="O36" s="915"/>
      <c r="P36" s="915"/>
      <c r="Q36" s="915"/>
      <c r="R36" s="915"/>
      <c r="S36" s="936"/>
      <c r="T36" s="49"/>
    </row>
    <row r="37" spans="1:20" x14ac:dyDescent="0.2">
      <c r="A37" s="48"/>
      <c r="B37" s="9"/>
      <c r="C37" s="9"/>
      <c r="D37" s="9"/>
      <c r="E37" s="9"/>
      <c r="F37" s="1"/>
      <c r="G37" s="1"/>
      <c r="H37" s="1"/>
      <c r="I37" s="1"/>
      <c r="J37" s="1"/>
      <c r="K37" s="34"/>
      <c r="L37" s="35" t="s">
        <v>38</v>
      </c>
      <c r="M37" s="36">
        <f>SUM(M17:M36)</f>
        <v>26</v>
      </c>
      <c r="N37" s="7"/>
      <c r="O37" s="7"/>
      <c r="P37" s="7"/>
      <c r="Q37" s="7"/>
      <c r="R37" s="7"/>
      <c r="S37" s="9"/>
      <c r="T37" s="49"/>
    </row>
    <row r="38" spans="1:20" ht="16" thickBot="1" x14ac:dyDescent="0.25">
      <c r="A38" s="48"/>
      <c r="B38" s="4"/>
      <c r="C38" s="4"/>
      <c r="D38" s="4"/>
      <c r="E38" s="4"/>
      <c r="F38" s="4"/>
      <c r="G38" s="4"/>
      <c r="H38" s="4"/>
      <c r="I38" s="4"/>
      <c r="J38" s="4"/>
      <c r="K38" s="4"/>
      <c r="L38" s="4"/>
      <c r="M38" s="7"/>
      <c r="N38" s="4"/>
      <c r="O38" s="4"/>
      <c r="P38" s="4"/>
      <c r="Q38" s="4"/>
      <c r="R38" s="4"/>
      <c r="S38" s="4"/>
      <c r="T38" s="49"/>
    </row>
    <row r="39" spans="1:20" ht="16" x14ac:dyDescent="0.2">
      <c r="A39" s="48"/>
      <c r="B39" s="744" t="s">
        <v>1686</v>
      </c>
      <c r="C39" s="745"/>
      <c r="D39" s="746"/>
      <c r="E39" s="746"/>
      <c r="F39" s="746"/>
      <c r="G39" s="746"/>
      <c r="H39" s="746"/>
      <c r="I39" s="746"/>
      <c r="J39" s="746"/>
      <c r="K39" s="746"/>
      <c r="L39" s="747"/>
      <c r="M39" s="7"/>
      <c r="N39" s="910" t="s">
        <v>1687</v>
      </c>
      <c r="O39" s="911"/>
      <c r="P39" s="911"/>
      <c r="Q39" s="911"/>
      <c r="R39" s="911"/>
      <c r="S39" s="912"/>
      <c r="T39" s="51"/>
    </row>
    <row r="40" spans="1:20" ht="15.5" customHeight="1" x14ac:dyDescent="0.2">
      <c r="A40" s="48"/>
      <c r="B40" s="928" t="s">
        <v>39</v>
      </c>
      <c r="C40" s="921"/>
      <c r="D40" s="929"/>
      <c r="E40" s="918">
        <v>0.04</v>
      </c>
      <c r="F40" s="919"/>
      <c r="G40" s="919"/>
      <c r="H40" s="920"/>
      <c r="I40" s="421"/>
      <c r="J40" s="421"/>
      <c r="K40" s="421"/>
      <c r="L40" s="422"/>
      <c r="M40" s="7"/>
      <c r="N40" s="443" t="str">
        <f>IF(N11="Yes-See Section 6","Please review UW Tab due to the following:","")</f>
        <v/>
      </c>
      <c r="O40" s="57"/>
      <c r="P40" s="57"/>
      <c r="Q40" s="57"/>
      <c r="R40" s="57"/>
      <c r="S40" s="444" t="s">
        <v>1973</v>
      </c>
      <c r="T40" s="52"/>
    </row>
    <row r="41" spans="1:20" x14ac:dyDescent="0.2">
      <c r="A41" s="48"/>
      <c r="B41" s="928" t="s">
        <v>1789</v>
      </c>
      <c r="C41" s="921"/>
      <c r="D41" s="929"/>
      <c r="E41" s="760" t="s">
        <v>1952</v>
      </c>
      <c r="F41" s="761"/>
      <c r="G41" s="761"/>
      <c r="H41" s="762"/>
      <c r="I41" s="771"/>
      <c r="J41" s="771"/>
      <c r="K41" s="7"/>
      <c r="L41" s="41"/>
      <c r="M41" s="7"/>
      <c r="N41" s="194" t="s">
        <v>59</v>
      </c>
      <c r="O41" s="195"/>
      <c r="P41" s="195"/>
      <c r="Q41" s="195"/>
      <c r="R41" s="195"/>
      <c r="S41" s="196"/>
      <c r="T41" s="52"/>
    </row>
    <row r="42" spans="1:20" x14ac:dyDescent="0.2">
      <c r="A42" s="48"/>
      <c r="B42" s="772" t="s">
        <v>1790</v>
      </c>
      <c r="C42" s="773"/>
      <c r="D42" s="921"/>
      <c r="E42" s="763" t="s">
        <v>46</v>
      </c>
      <c r="F42" s="764"/>
      <c r="G42" s="764"/>
      <c r="H42" s="765"/>
      <c r="I42" s="772" t="s">
        <v>1879</v>
      </c>
      <c r="J42" s="773"/>
      <c r="K42" s="773"/>
      <c r="L42" s="774"/>
      <c r="M42" s="7"/>
      <c r="N42" s="815"/>
      <c r="O42" s="816"/>
      <c r="P42" s="816"/>
      <c r="Q42" s="816"/>
      <c r="R42" s="816"/>
      <c r="S42" s="817"/>
      <c r="T42" s="52"/>
    </row>
    <row r="43" spans="1:20" ht="16" thickBot="1" x14ac:dyDescent="0.25">
      <c r="A43" s="48"/>
      <c r="B43" s="922" t="s">
        <v>1837</v>
      </c>
      <c r="C43" s="923"/>
      <c r="D43" s="924"/>
      <c r="E43" s="766" t="s">
        <v>46</v>
      </c>
      <c r="F43" s="767"/>
      <c r="G43" s="767"/>
      <c r="H43" s="768"/>
      <c r="I43" s="775" t="s">
        <v>2001</v>
      </c>
      <c r="J43" s="767"/>
      <c r="K43" s="767"/>
      <c r="L43" s="776"/>
      <c r="M43" s="7"/>
      <c r="N43" s="815"/>
      <c r="O43" s="816"/>
      <c r="P43" s="816"/>
      <c r="Q43" s="816"/>
      <c r="R43" s="816"/>
      <c r="S43" s="817"/>
      <c r="T43" s="52"/>
    </row>
    <row r="44" spans="1:20" ht="15" customHeight="1" thickBot="1" x14ac:dyDescent="0.25">
      <c r="A44" s="48"/>
      <c r="B44" s="916"/>
      <c r="C44" s="916"/>
      <c r="D44" s="916"/>
      <c r="E44" s="916"/>
      <c r="F44" s="916"/>
      <c r="G44" s="916"/>
      <c r="H44" s="916"/>
      <c r="I44" s="916"/>
      <c r="J44" s="916"/>
      <c r="K44" s="916"/>
      <c r="L44" s="917"/>
      <c r="M44" s="7"/>
      <c r="N44" s="815"/>
      <c r="O44" s="816"/>
      <c r="P44" s="816"/>
      <c r="Q44" s="816"/>
      <c r="R44" s="816"/>
      <c r="S44" s="817"/>
      <c r="T44" s="52"/>
    </row>
    <row r="45" spans="1:20" x14ac:dyDescent="0.2">
      <c r="A45" s="48"/>
      <c r="B45" s="925" t="s">
        <v>40</v>
      </c>
      <c r="C45" s="926"/>
      <c r="D45" s="927"/>
      <c r="E45" s="769"/>
      <c r="F45" s="769"/>
      <c r="G45" s="769"/>
      <c r="H45" s="769"/>
      <c r="I45" s="769"/>
      <c r="J45" s="769"/>
      <c r="K45" s="769"/>
      <c r="L45" s="42"/>
      <c r="M45" s="7"/>
      <c r="N45" s="815"/>
      <c r="O45" s="816"/>
      <c r="P45" s="816"/>
      <c r="Q45" s="816"/>
      <c r="R45" s="816"/>
      <c r="S45" s="817"/>
      <c r="T45" s="52"/>
    </row>
    <row r="46" spans="1:20" x14ac:dyDescent="0.2">
      <c r="A46" s="48"/>
      <c r="B46" s="772" t="s">
        <v>41</v>
      </c>
      <c r="C46" s="773"/>
      <c r="D46" s="921"/>
      <c r="E46" s="770"/>
      <c r="F46" s="770"/>
      <c r="G46" s="770"/>
      <c r="H46" s="770"/>
      <c r="I46" s="770"/>
      <c r="J46" s="770"/>
      <c r="K46" s="770"/>
      <c r="L46" s="42"/>
      <c r="M46" s="7"/>
      <c r="N46" s="815"/>
      <c r="O46" s="816"/>
      <c r="P46" s="816"/>
      <c r="Q46" s="816"/>
      <c r="R46" s="816"/>
      <c r="S46" s="817"/>
      <c r="T46" s="49"/>
    </row>
    <row r="47" spans="1:20" ht="16" thickBot="1" x14ac:dyDescent="0.25">
      <c r="A47" s="48"/>
      <c r="B47" s="423" t="s">
        <v>42</v>
      </c>
      <c r="C47" s="424"/>
      <c r="D47" s="420"/>
      <c r="E47" s="770"/>
      <c r="F47" s="770"/>
      <c r="G47" s="741"/>
      <c r="H47" s="741"/>
      <c r="I47" s="741"/>
      <c r="J47" s="741"/>
      <c r="K47" s="741"/>
      <c r="L47" s="42"/>
      <c r="M47" s="7"/>
      <c r="N47" s="818"/>
      <c r="O47" s="819"/>
      <c r="P47" s="819"/>
      <c r="Q47" s="819"/>
      <c r="R47" s="819"/>
      <c r="S47" s="820"/>
      <c r="T47" s="49"/>
    </row>
    <row r="48" spans="1:20" ht="16" thickBot="1" x14ac:dyDescent="0.25">
      <c r="A48" s="48"/>
      <c r="B48" s="423" t="s">
        <v>43</v>
      </c>
      <c r="C48" s="424"/>
      <c r="D48" s="420"/>
      <c r="E48" s="770"/>
      <c r="F48" s="770"/>
      <c r="G48" s="741"/>
      <c r="H48" s="741"/>
      <c r="I48" s="741"/>
      <c r="J48" s="741"/>
      <c r="K48" s="741"/>
      <c r="L48" s="42"/>
      <c r="M48" s="7"/>
      <c r="N48" s="56"/>
      <c r="O48" s="56"/>
      <c r="P48" s="56"/>
      <c r="Q48" s="56"/>
      <c r="R48" s="56"/>
      <c r="S48" s="56"/>
      <c r="T48" s="49"/>
    </row>
    <row r="49" spans="1:22" ht="17" thickBot="1" x14ac:dyDescent="0.25">
      <c r="A49" s="48"/>
      <c r="B49" s="425" t="s">
        <v>44</v>
      </c>
      <c r="C49" s="426"/>
      <c r="D49" s="427"/>
      <c r="E49" s="907"/>
      <c r="F49" s="908"/>
      <c r="G49" s="908"/>
      <c r="H49" s="908"/>
      <c r="I49" s="908"/>
      <c r="J49" s="908"/>
      <c r="K49" s="909"/>
      <c r="L49" s="44"/>
      <c r="M49" s="7"/>
      <c r="N49" s="910" t="s">
        <v>1771</v>
      </c>
      <c r="O49" s="911"/>
      <c r="P49" s="911"/>
      <c r="Q49" s="911"/>
      <c r="R49" s="911"/>
      <c r="S49" s="912"/>
      <c r="T49" s="49"/>
    </row>
    <row r="50" spans="1:22" ht="19.25" customHeight="1" thickBot="1" x14ac:dyDescent="0.25">
      <c r="A50" s="48"/>
      <c r="B50" s="193" t="s">
        <v>1856</v>
      </c>
      <c r="C50" s="192"/>
      <c r="D50" s="4"/>
      <c r="E50" s="4"/>
      <c r="F50" s="4"/>
      <c r="G50" s="4"/>
      <c r="H50" s="4"/>
      <c r="I50" s="4"/>
      <c r="J50" s="4"/>
      <c r="K50" s="4"/>
      <c r="L50" s="4"/>
      <c r="M50" s="7"/>
      <c r="N50" s="913" t="s">
        <v>569</v>
      </c>
      <c r="O50" s="914"/>
      <c r="P50" s="914"/>
      <c r="Q50" s="914"/>
      <c r="R50" s="914"/>
      <c r="S50" s="389">
        <f>N5</f>
        <v>26</v>
      </c>
      <c r="T50" s="49"/>
    </row>
    <row r="51" spans="1:22" ht="16" x14ac:dyDescent="0.2">
      <c r="A51" s="48"/>
      <c r="B51" s="744" t="s">
        <v>1688</v>
      </c>
      <c r="C51" s="745"/>
      <c r="D51" s="746"/>
      <c r="E51" s="746"/>
      <c r="F51" s="746"/>
      <c r="G51" s="746"/>
      <c r="H51" s="746"/>
      <c r="I51" s="746"/>
      <c r="J51" s="746"/>
      <c r="K51" s="746"/>
      <c r="L51" s="747"/>
      <c r="M51" s="7"/>
      <c r="N51" s="739" t="s">
        <v>571</v>
      </c>
      <c r="O51" s="740"/>
      <c r="P51" s="740"/>
      <c r="Q51" s="740"/>
      <c r="R51" s="740"/>
      <c r="S51" s="390">
        <f>N7</f>
        <v>0</v>
      </c>
      <c r="T51" s="49"/>
    </row>
    <row r="52" spans="1:22" x14ac:dyDescent="0.2">
      <c r="A52" s="48"/>
      <c r="B52" s="841" t="s">
        <v>45</v>
      </c>
      <c r="C52" s="821" t="s">
        <v>46</v>
      </c>
      <c r="D52" s="822"/>
      <c r="E52" s="823"/>
      <c r="F52" s="842" t="s">
        <v>25</v>
      </c>
      <c r="G52" s="842"/>
      <c r="H52" s="849" t="s">
        <v>47</v>
      </c>
      <c r="I52" s="849"/>
      <c r="J52" s="821" t="s">
        <v>1683</v>
      </c>
      <c r="K52" s="822"/>
      <c r="L52" s="836"/>
      <c r="M52" s="7"/>
      <c r="N52" s="739" t="s">
        <v>573</v>
      </c>
      <c r="O52" s="740"/>
      <c r="P52" s="740"/>
      <c r="Q52" s="740"/>
      <c r="R52" s="740"/>
      <c r="S52" s="390">
        <f>+S50-S51</f>
        <v>26</v>
      </c>
      <c r="T52" s="49"/>
    </row>
    <row r="53" spans="1:22" x14ac:dyDescent="0.2">
      <c r="A53" s="48"/>
      <c r="B53" s="841"/>
      <c r="C53" s="824"/>
      <c r="D53" s="825"/>
      <c r="E53" s="826"/>
      <c r="F53" s="13" t="s">
        <v>30</v>
      </c>
      <c r="G53" s="20" t="s">
        <v>31</v>
      </c>
      <c r="H53" s="849"/>
      <c r="I53" s="849"/>
      <c r="J53" s="824"/>
      <c r="K53" s="825"/>
      <c r="L53" s="837"/>
      <c r="M53" s="7"/>
      <c r="N53" s="739" t="s">
        <v>575</v>
      </c>
      <c r="O53" s="740"/>
      <c r="P53" s="740"/>
      <c r="Q53" s="740"/>
      <c r="R53" s="740"/>
      <c r="S53" s="429">
        <f>N6-S54</f>
        <v>26</v>
      </c>
      <c r="T53" s="49"/>
    </row>
    <row r="54" spans="1:22" x14ac:dyDescent="0.2">
      <c r="A54" s="48"/>
      <c r="B54" s="676" t="s">
        <v>48</v>
      </c>
      <c r="C54" s="827" t="s">
        <v>2002</v>
      </c>
      <c r="D54" s="828"/>
      <c r="E54" s="829"/>
      <c r="F54" s="635">
        <v>0.01</v>
      </c>
      <c r="G54" s="635">
        <v>0.02</v>
      </c>
      <c r="H54" s="850">
        <v>0.03</v>
      </c>
      <c r="I54" s="850"/>
      <c r="J54" s="833"/>
      <c r="K54" s="834"/>
      <c r="L54" s="835"/>
      <c r="M54" s="7"/>
      <c r="N54" s="739" t="s">
        <v>577</v>
      </c>
      <c r="O54" s="740"/>
      <c r="P54" s="740"/>
      <c r="Q54" s="740"/>
      <c r="R54" s="740"/>
      <c r="S54" s="394">
        <v>0</v>
      </c>
      <c r="T54" s="49"/>
    </row>
    <row r="55" spans="1:22" x14ac:dyDescent="0.2">
      <c r="A55" s="48"/>
      <c r="B55" s="676" t="s">
        <v>49</v>
      </c>
      <c r="C55" s="827" t="s">
        <v>1999</v>
      </c>
      <c r="D55" s="828"/>
      <c r="E55" s="829"/>
      <c r="F55" s="635">
        <v>0.03</v>
      </c>
      <c r="G55" s="635">
        <v>0.05</v>
      </c>
      <c r="H55" s="850">
        <v>0.05</v>
      </c>
      <c r="I55" s="850"/>
      <c r="J55" s="833"/>
      <c r="K55" s="834"/>
      <c r="L55" s="835"/>
      <c r="M55" s="7"/>
      <c r="N55" s="739" t="s">
        <v>579</v>
      </c>
      <c r="O55" s="740"/>
      <c r="P55" s="740"/>
      <c r="Q55" s="740"/>
      <c r="R55" s="740"/>
      <c r="S55" s="390">
        <f>+S54+S53</f>
        <v>26</v>
      </c>
      <c r="T55" s="49"/>
    </row>
    <row r="56" spans="1:22" ht="16" thickBot="1" x14ac:dyDescent="0.25">
      <c r="A56" s="48"/>
      <c r="B56" s="43" t="s">
        <v>50</v>
      </c>
      <c r="C56" s="830"/>
      <c r="D56" s="831"/>
      <c r="E56" s="832"/>
      <c r="F56" s="636"/>
      <c r="G56" s="636"/>
      <c r="H56" s="851"/>
      <c r="I56" s="851"/>
      <c r="J56" s="45"/>
      <c r="K56" s="45"/>
      <c r="L56" s="44"/>
      <c r="M56" s="7"/>
      <c r="N56" s="739" t="s">
        <v>580</v>
      </c>
      <c r="O56" s="740"/>
      <c r="P56" s="740"/>
      <c r="Q56" s="740"/>
      <c r="R56" s="740"/>
      <c r="S56" s="391">
        <f>ROUND(IF(S55=0,0,+S54/S55),2)</f>
        <v>0</v>
      </c>
      <c r="T56" s="49"/>
      <c r="V56" s="413"/>
    </row>
    <row r="57" spans="1:22" ht="16" thickBot="1" x14ac:dyDescent="0.25">
      <c r="A57" s="48"/>
      <c r="B57" s="4"/>
      <c r="C57" s="4"/>
      <c r="D57" s="4"/>
      <c r="E57" s="4"/>
      <c r="F57" s="4"/>
      <c r="G57" s="4"/>
      <c r="H57" s="4"/>
      <c r="I57" s="4"/>
      <c r="J57" s="4"/>
      <c r="K57" s="4"/>
      <c r="L57" s="4"/>
      <c r="M57" s="7"/>
      <c r="N57" s="739" t="s">
        <v>582</v>
      </c>
      <c r="O57" s="740"/>
      <c r="P57" s="740"/>
      <c r="Q57" s="740"/>
      <c r="R57" s="740"/>
      <c r="S57" s="391">
        <f>ROUND(IF(S55=0,0,S55/S50),2)</f>
        <v>1</v>
      </c>
      <c r="T57" s="49"/>
      <c r="V57" s="413"/>
    </row>
    <row r="58" spans="1:22" ht="17" thickBot="1" x14ac:dyDescent="0.25">
      <c r="A58" s="48"/>
      <c r="B58" s="812" t="s">
        <v>1689</v>
      </c>
      <c r="C58" s="813"/>
      <c r="D58" s="814"/>
      <c r="E58" s="814"/>
      <c r="F58" s="814"/>
      <c r="G58" s="814"/>
      <c r="H58" s="814"/>
      <c r="I58" s="746"/>
      <c r="J58" s="746"/>
      <c r="K58" s="746"/>
      <c r="L58" s="747"/>
      <c r="M58" s="7"/>
      <c r="N58" s="777" t="s">
        <v>583</v>
      </c>
      <c r="O58" s="778"/>
      <c r="P58" s="778"/>
      <c r="Q58" s="778"/>
      <c r="R58" s="778"/>
      <c r="S58" s="392">
        <f>ROUND(IF(S55=0,0,S55/S52),2)</f>
        <v>1</v>
      </c>
      <c r="T58" s="49"/>
    </row>
    <row r="59" spans="1:22" ht="17" thickBot="1" x14ac:dyDescent="0.25">
      <c r="A59" s="48"/>
      <c r="B59" s="809" t="s">
        <v>56</v>
      </c>
      <c r="C59" s="810"/>
      <c r="D59" s="810"/>
      <c r="E59" s="810"/>
      <c r="F59" s="810"/>
      <c r="G59" s="810"/>
      <c r="H59" s="811"/>
      <c r="I59" s="24"/>
      <c r="J59" s="4"/>
      <c r="K59" s="4"/>
      <c r="L59" s="4"/>
      <c r="M59" s="7"/>
      <c r="N59" s="4"/>
      <c r="O59" s="4"/>
      <c r="P59" s="4"/>
      <c r="Q59" s="4"/>
      <c r="R59" s="4"/>
      <c r="S59" s="4"/>
      <c r="T59" s="49"/>
    </row>
    <row r="60" spans="1:22" x14ac:dyDescent="0.2">
      <c r="A60" s="48"/>
      <c r="B60" s="892" t="s">
        <v>15</v>
      </c>
      <c r="C60" s="893"/>
      <c r="D60" s="894"/>
      <c r="E60" s="838" t="str">
        <f>E8</f>
        <v>DEVSALE_FIRST_NAME DEVSALE_LAST_NAME</v>
      </c>
      <c r="F60" s="839"/>
      <c r="G60" s="839"/>
      <c r="H60" s="840"/>
      <c r="I60" s="7"/>
      <c r="J60" s="7"/>
      <c r="K60" s="4"/>
      <c r="L60" s="4"/>
      <c r="M60" s="7"/>
      <c r="N60" s="785"/>
      <c r="O60" s="786"/>
      <c r="P60" s="787"/>
      <c r="Q60" s="791" t="s">
        <v>570</v>
      </c>
      <c r="R60" s="791"/>
      <c r="S60" s="683" t="s">
        <v>545</v>
      </c>
      <c r="T60" s="49"/>
    </row>
    <row r="61" spans="1:22" ht="15.5" customHeight="1" x14ac:dyDescent="0.2">
      <c r="A61" s="48"/>
      <c r="B61" s="852" t="s">
        <v>20</v>
      </c>
      <c r="C61" s="853"/>
      <c r="D61" s="854"/>
      <c r="E61" s="895">
        <f>E10</f>
        <v>0</v>
      </c>
      <c r="F61" s="896"/>
      <c r="G61" s="896"/>
      <c r="H61" s="897"/>
      <c r="I61" s="7"/>
      <c r="J61" s="7"/>
      <c r="K61" s="4"/>
      <c r="L61" s="4"/>
      <c r="M61" s="7"/>
      <c r="N61" s="788" t="s">
        <v>1773</v>
      </c>
      <c r="O61" s="789"/>
      <c r="P61" s="789"/>
      <c r="Q61" s="789"/>
      <c r="R61" s="789"/>
      <c r="S61" s="790"/>
      <c r="T61" s="49"/>
    </row>
    <row r="62" spans="1:22" x14ac:dyDescent="0.2">
      <c r="A62" s="48"/>
      <c r="B62" s="852" t="s">
        <v>11</v>
      </c>
      <c r="C62" s="853"/>
      <c r="D62" s="854"/>
      <c r="E62" s="898">
        <f>E7</f>
        <v>43387</v>
      </c>
      <c r="F62" s="899"/>
      <c r="G62" s="899"/>
      <c r="H62" s="900"/>
      <c r="I62" s="7"/>
      <c r="J62" s="7"/>
      <c r="K62" s="4"/>
      <c r="L62" s="4"/>
      <c r="M62" s="7"/>
      <c r="N62" s="793" t="s">
        <v>572</v>
      </c>
      <c r="O62" s="794"/>
      <c r="P62" s="795"/>
      <c r="Q62" s="796">
        <f>IF($S$50=0,"",'PART ADJ 2'!$C$5)</f>
        <v>1</v>
      </c>
      <c r="R62" s="797"/>
      <c r="S62" s="684">
        <f>Q62</f>
        <v>1</v>
      </c>
      <c r="T62" s="49"/>
    </row>
    <row r="63" spans="1:22" x14ac:dyDescent="0.2">
      <c r="A63" s="48"/>
      <c r="B63" s="852" t="s">
        <v>7</v>
      </c>
      <c r="C63" s="853"/>
      <c r="D63" s="854"/>
      <c r="E63" s="901">
        <f>R5</f>
        <v>0</v>
      </c>
      <c r="F63" s="902"/>
      <c r="G63" s="902"/>
      <c r="H63" s="903"/>
      <c r="I63" s="7"/>
      <c r="J63" s="7"/>
      <c r="K63" s="4"/>
      <c r="L63" s="4"/>
      <c r="M63" s="7"/>
      <c r="N63" s="798" t="s">
        <v>574</v>
      </c>
      <c r="O63" s="799"/>
      <c r="P63" s="799"/>
      <c r="Q63" s="800">
        <f>IF($S$50=0,"",'PART ADJ 2'!$D$9)</f>
        <v>1</v>
      </c>
      <c r="R63" s="800"/>
      <c r="S63" s="685">
        <f>IF($S$50=0,"",'PART ADJ 2'!$D$10)</f>
        <v>1</v>
      </c>
      <c r="T63" s="49"/>
    </row>
    <row r="64" spans="1:22" x14ac:dyDescent="0.2">
      <c r="A64" s="48"/>
      <c r="B64" s="843" t="s">
        <v>5</v>
      </c>
      <c r="C64" s="844"/>
      <c r="D64" s="845"/>
      <c r="E64" s="895">
        <f>J5</f>
        <v>1542</v>
      </c>
      <c r="F64" s="896"/>
      <c r="G64" s="896"/>
      <c r="H64" s="897"/>
      <c r="I64" s="7"/>
      <c r="J64" s="7"/>
      <c r="K64" s="4"/>
      <c r="L64" s="4"/>
      <c r="M64" s="7"/>
      <c r="N64" s="801" t="s">
        <v>1772</v>
      </c>
      <c r="O64" s="802"/>
      <c r="P64" s="802"/>
      <c r="Q64" s="792">
        <f>IF($S$50=0,"",ROUND(Q62*Q63,2))</f>
        <v>1</v>
      </c>
      <c r="R64" s="792"/>
      <c r="S64" s="684">
        <f>IF($S$50=0,"",ROUND(S62*S63,2))</f>
        <v>1</v>
      </c>
      <c r="T64" s="49"/>
    </row>
    <row r="65" spans="1:20" x14ac:dyDescent="0.2">
      <c r="A65" s="48"/>
      <c r="B65" s="843" t="s">
        <v>52</v>
      </c>
      <c r="C65" s="844"/>
      <c r="D65" s="845"/>
      <c r="E65" s="895">
        <f>J7</f>
        <v>333</v>
      </c>
      <c r="F65" s="896"/>
      <c r="G65" s="896"/>
      <c r="H65" s="897"/>
      <c r="I65" s="7"/>
      <c r="J65" s="7"/>
      <c r="K65" s="4"/>
      <c r="L65" s="4"/>
      <c r="M65" s="7"/>
      <c r="N65" s="801" t="s">
        <v>578</v>
      </c>
      <c r="O65" s="802"/>
      <c r="P65" s="802"/>
      <c r="Q65" s="781">
        <f>IF(Q64="","",Q64-1)</f>
        <v>0</v>
      </c>
      <c r="R65" s="782"/>
      <c r="S65" s="686">
        <f>IF(S64="","",S64-1)</f>
        <v>0</v>
      </c>
      <c r="T65" s="49"/>
    </row>
    <row r="66" spans="1:20" x14ac:dyDescent="0.2">
      <c r="A66" s="48"/>
      <c r="B66" s="852" t="s">
        <v>22</v>
      </c>
      <c r="C66" s="853"/>
      <c r="D66" s="854"/>
      <c r="E66" s="895" t="str">
        <f>E11</f>
        <v>Test Broker</v>
      </c>
      <c r="F66" s="896"/>
      <c r="G66" s="896"/>
      <c r="H66" s="897"/>
      <c r="I66" s="4"/>
      <c r="J66" s="4"/>
      <c r="K66" s="4"/>
      <c r="L66" s="4"/>
      <c r="M66" s="7"/>
      <c r="N66" s="788" t="s">
        <v>1774</v>
      </c>
      <c r="O66" s="789"/>
      <c r="P66" s="789"/>
      <c r="Q66" s="789"/>
      <c r="R66" s="789"/>
      <c r="S66" s="790"/>
      <c r="T66" s="49"/>
    </row>
    <row r="67" spans="1:20" x14ac:dyDescent="0.2">
      <c r="A67" s="48"/>
      <c r="B67" s="843" t="s">
        <v>53</v>
      </c>
      <c r="C67" s="844"/>
      <c r="D67" s="845"/>
      <c r="E67" s="904" t="s">
        <v>1684</v>
      </c>
      <c r="F67" s="905"/>
      <c r="G67" s="905"/>
      <c r="H67" s="906"/>
      <c r="I67" s="4"/>
      <c r="J67" s="4"/>
      <c r="K67" s="4"/>
      <c r="L67" s="4"/>
      <c r="M67" s="7"/>
      <c r="N67" s="793" t="s">
        <v>572</v>
      </c>
      <c r="O67" s="794"/>
      <c r="P67" s="795"/>
      <c r="Q67" s="796">
        <f>IF($S$50=0,"",'PART ADJ 2'!$C$5)</f>
        <v>1</v>
      </c>
      <c r="R67" s="797"/>
      <c r="S67" s="684">
        <f>Q67</f>
        <v>1</v>
      </c>
      <c r="T67" s="49"/>
    </row>
    <row r="68" spans="1:20" x14ac:dyDescent="0.2">
      <c r="A68" s="48"/>
      <c r="B68" s="843" t="s">
        <v>54</v>
      </c>
      <c r="C68" s="844"/>
      <c r="D68" s="845"/>
      <c r="E68" s="803">
        <f>H56</f>
        <v>0</v>
      </c>
      <c r="F68" s="804"/>
      <c r="G68" s="804"/>
      <c r="H68" s="805"/>
      <c r="I68" s="4"/>
      <c r="J68" s="4"/>
      <c r="K68" s="4"/>
      <c r="L68" s="4"/>
      <c r="M68" s="7"/>
      <c r="N68" s="798" t="s">
        <v>574</v>
      </c>
      <c r="O68" s="799"/>
      <c r="P68" s="799"/>
      <c r="Q68" s="800">
        <f>IF($S$50=0,"",'PART ADJ 2'!$C$9)</f>
        <v>1</v>
      </c>
      <c r="R68" s="800"/>
      <c r="S68" s="685">
        <f>IF($S$50=0,"",'PART ADJ 2'!$C$10)</f>
        <v>1</v>
      </c>
      <c r="T68" s="49"/>
    </row>
    <row r="69" spans="1:20" ht="16" thickBot="1" x14ac:dyDescent="0.25">
      <c r="A69" s="48"/>
      <c r="B69" s="846" t="s">
        <v>55</v>
      </c>
      <c r="C69" s="847"/>
      <c r="D69" s="848"/>
      <c r="E69" s="806"/>
      <c r="F69" s="807"/>
      <c r="G69" s="807"/>
      <c r="H69" s="808"/>
      <c r="I69" s="4"/>
      <c r="J69" s="4"/>
      <c r="K69" s="4"/>
      <c r="L69" s="4"/>
      <c r="M69" s="7"/>
      <c r="N69" s="801" t="s">
        <v>1772</v>
      </c>
      <c r="O69" s="802"/>
      <c r="P69" s="802"/>
      <c r="Q69" s="792">
        <f>IF($S$50=0,"",ROUND(Q67*Q68,2))</f>
        <v>1</v>
      </c>
      <c r="R69" s="792"/>
      <c r="S69" s="684">
        <f>IF($S$50=0,"",ROUND(S67*S68,2))</f>
        <v>1</v>
      </c>
      <c r="T69" s="49"/>
    </row>
    <row r="70" spans="1:20" ht="16" thickBot="1" x14ac:dyDescent="0.25">
      <c r="A70" s="48"/>
      <c r="B70" s="7"/>
      <c r="C70" s="7"/>
      <c r="D70" s="7"/>
      <c r="E70" s="7"/>
      <c r="F70" s="7"/>
      <c r="G70" s="7"/>
      <c r="H70" s="7"/>
      <c r="I70" s="7"/>
      <c r="J70" s="7"/>
      <c r="K70" s="7"/>
      <c r="L70" s="7"/>
      <c r="M70" s="7"/>
      <c r="N70" s="779" t="s">
        <v>578</v>
      </c>
      <c r="O70" s="780"/>
      <c r="P70" s="780"/>
      <c r="Q70" s="783">
        <f>IF(Q69="","",Q69-1)</f>
        <v>0</v>
      </c>
      <c r="R70" s="784"/>
      <c r="S70" s="687">
        <f>IF(S69="","",S69-1)</f>
        <v>0</v>
      </c>
      <c r="T70" s="49"/>
    </row>
    <row r="71" spans="1:20" ht="16" thickBot="1" x14ac:dyDescent="0.25">
      <c r="A71" s="393"/>
      <c r="B71" s="53"/>
      <c r="C71" s="53"/>
      <c r="D71" s="53"/>
      <c r="E71" s="53"/>
      <c r="F71" s="53"/>
      <c r="G71" s="53"/>
      <c r="H71" s="53"/>
      <c r="I71" s="53"/>
      <c r="J71" s="53"/>
      <c r="K71" s="53"/>
      <c r="L71" s="53"/>
      <c r="M71" s="54"/>
      <c r="N71" s="54"/>
      <c r="O71" s="54"/>
      <c r="P71" s="54"/>
      <c r="Q71" s="54"/>
      <c r="R71" s="54"/>
      <c r="S71" s="54"/>
      <c r="T71" s="55"/>
    </row>
    <row r="72" spans="1:20" ht="16" thickTop="1" x14ac:dyDescent="0.2"/>
  </sheetData>
  <mergeCells count="262">
    <mergeCell ref="H15:K15"/>
    <mergeCell ref="B40:D40"/>
    <mergeCell ref="N31:N32"/>
    <mergeCell ref="O35:O36"/>
    <mergeCell ref="Q35:Q36"/>
    <mergeCell ref="R35:R36"/>
    <mergeCell ref="S35:S36"/>
    <mergeCell ref="N35:N36"/>
    <mergeCell ref="N39:S39"/>
    <mergeCell ref="M35:M36"/>
    <mergeCell ref="N33:N34"/>
    <mergeCell ref="O33:O34"/>
    <mergeCell ref="P33:P34"/>
    <mergeCell ref="Q33:Q34"/>
    <mergeCell ref="R33:R34"/>
    <mergeCell ref="S33:S34"/>
    <mergeCell ref="O31:O32"/>
    <mergeCell ref="F35:F36"/>
    <mergeCell ref="G35:G36"/>
    <mergeCell ref="B29:B30"/>
    <mergeCell ref="D29:E30"/>
    <mergeCell ref="F29:F30"/>
    <mergeCell ref="G29:G30"/>
    <mergeCell ref="P31:P32"/>
    <mergeCell ref="E48:F48"/>
    <mergeCell ref="G48:I48"/>
    <mergeCell ref="J48:K48"/>
    <mergeCell ref="E49:K49"/>
    <mergeCell ref="N21:N22"/>
    <mergeCell ref="O21:O22"/>
    <mergeCell ref="N49:S49"/>
    <mergeCell ref="N50:R50"/>
    <mergeCell ref="N51:R51"/>
    <mergeCell ref="P35:P36"/>
    <mergeCell ref="B44:L44"/>
    <mergeCell ref="E40:H40"/>
    <mergeCell ref="E47:F47"/>
    <mergeCell ref="G47:I47"/>
    <mergeCell ref="B42:D42"/>
    <mergeCell ref="B46:D46"/>
    <mergeCell ref="B43:D43"/>
    <mergeCell ref="B45:D45"/>
    <mergeCell ref="B21:B22"/>
    <mergeCell ref="C21:C22"/>
    <mergeCell ref="B41:D41"/>
    <mergeCell ref="B39:L39"/>
    <mergeCell ref="B35:B36"/>
    <mergeCell ref="D35:E36"/>
    <mergeCell ref="B67:D67"/>
    <mergeCell ref="B60:D60"/>
    <mergeCell ref="B61:D61"/>
    <mergeCell ref="E61:H61"/>
    <mergeCell ref="E62:H62"/>
    <mergeCell ref="E63:H63"/>
    <mergeCell ref="E64:H64"/>
    <mergeCell ref="E65:H65"/>
    <mergeCell ref="E66:H66"/>
    <mergeCell ref="E67:H67"/>
    <mergeCell ref="B64:D64"/>
    <mergeCell ref="B65:D65"/>
    <mergeCell ref="B63:D63"/>
    <mergeCell ref="B66:D66"/>
    <mergeCell ref="Q31:Q32"/>
    <mergeCell ref="S31:S32"/>
    <mergeCell ref="R31:R32"/>
    <mergeCell ref="B33:B34"/>
    <mergeCell ref="D33:E34"/>
    <mergeCell ref="F33:F34"/>
    <mergeCell ref="G33:G34"/>
    <mergeCell ref="M33:M34"/>
    <mergeCell ref="B31:B32"/>
    <mergeCell ref="D31:E32"/>
    <mergeCell ref="F31:F32"/>
    <mergeCell ref="G31:G32"/>
    <mergeCell ref="M31:M32"/>
    <mergeCell ref="C31:C32"/>
    <mergeCell ref="C33:C34"/>
    <mergeCell ref="Q29:Q30"/>
    <mergeCell ref="R29:R30"/>
    <mergeCell ref="S29:S30"/>
    <mergeCell ref="O27:O28"/>
    <mergeCell ref="P27:P28"/>
    <mergeCell ref="Q27:Q28"/>
    <mergeCell ref="S27:S28"/>
    <mergeCell ref="N27:N28"/>
    <mergeCell ref="R27:R28"/>
    <mergeCell ref="M29:M30"/>
    <mergeCell ref="B27:B28"/>
    <mergeCell ref="D27:E28"/>
    <mergeCell ref="F27:F28"/>
    <mergeCell ref="G27:G28"/>
    <mergeCell ref="M27:M28"/>
    <mergeCell ref="C27:C28"/>
    <mergeCell ref="C29:C30"/>
    <mergeCell ref="P25:P26"/>
    <mergeCell ref="N29:N30"/>
    <mergeCell ref="O29:O30"/>
    <mergeCell ref="P29:P30"/>
    <mergeCell ref="Q25:Q26"/>
    <mergeCell ref="R25:R26"/>
    <mergeCell ref="S25:S26"/>
    <mergeCell ref="O23:O24"/>
    <mergeCell ref="P23:P24"/>
    <mergeCell ref="Q23:Q24"/>
    <mergeCell ref="B25:B26"/>
    <mergeCell ref="D25:E26"/>
    <mergeCell ref="F25:F26"/>
    <mergeCell ref="G25:G26"/>
    <mergeCell ref="M25:M26"/>
    <mergeCell ref="B23:B24"/>
    <mergeCell ref="D23:E24"/>
    <mergeCell ref="F23:F24"/>
    <mergeCell ref="G23:G24"/>
    <mergeCell ref="M23:M24"/>
    <mergeCell ref="C23:C24"/>
    <mergeCell ref="C25:C26"/>
    <mergeCell ref="S23:S24"/>
    <mergeCell ref="N23:N24"/>
    <mergeCell ref="N25:N26"/>
    <mergeCell ref="R23:R24"/>
    <mergeCell ref="O25:O26"/>
    <mergeCell ref="P21:P22"/>
    <mergeCell ref="Q21:Q22"/>
    <mergeCell ref="R21:R22"/>
    <mergeCell ref="S21:S22"/>
    <mergeCell ref="O19:O20"/>
    <mergeCell ref="P19:P20"/>
    <mergeCell ref="S19:S20"/>
    <mergeCell ref="N19:N20"/>
    <mergeCell ref="B15:C15"/>
    <mergeCell ref="Q19:Q20"/>
    <mergeCell ref="F15:G15"/>
    <mergeCell ref="R19:R20"/>
    <mergeCell ref="N15:S15"/>
    <mergeCell ref="D16:E16"/>
    <mergeCell ref="D21:E22"/>
    <mergeCell ref="F21:F22"/>
    <mergeCell ref="G21:G22"/>
    <mergeCell ref="M21:M22"/>
    <mergeCell ref="B19:B20"/>
    <mergeCell ref="D19:E20"/>
    <mergeCell ref="F19:F20"/>
    <mergeCell ref="G19:G20"/>
    <mergeCell ref="M19:M20"/>
    <mergeCell ref="C19:C20"/>
    <mergeCell ref="B10:D10"/>
    <mergeCell ref="E10:H10"/>
    <mergeCell ref="R10:S10"/>
    <mergeCell ref="B17:B18"/>
    <mergeCell ref="D17:E18"/>
    <mergeCell ref="F17:F18"/>
    <mergeCell ref="G17:G18"/>
    <mergeCell ref="M17:M18"/>
    <mergeCell ref="B11:D11"/>
    <mergeCell ref="E11:H11"/>
    <mergeCell ref="N11:O11"/>
    <mergeCell ref="N17:N18"/>
    <mergeCell ref="O17:O18"/>
    <mergeCell ref="B12:D12"/>
    <mergeCell ref="E12:H12"/>
    <mergeCell ref="C17:C18"/>
    <mergeCell ref="P17:P18"/>
    <mergeCell ref="Q17:Q18"/>
    <mergeCell ref="R17:R18"/>
    <mergeCell ref="S17:S18"/>
    <mergeCell ref="D15:E15"/>
    <mergeCell ref="R11:S11"/>
    <mergeCell ref="N10:O10"/>
    <mergeCell ref="N12:O12"/>
    <mergeCell ref="E6:H6"/>
    <mergeCell ref="L6:M6"/>
    <mergeCell ref="N6:O6"/>
    <mergeCell ref="B7:D7"/>
    <mergeCell ref="L7:M7"/>
    <mergeCell ref="N7:O7"/>
    <mergeCell ref="N9:O9"/>
    <mergeCell ref="R9:S9"/>
    <mergeCell ref="B9:D9"/>
    <mergeCell ref="E9:H9"/>
    <mergeCell ref="I8:J8"/>
    <mergeCell ref="I9:J9"/>
    <mergeCell ref="E7:H7"/>
    <mergeCell ref="E68:H68"/>
    <mergeCell ref="E69:H69"/>
    <mergeCell ref="B59:H59"/>
    <mergeCell ref="B58:L58"/>
    <mergeCell ref="N42:S47"/>
    <mergeCell ref="C52:E53"/>
    <mergeCell ref="C54:E54"/>
    <mergeCell ref="C55:E55"/>
    <mergeCell ref="C56:E56"/>
    <mergeCell ref="J54:L54"/>
    <mergeCell ref="J55:L55"/>
    <mergeCell ref="J52:L53"/>
    <mergeCell ref="E60:H60"/>
    <mergeCell ref="B51:L51"/>
    <mergeCell ref="B52:B53"/>
    <mergeCell ref="F52:G52"/>
    <mergeCell ref="B68:D68"/>
    <mergeCell ref="B69:D69"/>
    <mergeCell ref="H52:I53"/>
    <mergeCell ref="H54:I54"/>
    <mergeCell ref="H55:I55"/>
    <mergeCell ref="H56:I56"/>
    <mergeCell ref="N57:R57"/>
    <mergeCell ref="B62:D62"/>
    <mergeCell ref="N58:R58"/>
    <mergeCell ref="N70:P70"/>
    <mergeCell ref="Q65:R65"/>
    <mergeCell ref="Q70:R70"/>
    <mergeCell ref="N60:P60"/>
    <mergeCell ref="N61:S61"/>
    <mergeCell ref="N66:S66"/>
    <mergeCell ref="Q60:R60"/>
    <mergeCell ref="Q64:R64"/>
    <mergeCell ref="N67:P67"/>
    <mergeCell ref="Q67:R67"/>
    <mergeCell ref="N68:P68"/>
    <mergeCell ref="Q68:R68"/>
    <mergeCell ref="N69:P69"/>
    <mergeCell ref="Q69:R69"/>
    <mergeCell ref="N62:P62"/>
    <mergeCell ref="N63:P63"/>
    <mergeCell ref="N64:P64"/>
    <mergeCell ref="N65:P65"/>
    <mergeCell ref="Q62:R62"/>
    <mergeCell ref="Q63:R63"/>
    <mergeCell ref="E42:H42"/>
    <mergeCell ref="E43:H43"/>
    <mergeCell ref="E45:F45"/>
    <mergeCell ref="G45:I45"/>
    <mergeCell ref="J45:K45"/>
    <mergeCell ref="E46:F46"/>
    <mergeCell ref="G46:I46"/>
    <mergeCell ref="J46:K46"/>
    <mergeCell ref="I41:J41"/>
    <mergeCell ref="I42:L42"/>
    <mergeCell ref="I43:L43"/>
    <mergeCell ref="C35:C36"/>
    <mergeCell ref="L2:M2"/>
    <mergeCell ref="L9:M9"/>
    <mergeCell ref="N52:R52"/>
    <mergeCell ref="N53:R53"/>
    <mergeCell ref="N54:R54"/>
    <mergeCell ref="N55:R55"/>
    <mergeCell ref="N56:R56"/>
    <mergeCell ref="J47:K47"/>
    <mergeCell ref="R12:S12"/>
    <mergeCell ref="B4:J4"/>
    <mergeCell ref="B5:D5"/>
    <mergeCell ref="E5:H5"/>
    <mergeCell ref="L5:M5"/>
    <mergeCell ref="N5:O5"/>
    <mergeCell ref="R5:S5"/>
    <mergeCell ref="Q7:S7"/>
    <mergeCell ref="B8:D8"/>
    <mergeCell ref="E8:H8"/>
    <mergeCell ref="L8:M8"/>
    <mergeCell ref="N8:O8"/>
    <mergeCell ref="R8:S8"/>
    <mergeCell ref="B6:D6"/>
    <mergeCell ref="E41:H41"/>
  </mergeCells>
  <conditionalFormatting sqref="P9">
    <cfRule type="cellIs" dxfId="45" priority="126" operator="equal">
      <formula>"""Yes-See Section 8"""</formula>
    </cfRule>
  </conditionalFormatting>
  <conditionalFormatting sqref="N11">
    <cfRule type="containsText" dxfId="44" priority="82" operator="containsText" text="Yes-See Section 8">
      <formula>NOT(ISERROR(SEARCH("Yes-See Section 8",N11)))</formula>
    </cfRule>
  </conditionalFormatting>
  <conditionalFormatting sqref="N11">
    <cfRule type="containsText" dxfId="43" priority="81" operator="containsText" text="Yes-See Section 8">
      <formula>NOT(ISERROR(SEARCH("Yes-See Section 8",N11)))</formula>
    </cfRule>
  </conditionalFormatting>
  <conditionalFormatting sqref="N12">
    <cfRule type="containsText" dxfId="42" priority="80" operator="containsText" text="Yes-See Section 8">
      <formula>NOT(ISERROR(SEARCH("Yes-See Section 8",N12)))</formula>
    </cfRule>
  </conditionalFormatting>
  <conditionalFormatting sqref="L2">
    <cfRule type="containsText" dxfId="41" priority="78" operator="containsText" text="Yes-See Section 8">
      <formula>NOT(ISERROR(SEARCH("Yes-See Section 8",L2)))</formula>
    </cfRule>
  </conditionalFormatting>
  <conditionalFormatting sqref="L24">
    <cfRule type="expression" dxfId="40" priority="75">
      <formula>$L$16="N/A"</formula>
    </cfRule>
  </conditionalFormatting>
  <conditionalFormatting sqref="L26">
    <cfRule type="expression" dxfId="39" priority="74">
      <formula>$L$16="N/A"</formula>
    </cfRule>
  </conditionalFormatting>
  <conditionalFormatting sqref="L28">
    <cfRule type="expression" dxfId="38" priority="73">
      <formula>$L$16="N/A"</formula>
    </cfRule>
  </conditionalFormatting>
  <conditionalFormatting sqref="L30">
    <cfRule type="expression" dxfId="37" priority="72">
      <formula>$L$16="N/A"</formula>
    </cfRule>
  </conditionalFormatting>
  <conditionalFormatting sqref="L32">
    <cfRule type="expression" dxfId="36" priority="71">
      <formula>$L$16="N/A"</formula>
    </cfRule>
  </conditionalFormatting>
  <conditionalFormatting sqref="L34">
    <cfRule type="expression" dxfId="35" priority="70">
      <formula>$L$16="N/A"</formula>
    </cfRule>
  </conditionalFormatting>
  <conditionalFormatting sqref="L36">
    <cfRule type="expression" dxfId="34" priority="69">
      <formula>$L$16="N/A"</formula>
    </cfRule>
  </conditionalFormatting>
  <conditionalFormatting sqref="L21">
    <cfRule type="expression" dxfId="33" priority="65">
      <formula>$L$16="N/A"</formula>
    </cfRule>
  </conditionalFormatting>
  <conditionalFormatting sqref="L23">
    <cfRule type="expression" dxfId="32" priority="64">
      <formula>$L$16="N/A"</formula>
    </cfRule>
  </conditionalFormatting>
  <conditionalFormatting sqref="L25">
    <cfRule type="expression" dxfId="31" priority="63">
      <formula>$L$16="N/A"</formula>
    </cfRule>
  </conditionalFormatting>
  <conditionalFormatting sqref="L27">
    <cfRule type="expression" dxfId="30" priority="61">
      <formula>$L$16="N/A"</formula>
    </cfRule>
  </conditionalFormatting>
  <conditionalFormatting sqref="L29">
    <cfRule type="expression" dxfId="29" priority="60">
      <formula>$L$16="N/A"</formula>
    </cfRule>
  </conditionalFormatting>
  <conditionalFormatting sqref="L31">
    <cfRule type="expression" dxfId="28" priority="59">
      <formula>$L$16="N/A"</formula>
    </cfRule>
  </conditionalFormatting>
  <conditionalFormatting sqref="L33">
    <cfRule type="expression" dxfId="27" priority="58">
      <formula>$L$16="N/A"</formula>
    </cfRule>
  </conditionalFormatting>
  <conditionalFormatting sqref="L35">
    <cfRule type="expression" dxfId="26" priority="57">
      <formula>$L$16="N/A"</formula>
    </cfRule>
  </conditionalFormatting>
  <conditionalFormatting sqref="K24">
    <cfRule type="expression" dxfId="25" priority="34">
      <formula>$K$16="N/A"</formula>
    </cfRule>
  </conditionalFormatting>
  <conditionalFormatting sqref="K26">
    <cfRule type="expression" dxfId="24" priority="33">
      <formula>$K$16="N/A"</formula>
    </cfRule>
  </conditionalFormatting>
  <conditionalFormatting sqref="K28">
    <cfRule type="expression" dxfId="23" priority="32">
      <formula>$K$16="N/A"</formula>
    </cfRule>
  </conditionalFormatting>
  <conditionalFormatting sqref="K30">
    <cfRule type="expression" dxfId="22" priority="31">
      <formula>$K$16="N/A"</formula>
    </cfRule>
  </conditionalFormatting>
  <conditionalFormatting sqref="K32">
    <cfRule type="expression" dxfId="21" priority="30">
      <formula>$K$16="N/A"</formula>
    </cfRule>
  </conditionalFormatting>
  <conditionalFormatting sqref="K34">
    <cfRule type="expression" dxfId="20" priority="29">
      <formula>$K$16="N/A"</formula>
    </cfRule>
  </conditionalFormatting>
  <conditionalFormatting sqref="K36">
    <cfRule type="expression" dxfId="19" priority="28">
      <formula>$K$16="N/A"</formula>
    </cfRule>
  </conditionalFormatting>
  <conditionalFormatting sqref="K21">
    <cfRule type="expression" dxfId="18" priority="24">
      <formula>$K$16="N/A"</formula>
    </cfRule>
  </conditionalFormatting>
  <conditionalFormatting sqref="K23">
    <cfRule type="expression" dxfId="17" priority="23">
      <formula>$K$16="N/A"</formula>
    </cfRule>
  </conditionalFormatting>
  <conditionalFormatting sqref="K25">
    <cfRule type="expression" dxfId="16" priority="22">
      <formula>$K$16="N/A"</formula>
    </cfRule>
  </conditionalFormatting>
  <conditionalFormatting sqref="K27">
    <cfRule type="expression" dxfId="15" priority="21">
      <formula>$K$16="N/A"</formula>
    </cfRule>
  </conditionalFormatting>
  <conditionalFormatting sqref="K29">
    <cfRule type="expression" dxfId="14" priority="20">
      <formula>$K$16="N/A"</formula>
    </cfRule>
  </conditionalFormatting>
  <conditionalFormatting sqref="K31">
    <cfRule type="expression" dxfId="13" priority="19">
      <formula>$K$16="N/A"</formula>
    </cfRule>
  </conditionalFormatting>
  <conditionalFormatting sqref="K33">
    <cfRule type="expression" dxfId="12" priority="18">
      <formula>$K$16="N/A"</formula>
    </cfRule>
  </conditionalFormatting>
  <conditionalFormatting sqref="K35">
    <cfRule type="expression" dxfId="11" priority="17">
      <formula>$K$16="N/A"</formula>
    </cfRule>
  </conditionalFormatting>
  <conditionalFormatting sqref="L17">
    <cfRule type="expression" dxfId="10" priority="12">
      <formula>$L$16="N/A"</formula>
    </cfRule>
  </conditionalFormatting>
  <conditionalFormatting sqref="L19">
    <cfRule type="expression" dxfId="9" priority="11">
      <formula>$L$16="N/A"</formula>
    </cfRule>
  </conditionalFormatting>
  <conditionalFormatting sqref="K17">
    <cfRule type="expression" dxfId="8" priority="8">
      <formula>$K$16="N/A"</formula>
    </cfRule>
  </conditionalFormatting>
  <conditionalFormatting sqref="K19">
    <cfRule type="expression" dxfId="7" priority="7">
      <formula>$K$16="N/A"</formula>
    </cfRule>
  </conditionalFormatting>
  <conditionalFormatting sqref="L22">
    <cfRule type="expression" dxfId="6" priority="6">
      <formula>$L$16="N/A"</formula>
    </cfRule>
  </conditionalFormatting>
  <conditionalFormatting sqref="K22">
    <cfRule type="expression" dxfId="5" priority="5">
      <formula>$K$16="N/A"</formula>
    </cfRule>
  </conditionalFormatting>
  <conditionalFormatting sqref="L20">
    <cfRule type="expression" dxfId="4" priority="4">
      <formula>$L$16="N/A"</formula>
    </cfRule>
  </conditionalFormatting>
  <conditionalFormatting sqref="K20">
    <cfRule type="expression" dxfId="3" priority="3">
      <formula>$K$16="N/A"</formula>
    </cfRule>
  </conditionalFormatting>
  <conditionalFormatting sqref="L18">
    <cfRule type="expression" dxfId="2" priority="2">
      <formula>$L$16="N/A"</formula>
    </cfRule>
  </conditionalFormatting>
  <conditionalFormatting sqref="K18">
    <cfRule type="expression" dxfId="1" priority="1">
      <formula>$K$16="N/A"</formula>
    </cfRule>
  </conditionalFormatting>
  <dataValidations count="19">
    <dataValidation type="list" allowBlank="1" showInputMessage="1" showErrorMessage="1" sqref="C55">
      <formula1>"N/A,Blue View Vision"</formula1>
    </dataValidation>
    <dataValidation type="list" allowBlank="1" showInputMessage="1" showErrorMessage="1" sqref="C54">
      <formula1>"N/A,Complete,Dental Prime,Dental Net, DHMO &amp; DPPO"</formula1>
    </dataValidation>
    <dataValidation type="list" allowBlank="1" showInputMessage="1" showErrorMessage="1" sqref="C56 J11">
      <formula1>"Yes,No"</formula1>
    </dataValidation>
    <dataValidation type="list" allowBlank="1" showInputMessage="1" showErrorMessage="1" sqref="E41">
      <formula1>"Select One, All Quote Options,Selected Options Only"</formula1>
    </dataValidation>
    <dataValidation type="list" allowBlank="1" showInputMessage="1" sqref="N11">
      <formula1>"Select One, No,Yes-See Section 6"</formula1>
    </dataValidation>
    <dataValidation type="list" allowBlank="1" showInputMessage="1" showErrorMessage="1" sqref="R40">
      <formula1>"Claims Over $50K, Known Disabilities,Common Ownership, Prior Client &lt; 2 Yrs,Virgin Group,Other"</formula1>
    </dataValidation>
    <dataValidation type="list" allowBlank="1" showInputMessage="1" sqref="E67:H67">
      <formula1>"Life-SEE RFP,Disability-SEE RFP,L&amp;D - SEE RFP"</formula1>
    </dataValidation>
    <dataValidation type="list" allowBlank="1" showInputMessage="1" showErrorMessage="1" sqref="E10:H10">
      <formula1>SSE</formula1>
    </dataValidation>
    <dataValidation type="list" allowBlank="1" showInputMessage="1" showErrorMessage="1" sqref="D15:E15">
      <formula1>MedDropDowns</formula1>
    </dataValidation>
    <dataValidation type="list" allowBlank="1" showInputMessage="1" showErrorMessage="1" sqref="L15">
      <formula1>"Select One,,2,3,4"</formula1>
    </dataValidation>
    <dataValidation type="list" allowBlank="1" showInputMessage="1" showErrorMessage="1" sqref="E42">
      <formula1>"Select One,N/A,Alongside Kaiser,Alongside SIMNSA,Alongside Kaiser/SIMNSA,Total Takeover,Alongside and Total Takeover"</formula1>
    </dataValidation>
    <dataValidation type="list" allowBlank="1" showInputMessage="1" showErrorMessage="1" sqref="J54:L55">
      <formula1>"Contributory,Voluntary, Contrib &amp; Voluntary"</formula1>
    </dataValidation>
    <dataValidation type="list" allowBlank="1" showInputMessage="1" showErrorMessage="1" sqref="S40">
      <formula1>"UW Approval Not Required, Claims Over $50K, Known Disabilities,Common Ownership, Prior Client &lt; 2 Yrs,Virgin Group,Other"</formula1>
    </dataValidation>
    <dataValidation type="list" allowBlank="1" showInputMessage="1" showErrorMessage="1" sqref="E43:H43">
      <formula1>"Select One,Yes,No"</formula1>
    </dataValidation>
    <dataValidation type="list" allowBlank="1" showInputMessage="1" showErrorMessage="1" sqref="C17:C35">
      <formula1>"THMO,SHMO,PSHMO,VIVITY,KAISER,PPO,SOL,CDHP"</formula1>
    </dataValidation>
    <dataValidation type="list" allowBlank="1" showInputMessage="1" sqref="N12">
      <formula1>"Select One, No,Yes"</formula1>
    </dataValidation>
    <dataValidation type="list" allowBlank="1" showInputMessage="1" showErrorMessage="1" sqref="L9:M9">
      <formula1>"Select One,Number of FTEs:,N/A-No FTEs:"</formula1>
    </dataValidation>
    <dataValidation type="list" allowBlank="1" showInputMessage="1" sqref="L2">
      <formula1>"Select One, No,Yes,N/A-101+ FT EE's"</formula1>
    </dataValidation>
    <dataValidation type="list" allowBlank="1" showInputMessage="1" sqref="I8:J8">
      <formula1>"Select One,No GA,LISI, Warner Pacific"</formula1>
    </dataValidation>
  </dataValidations>
  <hyperlinks>
    <hyperlink ref="I43" r:id="rId1"/>
    <hyperlink ref="I9" r:id="rId2"/>
  </hyperlinks>
  <pageMargins left="0.7" right="0.7" top="0.75" bottom="0.75" header="0.3" footer="0.3"/>
  <pageSetup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K24"/>
  <sheetViews>
    <sheetView workbookViewId="0">
      <selection activeCell="C15" sqref="C15"/>
    </sheetView>
  </sheetViews>
  <sheetFormatPr baseColWidth="10" defaultColWidth="8.83203125" defaultRowHeight="15" x14ac:dyDescent="0.2"/>
  <cols>
    <col min="5" max="5" width="10.6640625" customWidth="1"/>
  </cols>
  <sheetData>
    <row r="1" spans="1:11" ht="17" thickTop="1" x14ac:dyDescent="0.2">
      <c r="A1" s="653" t="s">
        <v>1851</v>
      </c>
      <c r="B1" s="653" t="s">
        <v>1852</v>
      </c>
      <c r="E1" s="943" t="s">
        <v>1791</v>
      </c>
      <c r="F1" s="944"/>
      <c r="G1" s="944"/>
      <c r="H1" s="944"/>
      <c r="I1" s="944"/>
      <c r="J1" s="944"/>
      <c r="K1" s="945"/>
    </row>
    <row r="2" spans="1:11" x14ac:dyDescent="0.2">
      <c r="A2" s="419" t="s">
        <v>1786</v>
      </c>
      <c r="B2" s="418">
        <f>EXHIBIT!Y28</f>
        <v>0</v>
      </c>
      <c r="E2" s="289" t="s">
        <v>48</v>
      </c>
      <c r="F2" s="289" t="s">
        <v>49</v>
      </c>
      <c r="G2" s="289" t="s">
        <v>94</v>
      </c>
      <c r="H2" s="289" t="s">
        <v>95</v>
      </c>
      <c r="I2" s="289" t="s">
        <v>96</v>
      </c>
      <c r="J2" s="946">
        <f>SUM(E4:I4)*0.01</f>
        <v>0</v>
      </c>
      <c r="K2" s="947"/>
    </row>
    <row r="3" spans="1:11" ht="16" thickBot="1" x14ac:dyDescent="0.25">
      <c r="A3" s="419" t="s">
        <v>1861</v>
      </c>
      <c r="B3" s="418">
        <f>EXHIBIT!V28</f>
        <v>0</v>
      </c>
      <c r="E3" s="534" t="s">
        <v>1842</v>
      </c>
      <c r="F3" s="534" t="s">
        <v>1842</v>
      </c>
      <c r="G3" s="534" t="s">
        <v>1842</v>
      </c>
      <c r="H3" s="534" t="s">
        <v>1842</v>
      </c>
      <c r="I3" s="534" t="s">
        <v>1842</v>
      </c>
      <c r="J3" s="948"/>
      <c r="K3" s="949"/>
    </row>
    <row r="4" spans="1:11" ht="16" thickTop="1" x14ac:dyDescent="0.2">
      <c r="A4" s="419" t="s">
        <v>545</v>
      </c>
      <c r="B4" s="418">
        <f>EXHIBIT!W28</f>
        <v>0</v>
      </c>
      <c r="E4" s="537" t="str">
        <f>IF(EXHIBIT!Q68="","",1)</f>
        <v/>
      </c>
      <c r="F4" s="537" t="str">
        <f>IF(EXHIBIT!R68="","",1)</f>
        <v/>
      </c>
      <c r="G4" s="537" t="str">
        <f>IF(EXHIBIT!S68="","",1)</f>
        <v/>
      </c>
      <c r="H4" s="537" t="str">
        <f>IF(EXHIBIT!T68="","",0.5)</f>
        <v/>
      </c>
      <c r="I4" s="537" t="str">
        <f>IF(EXHIBIT!U68="","",0.5)</f>
        <v/>
      </c>
    </row>
    <row r="5" spans="1:11" x14ac:dyDescent="0.2">
      <c r="A5" s="419" t="s">
        <v>1840</v>
      </c>
      <c r="B5" s="418">
        <f>EXHIBIT!T28</f>
        <v>0</v>
      </c>
      <c r="E5" t="s">
        <v>1849</v>
      </c>
    </row>
    <row r="6" spans="1:11" x14ac:dyDescent="0.2">
      <c r="A6" s="419" t="s">
        <v>1839</v>
      </c>
      <c r="B6" s="418">
        <f>EXHIBIT!S28</f>
        <v>0</v>
      </c>
      <c r="E6" t="s">
        <v>1850</v>
      </c>
      <c r="F6" s="541">
        <f>'DENTAL INTAKE'!C16</f>
        <v>0</v>
      </c>
    </row>
    <row r="7" spans="1:11" x14ac:dyDescent="0.2">
      <c r="A7" s="419" t="s">
        <v>1784</v>
      </c>
      <c r="B7" s="418">
        <f>EXHIBIT!X28</f>
        <v>0</v>
      </c>
    </row>
    <row r="8" spans="1:11" x14ac:dyDescent="0.2">
      <c r="A8" s="419" t="s">
        <v>1838</v>
      </c>
      <c r="B8" s="418">
        <f>EXHIBIT!R28</f>
        <v>0</v>
      </c>
    </row>
    <row r="9" spans="1:11" x14ac:dyDescent="0.2">
      <c r="A9" s="419" t="s">
        <v>1841</v>
      </c>
      <c r="B9" s="418">
        <f>EXHIBIT!U28</f>
        <v>0</v>
      </c>
    </row>
    <row r="10" spans="1:11" x14ac:dyDescent="0.2">
      <c r="A10" s="419"/>
      <c r="E10" s="653" t="s">
        <v>1939</v>
      </c>
    </row>
    <row r="11" spans="1:11" x14ac:dyDescent="0.2">
      <c r="A11" s="652" t="s">
        <v>1870</v>
      </c>
      <c r="B11" s="653"/>
      <c r="E11" s="653" t="s">
        <v>1938</v>
      </c>
    </row>
    <row r="12" spans="1:11" x14ac:dyDescent="0.2">
      <c r="A12">
        <v>1</v>
      </c>
      <c r="E12">
        <f>INTAKE!L15</f>
        <v>4</v>
      </c>
    </row>
    <row r="13" spans="1:11" x14ac:dyDescent="0.2">
      <c r="A13">
        <v>2</v>
      </c>
    </row>
    <row r="14" spans="1:11" x14ac:dyDescent="0.2">
      <c r="A14">
        <v>3</v>
      </c>
    </row>
    <row r="15" spans="1:11" x14ac:dyDescent="0.2">
      <c r="A15">
        <v>4</v>
      </c>
    </row>
    <row r="16" spans="1:11" x14ac:dyDescent="0.2">
      <c r="A16">
        <v>5</v>
      </c>
    </row>
    <row r="17" spans="1:1" x14ac:dyDescent="0.2">
      <c r="A17">
        <v>6</v>
      </c>
    </row>
    <row r="18" spans="1:1" x14ac:dyDescent="0.2">
      <c r="A18">
        <v>7</v>
      </c>
    </row>
    <row r="19" spans="1:1" x14ac:dyDescent="0.2">
      <c r="A19">
        <v>8</v>
      </c>
    </row>
    <row r="20" spans="1:1" x14ac:dyDescent="0.2">
      <c r="A20">
        <v>9</v>
      </c>
    </row>
    <row r="21" spans="1:1" x14ac:dyDescent="0.2">
      <c r="A21">
        <v>10</v>
      </c>
    </row>
    <row r="24" spans="1:1" x14ac:dyDescent="0.2">
      <c r="A24" s="419"/>
    </row>
  </sheetData>
  <sortState ref="A2:B9">
    <sortCondition ref="A2:A9"/>
  </sortState>
  <mergeCells count="2">
    <mergeCell ref="E1:K1"/>
    <mergeCell ref="J2:K3"/>
  </mergeCells>
  <dataValidations count="1">
    <dataValidation type="list" allowBlank="1" showInputMessage="1" showErrorMessage="1" sqref="E3:I3">
      <formula1>"X,"</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AG234"/>
  <sheetViews>
    <sheetView showGridLines="0" topLeftCell="A43" zoomScale="70" zoomScaleNormal="70" workbookViewId="0">
      <selection activeCell="S59" sqref="S59:Y59"/>
    </sheetView>
  </sheetViews>
  <sheetFormatPr baseColWidth="10" defaultColWidth="9.1640625" defaultRowHeight="15" outlineLevelCol="1" x14ac:dyDescent="0.2"/>
  <cols>
    <col min="1" max="1" width="2.5" style="60" customWidth="1"/>
    <col min="2" max="2" width="9.33203125" style="61" customWidth="1"/>
    <col min="3" max="3" width="6.6640625" style="61" customWidth="1"/>
    <col min="4" max="4" width="9.6640625" style="61" customWidth="1"/>
    <col min="5" max="5" width="12.6640625" style="61" customWidth="1"/>
    <col min="6" max="6" width="10.6640625" style="61" customWidth="1"/>
    <col min="7" max="7" width="12.6640625" style="61" customWidth="1"/>
    <col min="8" max="8" width="11.6640625" style="61" customWidth="1"/>
    <col min="9" max="9" width="12.6640625" style="61" customWidth="1"/>
    <col min="10" max="10" width="11.6640625" style="61" customWidth="1"/>
    <col min="11" max="11" width="12.6640625" style="61" customWidth="1"/>
    <col min="12" max="12" width="11.6640625" style="61" customWidth="1"/>
    <col min="13" max="13" width="13.6640625" style="61" customWidth="1"/>
    <col min="14" max="14" width="2" style="61" customWidth="1"/>
    <col min="15" max="15" width="3.33203125" style="61" customWidth="1"/>
    <col min="16" max="16" width="2.83203125" style="559" customWidth="1"/>
    <col min="17" max="17" width="16.6640625" style="60" customWidth="1" outlineLevel="1"/>
    <col min="18" max="19" width="9.6640625" style="60" customWidth="1" outlineLevel="1"/>
    <col min="20" max="31" width="9.6640625" style="60" customWidth="1"/>
    <col min="32" max="32" width="3.33203125" style="60" customWidth="1"/>
    <col min="33" max="33" width="10" style="60" bestFit="1" customWidth="1"/>
    <col min="34" max="16384" width="9.1640625" style="60"/>
  </cols>
  <sheetData>
    <row r="1" spans="1:33" ht="25" thickTop="1" thickBot="1" x14ac:dyDescent="0.25">
      <c r="A1" s="257"/>
      <c r="B1" s="277" t="s">
        <v>1719</v>
      </c>
      <c r="C1" s="277"/>
      <c r="D1" s="258"/>
      <c r="E1" s="258"/>
      <c r="F1" s="258"/>
      <c r="G1" s="258"/>
      <c r="H1" s="722"/>
      <c r="I1" s="722"/>
      <c r="J1" s="629"/>
      <c r="K1" s="629"/>
      <c r="L1" s="262"/>
      <c r="M1" s="262"/>
      <c r="N1" s="262"/>
      <c r="O1" s="560"/>
      <c r="P1" s="555"/>
      <c r="Q1" s="962" t="s">
        <v>1874</v>
      </c>
      <c r="R1" s="963"/>
      <c r="S1" s="963"/>
      <c r="T1" s="963"/>
      <c r="U1" s="963"/>
      <c r="V1" s="963"/>
      <c r="W1" s="963"/>
      <c r="X1" s="963"/>
      <c r="Y1" s="963"/>
      <c r="Z1" s="964"/>
      <c r="AA1" s="262"/>
      <c r="AB1" s="262"/>
      <c r="AC1" s="262"/>
      <c r="AD1" s="262"/>
      <c r="AE1" s="262"/>
      <c r="AF1" s="262"/>
    </row>
    <row r="2" spans="1:33" ht="29" customHeight="1" thickTop="1" thickBot="1" x14ac:dyDescent="0.25">
      <c r="A2" s="257"/>
      <c r="B2" s="275" t="s">
        <v>1976</v>
      </c>
      <c r="C2" s="275"/>
      <c r="D2" s="276"/>
      <c r="E2" s="276"/>
      <c r="F2" s="276"/>
      <c r="G2" s="276"/>
      <c r="H2" s="531"/>
      <c r="I2" s="618"/>
      <c r="J2" s="619" t="s">
        <v>1844</v>
      </c>
      <c r="K2" s="637">
        <v>10</v>
      </c>
      <c r="L2" s="288"/>
      <c r="M2" s="288"/>
      <c r="N2" s="262"/>
      <c r="O2" s="560"/>
      <c r="P2" s="555"/>
      <c r="Q2" s="953" t="s">
        <v>1953</v>
      </c>
      <c r="R2" s="954"/>
      <c r="S2" s="955">
        <v>0</v>
      </c>
      <c r="T2" s="956"/>
      <c r="U2" s="957"/>
      <c r="V2" s="953" t="s">
        <v>1954</v>
      </c>
      <c r="W2" s="1075"/>
      <c r="X2" s="954"/>
      <c r="Y2" s="955">
        <v>0</v>
      </c>
      <c r="Z2" s="957"/>
      <c r="AA2" s="262"/>
      <c r="AB2" s="262"/>
      <c r="AC2" s="262"/>
      <c r="AD2" s="262"/>
      <c r="AE2" s="262"/>
      <c r="AF2" s="262"/>
    </row>
    <row r="3" spans="1:33" ht="25" thickTop="1" thickBot="1" x14ac:dyDescent="0.25">
      <c r="A3" s="257"/>
      <c r="B3" s="1184" t="s">
        <v>1845</v>
      </c>
      <c r="C3" s="1185"/>
      <c r="D3" s="1185"/>
      <c r="E3" s="1185"/>
      <c r="F3" s="1185"/>
      <c r="G3" s="1185"/>
      <c r="H3" s="1185"/>
      <c r="I3" s="1185"/>
      <c r="J3" s="1185"/>
      <c r="K3" s="1186"/>
      <c r="L3" s="1185"/>
      <c r="M3" s="1187"/>
      <c r="N3" s="262"/>
      <c r="O3" s="560"/>
      <c r="P3" s="555"/>
      <c r="Q3" s="723"/>
      <c r="R3" s="262"/>
      <c r="S3" s="262"/>
      <c r="T3" s="725"/>
      <c r="U3" s="724"/>
      <c r="V3" s="262"/>
      <c r="W3" s="262"/>
      <c r="X3" s="262"/>
      <c r="Y3" s="262"/>
      <c r="Z3" s="262"/>
      <c r="AA3" s="726"/>
      <c r="AB3" s="726" t="s">
        <v>1996</v>
      </c>
      <c r="AC3" s="262"/>
      <c r="AD3" s="262"/>
      <c r="AE3" s="262"/>
      <c r="AF3" s="262"/>
    </row>
    <row r="4" spans="1:33" ht="15" customHeight="1" thickTop="1" thickBot="1" x14ac:dyDescent="0.25">
      <c r="A4" s="257"/>
      <c r="B4" s="417"/>
      <c r="C4" s="416"/>
      <c r="D4" s="499"/>
      <c r="E4" s="499"/>
      <c r="F4" s="507" t="s">
        <v>1838</v>
      </c>
      <c r="G4" s="507" t="s">
        <v>1839</v>
      </c>
      <c r="H4" s="507" t="s">
        <v>1840</v>
      </c>
      <c r="I4" s="507" t="s">
        <v>1841</v>
      </c>
      <c r="J4" s="507" t="s">
        <v>1861</v>
      </c>
      <c r="K4" s="507" t="s">
        <v>545</v>
      </c>
      <c r="L4" s="505" t="s">
        <v>1784</v>
      </c>
      <c r="M4" s="506" t="s">
        <v>1786</v>
      </c>
      <c r="N4" s="262"/>
      <c r="O4" s="560"/>
      <c r="P4" s="555"/>
      <c r="Q4" s="962" t="s">
        <v>1936</v>
      </c>
      <c r="R4" s="963"/>
      <c r="S4" s="963"/>
      <c r="T4" s="963"/>
      <c r="U4" s="963"/>
      <c r="V4" s="963"/>
      <c r="W4" s="963"/>
      <c r="X4" s="963"/>
      <c r="Y4" s="963"/>
      <c r="Z4" s="963"/>
      <c r="AA4" s="963"/>
      <c r="AB4" s="963"/>
      <c r="AC4" s="963"/>
      <c r="AD4" s="963"/>
      <c r="AE4" s="964"/>
      <c r="AF4" s="262"/>
    </row>
    <row r="5" spans="1:33" ht="15" customHeight="1" thickTop="1" thickBot="1" x14ac:dyDescent="0.25">
      <c r="A5" s="257"/>
      <c r="B5" s="417"/>
      <c r="C5" s="416"/>
      <c r="D5" s="1188" t="s">
        <v>1846</v>
      </c>
      <c r="E5" s="1189"/>
      <c r="F5" s="550"/>
      <c r="G5" s="550"/>
      <c r="H5" s="550"/>
      <c r="I5" s="550"/>
      <c r="J5" s="550"/>
      <c r="K5" s="550"/>
      <c r="L5" s="550"/>
      <c r="M5" s="550"/>
      <c r="N5" s="262"/>
      <c r="O5" s="560"/>
      <c r="P5" s="555"/>
      <c r="Q5" s="1032"/>
      <c r="R5" s="1034" t="s">
        <v>1926</v>
      </c>
      <c r="S5" s="1035"/>
      <c r="T5" s="983" t="s">
        <v>1932</v>
      </c>
      <c r="U5" s="984"/>
      <c r="V5" s="984"/>
      <c r="W5" s="984"/>
      <c r="X5" s="984"/>
      <c r="Y5" s="985"/>
      <c r="Z5" s="969" t="s">
        <v>1933</v>
      </c>
      <c r="AA5" s="970"/>
      <c r="AB5" s="970"/>
      <c r="AC5" s="970"/>
      <c r="AD5" s="970"/>
      <c r="AE5" s="971"/>
      <c r="AF5" s="262"/>
    </row>
    <row r="6" spans="1:33" ht="15" customHeight="1" thickTop="1" thickBot="1" x14ac:dyDescent="0.25">
      <c r="A6" s="257"/>
      <c r="B6" s="417"/>
      <c r="C6" s="414"/>
      <c r="D6" s="719" t="s">
        <v>1995</v>
      </c>
      <c r="E6" s="720"/>
      <c r="F6" s="719"/>
      <c r="G6" s="720"/>
      <c r="H6" s="721"/>
      <c r="I6" s="721"/>
      <c r="J6" s="721"/>
      <c r="K6" s="721"/>
      <c r="L6" s="721"/>
      <c r="M6" s="415"/>
      <c r="N6" s="262"/>
      <c r="O6" s="561"/>
      <c r="P6" s="555"/>
      <c r="Q6" s="1033"/>
      <c r="R6" s="1036"/>
      <c r="S6" s="1037"/>
      <c r="T6" s="972" t="s">
        <v>1928</v>
      </c>
      <c r="U6" s="973"/>
      <c r="V6" s="972" t="s">
        <v>1956</v>
      </c>
      <c r="W6" s="973"/>
      <c r="X6" s="972" t="s">
        <v>1955</v>
      </c>
      <c r="Y6" s="973"/>
      <c r="Z6" s="974" t="s">
        <v>1929</v>
      </c>
      <c r="AA6" s="975"/>
      <c r="AB6" s="974" t="s">
        <v>1930</v>
      </c>
      <c r="AC6" s="975"/>
      <c r="AD6" s="974" t="s">
        <v>1931</v>
      </c>
      <c r="AE6" s="975"/>
      <c r="AF6" s="262"/>
    </row>
    <row r="7" spans="1:33" ht="15" customHeight="1" thickTop="1" thickBot="1" x14ac:dyDescent="0.25">
      <c r="A7" s="257"/>
      <c r="B7" s="1151" t="s">
        <v>60</v>
      </c>
      <c r="C7" s="1152"/>
      <c r="D7" s="1179" t="s">
        <v>61</v>
      </c>
      <c r="E7" s="1180"/>
      <c r="F7" s="1180"/>
      <c r="G7" s="1181"/>
      <c r="H7" s="1182" t="s">
        <v>62</v>
      </c>
      <c r="I7" s="1147"/>
      <c r="J7" s="1147"/>
      <c r="K7" s="1147"/>
      <c r="L7" s="1147"/>
      <c r="M7" s="1183"/>
      <c r="N7" s="262"/>
      <c r="O7" s="561"/>
      <c r="P7" s="556"/>
      <c r="Q7" s="532" t="s">
        <v>388</v>
      </c>
      <c r="R7" s="958">
        <f>I23+I42+I61+I80+I99+I118+I137+I156+I175+I194</f>
        <v>0</v>
      </c>
      <c r="S7" s="959"/>
      <c r="T7" s="1067">
        <f>IF(S2&gt;0,S2,SUM(E23+E42+E61+E80+E99+E118+E137+E156+E175+E194))</f>
        <v>70</v>
      </c>
      <c r="U7" s="1068"/>
      <c r="V7" s="1067">
        <f>R7-T7</f>
        <v>-70</v>
      </c>
      <c r="W7" s="1068"/>
      <c r="X7" s="986">
        <f>IF(R7=0,0,V7/T7)</f>
        <v>0</v>
      </c>
      <c r="Y7" s="987"/>
      <c r="Z7" s="958">
        <f>IF(Y2&gt;0,Y2,SUM(G23+G42+G61+G80+G99+G118+G137+G156+G175+G194))</f>
        <v>70</v>
      </c>
      <c r="AA7" s="959"/>
      <c r="AB7" s="958">
        <f>R7-Z7</f>
        <v>-70</v>
      </c>
      <c r="AC7" s="959"/>
      <c r="AD7" s="960">
        <f>IF(R7=0,0,AB7/Z7)</f>
        <v>0</v>
      </c>
      <c r="AE7" s="961"/>
      <c r="AF7" s="262"/>
      <c r="AG7" s="681"/>
    </row>
    <row r="8" spans="1:33" ht="15" customHeight="1" thickTop="1" thickBot="1" x14ac:dyDescent="0.25">
      <c r="A8" s="257"/>
      <c r="B8" s="1153"/>
      <c r="C8" s="1154"/>
      <c r="D8" s="1100" t="s">
        <v>64</v>
      </c>
      <c r="E8" s="1101"/>
      <c r="F8" s="1126" t="s">
        <v>65</v>
      </c>
      <c r="G8" s="1127"/>
      <c r="H8" s="1092" t="s">
        <v>66</v>
      </c>
      <c r="I8" s="1093"/>
      <c r="J8" s="1094" t="s">
        <v>1699</v>
      </c>
      <c r="K8" s="1095"/>
      <c r="L8" s="1092" t="s">
        <v>1700</v>
      </c>
      <c r="M8" s="1093"/>
      <c r="N8" s="262"/>
      <c r="O8" s="561"/>
      <c r="P8" s="556"/>
      <c r="Q8" s="533" t="s">
        <v>1927</v>
      </c>
      <c r="R8" s="996">
        <f>I24+I43+I62+I81+I100+I119+I138+I157+I176+I195</f>
        <v>0</v>
      </c>
      <c r="S8" s="997"/>
      <c r="T8" s="1038">
        <f>IF(S2&gt;0,S2,SUM(E24+E43+E62+E81+E100+E119+E138+E157+E176+E195))</f>
        <v>840</v>
      </c>
      <c r="U8" s="1039"/>
      <c r="V8" s="1038">
        <f t="shared" ref="V8" si="0">R8-T8</f>
        <v>-840</v>
      </c>
      <c r="W8" s="1039"/>
      <c r="X8" s="976">
        <f>IF(R8=0,0,V8/T8)</f>
        <v>0</v>
      </c>
      <c r="Y8" s="977"/>
      <c r="Z8" s="996">
        <f>IF(Y2&gt;0,Y2,SUM(G24+G43+G62+G81+G100+G119+G138+G157+G176+G195))</f>
        <v>840</v>
      </c>
      <c r="AA8" s="997"/>
      <c r="AB8" s="996">
        <f>R8-Z8</f>
        <v>-840</v>
      </c>
      <c r="AC8" s="997"/>
      <c r="AD8" s="998">
        <f>IF(R8=0,0,AB8/Z8)</f>
        <v>0</v>
      </c>
      <c r="AE8" s="999"/>
      <c r="AF8" s="262"/>
    </row>
    <row r="9" spans="1:33" ht="15" customHeight="1" thickTop="1" thickBot="1" x14ac:dyDescent="0.25">
      <c r="A9" s="257"/>
      <c r="B9" s="1153"/>
      <c r="C9" s="1154"/>
      <c r="D9" s="1102"/>
      <c r="E9" s="1103"/>
      <c r="F9" s="1128"/>
      <c r="G9" s="1129"/>
      <c r="H9" s="502" t="s">
        <v>1696</v>
      </c>
      <c r="I9" s="638"/>
      <c r="J9" s="503" t="s">
        <v>1697</v>
      </c>
      <c r="K9" s="566">
        <f>IF(E10=0,0,VLOOKUP(E10,RBRATES,2,0))</f>
        <v>0</v>
      </c>
      <c r="L9" s="502" t="s">
        <v>70</v>
      </c>
      <c r="M9" s="567">
        <f>$V$67</f>
        <v>0</v>
      </c>
      <c r="N9" s="262"/>
      <c r="O9" s="560"/>
      <c r="P9" s="556"/>
      <c r="Q9" s="401"/>
      <c r="R9" s="950"/>
      <c r="S9" s="951"/>
      <c r="T9" s="950"/>
      <c r="U9" s="951"/>
      <c r="V9" s="950"/>
      <c r="W9" s="951"/>
      <c r="X9" s="950"/>
      <c r="Y9" s="951"/>
      <c r="Z9" s="982"/>
      <c r="AA9" s="982"/>
      <c r="AB9" s="952"/>
      <c r="AC9" s="951"/>
      <c r="AD9" s="950"/>
      <c r="AE9" s="951"/>
      <c r="AF9" s="262"/>
    </row>
    <row r="10" spans="1:33" ht="15" customHeight="1" thickTop="1" thickBot="1" x14ac:dyDescent="0.25">
      <c r="A10" s="257"/>
      <c r="B10" s="1155"/>
      <c r="C10" s="1156"/>
      <c r="D10" s="538" t="s">
        <v>1785</v>
      </c>
      <c r="E10" s="491" t="str">
        <f>INTAKE!C17</f>
        <v>THMO</v>
      </c>
      <c r="F10" s="508" t="s">
        <v>68</v>
      </c>
      <c r="G10" s="551">
        <f>IF(E10=0,0,IF(E10="THMO",$F$5,IF(E10="SHMO",$G$5,IF(E10="PSHMO",$H$5,IF(E10="VIVITY",$I$5,IF(E10="KAISER",$J$5,IF(E10="PPO",$K$5,IF(E10="SOL",$L$5,IF(E10="CDHP",$M$5)))))))))</f>
        <v>0</v>
      </c>
      <c r="H10" s="501" t="s">
        <v>72</v>
      </c>
      <c r="I10" s="638"/>
      <c r="J10" s="1136"/>
      <c r="K10" s="1137"/>
      <c r="L10" s="1138"/>
      <c r="M10" s="1139"/>
      <c r="N10" s="262"/>
      <c r="O10" s="560"/>
      <c r="P10" s="555"/>
      <c r="Q10" s="962" t="s">
        <v>1937</v>
      </c>
      <c r="R10" s="963"/>
      <c r="S10" s="963"/>
      <c r="T10" s="963"/>
      <c r="U10" s="963"/>
      <c r="V10" s="963"/>
      <c r="W10" s="963"/>
      <c r="X10" s="963"/>
      <c r="Y10" s="963"/>
      <c r="Z10" s="963"/>
      <c r="AA10" s="963"/>
      <c r="AB10" s="963"/>
      <c r="AC10" s="963"/>
      <c r="AD10" s="963"/>
      <c r="AE10" s="964"/>
      <c r="AF10" s="262"/>
    </row>
    <row r="11" spans="1:33" ht="15" customHeight="1" thickTop="1" thickBot="1" x14ac:dyDescent="0.25">
      <c r="A11" s="257"/>
      <c r="B11" s="1121" t="s">
        <v>29</v>
      </c>
      <c r="C11" s="1122"/>
      <c r="D11" s="1176" t="str">
        <f>INTAKE!D17</f>
        <v>HMO Plan</v>
      </c>
      <c r="E11" s="1177"/>
      <c r="F11" s="1170"/>
      <c r="G11" s="1171"/>
      <c r="H11" s="1086" t="e">
        <f>VLOOKUP(I9,PLANS!$A$1:$H$95,2,FALSE)</f>
        <v>#N/A</v>
      </c>
      <c r="I11" s="1178"/>
      <c r="J11" s="1166" t="e">
        <f t="shared" ref="J11:J17" si="1">H11</f>
        <v>#N/A</v>
      </c>
      <c r="K11" s="1167"/>
      <c r="L11" s="1090" t="e">
        <f t="shared" ref="L11:L17" si="2">H11</f>
        <v>#N/A</v>
      </c>
      <c r="M11" s="1091"/>
      <c r="N11" s="262"/>
      <c r="O11" s="560"/>
      <c r="P11" s="555"/>
      <c r="Q11" s="1032" t="s">
        <v>29</v>
      </c>
      <c r="R11" s="1034" t="s">
        <v>1926</v>
      </c>
      <c r="S11" s="1035"/>
      <c r="T11" s="983" t="s">
        <v>1932</v>
      </c>
      <c r="U11" s="984"/>
      <c r="V11" s="984"/>
      <c r="W11" s="984"/>
      <c r="X11" s="984"/>
      <c r="Y11" s="985"/>
      <c r="Z11" s="969" t="s">
        <v>1933</v>
      </c>
      <c r="AA11" s="970"/>
      <c r="AB11" s="970"/>
      <c r="AC11" s="970"/>
      <c r="AD11" s="970"/>
      <c r="AE11" s="971"/>
      <c r="AF11" s="262"/>
    </row>
    <row r="12" spans="1:33" ht="15" customHeight="1" thickTop="1" x14ac:dyDescent="0.2">
      <c r="A12" s="257"/>
      <c r="B12" s="1104" t="s">
        <v>33</v>
      </c>
      <c r="C12" s="1105"/>
      <c r="D12" s="1098">
        <f>INTAKE!N$17</f>
        <v>0</v>
      </c>
      <c r="E12" s="1099"/>
      <c r="F12" s="1172"/>
      <c r="G12" s="1173"/>
      <c r="H12" s="1086" t="e">
        <f>VLOOKUP(I9,PLANS!$A$1:$H$95,3,FALSE)</f>
        <v>#N/A</v>
      </c>
      <c r="I12" s="1091"/>
      <c r="J12" s="1166" t="e">
        <f t="shared" si="1"/>
        <v>#N/A</v>
      </c>
      <c r="K12" s="1167"/>
      <c r="L12" s="1090" t="e">
        <f t="shared" si="2"/>
        <v>#N/A</v>
      </c>
      <c r="M12" s="1091"/>
      <c r="N12" s="262"/>
      <c r="O12" s="560"/>
      <c r="P12" s="555"/>
      <c r="Q12" s="1033"/>
      <c r="R12" s="1036"/>
      <c r="S12" s="1037"/>
      <c r="T12" s="972" t="s">
        <v>1928</v>
      </c>
      <c r="U12" s="973"/>
      <c r="V12" s="972" t="s">
        <v>1956</v>
      </c>
      <c r="W12" s="973"/>
      <c r="X12" s="972" t="s">
        <v>1955</v>
      </c>
      <c r="Y12" s="973"/>
      <c r="Z12" s="974" t="s">
        <v>1929</v>
      </c>
      <c r="AA12" s="975"/>
      <c r="AB12" s="974" t="s">
        <v>1930</v>
      </c>
      <c r="AC12" s="975"/>
      <c r="AD12" s="974" t="s">
        <v>1931</v>
      </c>
      <c r="AE12" s="975"/>
      <c r="AF12" s="262"/>
    </row>
    <row r="13" spans="1:33" ht="15" customHeight="1" x14ac:dyDescent="0.2">
      <c r="A13" s="257"/>
      <c r="B13" s="1119" t="s">
        <v>34</v>
      </c>
      <c r="C13" s="1120"/>
      <c r="D13" s="1098">
        <f>INTAKE!O$17</f>
        <v>0</v>
      </c>
      <c r="E13" s="1099"/>
      <c r="F13" s="1172"/>
      <c r="G13" s="1173"/>
      <c r="H13" s="1086" t="e">
        <f>VLOOKUP(I9,PLANS!$A$1:$H$95,4,FALSE)</f>
        <v>#N/A</v>
      </c>
      <c r="I13" s="1091"/>
      <c r="J13" s="1166" t="e">
        <f t="shared" si="1"/>
        <v>#N/A</v>
      </c>
      <c r="K13" s="1167"/>
      <c r="L13" s="1090" t="e">
        <f t="shared" si="2"/>
        <v>#N/A</v>
      </c>
      <c r="M13" s="1091"/>
      <c r="N13" s="262"/>
      <c r="O13" s="560"/>
      <c r="P13" s="557">
        <v>1</v>
      </c>
      <c r="Q13" s="535" t="str">
        <f>D11</f>
        <v>HMO Plan</v>
      </c>
      <c r="R13" s="958">
        <f>$I$23</f>
        <v>0</v>
      </c>
      <c r="S13" s="959"/>
      <c r="T13" s="1067">
        <f>$E$23</f>
        <v>70</v>
      </c>
      <c r="U13" s="1068"/>
      <c r="V13" s="1067">
        <f t="shared" ref="V13:V22" si="3">R13-T13</f>
        <v>-70</v>
      </c>
      <c r="W13" s="1068"/>
      <c r="X13" s="986">
        <f>IF(R13=0,0,V13/T13)</f>
        <v>0</v>
      </c>
      <c r="Y13" s="987"/>
      <c r="Z13" s="980">
        <f>$G$23</f>
        <v>70</v>
      </c>
      <c r="AA13" s="981"/>
      <c r="AB13" s="980">
        <f>R13-Z13</f>
        <v>-70</v>
      </c>
      <c r="AC13" s="981"/>
      <c r="AD13" s="960">
        <f>IF(R13=0,0,AB13/Z13)</f>
        <v>0</v>
      </c>
      <c r="AE13" s="961"/>
      <c r="AF13" s="262"/>
    </row>
    <row r="14" spans="1:33" ht="15" customHeight="1" x14ac:dyDescent="0.2">
      <c r="A14" s="257"/>
      <c r="B14" s="1115" t="s">
        <v>35</v>
      </c>
      <c r="C14" s="1116"/>
      <c r="D14" s="1117">
        <f>INTAKE!P$17</f>
        <v>0</v>
      </c>
      <c r="E14" s="1118"/>
      <c r="F14" s="1172"/>
      <c r="G14" s="1173"/>
      <c r="H14" s="1086" t="e">
        <f>VLOOKUP(I9,PLANS!$A$1:$H$95,5,FALSE)</f>
        <v>#N/A</v>
      </c>
      <c r="I14" s="1091"/>
      <c r="J14" s="1166" t="e">
        <f t="shared" si="1"/>
        <v>#N/A</v>
      </c>
      <c r="K14" s="1167"/>
      <c r="L14" s="1090" t="e">
        <f t="shared" si="2"/>
        <v>#N/A</v>
      </c>
      <c r="M14" s="1091"/>
      <c r="N14" s="262"/>
      <c r="O14" s="560"/>
      <c r="P14" s="557">
        <v>2</v>
      </c>
      <c r="Q14" s="535">
        <f>D30</f>
        <v>0</v>
      </c>
      <c r="R14" s="958">
        <f>$I$42</f>
        <v>0</v>
      </c>
      <c r="S14" s="959"/>
      <c r="T14" s="1067">
        <f>$E$42</f>
        <v>0</v>
      </c>
      <c r="U14" s="1068"/>
      <c r="V14" s="1067">
        <f t="shared" si="3"/>
        <v>0</v>
      </c>
      <c r="W14" s="1068"/>
      <c r="X14" s="986">
        <f t="shared" ref="X14:X23" si="4">IF(R14=0,0,V14/T14)</f>
        <v>0</v>
      </c>
      <c r="Y14" s="987"/>
      <c r="Z14" s="980">
        <f>$G$42</f>
        <v>0</v>
      </c>
      <c r="AA14" s="981"/>
      <c r="AB14" s="980">
        <f t="shared" ref="AB14:AB20" si="5">R14-Z14</f>
        <v>0</v>
      </c>
      <c r="AC14" s="981"/>
      <c r="AD14" s="960">
        <f t="shared" ref="AD14:AD23" si="6">IF(R14=0,0,AB14/Z14)</f>
        <v>0</v>
      </c>
      <c r="AE14" s="961"/>
      <c r="AF14" s="262"/>
    </row>
    <row r="15" spans="1:33" ht="15" customHeight="1" x14ac:dyDescent="0.2">
      <c r="A15" s="257"/>
      <c r="B15" s="1115" t="s">
        <v>36</v>
      </c>
      <c r="C15" s="1116"/>
      <c r="D15" s="1117">
        <f>INTAKE!Q$17</f>
        <v>0</v>
      </c>
      <c r="E15" s="1118"/>
      <c r="F15" s="1172"/>
      <c r="G15" s="1173"/>
      <c r="H15" s="1086" t="e">
        <f>VLOOKUP(I9,PLANS!$A$1:$H$95,6,FALSE)</f>
        <v>#N/A</v>
      </c>
      <c r="I15" s="1091"/>
      <c r="J15" s="1166" t="e">
        <f t="shared" si="1"/>
        <v>#N/A</v>
      </c>
      <c r="K15" s="1167"/>
      <c r="L15" s="1090" t="e">
        <f t="shared" si="2"/>
        <v>#N/A</v>
      </c>
      <c r="M15" s="1091"/>
      <c r="N15" s="262"/>
      <c r="O15" s="560"/>
      <c r="P15" s="557">
        <v>3</v>
      </c>
      <c r="Q15" s="535">
        <f>D49</f>
        <v>0</v>
      </c>
      <c r="R15" s="1073">
        <f>$I$61</f>
        <v>0</v>
      </c>
      <c r="S15" s="1074"/>
      <c r="T15" s="1069">
        <f>$E$61</f>
        <v>0</v>
      </c>
      <c r="U15" s="1070"/>
      <c r="V15" s="1069">
        <f t="shared" si="3"/>
        <v>0</v>
      </c>
      <c r="W15" s="1070"/>
      <c r="X15" s="986">
        <f t="shared" si="4"/>
        <v>0</v>
      </c>
      <c r="Y15" s="987"/>
      <c r="Z15" s="980">
        <f>$G$61</f>
        <v>0</v>
      </c>
      <c r="AA15" s="981"/>
      <c r="AB15" s="980">
        <f t="shared" si="5"/>
        <v>0</v>
      </c>
      <c r="AC15" s="981"/>
      <c r="AD15" s="960">
        <f t="shared" si="6"/>
        <v>0</v>
      </c>
      <c r="AE15" s="961"/>
      <c r="AF15" s="262"/>
    </row>
    <row r="16" spans="1:33" ht="15" customHeight="1" x14ac:dyDescent="0.2">
      <c r="A16" s="257"/>
      <c r="B16" s="1115" t="s">
        <v>76</v>
      </c>
      <c r="C16" s="1116"/>
      <c r="D16" s="1098">
        <f>INTAKE!R$17</f>
        <v>0</v>
      </c>
      <c r="E16" s="1099"/>
      <c r="F16" s="1172"/>
      <c r="G16" s="1173"/>
      <c r="H16" s="1086" t="e">
        <f>VLOOKUP(I9,PLANS!$A$1:$H$95,7,FALSE)</f>
        <v>#N/A</v>
      </c>
      <c r="I16" s="1091"/>
      <c r="J16" s="1166" t="e">
        <f t="shared" si="1"/>
        <v>#N/A</v>
      </c>
      <c r="K16" s="1167"/>
      <c r="L16" s="1090" t="e">
        <f t="shared" si="2"/>
        <v>#N/A</v>
      </c>
      <c r="M16" s="1091"/>
      <c r="N16" s="262"/>
      <c r="O16" s="560"/>
      <c r="P16" s="557">
        <v>4</v>
      </c>
      <c r="Q16" s="535">
        <f>D68</f>
        <v>0</v>
      </c>
      <c r="R16" s="1073">
        <f>$I$80</f>
        <v>0</v>
      </c>
      <c r="S16" s="1074"/>
      <c r="T16" s="1069">
        <f>$E$80</f>
        <v>0</v>
      </c>
      <c r="U16" s="1070"/>
      <c r="V16" s="1069">
        <f t="shared" si="3"/>
        <v>0</v>
      </c>
      <c r="W16" s="1070"/>
      <c r="X16" s="986">
        <f t="shared" si="4"/>
        <v>0</v>
      </c>
      <c r="Y16" s="987"/>
      <c r="Z16" s="980">
        <f>$G$80</f>
        <v>0</v>
      </c>
      <c r="AA16" s="981"/>
      <c r="AB16" s="980">
        <f t="shared" si="5"/>
        <v>0</v>
      </c>
      <c r="AC16" s="981"/>
      <c r="AD16" s="960">
        <f t="shared" si="6"/>
        <v>0</v>
      </c>
      <c r="AE16" s="961"/>
      <c r="AF16" s="262"/>
    </row>
    <row r="17" spans="1:32" ht="15" customHeight="1" x14ac:dyDescent="0.2">
      <c r="A17" s="257"/>
      <c r="B17" s="1104" t="s">
        <v>78</v>
      </c>
      <c r="C17" s="1105"/>
      <c r="D17" s="1098">
        <f>INTAKE!S$17</f>
        <v>0</v>
      </c>
      <c r="E17" s="1099"/>
      <c r="F17" s="1174"/>
      <c r="G17" s="1175"/>
      <c r="H17" s="1106" t="e">
        <f>VLOOKUP(I9,PLANS!$A$1:$H$95,8,FALSE)</f>
        <v>#N/A</v>
      </c>
      <c r="I17" s="1111"/>
      <c r="J17" s="1168" t="e">
        <f t="shared" si="1"/>
        <v>#N/A</v>
      </c>
      <c r="K17" s="1169"/>
      <c r="L17" s="1110" t="e">
        <f t="shared" si="2"/>
        <v>#N/A</v>
      </c>
      <c r="M17" s="1111"/>
      <c r="N17" s="262"/>
      <c r="O17" s="560"/>
      <c r="P17" s="557">
        <v>5</v>
      </c>
      <c r="Q17" s="535">
        <f>D87</f>
        <v>0</v>
      </c>
      <c r="R17" s="1073">
        <f>$I$99</f>
        <v>0</v>
      </c>
      <c r="S17" s="1074"/>
      <c r="T17" s="1069">
        <f>$E$99</f>
        <v>0</v>
      </c>
      <c r="U17" s="1070"/>
      <c r="V17" s="1069">
        <f t="shared" si="3"/>
        <v>0</v>
      </c>
      <c r="W17" s="1070"/>
      <c r="X17" s="986">
        <f t="shared" si="4"/>
        <v>0</v>
      </c>
      <c r="Y17" s="987"/>
      <c r="Z17" s="980">
        <f>$G$99</f>
        <v>0</v>
      </c>
      <c r="AA17" s="981"/>
      <c r="AB17" s="980">
        <f t="shared" si="5"/>
        <v>0</v>
      </c>
      <c r="AC17" s="981"/>
      <c r="AD17" s="960">
        <f t="shared" si="6"/>
        <v>0</v>
      </c>
      <c r="AE17" s="961"/>
      <c r="AF17" s="262"/>
    </row>
    <row r="18" spans="1:32" ht="15" customHeight="1" thickBot="1" x14ac:dyDescent="0.25">
      <c r="A18" s="257"/>
      <c r="B18" s="1140" t="s">
        <v>79</v>
      </c>
      <c r="C18" s="1141"/>
      <c r="D18" s="492" t="s">
        <v>26</v>
      </c>
      <c r="E18" s="493" t="s">
        <v>80</v>
      </c>
      <c r="F18" s="224" t="s">
        <v>26</v>
      </c>
      <c r="G18" s="225" t="s">
        <v>80</v>
      </c>
      <c r="H18" s="302" t="s">
        <v>26</v>
      </c>
      <c r="I18" s="226" t="s">
        <v>80</v>
      </c>
      <c r="J18" s="227" t="s">
        <v>26</v>
      </c>
      <c r="K18" s="518" t="s">
        <v>80</v>
      </c>
      <c r="L18" s="517" t="s">
        <v>26</v>
      </c>
      <c r="M18" s="226" t="s">
        <v>80</v>
      </c>
      <c r="N18" s="262"/>
      <c r="O18" s="560"/>
      <c r="P18" s="557">
        <v>6</v>
      </c>
      <c r="Q18" s="535">
        <f>D106</f>
        <v>0</v>
      </c>
      <c r="R18" s="1073">
        <f>$I$118</f>
        <v>0</v>
      </c>
      <c r="S18" s="1074"/>
      <c r="T18" s="1069">
        <f>$E$118</f>
        <v>0</v>
      </c>
      <c r="U18" s="1070"/>
      <c r="V18" s="1069">
        <f t="shared" si="3"/>
        <v>0</v>
      </c>
      <c r="W18" s="1070"/>
      <c r="X18" s="986">
        <f t="shared" si="4"/>
        <v>0</v>
      </c>
      <c r="Y18" s="987"/>
      <c r="Z18" s="980">
        <f>$G$118</f>
        <v>0</v>
      </c>
      <c r="AA18" s="981"/>
      <c r="AB18" s="980">
        <f t="shared" si="5"/>
        <v>0</v>
      </c>
      <c r="AC18" s="981"/>
      <c r="AD18" s="960">
        <f t="shared" si="6"/>
        <v>0</v>
      </c>
      <c r="AE18" s="961"/>
      <c r="AF18" s="262"/>
    </row>
    <row r="19" spans="1:32" ht="15" customHeight="1" thickBot="1" x14ac:dyDescent="0.25">
      <c r="A19" s="257"/>
      <c r="B19" s="489" t="s">
        <v>81</v>
      </c>
      <c r="C19" s="219">
        <f>INTAKE!I$18</f>
        <v>5</v>
      </c>
      <c r="D19" s="494">
        <f>INTAKE!I17</f>
        <v>1</v>
      </c>
      <c r="E19" s="495">
        <f>IF(D19="","",SUM(C19*D19))</f>
        <v>5</v>
      </c>
      <c r="F19" s="218">
        <f>IF(G10=0,D19,(1+G10/1)*D19)</f>
        <v>1</v>
      </c>
      <c r="G19" s="300">
        <f>IF(F19="","",SUM(C19*F19))</f>
        <v>5</v>
      </c>
      <c r="H19" s="529"/>
      <c r="I19" s="301">
        <f>C19*H19</f>
        <v>0</v>
      </c>
      <c r="J19" s="216">
        <f>IF(K9=0%,H19,SUM(H19)*(1-K9)*1)</f>
        <v>0</v>
      </c>
      <c r="K19" s="519">
        <f>IF(J19=0,0,C19*J19)</f>
        <v>0</v>
      </c>
      <c r="L19" s="223">
        <f>IF(M9=0,J19,SUM(J19)*(1-M9)*1)</f>
        <v>0</v>
      </c>
      <c r="M19" s="222">
        <f>C19*L19</f>
        <v>0</v>
      </c>
      <c r="N19" s="262"/>
      <c r="O19" s="560"/>
      <c r="P19" s="557">
        <v>7</v>
      </c>
      <c r="Q19" s="535">
        <f>D125</f>
        <v>0</v>
      </c>
      <c r="R19" s="1073">
        <f>$I$137</f>
        <v>0</v>
      </c>
      <c r="S19" s="1074"/>
      <c r="T19" s="1069">
        <f>$E$137</f>
        <v>0</v>
      </c>
      <c r="U19" s="1070"/>
      <c r="V19" s="1069">
        <f t="shared" si="3"/>
        <v>0</v>
      </c>
      <c r="W19" s="1070"/>
      <c r="X19" s="986">
        <f t="shared" si="4"/>
        <v>0</v>
      </c>
      <c r="Y19" s="987"/>
      <c r="Z19" s="980">
        <f>$G$137</f>
        <v>0</v>
      </c>
      <c r="AA19" s="981"/>
      <c r="AB19" s="980">
        <f t="shared" si="5"/>
        <v>0</v>
      </c>
      <c r="AC19" s="981"/>
      <c r="AD19" s="960">
        <f t="shared" si="6"/>
        <v>0</v>
      </c>
      <c r="AE19" s="961"/>
      <c r="AF19" s="262"/>
    </row>
    <row r="20" spans="1:32" ht="15" customHeight="1" x14ac:dyDescent="0.2">
      <c r="A20" s="257"/>
      <c r="B20" s="489" t="str">
        <f>IF(FORMULAS!$E$12=2,"EF:",IF(FORMULAS!$E$12=3,"EE+1:","ES:"))</f>
        <v>ES:</v>
      </c>
      <c r="C20" s="219">
        <f>INTAKE!J$18</f>
        <v>6</v>
      </c>
      <c r="D20" s="494">
        <f>INTAKE!J17</f>
        <v>2</v>
      </c>
      <c r="E20" s="495">
        <f>IF(D20="","",SUM(C20*D20))</f>
        <v>12</v>
      </c>
      <c r="F20" s="218">
        <f>IF(G10=0,D20,(1+G10/1)*D20)</f>
        <v>2</v>
      </c>
      <c r="G20" s="300">
        <f t="shared" ref="G20:G21" si="7">IF(F20="","",SUM(C20*F20))</f>
        <v>12</v>
      </c>
      <c r="H20" s="303">
        <f>IF(FORMULAS!E12=3,2.1*H19,2.2*H19)</f>
        <v>0</v>
      </c>
      <c r="I20" s="222">
        <f>C20*H20</f>
        <v>0</v>
      </c>
      <c r="J20" s="216">
        <f>IF(K9=0%,H20,SUM(H20)*(1-K9)*1)</f>
        <v>0</v>
      </c>
      <c r="K20" s="519">
        <f t="shared" ref="K20:K21" si="8">IF(J20=0,0,C20*J20)</f>
        <v>0</v>
      </c>
      <c r="L20" s="223">
        <f>IF(M9=0,J20,SUM(J20)*(1-M9)*1)</f>
        <v>0</v>
      </c>
      <c r="M20" s="222">
        <f>C20*L20</f>
        <v>0</v>
      </c>
      <c r="N20" s="262"/>
      <c r="O20" s="560"/>
      <c r="P20" s="557">
        <v>8</v>
      </c>
      <c r="Q20" s="535">
        <f>D144</f>
        <v>0</v>
      </c>
      <c r="R20" s="1073">
        <f>$I$156</f>
        <v>0</v>
      </c>
      <c r="S20" s="1074"/>
      <c r="T20" s="1069">
        <f>$E$156</f>
        <v>0</v>
      </c>
      <c r="U20" s="1070"/>
      <c r="V20" s="1069">
        <f t="shared" si="3"/>
        <v>0</v>
      </c>
      <c r="W20" s="1070"/>
      <c r="X20" s="986">
        <f t="shared" si="4"/>
        <v>0</v>
      </c>
      <c r="Y20" s="987"/>
      <c r="Z20" s="980">
        <f>$G$156</f>
        <v>0</v>
      </c>
      <c r="AA20" s="981"/>
      <c r="AB20" s="980">
        <f t="shared" si="5"/>
        <v>0</v>
      </c>
      <c r="AC20" s="981"/>
      <c r="AD20" s="960">
        <f t="shared" si="6"/>
        <v>0</v>
      </c>
      <c r="AE20" s="961"/>
      <c r="AF20" s="262"/>
    </row>
    <row r="21" spans="1:32" ht="15" customHeight="1" x14ac:dyDescent="0.2">
      <c r="A21" s="257"/>
      <c r="B21" s="489" t="str">
        <f>IF(FORMULAS!$E$12=2,"",IF(FORMULAS!$E$12=3,"EE+2:","EC:"))</f>
        <v>EC:</v>
      </c>
      <c r="C21" s="219">
        <f>INTAKE!K$18</f>
        <v>7</v>
      </c>
      <c r="D21" s="494">
        <f>INTAKE!K17</f>
        <v>3</v>
      </c>
      <c r="E21" s="495">
        <f>IF(D21="","",SUM(C21*D21))</f>
        <v>21</v>
      </c>
      <c r="F21" s="218">
        <f>IF(G10=0,D21,(1+G10/1)*D21)</f>
        <v>3</v>
      </c>
      <c r="G21" s="300">
        <f t="shared" si="7"/>
        <v>21</v>
      </c>
      <c r="H21" s="223">
        <f>IF(FORMULAS!E12=3,3*H19,1.8*H19)</f>
        <v>0</v>
      </c>
      <c r="I21" s="222">
        <f>C21*H21</f>
        <v>0</v>
      </c>
      <c r="J21" s="216">
        <f>IF(K9=0%,H21,SUM(H21)*(1-K9)*1)</f>
        <v>0</v>
      </c>
      <c r="K21" s="519">
        <f t="shared" si="8"/>
        <v>0</v>
      </c>
      <c r="L21" s="223">
        <f>IF(M9=0,J21,SUM(J21)*(1-M9)*1)</f>
        <v>0</v>
      </c>
      <c r="M21" s="222">
        <f>C21*L21</f>
        <v>0</v>
      </c>
      <c r="N21" s="262"/>
      <c r="O21" s="560"/>
      <c r="P21" s="557">
        <v>9</v>
      </c>
      <c r="Q21" s="535">
        <f>D163</f>
        <v>0</v>
      </c>
      <c r="R21" s="1073">
        <f>$I$175</f>
        <v>0</v>
      </c>
      <c r="S21" s="1074"/>
      <c r="T21" s="1069">
        <f>$E$175</f>
        <v>0</v>
      </c>
      <c r="U21" s="1070"/>
      <c r="V21" s="1069">
        <f t="shared" si="3"/>
        <v>0</v>
      </c>
      <c r="W21" s="1070"/>
      <c r="X21" s="986">
        <f t="shared" si="4"/>
        <v>0</v>
      </c>
      <c r="Y21" s="987"/>
      <c r="Z21" s="980">
        <f>$G$175</f>
        <v>0</v>
      </c>
      <c r="AA21" s="981"/>
      <c r="AB21" s="980">
        <f t="shared" ref="AB21" si="9">R21-Z21</f>
        <v>0</v>
      </c>
      <c r="AC21" s="981"/>
      <c r="AD21" s="960">
        <f t="shared" si="6"/>
        <v>0</v>
      </c>
      <c r="AE21" s="961"/>
      <c r="AF21" s="262"/>
    </row>
    <row r="22" spans="1:32" ht="15" customHeight="1" thickBot="1" x14ac:dyDescent="0.25">
      <c r="A22" s="257"/>
      <c r="B22" s="489" t="str">
        <f>IF(FORMULAS!$E$12=2,"",IF(FORMULAS!$E$12=3,"","EF:"))</f>
        <v>EF:</v>
      </c>
      <c r="C22" s="219">
        <f>INTAKE!L$18</f>
        <v>8</v>
      </c>
      <c r="D22" s="496">
        <f>IF(INTAKE!L17="","",INTAKE!L17)</f>
        <v>4</v>
      </c>
      <c r="E22" s="495">
        <f>IF(D22="","",C22*D22)</f>
        <v>32</v>
      </c>
      <c r="F22" s="298">
        <f>IF(D22="","",IF(G10=0,D22,(1+G10/1)*D22))</f>
        <v>4</v>
      </c>
      <c r="G22" s="217">
        <f>IF(D22="","",C22*F22)</f>
        <v>32</v>
      </c>
      <c r="H22" s="223">
        <f>IF(FORMULAS!E12=3,"",IF(D22="","",3.1*H19))</f>
        <v>0</v>
      </c>
      <c r="I22" s="222">
        <f>IF(D22="","",C22*H22)</f>
        <v>0</v>
      </c>
      <c r="J22" s="216">
        <f>IF(D22="","",IF(K9=0%,H22,SUM(H22)*(1-K9)*1))</f>
        <v>0</v>
      </c>
      <c r="K22" s="519">
        <f>IF(D22="","",IF(J22=0,0,C22*J22))</f>
        <v>0</v>
      </c>
      <c r="L22" s="223">
        <f>IF(D22="","",IF(M9=0,J22,SUM(J22)*(1-M9)*1))</f>
        <v>0</v>
      </c>
      <c r="M22" s="222">
        <f>IF(D22="","",C22*L22)</f>
        <v>0</v>
      </c>
      <c r="N22" s="262"/>
      <c r="O22" s="560"/>
      <c r="P22" s="557">
        <v>10</v>
      </c>
      <c r="Q22" s="536">
        <f>D182</f>
        <v>0</v>
      </c>
      <c r="R22" s="1084">
        <f>$I$194</f>
        <v>0</v>
      </c>
      <c r="S22" s="1085"/>
      <c r="T22" s="1071">
        <f>$E$194</f>
        <v>0</v>
      </c>
      <c r="U22" s="1072"/>
      <c r="V22" s="1071">
        <f t="shared" si="3"/>
        <v>0</v>
      </c>
      <c r="W22" s="1072"/>
      <c r="X22" s="976">
        <f t="shared" si="4"/>
        <v>0</v>
      </c>
      <c r="Y22" s="977"/>
      <c r="Z22" s="988">
        <f>$G$194</f>
        <v>0</v>
      </c>
      <c r="AA22" s="989"/>
      <c r="AB22" s="988">
        <f t="shared" ref="AB22" si="10">R22-Z22</f>
        <v>0</v>
      </c>
      <c r="AC22" s="989"/>
      <c r="AD22" s="998">
        <f t="shared" si="6"/>
        <v>0</v>
      </c>
      <c r="AE22" s="999"/>
      <c r="AF22" s="262"/>
    </row>
    <row r="23" spans="1:32" ht="15" customHeight="1" thickTop="1" thickBot="1" x14ac:dyDescent="0.25">
      <c r="A23" s="257"/>
      <c r="B23" s="1160"/>
      <c r="C23" s="1161"/>
      <c r="D23" s="516" t="s">
        <v>1698</v>
      </c>
      <c r="E23" s="497">
        <f>SUM(E19:E22)</f>
        <v>70</v>
      </c>
      <c r="F23" s="515" t="s">
        <v>1698</v>
      </c>
      <c r="G23" s="297">
        <f>SUM(G19:G22)</f>
        <v>70</v>
      </c>
      <c r="H23" s="511" t="s">
        <v>1698</v>
      </c>
      <c r="I23" s="292">
        <f>SUM(I19:I22)</f>
        <v>0</v>
      </c>
      <c r="J23" s="513" t="s">
        <v>1698</v>
      </c>
      <c r="K23" s="520">
        <f>SUM(K19:K22)</f>
        <v>0</v>
      </c>
      <c r="L23" s="291" t="s">
        <v>1698</v>
      </c>
      <c r="M23" s="292">
        <f>SUM(M19:M22)</f>
        <v>0</v>
      </c>
      <c r="N23" s="262"/>
      <c r="O23" s="560"/>
      <c r="P23" s="557"/>
      <c r="Q23" s="262"/>
      <c r="R23" s="1084">
        <f>SUM(R13:S22)</f>
        <v>0</v>
      </c>
      <c r="S23" s="1085"/>
      <c r="T23" s="1071">
        <f>SUM(T13:U22)</f>
        <v>70</v>
      </c>
      <c r="U23" s="1072"/>
      <c r="V23" s="1071">
        <f>SUM(V13:W22)</f>
        <v>-70</v>
      </c>
      <c r="W23" s="1072"/>
      <c r="X23" s="976">
        <f t="shared" si="4"/>
        <v>0</v>
      </c>
      <c r="Y23" s="977"/>
      <c r="Z23" s="965">
        <f>SUM(Z13:AA22)</f>
        <v>70</v>
      </c>
      <c r="AA23" s="966"/>
      <c r="AB23" s="978">
        <f>SUM(AB13:AC22)</f>
        <v>-70</v>
      </c>
      <c r="AC23" s="979"/>
      <c r="AD23" s="967">
        <f t="shared" si="6"/>
        <v>0</v>
      </c>
      <c r="AE23" s="968"/>
      <c r="AF23" s="262"/>
    </row>
    <row r="24" spans="1:32" ht="15" customHeight="1" thickTop="1" thickBot="1" x14ac:dyDescent="0.25">
      <c r="A24" s="257"/>
      <c r="B24" s="1162"/>
      <c r="C24" s="1163"/>
      <c r="D24" s="516" t="s">
        <v>1843</v>
      </c>
      <c r="E24" s="498">
        <f>E23*12</f>
        <v>840</v>
      </c>
      <c r="F24" s="515" t="s">
        <v>1843</v>
      </c>
      <c r="G24" s="299">
        <f>G23*12</f>
        <v>840</v>
      </c>
      <c r="H24" s="512" t="s">
        <v>1843</v>
      </c>
      <c r="I24" s="294">
        <f>I23*12</f>
        <v>0</v>
      </c>
      <c r="J24" s="514" t="s">
        <v>1843</v>
      </c>
      <c r="K24" s="546">
        <f>K23*12</f>
        <v>0</v>
      </c>
      <c r="L24" s="293" t="s">
        <v>1720</v>
      </c>
      <c r="M24" s="294">
        <f>M23*12</f>
        <v>0</v>
      </c>
      <c r="N24" s="262"/>
      <c r="O24" s="560"/>
      <c r="P24" s="557"/>
      <c r="Q24" s="401"/>
      <c r="R24" s="401"/>
      <c r="S24" s="401"/>
      <c r="T24" s="401"/>
      <c r="U24" s="401"/>
      <c r="V24" s="401"/>
      <c r="W24" s="401"/>
      <c r="X24" s="288"/>
      <c r="Y24" s="262"/>
      <c r="Z24" s="262"/>
      <c r="AA24" s="262"/>
      <c r="AB24" s="262"/>
      <c r="AC24" s="262"/>
      <c r="AD24" s="288"/>
      <c r="AE24" s="262"/>
      <c r="AF24" s="262"/>
    </row>
    <row r="25" spans="1:32" ht="15" customHeight="1" thickTop="1" thickBot="1" x14ac:dyDescent="0.25">
      <c r="A25" s="257"/>
      <c r="B25" s="1164"/>
      <c r="C25" s="1165"/>
      <c r="D25" s="1096"/>
      <c r="E25" s="1097"/>
      <c r="F25" s="565" t="s">
        <v>1695</v>
      </c>
      <c r="G25" s="568">
        <f>IF(G23&lt;1,"",(E24-G24)/E24*-1)</f>
        <v>0</v>
      </c>
      <c r="H25" s="509" t="s">
        <v>1695</v>
      </c>
      <c r="I25" s="552" t="str">
        <f>IF(I23&lt;1,"",(E24-I24)/E24*-1)</f>
        <v/>
      </c>
      <c r="J25" s="510" t="s">
        <v>1695</v>
      </c>
      <c r="K25" s="553">
        <f>IF(K24=0,0,(E24-K24)/E24*-1)</f>
        <v>0</v>
      </c>
      <c r="L25" s="230" t="s">
        <v>1695</v>
      </c>
      <c r="M25" s="552">
        <f>IF(I23=0,0,(E24-M24)/E24*-1)</f>
        <v>0</v>
      </c>
      <c r="N25" s="262"/>
      <c r="O25" s="560"/>
      <c r="P25" s="557"/>
      <c r="Q25" s="1190" t="s">
        <v>1699</v>
      </c>
      <c r="R25" s="1191"/>
      <c r="S25" s="1191"/>
      <c r="T25" s="1191"/>
      <c r="U25" s="1191"/>
      <c r="V25" s="1191"/>
      <c r="W25" s="1191"/>
      <c r="X25" s="1191"/>
      <c r="Y25" s="1192"/>
      <c r="Z25" s="262"/>
      <c r="AA25" s="262"/>
      <c r="AB25" s="262"/>
      <c r="AC25" s="262"/>
      <c r="AD25" s="262"/>
      <c r="AE25" s="262"/>
      <c r="AF25" s="262"/>
    </row>
    <row r="26" spans="1:32" ht="15" customHeight="1" thickTop="1" thickBot="1" x14ac:dyDescent="0.25">
      <c r="A26" s="257"/>
      <c r="B26" s="1130" t="s">
        <v>86</v>
      </c>
      <c r="C26" s="1131"/>
      <c r="D26" s="1142" t="s">
        <v>61</v>
      </c>
      <c r="E26" s="1143"/>
      <c r="F26" s="1143"/>
      <c r="G26" s="1144"/>
      <c r="H26" s="1145" t="s">
        <v>62</v>
      </c>
      <c r="I26" s="1146"/>
      <c r="J26" s="1146"/>
      <c r="K26" s="1147"/>
      <c r="L26" s="1146"/>
      <c r="M26" s="1148"/>
      <c r="N26" s="262"/>
      <c r="O26" s="560"/>
      <c r="P26" s="557"/>
      <c r="Q26" s="1193" t="s">
        <v>1869</v>
      </c>
      <c r="R26" s="1194"/>
      <c r="S26" s="1194"/>
      <c r="T26" s="1194"/>
      <c r="U26" s="1194"/>
      <c r="V26" s="1194"/>
      <c r="W26" s="1194"/>
      <c r="X26" s="1194"/>
      <c r="Y26" s="1195"/>
      <c r="Z26" s="262"/>
      <c r="AA26" s="262"/>
      <c r="AB26" s="262"/>
      <c r="AC26" s="262"/>
      <c r="AD26" s="262"/>
      <c r="AE26" s="262"/>
      <c r="AF26" s="262"/>
    </row>
    <row r="27" spans="1:32" ht="15" customHeight="1" thickTop="1" thickBot="1" x14ac:dyDescent="0.25">
      <c r="A27" s="257"/>
      <c r="B27" s="1132"/>
      <c r="C27" s="1133"/>
      <c r="D27" s="1100" t="s">
        <v>64</v>
      </c>
      <c r="E27" s="1101"/>
      <c r="F27" s="1126" t="s">
        <v>65</v>
      </c>
      <c r="G27" s="1127"/>
      <c r="H27" s="1092" t="s">
        <v>66</v>
      </c>
      <c r="I27" s="1093"/>
      <c r="J27" s="1159" t="s">
        <v>1699</v>
      </c>
      <c r="K27" s="1095"/>
      <c r="L27" s="1092" t="s">
        <v>1700</v>
      </c>
      <c r="M27" s="1093"/>
      <c r="N27" s="262"/>
      <c r="O27" s="560"/>
      <c r="P27" s="555"/>
      <c r="Q27" s="417"/>
      <c r="R27" s="612" t="s">
        <v>1838</v>
      </c>
      <c r="S27" s="612" t="s">
        <v>1839</v>
      </c>
      <c r="T27" s="612" t="s">
        <v>1840</v>
      </c>
      <c r="U27" s="612" t="s">
        <v>1841</v>
      </c>
      <c r="V27" s="612" t="s">
        <v>1861</v>
      </c>
      <c r="W27" s="612" t="s">
        <v>545</v>
      </c>
      <c r="X27" s="613" t="s">
        <v>1784</v>
      </c>
      <c r="Y27" s="614" t="s">
        <v>1786</v>
      </c>
      <c r="Z27" s="262"/>
      <c r="AA27" s="262"/>
      <c r="AB27" s="262"/>
      <c r="AC27" s="262"/>
      <c r="AD27" s="262"/>
      <c r="AE27" s="262"/>
      <c r="AF27" s="262"/>
    </row>
    <row r="28" spans="1:32" ht="15" customHeight="1" thickTop="1" thickBot="1" x14ac:dyDescent="0.25">
      <c r="A28" s="257"/>
      <c r="B28" s="1132"/>
      <c r="C28" s="1133"/>
      <c r="D28" s="1102"/>
      <c r="E28" s="1103"/>
      <c r="F28" s="1128"/>
      <c r="G28" s="1129"/>
      <c r="H28" s="502" t="s">
        <v>1696</v>
      </c>
      <c r="I28" s="638"/>
      <c r="J28" s="530" t="s">
        <v>1697</v>
      </c>
      <c r="K28" s="566">
        <f>IF(E29=0,0,VLOOKUP(E29,RBRATES,2,0))</f>
        <v>0</v>
      </c>
      <c r="L28" s="502" t="s">
        <v>70</v>
      </c>
      <c r="M28" s="567">
        <f>$V$67</f>
        <v>0</v>
      </c>
      <c r="N28" s="262"/>
      <c r="O28" s="560"/>
      <c r="P28" s="555"/>
      <c r="Q28" s="539" t="s">
        <v>1847</v>
      </c>
      <c r="R28" s="554"/>
      <c r="S28" s="554"/>
      <c r="T28" s="554"/>
      <c r="U28" s="554"/>
      <c r="V28" s="554"/>
      <c r="W28" s="554"/>
      <c r="X28" s="554"/>
      <c r="Y28" s="647"/>
      <c r="Z28" s="262"/>
      <c r="AA28" s="262"/>
      <c r="AB28" s="262"/>
      <c r="AC28" s="262"/>
      <c r="AD28" s="262"/>
      <c r="AE28" s="262"/>
      <c r="AF28" s="262"/>
    </row>
    <row r="29" spans="1:32" ht="15" customHeight="1" collapsed="1" thickTop="1" thickBot="1" x14ac:dyDescent="0.25">
      <c r="A29" s="257"/>
      <c r="B29" s="1134"/>
      <c r="C29" s="1135"/>
      <c r="D29" s="500" t="s">
        <v>1785</v>
      </c>
      <c r="E29" s="491">
        <f>INTAKE!C19</f>
        <v>0</v>
      </c>
      <c r="F29" s="508" t="s">
        <v>68</v>
      </c>
      <c r="G29" s="551">
        <f>IF(E29=0,0,IF(E29="THMO",$F$5,IF(E29="SHMO",$G$5,IF(E29="PSHMO",$H$5,IF(E29="VIVITY",$I$5,IF(E29="KAISER",$J$5,IF(E29="PPO",$K$5,IF(E29="SOL",$L$5,IF(E29="CDHP",$M$5)))))))))</f>
        <v>0</v>
      </c>
      <c r="H29" s="501" t="s">
        <v>72</v>
      </c>
      <c r="I29" s="639"/>
      <c r="J29" s="1157"/>
      <c r="K29" s="1158"/>
      <c r="L29" s="1138"/>
      <c r="M29" s="1139"/>
      <c r="N29" s="262"/>
      <c r="O29" s="560"/>
      <c r="P29" s="555"/>
      <c r="Q29" s="401"/>
      <c r="R29" s="401"/>
      <c r="S29" s="401"/>
      <c r="T29" s="401"/>
      <c r="U29" s="401"/>
      <c r="V29" s="401"/>
      <c r="W29" s="401"/>
      <c r="X29" s="288"/>
      <c r="Y29" s="262"/>
      <c r="Z29" s="262"/>
      <c r="AA29" s="262"/>
      <c r="AB29" s="262"/>
      <c r="AC29" s="262"/>
      <c r="AD29" s="262"/>
      <c r="AE29" s="262"/>
      <c r="AF29" s="262"/>
    </row>
    <row r="30" spans="1:32" ht="15" customHeight="1" thickTop="1" thickBot="1" x14ac:dyDescent="0.25">
      <c r="A30" s="257"/>
      <c r="B30" s="1121" t="s">
        <v>29</v>
      </c>
      <c r="C30" s="1122"/>
      <c r="D30" s="1123">
        <f>INTAKE!D$19</f>
        <v>0</v>
      </c>
      <c r="E30" s="1124"/>
      <c r="F30" s="1112"/>
      <c r="G30" s="1113"/>
      <c r="H30" s="1086" t="e">
        <f>VLOOKUP(I28,PLANS!$A$1:$H$95,2,FALSE)</f>
        <v>#N/A</v>
      </c>
      <c r="I30" s="1125"/>
      <c r="J30" s="1088" t="e">
        <f t="shared" ref="J30:J36" si="11">H30</f>
        <v>#N/A</v>
      </c>
      <c r="K30" s="1089"/>
      <c r="L30" s="1090" t="e">
        <f t="shared" ref="L30:L36" si="12">H30</f>
        <v>#N/A</v>
      </c>
      <c r="M30" s="1091"/>
      <c r="N30" s="262"/>
      <c r="O30" s="560"/>
      <c r="P30" s="555"/>
      <c r="Q30" s="962" t="s">
        <v>1957</v>
      </c>
      <c r="R30" s="963"/>
      <c r="S30" s="963"/>
      <c r="T30" s="963"/>
      <c r="U30" s="963"/>
      <c r="V30" s="963"/>
      <c r="W30" s="963"/>
      <c r="X30" s="963"/>
      <c r="Y30" s="963"/>
      <c r="Z30" s="963"/>
      <c r="AA30" s="963"/>
      <c r="AB30" s="963"/>
      <c r="AC30" s="963"/>
      <c r="AD30" s="963"/>
      <c r="AE30" s="964"/>
      <c r="AF30" s="262"/>
    </row>
    <row r="31" spans="1:32" ht="15" customHeight="1" thickTop="1" thickBot="1" x14ac:dyDescent="0.25">
      <c r="A31" s="257"/>
      <c r="B31" s="1104" t="s">
        <v>33</v>
      </c>
      <c r="C31" s="1105"/>
      <c r="D31" s="1098">
        <f>INTAKE!N$19</f>
        <v>0</v>
      </c>
      <c r="E31" s="1099"/>
      <c r="F31" s="1112"/>
      <c r="G31" s="1114"/>
      <c r="H31" s="1086" t="e">
        <f>VLOOKUP(I28,PLANS!$A$1:$H$95,3,FALSE)</f>
        <v>#N/A</v>
      </c>
      <c r="I31" s="1087"/>
      <c r="J31" s="1088" t="e">
        <f t="shared" si="11"/>
        <v>#N/A</v>
      </c>
      <c r="K31" s="1089"/>
      <c r="L31" s="1090" t="e">
        <f t="shared" si="12"/>
        <v>#N/A</v>
      </c>
      <c r="M31" s="1091"/>
      <c r="N31" s="262"/>
      <c r="O31" s="560"/>
      <c r="P31" s="555"/>
      <c r="Q31" s="1032"/>
      <c r="R31" s="1034" t="s">
        <v>1950</v>
      </c>
      <c r="S31" s="1035"/>
      <c r="T31" s="983" t="s">
        <v>1932</v>
      </c>
      <c r="U31" s="984"/>
      <c r="V31" s="984"/>
      <c r="W31" s="984"/>
      <c r="X31" s="984"/>
      <c r="Y31" s="985"/>
      <c r="Z31" s="969" t="s">
        <v>1933</v>
      </c>
      <c r="AA31" s="970"/>
      <c r="AB31" s="970"/>
      <c r="AC31" s="970"/>
      <c r="AD31" s="970"/>
      <c r="AE31" s="971"/>
      <c r="AF31" s="262"/>
    </row>
    <row r="32" spans="1:32" ht="15" customHeight="1" thickTop="1" x14ac:dyDescent="0.2">
      <c r="A32" s="257"/>
      <c r="B32" s="1119" t="s">
        <v>34</v>
      </c>
      <c r="C32" s="1120"/>
      <c r="D32" s="1098">
        <f>INTAKE!O$19</f>
        <v>0</v>
      </c>
      <c r="E32" s="1099"/>
      <c r="F32" s="1112"/>
      <c r="G32" s="1114"/>
      <c r="H32" s="1086" t="e">
        <f>VLOOKUP(I28,PLANS!$A$1:$H$95,4,FALSE)</f>
        <v>#N/A</v>
      </c>
      <c r="I32" s="1087"/>
      <c r="J32" s="1088" t="e">
        <f t="shared" si="11"/>
        <v>#N/A</v>
      </c>
      <c r="K32" s="1089"/>
      <c r="L32" s="1090" t="e">
        <f t="shared" si="12"/>
        <v>#N/A</v>
      </c>
      <c r="M32" s="1091"/>
      <c r="N32" s="262"/>
      <c r="O32" s="560"/>
      <c r="P32" s="555"/>
      <c r="Q32" s="1033"/>
      <c r="R32" s="1036"/>
      <c r="S32" s="1037"/>
      <c r="T32" s="972" t="s">
        <v>1928</v>
      </c>
      <c r="U32" s="973"/>
      <c r="V32" s="972" t="s">
        <v>1956</v>
      </c>
      <c r="W32" s="973"/>
      <c r="X32" s="972" t="s">
        <v>1955</v>
      </c>
      <c r="Y32" s="973"/>
      <c r="Z32" s="974" t="s">
        <v>1929</v>
      </c>
      <c r="AA32" s="975"/>
      <c r="AB32" s="974" t="s">
        <v>1930</v>
      </c>
      <c r="AC32" s="975"/>
      <c r="AD32" s="974" t="s">
        <v>1931</v>
      </c>
      <c r="AE32" s="975"/>
      <c r="AF32" s="262"/>
    </row>
    <row r="33" spans="1:32" ht="15" customHeight="1" x14ac:dyDescent="0.2">
      <c r="A33" s="257"/>
      <c r="B33" s="1115" t="s">
        <v>35</v>
      </c>
      <c r="C33" s="1116"/>
      <c r="D33" s="1117">
        <f>INTAKE!P$19</f>
        <v>0</v>
      </c>
      <c r="E33" s="1118"/>
      <c r="F33" s="1112"/>
      <c r="G33" s="1114"/>
      <c r="H33" s="1086" t="e">
        <f>VLOOKUP(I28,PLANS!$A$1:$H$95,5,FALSE)</f>
        <v>#N/A</v>
      </c>
      <c r="I33" s="1087"/>
      <c r="J33" s="1088" t="e">
        <f t="shared" si="11"/>
        <v>#N/A</v>
      </c>
      <c r="K33" s="1089"/>
      <c r="L33" s="1090" t="e">
        <f t="shared" si="12"/>
        <v>#N/A</v>
      </c>
      <c r="M33" s="1091"/>
      <c r="N33" s="262"/>
      <c r="O33" s="560"/>
      <c r="P33" s="555"/>
      <c r="Q33" s="532" t="s">
        <v>67</v>
      </c>
      <c r="R33" s="958">
        <f>K23+K42+K61+K80+K99+K118+K137+K156+K175+K194</f>
        <v>0</v>
      </c>
      <c r="S33" s="959"/>
      <c r="T33" s="1067">
        <f>T7</f>
        <v>70</v>
      </c>
      <c r="U33" s="1068"/>
      <c r="V33" s="1067">
        <f>R33-T33</f>
        <v>-70</v>
      </c>
      <c r="W33" s="1068"/>
      <c r="X33" s="986">
        <f>IF(R33=0,0,V33/T33)</f>
        <v>0</v>
      </c>
      <c r="Y33" s="987"/>
      <c r="Z33" s="980">
        <f>Z7</f>
        <v>70</v>
      </c>
      <c r="AA33" s="981"/>
      <c r="AB33" s="958">
        <f>R33-Z33</f>
        <v>-70</v>
      </c>
      <c r="AC33" s="959"/>
      <c r="AD33" s="960">
        <f>IF(R33=0,0,AB33/Z33)</f>
        <v>0</v>
      </c>
      <c r="AE33" s="961"/>
      <c r="AF33" s="262"/>
    </row>
    <row r="34" spans="1:32" ht="15" customHeight="1" thickBot="1" x14ac:dyDescent="0.25">
      <c r="A34" s="257"/>
      <c r="B34" s="1115" t="s">
        <v>36</v>
      </c>
      <c r="C34" s="1116"/>
      <c r="D34" s="1117">
        <f>INTAKE!Q$19</f>
        <v>0</v>
      </c>
      <c r="E34" s="1118"/>
      <c r="F34" s="1112"/>
      <c r="G34" s="1114"/>
      <c r="H34" s="1086" t="e">
        <f>VLOOKUP(I28,PLANS!$A$1:$H$95,6,FALSE)</f>
        <v>#N/A</v>
      </c>
      <c r="I34" s="1087"/>
      <c r="J34" s="1088" t="e">
        <f t="shared" si="11"/>
        <v>#N/A</v>
      </c>
      <c r="K34" s="1089"/>
      <c r="L34" s="1090" t="e">
        <f t="shared" si="12"/>
        <v>#N/A</v>
      </c>
      <c r="M34" s="1091"/>
      <c r="N34" s="262"/>
      <c r="O34" s="560"/>
      <c r="P34" s="555"/>
      <c r="Q34" s="533" t="s">
        <v>71</v>
      </c>
      <c r="R34" s="996">
        <f>SUM(K24+K43+K62+K81+K100+K119+K138+K157+K176+K195)</f>
        <v>0</v>
      </c>
      <c r="S34" s="997"/>
      <c r="T34" s="1038">
        <f>T8</f>
        <v>840</v>
      </c>
      <c r="U34" s="1039"/>
      <c r="V34" s="1038">
        <f>R34-T34</f>
        <v>-840</v>
      </c>
      <c r="W34" s="1039"/>
      <c r="X34" s="976">
        <f>IF(R34=0,0,V34/T34)</f>
        <v>0</v>
      </c>
      <c r="Y34" s="977"/>
      <c r="Z34" s="988">
        <f>Z8</f>
        <v>840</v>
      </c>
      <c r="AA34" s="989"/>
      <c r="AB34" s="996">
        <f>R34-Z34</f>
        <v>-840</v>
      </c>
      <c r="AC34" s="997"/>
      <c r="AD34" s="998">
        <f>IF(R34=0,0,AB34/Z34)</f>
        <v>0</v>
      </c>
      <c r="AE34" s="999"/>
      <c r="AF34" s="262"/>
    </row>
    <row r="35" spans="1:32" ht="15" customHeight="1" thickTop="1" thickBot="1" x14ac:dyDescent="0.25">
      <c r="A35" s="257"/>
      <c r="B35" s="1115" t="s">
        <v>76</v>
      </c>
      <c r="C35" s="1116"/>
      <c r="D35" s="1098">
        <f>INTAKE!R$19</f>
        <v>0</v>
      </c>
      <c r="E35" s="1099"/>
      <c r="F35" s="1112"/>
      <c r="G35" s="1114"/>
      <c r="H35" s="1086" t="e">
        <f>VLOOKUP(I28,PLANS!$A$1:$H$95,7,FALSE)</f>
        <v>#N/A</v>
      </c>
      <c r="I35" s="1087"/>
      <c r="J35" s="1088" t="e">
        <f t="shared" si="11"/>
        <v>#N/A</v>
      </c>
      <c r="K35" s="1089"/>
      <c r="L35" s="1090" t="e">
        <f t="shared" si="12"/>
        <v>#N/A</v>
      </c>
      <c r="M35" s="1091"/>
      <c r="N35" s="262"/>
      <c r="O35" s="560"/>
      <c r="P35" s="555"/>
      <c r="Q35" s="288"/>
      <c r="R35" s="950"/>
      <c r="S35" s="951"/>
      <c r="T35" s="950"/>
      <c r="U35" s="951"/>
      <c r="V35" s="950"/>
      <c r="W35" s="951"/>
      <c r="X35" s="950"/>
      <c r="Y35" s="951"/>
      <c r="Z35" s="952"/>
      <c r="AA35" s="951"/>
      <c r="AB35" s="952"/>
      <c r="AC35" s="951"/>
      <c r="AD35" s="950"/>
      <c r="AE35" s="951"/>
      <c r="AF35" s="262"/>
    </row>
    <row r="36" spans="1:32" ht="15" customHeight="1" thickTop="1" thickBot="1" x14ac:dyDescent="0.25">
      <c r="A36" s="257"/>
      <c r="B36" s="1104" t="s">
        <v>78</v>
      </c>
      <c r="C36" s="1105"/>
      <c r="D36" s="1098">
        <f>INTAKE!S$19</f>
        <v>0</v>
      </c>
      <c r="E36" s="1099"/>
      <c r="F36" s="1112"/>
      <c r="G36" s="1114"/>
      <c r="H36" s="1106" t="e">
        <f>VLOOKUP(I28,PLANS!$A$1:$H$95,8,FALSE)</f>
        <v>#N/A</v>
      </c>
      <c r="I36" s="1107"/>
      <c r="J36" s="1108" t="e">
        <f t="shared" si="11"/>
        <v>#N/A</v>
      </c>
      <c r="K36" s="1109"/>
      <c r="L36" s="1110" t="e">
        <f t="shared" si="12"/>
        <v>#N/A</v>
      </c>
      <c r="M36" s="1111"/>
      <c r="N36" s="262"/>
      <c r="O36" s="560"/>
      <c r="P36" s="555"/>
      <c r="Q36" s="962" t="s">
        <v>1951</v>
      </c>
      <c r="R36" s="963"/>
      <c r="S36" s="963"/>
      <c r="T36" s="963"/>
      <c r="U36" s="963"/>
      <c r="V36" s="963"/>
      <c r="W36" s="963"/>
      <c r="X36" s="963"/>
      <c r="Y36" s="963"/>
      <c r="Z36" s="963"/>
      <c r="AA36" s="963"/>
      <c r="AB36" s="963"/>
      <c r="AC36" s="963"/>
      <c r="AD36" s="963"/>
      <c r="AE36" s="964"/>
      <c r="AF36" s="262"/>
    </row>
    <row r="37" spans="1:32" ht="15" customHeight="1" thickTop="1" thickBot="1" x14ac:dyDescent="0.25">
      <c r="A37" s="257"/>
      <c r="B37" s="1140" t="s">
        <v>79</v>
      </c>
      <c r="C37" s="1141"/>
      <c r="D37" s="492" t="s">
        <v>26</v>
      </c>
      <c r="E37" s="493" t="s">
        <v>80</v>
      </c>
      <c r="F37" s="224" t="s">
        <v>26</v>
      </c>
      <c r="G37" s="225" t="s">
        <v>80</v>
      </c>
      <c r="H37" s="302" t="s">
        <v>26</v>
      </c>
      <c r="I37" s="521" t="s">
        <v>80</v>
      </c>
      <c r="J37" s="228" t="s">
        <v>26</v>
      </c>
      <c r="K37" s="526" t="s">
        <v>80</v>
      </c>
      <c r="L37" s="229" t="s">
        <v>26</v>
      </c>
      <c r="M37" s="226" t="s">
        <v>80</v>
      </c>
      <c r="N37" s="262"/>
      <c r="O37" s="560"/>
      <c r="P37" s="555"/>
      <c r="Q37" s="1032" t="s">
        <v>29</v>
      </c>
      <c r="R37" s="1034" t="s">
        <v>1950</v>
      </c>
      <c r="S37" s="1035"/>
      <c r="T37" s="983" t="s">
        <v>1932</v>
      </c>
      <c r="U37" s="984"/>
      <c r="V37" s="984"/>
      <c r="W37" s="984"/>
      <c r="X37" s="984"/>
      <c r="Y37" s="985"/>
      <c r="Z37" s="969" t="s">
        <v>1933</v>
      </c>
      <c r="AA37" s="970"/>
      <c r="AB37" s="970"/>
      <c r="AC37" s="970"/>
      <c r="AD37" s="970"/>
      <c r="AE37" s="971"/>
      <c r="AF37" s="262"/>
    </row>
    <row r="38" spans="1:32" ht="15" customHeight="1" thickTop="1" thickBot="1" x14ac:dyDescent="0.25">
      <c r="A38" s="257"/>
      <c r="B38" s="489" t="s">
        <v>81</v>
      </c>
      <c r="C38" s="219">
        <f>INTAKE!I$20</f>
        <v>0</v>
      </c>
      <c r="D38" s="494">
        <f>INTAKE!I19</f>
        <v>0</v>
      </c>
      <c r="E38" s="495">
        <f>IF(D38="","",SUM(C38*D38))</f>
        <v>0</v>
      </c>
      <c r="F38" s="218">
        <f>IF(G29=0,D38,(1+G29/1)*D38)</f>
        <v>0</v>
      </c>
      <c r="G38" s="300">
        <f>IF(F38="","",SUM(C38*F38))</f>
        <v>0</v>
      </c>
      <c r="H38" s="529"/>
      <c r="I38" s="522">
        <f>C38*H38</f>
        <v>0</v>
      </c>
      <c r="J38" s="216">
        <f>IF(K28=0%,H38,SUM(H38)*(1-K28)*1)</f>
        <v>0</v>
      </c>
      <c r="K38" s="527">
        <f>IF(J38=0,0,C38*J38)</f>
        <v>0</v>
      </c>
      <c r="L38" s="223">
        <f>IF(M28=0,J38,SUM(J38)*(1-M28)*1)</f>
        <v>0</v>
      </c>
      <c r="M38" s="222">
        <f>C38*L38</f>
        <v>0</v>
      </c>
      <c r="N38" s="262"/>
      <c r="O38" s="560"/>
      <c r="P38" s="555"/>
      <c r="Q38" s="1033"/>
      <c r="R38" s="1036"/>
      <c r="S38" s="1037"/>
      <c r="T38" s="972" t="s">
        <v>1928</v>
      </c>
      <c r="U38" s="973"/>
      <c r="V38" s="972" t="s">
        <v>1956</v>
      </c>
      <c r="W38" s="973"/>
      <c r="X38" s="972" t="s">
        <v>1955</v>
      </c>
      <c r="Y38" s="973"/>
      <c r="Z38" s="974" t="s">
        <v>1929</v>
      </c>
      <c r="AA38" s="975"/>
      <c r="AB38" s="974" t="s">
        <v>1930</v>
      </c>
      <c r="AC38" s="975"/>
      <c r="AD38" s="974" t="s">
        <v>1931</v>
      </c>
      <c r="AE38" s="975"/>
      <c r="AF38" s="262"/>
    </row>
    <row r="39" spans="1:32" ht="15" customHeight="1" x14ac:dyDescent="0.2">
      <c r="A39" s="257"/>
      <c r="B39" s="489" t="str">
        <f>IF(FORMULAS!$E$12=2,"EF:",IF(FORMULAS!$E$12=3,"EE+1:","ES:"))</f>
        <v>ES:</v>
      </c>
      <c r="C39" s="219">
        <f>INTAKE!J$20</f>
        <v>0</v>
      </c>
      <c r="D39" s="494">
        <f>INTAKE!J19</f>
        <v>0</v>
      </c>
      <c r="E39" s="495">
        <f>IF(D39="","",SUM(C39*D39))</f>
        <v>0</v>
      </c>
      <c r="F39" s="218">
        <f>IF(G29=0,D39,(1+G29/1)*D39)</f>
        <v>0</v>
      </c>
      <c r="G39" s="300">
        <f t="shared" ref="G39:G40" si="13">IF(F39="","",SUM(C39*F39))</f>
        <v>0</v>
      </c>
      <c r="H39" s="303">
        <f>IF(FORMULAS!E12=3,2.1*H38,2.2*H38)</f>
        <v>0</v>
      </c>
      <c r="I39" s="523">
        <f>C39*H39</f>
        <v>0</v>
      </c>
      <c r="J39" s="216">
        <f>IF(K28=0%,H39,SUM(H39)*(1-K28)*1)</f>
        <v>0</v>
      </c>
      <c r="K39" s="527">
        <f t="shared" ref="K39:K40" si="14">IF(J39=0,0,C39*J39)</f>
        <v>0</v>
      </c>
      <c r="L39" s="223">
        <f>IF(M28=0,J39,SUM(J39)*(1-M28)*1)</f>
        <v>0</v>
      </c>
      <c r="M39" s="222">
        <f>C39*L39</f>
        <v>0</v>
      </c>
      <c r="N39" s="262"/>
      <c r="O39" s="560"/>
      <c r="P39" s="555"/>
      <c r="Q39" s="535" t="str">
        <f t="shared" ref="Q39:Q48" si="15">Q13</f>
        <v>HMO Plan</v>
      </c>
      <c r="R39" s="958">
        <f>K23</f>
        <v>0</v>
      </c>
      <c r="S39" s="959"/>
      <c r="T39" s="1067">
        <f>T13</f>
        <v>70</v>
      </c>
      <c r="U39" s="1068"/>
      <c r="V39" s="1067">
        <f t="shared" ref="V39:V49" si="16">R39-T39</f>
        <v>-70</v>
      </c>
      <c r="W39" s="1068"/>
      <c r="X39" s="986">
        <f t="shared" ref="X39:X49" si="17">IF(R39=0,0,V39/T39)</f>
        <v>0</v>
      </c>
      <c r="Y39" s="987"/>
      <c r="Z39" s="980">
        <f>Z13</f>
        <v>70</v>
      </c>
      <c r="AA39" s="981"/>
      <c r="AB39" s="958">
        <f t="shared" ref="AB39:AB49" si="18">R39-Z39</f>
        <v>-70</v>
      </c>
      <c r="AC39" s="959"/>
      <c r="AD39" s="960">
        <f>IF(R39=0,0,AB39/Z39)</f>
        <v>0</v>
      </c>
      <c r="AE39" s="961"/>
      <c r="AF39" s="262"/>
    </row>
    <row r="40" spans="1:32" ht="15" customHeight="1" x14ac:dyDescent="0.2">
      <c r="A40" s="257"/>
      <c r="B40" s="489" t="str">
        <f>IF(FORMULAS!$E$12=2,"",IF(FORMULAS!$E$12=3,"EE+2:","EC:"))</f>
        <v>EC:</v>
      </c>
      <c r="C40" s="219">
        <f>INTAKE!K$20</f>
        <v>0</v>
      </c>
      <c r="D40" s="494">
        <f>INTAKE!K19</f>
        <v>0</v>
      </c>
      <c r="E40" s="495">
        <f>IF(D40="","",SUM(C40*D40))</f>
        <v>0</v>
      </c>
      <c r="F40" s="218">
        <f>IF(G29=0,D40,(1+G29/1)*D40)</f>
        <v>0</v>
      </c>
      <c r="G40" s="300">
        <f t="shared" si="13"/>
        <v>0</v>
      </c>
      <c r="H40" s="223">
        <f>IF(FORMULAS!E12=3,3*H38,1.8*H38)</f>
        <v>0</v>
      </c>
      <c r="I40" s="523">
        <f>C40*H40</f>
        <v>0</v>
      </c>
      <c r="J40" s="216">
        <f>IF(K28=0%,H40,SUM(H40)*(1-K28)*1)</f>
        <v>0</v>
      </c>
      <c r="K40" s="527">
        <f t="shared" si="14"/>
        <v>0</v>
      </c>
      <c r="L40" s="223">
        <f>IF(M28=0,J40,SUM(J40)*(1-M28)*1)</f>
        <v>0</v>
      </c>
      <c r="M40" s="222">
        <f>C40*L40</f>
        <v>0</v>
      </c>
      <c r="N40" s="262"/>
      <c r="O40" s="560"/>
      <c r="P40" s="555"/>
      <c r="Q40" s="535">
        <f t="shared" si="15"/>
        <v>0</v>
      </c>
      <c r="R40" s="958">
        <f>K42</f>
        <v>0</v>
      </c>
      <c r="S40" s="959"/>
      <c r="T40" s="1067">
        <f t="shared" ref="T40:T48" si="19">T14</f>
        <v>0</v>
      </c>
      <c r="U40" s="1068"/>
      <c r="V40" s="1067">
        <f t="shared" si="16"/>
        <v>0</v>
      </c>
      <c r="W40" s="1068"/>
      <c r="X40" s="986">
        <f t="shared" si="17"/>
        <v>0</v>
      </c>
      <c r="Y40" s="987"/>
      <c r="Z40" s="980">
        <f t="shared" ref="Z40:Z48" si="20">Z14</f>
        <v>0</v>
      </c>
      <c r="AA40" s="981"/>
      <c r="AB40" s="958">
        <f t="shared" si="18"/>
        <v>0</v>
      </c>
      <c r="AC40" s="959"/>
      <c r="AD40" s="960">
        <f t="shared" ref="AD40:AD49" si="21">IF(R40=0,0,AB40/Z40)</f>
        <v>0</v>
      </c>
      <c r="AE40" s="961"/>
      <c r="AF40" s="262"/>
    </row>
    <row r="41" spans="1:32" ht="15" customHeight="1" x14ac:dyDescent="0.2">
      <c r="A41" s="257"/>
      <c r="B41" s="489" t="str">
        <f>IF(FORMULAS!$E$12=2,"",IF(FORMULAS!$E$12=3,"","EF:"))</f>
        <v>EF:</v>
      </c>
      <c r="C41" s="219">
        <f>INTAKE!L$20</f>
        <v>0</v>
      </c>
      <c r="D41" s="496">
        <f>IF(INTAKE!L19="","",INTAKE!L19)</f>
        <v>0</v>
      </c>
      <c r="E41" s="495">
        <f>IF(D41="","",C41*D41)</f>
        <v>0</v>
      </c>
      <c r="F41" s="298">
        <f>IF(D41="","",IF(G29=0,D41,(1+G29/1)*D41))</f>
        <v>0</v>
      </c>
      <c r="G41" s="217">
        <f>IF(D41="","",C41*F41)</f>
        <v>0</v>
      </c>
      <c r="H41" s="223">
        <f>IF(FORMULAS!E12=3,"",IF(D41="","",3.1*H38))</f>
        <v>0</v>
      </c>
      <c r="I41" s="523">
        <f>IF(D41="","",C41*H41)</f>
        <v>0</v>
      </c>
      <c r="J41" s="216">
        <f>IF(D41="","",IF(K28=0%,H41,SUM(H41)*(1-K28)*1))</f>
        <v>0</v>
      </c>
      <c r="K41" s="527">
        <f>IF(D41="","",IF(J41=0,0,C41*J41))</f>
        <v>0</v>
      </c>
      <c r="L41" s="223">
        <f>IF(D41="","",IF(M28=0,J41,SUM(J41)*(1-M28)*1))</f>
        <v>0</v>
      </c>
      <c r="M41" s="222">
        <f>IF(D41="","",C41*L41)</f>
        <v>0</v>
      </c>
      <c r="N41" s="262"/>
      <c r="O41" s="560"/>
      <c r="P41" s="555"/>
      <c r="Q41" s="535">
        <f t="shared" si="15"/>
        <v>0</v>
      </c>
      <c r="R41" s="958">
        <f>K61</f>
        <v>0</v>
      </c>
      <c r="S41" s="959"/>
      <c r="T41" s="1067">
        <f t="shared" si="19"/>
        <v>0</v>
      </c>
      <c r="U41" s="1068"/>
      <c r="V41" s="1067">
        <f t="shared" si="16"/>
        <v>0</v>
      </c>
      <c r="W41" s="1068"/>
      <c r="X41" s="986">
        <f t="shared" si="17"/>
        <v>0</v>
      </c>
      <c r="Y41" s="987"/>
      <c r="Z41" s="980">
        <f t="shared" si="20"/>
        <v>0</v>
      </c>
      <c r="AA41" s="981"/>
      <c r="AB41" s="958">
        <f t="shared" si="18"/>
        <v>0</v>
      </c>
      <c r="AC41" s="959"/>
      <c r="AD41" s="960">
        <f t="shared" si="21"/>
        <v>0</v>
      </c>
      <c r="AE41" s="961"/>
      <c r="AF41" s="262"/>
    </row>
    <row r="42" spans="1:32" ht="15" customHeight="1" x14ac:dyDescent="0.2">
      <c r="A42" s="257"/>
      <c r="B42" s="1160"/>
      <c r="C42" s="1161"/>
      <c r="D42" s="516" t="s">
        <v>1698</v>
      </c>
      <c r="E42" s="497">
        <f>SUM(E38:E41)</f>
        <v>0</v>
      </c>
      <c r="F42" s="515" t="s">
        <v>1698</v>
      </c>
      <c r="G42" s="297">
        <f>SUM(G38:G41)</f>
        <v>0</v>
      </c>
      <c r="H42" s="511" t="s">
        <v>1698</v>
      </c>
      <c r="I42" s="524">
        <f>SUM(I38:I41)</f>
        <v>0</v>
      </c>
      <c r="J42" s="528" t="s">
        <v>1698</v>
      </c>
      <c r="K42" s="520">
        <f>SUM(K38:K41)</f>
        <v>0</v>
      </c>
      <c r="L42" s="295" t="s">
        <v>1698</v>
      </c>
      <c r="M42" s="292">
        <f>SUM(M38:M41)</f>
        <v>0</v>
      </c>
      <c r="N42" s="262"/>
      <c r="O42" s="560"/>
      <c r="P42" s="555"/>
      <c r="Q42" s="535">
        <f t="shared" si="15"/>
        <v>0</v>
      </c>
      <c r="R42" s="958">
        <f>K80</f>
        <v>0</v>
      </c>
      <c r="S42" s="959"/>
      <c r="T42" s="1067">
        <f t="shared" si="19"/>
        <v>0</v>
      </c>
      <c r="U42" s="1068"/>
      <c r="V42" s="1067">
        <f t="shared" si="16"/>
        <v>0</v>
      </c>
      <c r="W42" s="1068"/>
      <c r="X42" s="986">
        <f t="shared" si="17"/>
        <v>0</v>
      </c>
      <c r="Y42" s="987"/>
      <c r="Z42" s="980">
        <f t="shared" si="20"/>
        <v>0</v>
      </c>
      <c r="AA42" s="981"/>
      <c r="AB42" s="958">
        <f t="shared" si="18"/>
        <v>0</v>
      </c>
      <c r="AC42" s="959"/>
      <c r="AD42" s="960">
        <f t="shared" si="21"/>
        <v>0</v>
      </c>
      <c r="AE42" s="961"/>
      <c r="AF42" s="262"/>
    </row>
    <row r="43" spans="1:32" ht="15" customHeight="1" x14ac:dyDescent="0.2">
      <c r="A43" s="257"/>
      <c r="B43" s="1162"/>
      <c r="C43" s="1163"/>
      <c r="D43" s="516" t="s">
        <v>1843</v>
      </c>
      <c r="E43" s="498">
        <f>E42*12</f>
        <v>0</v>
      </c>
      <c r="F43" s="515" t="s">
        <v>1843</v>
      </c>
      <c r="G43" s="299">
        <f>G42*12</f>
        <v>0</v>
      </c>
      <c r="H43" s="512" t="s">
        <v>1843</v>
      </c>
      <c r="I43" s="525">
        <f>I42*12</f>
        <v>0</v>
      </c>
      <c r="J43" s="528" t="s">
        <v>1843</v>
      </c>
      <c r="K43" s="546">
        <f>K42*12</f>
        <v>0</v>
      </c>
      <c r="L43" s="296" t="s">
        <v>1720</v>
      </c>
      <c r="M43" s="294">
        <f>M42*12</f>
        <v>0</v>
      </c>
      <c r="N43" s="262"/>
      <c r="O43" s="560"/>
      <c r="P43" s="555"/>
      <c r="Q43" s="535">
        <f t="shared" si="15"/>
        <v>0</v>
      </c>
      <c r="R43" s="958">
        <f>K99</f>
        <v>0</v>
      </c>
      <c r="S43" s="959"/>
      <c r="T43" s="1067">
        <f t="shared" si="19"/>
        <v>0</v>
      </c>
      <c r="U43" s="1068"/>
      <c r="V43" s="1067">
        <f t="shared" si="16"/>
        <v>0</v>
      </c>
      <c r="W43" s="1068"/>
      <c r="X43" s="986">
        <f t="shared" si="17"/>
        <v>0</v>
      </c>
      <c r="Y43" s="987"/>
      <c r="Z43" s="980">
        <f t="shared" si="20"/>
        <v>0</v>
      </c>
      <c r="AA43" s="981"/>
      <c r="AB43" s="958">
        <f t="shared" si="18"/>
        <v>0</v>
      </c>
      <c r="AC43" s="959"/>
      <c r="AD43" s="960">
        <f t="shared" si="21"/>
        <v>0</v>
      </c>
      <c r="AE43" s="961"/>
      <c r="AF43" s="262"/>
    </row>
    <row r="44" spans="1:32" ht="15" customHeight="1" collapsed="1" thickBot="1" x14ac:dyDescent="0.25">
      <c r="A44" s="257"/>
      <c r="B44" s="1164"/>
      <c r="C44" s="1165"/>
      <c r="D44" s="1096"/>
      <c r="E44" s="1097"/>
      <c r="F44" s="565" t="s">
        <v>1695</v>
      </c>
      <c r="G44" s="568" t="str">
        <f>IF(G42&lt;1,"",(E43-G43)/E43*-1)</f>
        <v/>
      </c>
      <c r="H44" s="509" t="s">
        <v>1695</v>
      </c>
      <c r="I44" s="552" t="str">
        <f>IF(I42&lt;1,"",(E43-I43)/E43*-1)</f>
        <v/>
      </c>
      <c r="J44" s="510" t="s">
        <v>1695</v>
      </c>
      <c r="K44" s="553">
        <f>IF(K43=0,0,(E43-K43)/E43*-1)</f>
        <v>0</v>
      </c>
      <c r="L44" s="230" t="s">
        <v>1695</v>
      </c>
      <c r="M44" s="552">
        <f>IF(I42=0,0,(E43-M43)/E43*-1)</f>
        <v>0</v>
      </c>
      <c r="N44" s="262"/>
      <c r="O44" s="560"/>
      <c r="P44" s="555"/>
      <c r="Q44" s="535">
        <f t="shared" si="15"/>
        <v>0</v>
      </c>
      <c r="R44" s="958">
        <f>K118</f>
        <v>0</v>
      </c>
      <c r="S44" s="959"/>
      <c r="T44" s="1067">
        <f t="shared" si="19"/>
        <v>0</v>
      </c>
      <c r="U44" s="1068"/>
      <c r="V44" s="1067">
        <f t="shared" si="16"/>
        <v>0</v>
      </c>
      <c r="W44" s="1068"/>
      <c r="X44" s="986">
        <f t="shared" si="17"/>
        <v>0</v>
      </c>
      <c r="Y44" s="987"/>
      <c r="Z44" s="980">
        <f t="shared" si="20"/>
        <v>0</v>
      </c>
      <c r="AA44" s="981"/>
      <c r="AB44" s="958">
        <f t="shared" si="18"/>
        <v>0</v>
      </c>
      <c r="AC44" s="959"/>
      <c r="AD44" s="960">
        <f t="shared" si="21"/>
        <v>0</v>
      </c>
      <c r="AE44" s="961"/>
      <c r="AF44" s="262"/>
    </row>
    <row r="45" spans="1:32" ht="15" customHeight="1" thickTop="1" thickBot="1" x14ac:dyDescent="0.25">
      <c r="A45" s="257"/>
      <c r="B45" s="1130" t="s">
        <v>97</v>
      </c>
      <c r="C45" s="1131"/>
      <c r="D45" s="1142" t="s">
        <v>61</v>
      </c>
      <c r="E45" s="1143"/>
      <c r="F45" s="1143"/>
      <c r="G45" s="1144"/>
      <c r="H45" s="1145" t="s">
        <v>62</v>
      </c>
      <c r="I45" s="1146"/>
      <c r="J45" s="1147"/>
      <c r="K45" s="1147"/>
      <c r="L45" s="1146"/>
      <c r="M45" s="1148"/>
      <c r="N45" s="262"/>
      <c r="O45" s="560"/>
      <c r="P45" s="555"/>
      <c r="Q45" s="535">
        <f t="shared" si="15"/>
        <v>0</v>
      </c>
      <c r="R45" s="958">
        <f>K137</f>
        <v>0</v>
      </c>
      <c r="S45" s="959"/>
      <c r="T45" s="1067">
        <f t="shared" si="19"/>
        <v>0</v>
      </c>
      <c r="U45" s="1068"/>
      <c r="V45" s="1067">
        <f t="shared" si="16"/>
        <v>0</v>
      </c>
      <c r="W45" s="1068"/>
      <c r="X45" s="986">
        <f t="shared" si="17"/>
        <v>0</v>
      </c>
      <c r="Y45" s="987"/>
      <c r="Z45" s="980">
        <f t="shared" si="20"/>
        <v>0</v>
      </c>
      <c r="AA45" s="981"/>
      <c r="AB45" s="958">
        <f t="shared" si="18"/>
        <v>0</v>
      </c>
      <c r="AC45" s="959"/>
      <c r="AD45" s="960">
        <f t="shared" si="21"/>
        <v>0</v>
      </c>
      <c r="AE45" s="961"/>
      <c r="AF45" s="262"/>
    </row>
    <row r="46" spans="1:32" ht="15" customHeight="1" thickTop="1" thickBot="1" x14ac:dyDescent="0.25">
      <c r="A46" s="257"/>
      <c r="B46" s="1132"/>
      <c r="C46" s="1133"/>
      <c r="D46" s="1100" t="s">
        <v>64</v>
      </c>
      <c r="E46" s="1101"/>
      <c r="F46" s="1126" t="s">
        <v>65</v>
      </c>
      <c r="G46" s="1127"/>
      <c r="H46" s="1092" t="s">
        <v>66</v>
      </c>
      <c r="I46" s="1093"/>
      <c r="J46" s="1094" t="s">
        <v>1699</v>
      </c>
      <c r="K46" s="1095"/>
      <c r="L46" s="1092" t="s">
        <v>1700</v>
      </c>
      <c r="M46" s="1093"/>
      <c r="N46" s="262"/>
      <c r="O46" s="560"/>
      <c r="P46" s="555"/>
      <c r="Q46" s="535">
        <f t="shared" si="15"/>
        <v>0</v>
      </c>
      <c r="R46" s="958">
        <f>K156</f>
        <v>0</v>
      </c>
      <c r="S46" s="959"/>
      <c r="T46" s="1067">
        <f t="shared" si="19"/>
        <v>0</v>
      </c>
      <c r="U46" s="1068"/>
      <c r="V46" s="1067">
        <f t="shared" si="16"/>
        <v>0</v>
      </c>
      <c r="W46" s="1068"/>
      <c r="X46" s="986">
        <f t="shared" si="17"/>
        <v>0</v>
      </c>
      <c r="Y46" s="987"/>
      <c r="Z46" s="980">
        <f t="shared" si="20"/>
        <v>0</v>
      </c>
      <c r="AA46" s="981"/>
      <c r="AB46" s="958">
        <f t="shared" si="18"/>
        <v>0</v>
      </c>
      <c r="AC46" s="959"/>
      <c r="AD46" s="960">
        <f t="shared" si="21"/>
        <v>0</v>
      </c>
      <c r="AE46" s="961"/>
      <c r="AF46" s="262"/>
    </row>
    <row r="47" spans="1:32" ht="15" customHeight="1" thickTop="1" thickBot="1" x14ac:dyDescent="0.25">
      <c r="A47" s="257"/>
      <c r="B47" s="1132"/>
      <c r="C47" s="1133"/>
      <c r="D47" s="1102"/>
      <c r="E47" s="1103"/>
      <c r="F47" s="1128"/>
      <c r="G47" s="1129"/>
      <c r="H47" s="502" t="s">
        <v>1696</v>
      </c>
      <c r="I47" s="638"/>
      <c r="J47" s="503" t="s">
        <v>1697</v>
      </c>
      <c r="K47" s="566">
        <f>IF(E48=0,0,VLOOKUP(E48,RBRATES,2,0))</f>
        <v>0</v>
      </c>
      <c r="L47" s="502" t="s">
        <v>70</v>
      </c>
      <c r="M47" s="567">
        <f>$V$67</f>
        <v>0</v>
      </c>
      <c r="N47" s="262"/>
      <c r="O47" s="560"/>
      <c r="P47" s="555"/>
      <c r="Q47" s="535">
        <f t="shared" si="15"/>
        <v>0</v>
      </c>
      <c r="R47" s="958">
        <f>K175</f>
        <v>0</v>
      </c>
      <c r="S47" s="959"/>
      <c r="T47" s="1067">
        <f t="shared" si="19"/>
        <v>0</v>
      </c>
      <c r="U47" s="1068"/>
      <c r="V47" s="1067">
        <f t="shared" si="16"/>
        <v>0</v>
      </c>
      <c r="W47" s="1068"/>
      <c r="X47" s="986">
        <f t="shared" si="17"/>
        <v>0</v>
      </c>
      <c r="Y47" s="987"/>
      <c r="Z47" s="980">
        <f t="shared" si="20"/>
        <v>0</v>
      </c>
      <c r="AA47" s="981"/>
      <c r="AB47" s="958">
        <f t="shared" si="18"/>
        <v>0</v>
      </c>
      <c r="AC47" s="959"/>
      <c r="AD47" s="960">
        <f t="shared" si="21"/>
        <v>0</v>
      </c>
      <c r="AE47" s="961"/>
      <c r="AF47" s="262"/>
    </row>
    <row r="48" spans="1:32" ht="15" customHeight="1" thickTop="1" thickBot="1" x14ac:dyDescent="0.25">
      <c r="A48" s="257"/>
      <c r="B48" s="1134"/>
      <c r="C48" s="1135"/>
      <c r="D48" s="500" t="s">
        <v>1785</v>
      </c>
      <c r="E48" s="491">
        <f>INTAKE!C21</f>
        <v>0</v>
      </c>
      <c r="F48" s="508" t="s">
        <v>68</v>
      </c>
      <c r="G48" s="551">
        <f>IF(E48=0,0,IF(E48="THMO",$F$5,IF(E48="SHMO",$G$5,IF(E48="PSHMO",$H$5,IF(E48="VIVITY",$I$5,IF(E48="KAISER",$J$5,IF(E48="PPO",$K$5,IF(E48="SOL",$L$5,IF(E48="CDHP",$M$5)))))))))</f>
        <v>0</v>
      </c>
      <c r="H48" s="501" t="s">
        <v>72</v>
      </c>
      <c r="I48" s="638"/>
      <c r="J48" s="1136"/>
      <c r="K48" s="1137"/>
      <c r="L48" s="1138"/>
      <c r="M48" s="1139"/>
      <c r="N48" s="262"/>
      <c r="O48" s="560"/>
      <c r="P48" s="555"/>
      <c r="Q48" s="536">
        <f t="shared" si="15"/>
        <v>0</v>
      </c>
      <c r="R48" s="1084">
        <f>K194</f>
        <v>0</v>
      </c>
      <c r="S48" s="1085"/>
      <c r="T48" s="1038">
        <f t="shared" si="19"/>
        <v>0</v>
      </c>
      <c r="U48" s="1039"/>
      <c r="V48" s="1038">
        <f t="shared" si="16"/>
        <v>0</v>
      </c>
      <c r="W48" s="1039"/>
      <c r="X48" s="976">
        <f t="shared" si="17"/>
        <v>0</v>
      </c>
      <c r="Y48" s="977"/>
      <c r="Z48" s="988">
        <f t="shared" si="20"/>
        <v>0</v>
      </c>
      <c r="AA48" s="989"/>
      <c r="AB48" s="996">
        <f t="shared" si="18"/>
        <v>0</v>
      </c>
      <c r="AC48" s="997"/>
      <c r="AD48" s="998">
        <f t="shared" si="21"/>
        <v>0</v>
      </c>
      <c r="AE48" s="999"/>
      <c r="AF48" s="262"/>
    </row>
    <row r="49" spans="1:32" ht="15" customHeight="1" thickTop="1" thickBot="1" x14ac:dyDescent="0.25">
      <c r="A49" s="257"/>
      <c r="B49" s="1121" t="s">
        <v>29</v>
      </c>
      <c r="C49" s="1122"/>
      <c r="D49" s="1123">
        <f>INTAKE!D21</f>
        <v>0</v>
      </c>
      <c r="E49" s="1124"/>
      <c r="F49" s="1112"/>
      <c r="G49" s="1113"/>
      <c r="H49" s="1086" t="e">
        <f>VLOOKUP(I47,PLANS!$A$1:$H$95,2,FALSE)</f>
        <v>#N/A</v>
      </c>
      <c r="I49" s="1125"/>
      <c r="J49" s="1088" t="e">
        <f t="shared" ref="J49:J55" si="22">H49</f>
        <v>#N/A</v>
      </c>
      <c r="K49" s="1089"/>
      <c r="L49" s="1090" t="e">
        <f t="shared" ref="L49:L55" si="23">H49</f>
        <v>#N/A</v>
      </c>
      <c r="M49" s="1091"/>
      <c r="N49" s="262"/>
      <c r="O49" s="560"/>
      <c r="P49" s="555"/>
      <c r="Q49" s="648"/>
      <c r="R49" s="1084">
        <f>SUM(R39:S48)</f>
        <v>0</v>
      </c>
      <c r="S49" s="1085"/>
      <c r="T49" s="1198">
        <f>T23</f>
        <v>70</v>
      </c>
      <c r="U49" s="1199"/>
      <c r="V49" s="1198">
        <f t="shared" si="16"/>
        <v>-70</v>
      </c>
      <c r="W49" s="1199"/>
      <c r="X49" s="1200">
        <f t="shared" si="17"/>
        <v>0</v>
      </c>
      <c r="Y49" s="1201"/>
      <c r="Z49" s="990">
        <f>Z23</f>
        <v>70</v>
      </c>
      <c r="AA49" s="991"/>
      <c r="AB49" s="1058">
        <f t="shared" si="18"/>
        <v>-70</v>
      </c>
      <c r="AC49" s="1059"/>
      <c r="AD49" s="967">
        <f t="shared" si="21"/>
        <v>0</v>
      </c>
      <c r="AE49" s="968"/>
      <c r="AF49" s="262"/>
    </row>
    <row r="50" spans="1:32" ht="15" customHeight="1" thickTop="1" thickBot="1" x14ac:dyDescent="0.25">
      <c r="A50" s="257"/>
      <c r="B50" s="1104" t="s">
        <v>33</v>
      </c>
      <c r="C50" s="1105"/>
      <c r="D50" s="1098">
        <f>INTAKE!N$21</f>
        <v>0</v>
      </c>
      <c r="E50" s="1099"/>
      <c r="F50" s="1112"/>
      <c r="G50" s="1114"/>
      <c r="H50" s="1086" t="e">
        <f>VLOOKUP(I47,PLANS!$A$1:$H$95,3,FALSE)</f>
        <v>#N/A</v>
      </c>
      <c r="I50" s="1087"/>
      <c r="J50" s="1088" t="e">
        <f t="shared" si="22"/>
        <v>#N/A</v>
      </c>
      <c r="K50" s="1089"/>
      <c r="L50" s="1090" t="e">
        <f t="shared" si="23"/>
        <v>#N/A</v>
      </c>
      <c r="M50" s="1091"/>
      <c r="N50" s="262"/>
      <c r="O50" s="560"/>
      <c r="P50" s="555"/>
      <c r="Q50" s="262"/>
      <c r="R50" s="262"/>
      <c r="S50" s="262"/>
      <c r="T50" s="262"/>
      <c r="U50" s="262"/>
      <c r="V50" s="262"/>
      <c r="W50" s="262"/>
      <c r="X50" s="262"/>
      <c r="Y50" s="262"/>
      <c r="Z50" s="262"/>
      <c r="AA50" s="262"/>
      <c r="AB50" s="262"/>
      <c r="AC50" s="262"/>
      <c r="AD50" s="262"/>
      <c r="AE50" s="262"/>
      <c r="AF50" s="262"/>
    </row>
    <row r="51" spans="1:32" ht="15" customHeight="1" thickTop="1" x14ac:dyDescent="0.2">
      <c r="A51" s="257"/>
      <c r="B51" s="1119" t="s">
        <v>34</v>
      </c>
      <c r="C51" s="1120"/>
      <c r="D51" s="1098">
        <f>INTAKE!O$21</f>
        <v>0</v>
      </c>
      <c r="E51" s="1099"/>
      <c r="F51" s="1112"/>
      <c r="G51" s="1114"/>
      <c r="H51" s="1086" t="e">
        <f>VLOOKUP(I47,PLANS!$A$1:$H$95,4,FALSE)</f>
        <v>#N/A</v>
      </c>
      <c r="I51" s="1087"/>
      <c r="J51" s="1088" t="e">
        <f t="shared" si="22"/>
        <v>#N/A</v>
      </c>
      <c r="K51" s="1089"/>
      <c r="L51" s="1090" t="e">
        <f t="shared" si="23"/>
        <v>#N/A</v>
      </c>
      <c r="M51" s="1091"/>
      <c r="N51" s="262"/>
      <c r="O51" s="560"/>
      <c r="P51" s="555"/>
      <c r="Q51" s="1012" t="s">
        <v>87</v>
      </c>
      <c r="R51" s="1013"/>
      <c r="S51" s="1013"/>
      <c r="T51" s="1013"/>
      <c r="U51" s="1013"/>
      <c r="V51" s="1013"/>
      <c r="W51" s="1013"/>
      <c r="X51" s="1013"/>
      <c r="Y51" s="1014"/>
      <c r="Z51" s="262"/>
      <c r="AA51" s="262"/>
      <c r="AB51" s="262"/>
      <c r="AC51" s="262"/>
      <c r="AD51" s="262"/>
      <c r="AE51" s="262"/>
      <c r="AF51" s="262"/>
    </row>
    <row r="52" spans="1:32" ht="15" customHeight="1" x14ac:dyDescent="0.2">
      <c r="A52" s="257"/>
      <c r="B52" s="1115" t="s">
        <v>35</v>
      </c>
      <c r="C52" s="1116"/>
      <c r="D52" s="1117">
        <f>INTAKE!P$21</f>
        <v>0</v>
      </c>
      <c r="E52" s="1118"/>
      <c r="F52" s="1112"/>
      <c r="G52" s="1114"/>
      <c r="H52" s="1086" t="e">
        <f>VLOOKUP(I47,PLANS!$A$1:$H$95,5,FALSE)</f>
        <v>#N/A</v>
      </c>
      <c r="I52" s="1087"/>
      <c r="J52" s="1088" t="e">
        <f t="shared" si="22"/>
        <v>#N/A</v>
      </c>
      <c r="K52" s="1089"/>
      <c r="L52" s="1090" t="e">
        <f t="shared" si="23"/>
        <v>#N/A</v>
      </c>
      <c r="M52" s="1091"/>
      <c r="N52" s="262"/>
      <c r="O52" s="560"/>
      <c r="P52" s="555"/>
      <c r="Q52" s="1202" t="s">
        <v>88</v>
      </c>
      <c r="R52" s="1203"/>
      <c r="S52" s="1045" t="str">
        <f>INTAKE!E5</f>
        <v>Test Client</v>
      </c>
      <c r="T52" s="1045"/>
      <c r="U52" s="1045"/>
      <c r="V52" s="1045"/>
      <c r="W52" s="1045"/>
      <c r="X52" s="1045"/>
      <c r="Y52" s="1046"/>
      <c r="Z52" s="262"/>
      <c r="AA52" s="262"/>
      <c r="AB52" s="262"/>
      <c r="AC52" s="262"/>
      <c r="AD52" s="262"/>
      <c r="AE52" s="262"/>
      <c r="AF52" s="262"/>
    </row>
    <row r="53" spans="1:32" ht="15" customHeight="1" x14ac:dyDescent="0.2">
      <c r="A53" s="257"/>
      <c r="B53" s="1115" t="s">
        <v>36</v>
      </c>
      <c r="C53" s="1116"/>
      <c r="D53" s="1117">
        <f>INTAKE!Q$21</f>
        <v>0</v>
      </c>
      <c r="E53" s="1118"/>
      <c r="F53" s="1112"/>
      <c r="G53" s="1114"/>
      <c r="H53" s="1086" t="e">
        <f>VLOOKUP(I47,PLANS!$A$1:$H$95,6,FALSE)</f>
        <v>#N/A</v>
      </c>
      <c r="I53" s="1087"/>
      <c r="J53" s="1088" t="e">
        <f t="shared" si="22"/>
        <v>#N/A</v>
      </c>
      <c r="K53" s="1089"/>
      <c r="L53" s="1090" t="e">
        <f t="shared" si="23"/>
        <v>#N/A</v>
      </c>
      <c r="M53" s="1091"/>
      <c r="N53" s="262"/>
      <c r="O53" s="560"/>
      <c r="P53" s="555"/>
      <c r="Q53" s="1082" t="s">
        <v>11</v>
      </c>
      <c r="R53" s="1083"/>
      <c r="S53" s="1060">
        <f>INTAKE!E7</f>
        <v>43387</v>
      </c>
      <c r="T53" s="1060"/>
      <c r="U53" s="1060"/>
      <c r="V53" s="1060"/>
      <c r="W53" s="1060"/>
      <c r="X53" s="1060"/>
      <c r="Y53" s="1061"/>
      <c r="Z53" s="262"/>
      <c r="AA53" s="262"/>
      <c r="AB53" s="262"/>
      <c r="AC53" s="262"/>
      <c r="AD53" s="262"/>
      <c r="AE53" s="262"/>
      <c r="AF53" s="262"/>
    </row>
    <row r="54" spans="1:32" ht="15" customHeight="1" x14ac:dyDescent="0.2">
      <c r="A54" s="257"/>
      <c r="B54" s="1115" t="s">
        <v>76</v>
      </c>
      <c r="C54" s="1116"/>
      <c r="D54" s="1098">
        <f>INTAKE!R$21</f>
        <v>0</v>
      </c>
      <c r="E54" s="1099"/>
      <c r="F54" s="1112"/>
      <c r="G54" s="1114"/>
      <c r="H54" s="1086" t="e">
        <f>VLOOKUP(I47,PLANS!$A$1:$H$95,7,FALSE)</f>
        <v>#N/A</v>
      </c>
      <c r="I54" s="1087"/>
      <c r="J54" s="1088" t="e">
        <f t="shared" si="22"/>
        <v>#N/A</v>
      </c>
      <c r="K54" s="1089"/>
      <c r="L54" s="1090" t="e">
        <f t="shared" si="23"/>
        <v>#N/A</v>
      </c>
      <c r="M54" s="1091"/>
      <c r="N54" s="262"/>
      <c r="O54" s="560"/>
      <c r="P54" s="555"/>
      <c r="Q54" s="1082" t="s">
        <v>89</v>
      </c>
      <c r="R54" s="1083"/>
      <c r="S54" s="1045" t="str">
        <f>INTAKE!E11</f>
        <v>Test Broker</v>
      </c>
      <c r="T54" s="1045"/>
      <c r="U54" s="1045"/>
      <c r="V54" s="1045"/>
      <c r="W54" s="1045"/>
      <c r="X54" s="1045"/>
      <c r="Y54" s="1046"/>
      <c r="Z54" s="262"/>
      <c r="AA54" s="262"/>
      <c r="AB54" s="262"/>
      <c r="AC54" s="262"/>
      <c r="AD54" s="262"/>
      <c r="AE54" s="262"/>
      <c r="AF54" s="262"/>
    </row>
    <row r="55" spans="1:32" ht="15" customHeight="1" x14ac:dyDescent="0.2">
      <c r="A55" s="257"/>
      <c r="B55" s="1104" t="s">
        <v>78</v>
      </c>
      <c r="C55" s="1105"/>
      <c r="D55" s="1098">
        <f>INTAKE!S$21</f>
        <v>0</v>
      </c>
      <c r="E55" s="1099"/>
      <c r="F55" s="1112"/>
      <c r="G55" s="1114"/>
      <c r="H55" s="1106" t="e">
        <f>VLOOKUP(I47,PLANS!$A$1:$H$95,8,FALSE)</f>
        <v>#N/A</v>
      </c>
      <c r="I55" s="1107"/>
      <c r="J55" s="1108" t="e">
        <f t="shared" si="22"/>
        <v>#N/A</v>
      </c>
      <c r="K55" s="1109"/>
      <c r="L55" s="1110" t="e">
        <f t="shared" si="23"/>
        <v>#N/A</v>
      </c>
      <c r="M55" s="1111"/>
      <c r="N55" s="262"/>
      <c r="O55" s="560"/>
      <c r="P55" s="555"/>
      <c r="Q55" s="1082" t="s">
        <v>90</v>
      </c>
      <c r="R55" s="1083"/>
      <c r="S55" s="1062">
        <f>INTAKE!N5</f>
        <v>26</v>
      </c>
      <c r="T55" s="1062"/>
      <c r="U55" s="1062"/>
      <c r="V55" s="1062"/>
      <c r="W55" s="1062"/>
      <c r="X55" s="1062"/>
      <c r="Y55" s="1063"/>
      <c r="Z55" s="262"/>
      <c r="AA55" s="262"/>
      <c r="AB55" s="262"/>
      <c r="AC55" s="262"/>
      <c r="AD55" s="262"/>
      <c r="AE55" s="262"/>
      <c r="AF55" s="262"/>
    </row>
    <row r="56" spans="1:32" ht="15" customHeight="1" thickBot="1" x14ac:dyDescent="0.25">
      <c r="A56" s="257"/>
      <c r="B56" s="1140" t="s">
        <v>79</v>
      </c>
      <c r="C56" s="1141"/>
      <c r="D56" s="492" t="s">
        <v>26</v>
      </c>
      <c r="E56" s="493" t="s">
        <v>80</v>
      </c>
      <c r="F56" s="224" t="s">
        <v>26</v>
      </c>
      <c r="G56" s="225" t="s">
        <v>80</v>
      </c>
      <c r="H56" s="302" t="s">
        <v>26</v>
      </c>
      <c r="I56" s="521" t="s">
        <v>80</v>
      </c>
      <c r="J56" s="228" t="s">
        <v>26</v>
      </c>
      <c r="K56" s="526" t="s">
        <v>80</v>
      </c>
      <c r="L56" s="229" t="s">
        <v>26</v>
      </c>
      <c r="M56" s="226" t="s">
        <v>80</v>
      </c>
      <c r="N56" s="262"/>
      <c r="O56" s="560"/>
      <c r="P56" s="555"/>
      <c r="Q56" s="1082" t="s">
        <v>91</v>
      </c>
      <c r="R56" s="1083"/>
      <c r="S56" s="1062">
        <f>INTAKE!N6</f>
        <v>26</v>
      </c>
      <c r="T56" s="1062"/>
      <c r="U56" s="1062"/>
      <c r="V56" s="1062"/>
      <c r="W56" s="1062"/>
      <c r="X56" s="1062"/>
      <c r="Y56" s="1063"/>
      <c r="Z56" s="262"/>
      <c r="AA56" s="262"/>
      <c r="AB56" s="262"/>
      <c r="AC56" s="262"/>
      <c r="AD56" s="262"/>
      <c r="AE56" s="262"/>
      <c r="AF56" s="262"/>
    </row>
    <row r="57" spans="1:32" ht="15" customHeight="1" thickBot="1" x14ac:dyDescent="0.25">
      <c r="A57" s="257"/>
      <c r="B57" s="489" t="s">
        <v>81</v>
      </c>
      <c r="C57" s="219">
        <f>INTAKE!I$22</f>
        <v>0</v>
      </c>
      <c r="D57" s="494">
        <f>INTAKE!I21</f>
        <v>0</v>
      </c>
      <c r="E57" s="495">
        <f>IF(D57="","",SUM(C57*D57))</f>
        <v>0</v>
      </c>
      <c r="F57" s="218">
        <f>IF(G48=0,D57,(1+G48/1)*D57)</f>
        <v>0</v>
      </c>
      <c r="G57" s="300">
        <f>IF(F57="","",SUM(C57*F57))</f>
        <v>0</v>
      </c>
      <c r="H57" s="529"/>
      <c r="I57" s="522">
        <f>C57*H57</f>
        <v>0</v>
      </c>
      <c r="J57" s="216">
        <f>IF(K47=0%,H57,SUM(H57)*(1-K47)*1)</f>
        <v>0</v>
      </c>
      <c r="K57" s="527">
        <f>IF(J57=0,0,C57*J57)</f>
        <v>0</v>
      </c>
      <c r="L57" s="223">
        <f>IF(M47=0,J57,SUM(J57)*(1-M47)*1)</f>
        <v>0</v>
      </c>
      <c r="M57" s="222">
        <f>C57*L57</f>
        <v>0</v>
      </c>
      <c r="N57" s="262"/>
      <c r="O57" s="560"/>
      <c r="P57" s="555"/>
      <c r="Q57" s="1082" t="s">
        <v>93</v>
      </c>
      <c r="R57" s="1083"/>
      <c r="S57" s="1043">
        <f>SUM($Z$8-$T$8)/$T$8</f>
        <v>0</v>
      </c>
      <c r="T57" s="1043"/>
      <c r="U57" s="1043"/>
      <c r="V57" s="1043"/>
      <c r="W57" s="1043"/>
      <c r="X57" s="1043"/>
      <c r="Y57" s="1044"/>
      <c r="Z57" s="262"/>
      <c r="AA57" s="262"/>
      <c r="AB57" s="262"/>
      <c r="AC57" s="262"/>
      <c r="AD57" s="262"/>
      <c r="AE57" s="262"/>
      <c r="AF57" s="262"/>
    </row>
    <row r="58" spans="1:32" ht="15" customHeight="1" x14ac:dyDescent="0.2">
      <c r="A58" s="257"/>
      <c r="B58" s="489" t="str">
        <f>IF(FORMULAS!$E$12=2,"EF:",IF(FORMULAS!$E$12=3,"EE+1:","ES:"))</f>
        <v>ES:</v>
      </c>
      <c r="C58" s="219">
        <f>INTAKE!J$22</f>
        <v>0</v>
      </c>
      <c r="D58" s="494">
        <f>INTAKE!J21</f>
        <v>0</v>
      </c>
      <c r="E58" s="495">
        <f>IF(D58="","",SUM(C58*D58))</f>
        <v>0</v>
      </c>
      <c r="F58" s="218">
        <f>IF(G48=0,D58,(1+G48/1)*D58)</f>
        <v>0</v>
      </c>
      <c r="G58" s="300">
        <f t="shared" ref="G58:G59" si="24">IF(F58="","",SUM(C58*F58))</f>
        <v>0</v>
      </c>
      <c r="H58" s="303">
        <f>IF(FORMULAS!E12=3,2.1*H57,2.2*H57)</f>
        <v>0</v>
      </c>
      <c r="I58" s="523">
        <f>C58*H58</f>
        <v>0</v>
      </c>
      <c r="J58" s="216">
        <f>IF(K47=0%,H58,SUM(H58)*(1-K47)*1)</f>
        <v>0</v>
      </c>
      <c r="K58" s="527">
        <f t="shared" ref="K58:K59" si="25">IF(J58=0,0,C58*J58)</f>
        <v>0</v>
      </c>
      <c r="L58" s="223">
        <f>IF(M47=0,J58,SUM(J58)*(1-M47)*1)</f>
        <v>0</v>
      </c>
      <c r="M58" s="222">
        <f>C58*L58</f>
        <v>0</v>
      </c>
      <c r="N58" s="262"/>
      <c r="O58" s="560"/>
      <c r="P58" s="555"/>
      <c r="Q58" s="1082" t="s">
        <v>92</v>
      </c>
      <c r="R58" s="1083"/>
      <c r="S58" s="1045" t="s">
        <v>46</v>
      </c>
      <c r="T58" s="1045"/>
      <c r="U58" s="1045"/>
      <c r="V58" s="1045"/>
      <c r="W58" s="1045"/>
      <c r="X58" s="1045"/>
      <c r="Y58" s="1046"/>
      <c r="Z58" s="262"/>
      <c r="AA58" s="262"/>
      <c r="AB58" s="262"/>
      <c r="AC58" s="262"/>
      <c r="AD58" s="262"/>
      <c r="AE58" s="262"/>
      <c r="AF58" s="262"/>
    </row>
    <row r="59" spans="1:32" ht="15" customHeight="1" x14ac:dyDescent="0.2">
      <c r="A59" s="257"/>
      <c r="B59" s="489" t="str">
        <f>IF(FORMULAS!$E$12=2,"",IF(FORMULAS!$E$12=3,"EE+2:","EC:"))</f>
        <v>EC:</v>
      </c>
      <c r="C59" s="219">
        <f>INTAKE!K$22</f>
        <v>0</v>
      </c>
      <c r="D59" s="494">
        <f>INTAKE!K21</f>
        <v>0</v>
      </c>
      <c r="E59" s="495">
        <f>IF(D59="","",SUM(C59*D59))</f>
        <v>0</v>
      </c>
      <c r="F59" s="218">
        <f>IF(G48=0,D59,(1+G48/1)*D59)</f>
        <v>0</v>
      </c>
      <c r="G59" s="300">
        <f t="shared" si="24"/>
        <v>0</v>
      </c>
      <c r="H59" s="223">
        <f>IF(FORMULAS!E12=3,3*H57,1.8*H57)</f>
        <v>0</v>
      </c>
      <c r="I59" s="523">
        <f>C59*H59</f>
        <v>0</v>
      </c>
      <c r="J59" s="216">
        <f>IF(K47=0%,H59,SUM(H59)*(1-K47)*1)</f>
        <v>0</v>
      </c>
      <c r="K59" s="527">
        <f t="shared" si="25"/>
        <v>0</v>
      </c>
      <c r="L59" s="223">
        <f>IF(M47=0,J59,SUM(J59)*(1-M47)*1)</f>
        <v>0</v>
      </c>
      <c r="M59" s="222">
        <f>C59*L59</f>
        <v>0</v>
      </c>
      <c r="N59" s="262"/>
      <c r="O59" s="560"/>
      <c r="P59" s="555"/>
      <c r="Q59" s="1082" t="s">
        <v>1878</v>
      </c>
      <c r="R59" s="1083"/>
      <c r="S59" s="1047">
        <f>INTAKE!S54</f>
        <v>0</v>
      </c>
      <c r="T59" s="1047"/>
      <c r="U59" s="1047"/>
      <c r="V59" s="1047"/>
      <c r="W59" s="1047"/>
      <c r="X59" s="1047"/>
      <c r="Y59" s="1048"/>
      <c r="Z59" s="262"/>
      <c r="AA59" s="262"/>
      <c r="AB59" s="262"/>
      <c r="AC59" s="262"/>
      <c r="AD59" s="262"/>
      <c r="AE59" s="262"/>
      <c r="AF59" s="262"/>
    </row>
    <row r="60" spans="1:32" ht="15" customHeight="1" x14ac:dyDescent="0.2">
      <c r="A60" s="257"/>
      <c r="B60" s="489" t="str">
        <f>IF(FORMULAS!$E$12=2,"",IF(FORMULAS!$E$12=3,"","EF:"))</f>
        <v>EF:</v>
      </c>
      <c r="C60" s="219">
        <f>INTAKE!L$22</f>
        <v>0</v>
      </c>
      <c r="D60" s="496">
        <f>IF(INTAKE!L21="","",INTAKE!L21)</f>
        <v>0</v>
      </c>
      <c r="E60" s="495">
        <f>IF(D60="","",C60*D60)</f>
        <v>0</v>
      </c>
      <c r="F60" s="298">
        <f>IF(D60="","",IF(G48=0,D60,(1+G48/1)*D60))</f>
        <v>0</v>
      </c>
      <c r="G60" s="217">
        <f>IF(D60="","",C60*F60)</f>
        <v>0</v>
      </c>
      <c r="H60" s="223">
        <f>IF(FORMULAS!E12=3,"",IF(D60="","",3.1*H57))</f>
        <v>0</v>
      </c>
      <c r="I60" s="523">
        <f>IF(D60="","",C60*H60)</f>
        <v>0</v>
      </c>
      <c r="J60" s="216">
        <f>IF(D60="","",IF(K47=0%,H60,SUM(H60)*(1-K47)*1))</f>
        <v>0</v>
      </c>
      <c r="K60" s="527">
        <f>IF(D60="","",IF(J60=0,0,C60*J60))</f>
        <v>0</v>
      </c>
      <c r="L60" s="223">
        <f>IF(D60="","",IF(M47=0,J60,SUM(J60)*(1-M47)*1))</f>
        <v>0</v>
      </c>
      <c r="M60" s="222">
        <f>IF(D60="","",C60*L60)</f>
        <v>0</v>
      </c>
      <c r="N60" s="262"/>
      <c r="O60" s="560"/>
      <c r="P60" s="555"/>
      <c r="Q60" s="1196" t="s">
        <v>46</v>
      </c>
      <c r="R60" s="1197"/>
      <c r="S60" s="1049">
        <v>0</v>
      </c>
      <c r="T60" s="1049"/>
      <c r="U60" s="1049"/>
      <c r="V60" s="1049"/>
      <c r="W60" s="1049"/>
      <c r="X60" s="1049"/>
      <c r="Y60" s="1050"/>
      <c r="Z60" s="262"/>
      <c r="AA60" s="262"/>
      <c r="AB60" s="262"/>
      <c r="AC60" s="262"/>
      <c r="AD60" s="262"/>
      <c r="AE60" s="262"/>
      <c r="AF60" s="262"/>
    </row>
    <row r="61" spans="1:32" ht="15" customHeight="1" x14ac:dyDescent="0.2">
      <c r="A61" s="257"/>
      <c r="B61" s="1160"/>
      <c r="C61" s="1161"/>
      <c r="D61" s="516" t="s">
        <v>1698</v>
      </c>
      <c r="E61" s="497">
        <f>SUM(E57:E60)</f>
        <v>0</v>
      </c>
      <c r="F61" s="515" t="s">
        <v>1698</v>
      </c>
      <c r="G61" s="297">
        <f>SUM(G57:G60)</f>
        <v>0</v>
      </c>
      <c r="H61" s="511" t="s">
        <v>1698</v>
      </c>
      <c r="I61" s="524">
        <f>SUM(I57:I60)</f>
        <v>0</v>
      </c>
      <c r="J61" s="528" t="s">
        <v>1698</v>
      </c>
      <c r="K61" s="520">
        <f>SUM(K57:K60)</f>
        <v>0</v>
      </c>
      <c r="L61" s="295" t="s">
        <v>1698</v>
      </c>
      <c r="M61" s="292">
        <f>SUM(M57:M60)</f>
        <v>0</v>
      </c>
      <c r="N61" s="262"/>
      <c r="O61" s="560"/>
      <c r="P61" s="555"/>
      <c r="Q61" s="1076" t="s">
        <v>1875</v>
      </c>
      <c r="R61" s="1077"/>
      <c r="S61" s="1051">
        <f>R8-R34</f>
        <v>0</v>
      </c>
      <c r="T61" s="1051"/>
      <c r="U61" s="1051"/>
      <c r="V61" s="1051"/>
      <c r="W61" s="1051"/>
      <c r="X61" s="1051"/>
      <c r="Y61" s="1052"/>
      <c r="Z61" s="262"/>
      <c r="AA61" s="262"/>
      <c r="AB61" s="262"/>
      <c r="AC61" s="262"/>
      <c r="AD61" s="262"/>
      <c r="AE61" s="262"/>
      <c r="AF61" s="262"/>
    </row>
    <row r="62" spans="1:32" ht="15" customHeight="1" x14ac:dyDescent="0.2">
      <c r="A62" s="257"/>
      <c r="B62" s="1162"/>
      <c r="C62" s="1163"/>
      <c r="D62" s="516" t="s">
        <v>1843</v>
      </c>
      <c r="E62" s="498">
        <f>E61*12</f>
        <v>0</v>
      </c>
      <c r="F62" s="515" t="s">
        <v>1843</v>
      </c>
      <c r="G62" s="299">
        <f>G61*12</f>
        <v>0</v>
      </c>
      <c r="H62" s="512" t="s">
        <v>1843</v>
      </c>
      <c r="I62" s="525">
        <f>I61*12</f>
        <v>0</v>
      </c>
      <c r="J62" s="528" t="s">
        <v>1843</v>
      </c>
      <c r="K62" s="546">
        <f>K61*12</f>
        <v>0</v>
      </c>
      <c r="L62" s="296" t="s">
        <v>1720</v>
      </c>
      <c r="M62" s="294">
        <f>M61*12</f>
        <v>0</v>
      </c>
      <c r="N62" s="262"/>
      <c r="O62" s="560"/>
      <c r="P62" s="555"/>
      <c r="Q62" s="1078" t="s">
        <v>1876</v>
      </c>
      <c r="R62" s="1079"/>
      <c r="S62" s="1053">
        <f>SUM(S60:Y61)</f>
        <v>0</v>
      </c>
      <c r="T62" s="1053"/>
      <c r="U62" s="1053"/>
      <c r="V62" s="1054"/>
      <c r="W62" s="1054"/>
      <c r="X62" s="1054"/>
      <c r="Y62" s="1055"/>
      <c r="Z62" s="262"/>
      <c r="AA62" s="262"/>
      <c r="AB62" s="262"/>
      <c r="AC62" s="262"/>
      <c r="AD62" s="262"/>
      <c r="AE62" s="262"/>
      <c r="AF62" s="262"/>
    </row>
    <row r="63" spans="1:32" ht="15" customHeight="1" thickBot="1" x14ac:dyDescent="0.25">
      <c r="A63" s="257"/>
      <c r="B63" s="1164"/>
      <c r="C63" s="1165"/>
      <c r="D63" s="1096"/>
      <c r="E63" s="1097"/>
      <c r="F63" s="565" t="s">
        <v>1695</v>
      </c>
      <c r="G63" s="568" t="str">
        <f>IF(G61&lt;1,"",(E62-G62)/E62*-1)</f>
        <v/>
      </c>
      <c r="H63" s="509" t="s">
        <v>1695</v>
      </c>
      <c r="I63" s="552" t="str">
        <f>IF(I61&lt;1,"",(E62-I62)/E62*-1)</f>
        <v/>
      </c>
      <c r="J63" s="510" t="s">
        <v>1695</v>
      </c>
      <c r="K63" s="553">
        <f>IF(K62=0,0,(E62-K62)/E62*-1)</f>
        <v>0</v>
      </c>
      <c r="L63" s="230" t="s">
        <v>1695</v>
      </c>
      <c r="M63" s="552">
        <f>IF(I61=0,0,(E62-M62)/E62*-1)</f>
        <v>0</v>
      </c>
      <c r="N63" s="262"/>
      <c r="O63" s="560"/>
      <c r="P63" s="555"/>
      <c r="Q63" s="1080" t="s">
        <v>1880</v>
      </c>
      <c r="R63" s="1081"/>
      <c r="S63" s="1056"/>
      <c r="T63" s="1056"/>
      <c r="U63" s="1056"/>
      <c r="V63" s="1056"/>
      <c r="W63" s="1056"/>
      <c r="X63" s="1056"/>
      <c r="Y63" s="1057"/>
      <c r="Z63" s="262"/>
      <c r="AA63" s="262"/>
      <c r="AB63" s="262"/>
      <c r="AC63" s="262"/>
      <c r="AD63" s="262"/>
      <c r="AE63" s="262"/>
      <c r="AF63" s="262"/>
    </row>
    <row r="64" spans="1:32" ht="15" customHeight="1" thickTop="1" thickBot="1" x14ac:dyDescent="0.25">
      <c r="A64" s="257"/>
      <c r="B64" s="1151" t="s">
        <v>99</v>
      </c>
      <c r="C64" s="1152"/>
      <c r="D64" s="1142" t="s">
        <v>61</v>
      </c>
      <c r="E64" s="1143"/>
      <c r="F64" s="1143"/>
      <c r="G64" s="1144"/>
      <c r="H64" s="1145" t="s">
        <v>62</v>
      </c>
      <c r="I64" s="1146"/>
      <c r="J64" s="1147"/>
      <c r="K64" s="1147"/>
      <c r="L64" s="1146"/>
      <c r="M64" s="1148"/>
      <c r="N64" s="262"/>
      <c r="O64" s="560"/>
      <c r="P64" s="555"/>
      <c r="Q64" s="262"/>
      <c r="R64" s="262"/>
      <c r="S64" s="262"/>
      <c r="T64" s="262"/>
      <c r="U64" s="262"/>
      <c r="V64" s="262"/>
      <c r="W64" s="262"/>
      <c r="X64" s="262"/>
      <c r="Y64" s="262"/>
      <c r="Z64" s="262"/>
      <c r="AA64" s="262"/>
      <c r="AB64" s="262"/>
      <c r="AC64" s="262"/>
      <c r="AD64" s="262"/>
      <c r="AE64" s="262"/>
      <c r="AF64" s="262"/>
    </row>
    <row r="65" spans="1:32" ht="15" customHeight="1" thickTop="1" thickBot="1" x14ac:dyDescent="0.25">
      <c r="A65" s="257"/>
      <c r="B65" s="1153"/>
      <c r="C65" s="1154"/>
      <c r="D65" s="1100" t="s">
        <v>64</v>
      </c>
      <c r="E65" s="1101"/>
      <c r="F65" s="1126" t="s">
        <v>65</v>
      </c>
      <c r="G65" s="1127"/>
      <c r="H65" s="1092" t="s">
        <v>66</v>
      </c>
      <c r="I65" s="1093"/>
      <c r="J65" s="1094" t="s">
        <v>1699</v>
      </c>
      <c r="K65" s="1095"/>
      <c r="L65" s="1092" t="s">
        <v>1700</v>
      </c>
      <c r="M65" s="1093"/>
      <c r="N65" s="262"/>
      <c r="O65" s="560"/>
      <c r="P65" s="555"/>
      <c r="Q65" s="943" t="s">
        <v>1700</v>
      </c>
      <c r="R65" s="944"/>
      <c r="S65" s="944"/>
      <c r="T65" s="944"/>
      <c r="U65" s="944"/>
      <c r="V65" s="944"/>
      <c r="W65" s="945"/>
      <c r="X65" s="262"/>
      <c r="Y65" s="262"/>
      <c r="Z65" s="262"/>
      <c r="AA65" s="262"/>
      <c r="AB65" s="262"/>
      <c r="AC65" s="262"/>
      <c r="AD65" s="262"/>
      <c r="AE65" s="262"/>
      <c r="AF65" s="262"/>
    </row>
    <row r="66" spans="1:32" ht="15" customHeight="1" thickTop="1" thickBot="1" x14ac:dyDescent="0.25">
      <c r="A66" s="257"/>
      <c r="B66" s="1153"/>
      <c r="C66" s="1154"/>
      <c r="D66" s="1102"/>
      <c r="E66" s="1103"/>
      <c r="F66" s="1128"/>
      <c r="G66" s="1129"/>
      <c r="H66" s="502" t="s">
        <v>1696</v>
      </c>
      <c r="I66" s="638"/>
      <c r="J66" s="503" t="s">
        <v>1697</v>
      </c>
      <c r="K66" s="566">
        <f>IF(E67=0,0,VLOOKUP(E67,RBRATES,2,0))</f>
        <v>0</v>
      </c>
      <c r="L66" s="502" t="s">
        <v>70</v>
      </c>
      <c r="M66" s="567">
        <f>$V$67</f>
        <v>0</v>
      </c>
      <c r="N66" s="262"/>
      <c r="O66" s="560"/>
      <c r="P66" s="555"/>
      <c r="Q66" s="1040" t="s">
        <v>1848</v>
      </c>
      <c r="R66" s="1041"/>
      <c r="S66" s="1041"/>
      <c r="T66" s="1041"/>
      <c r="U66" s="1041"/>
      <c r="V66" s="1041"/>
      <c r="W66" s="1042"/>
      <c r="X66" s="262"/>
      <c r="Y66" s="262"/>
      <c r="Z66" s="262"/>
      <c r="AA66" s="262"/>
      <c r="AB66" s="262"/>
      <c r="AC66" s="262"/>
      <c r="AD66" s="262"/>
      <c r="AE66" s="262"/>
      <c r="AF66" s="262"/>
    </row>
    <row r="67" spans="1:32" ht="15" customHeight="1" thickTop="1" thickBot="1" x14ac:dyDescent="0.25">
      <c r="A67" s="257"/>
      <c r="B67" s="1155"/>
      <c r="C67" s="1156"/>
      <c r="D67" s="500" t="s">
        <v>1785</v>
      </c>
      <c r="E67" s="491">
        <f>INTAKE!C23</f>
        <v>0</v>
      </c>
      <c r="F67" s="508" t="s">
        <v>68</v>
      </c>
      <c r="G67" s="551">
        <f>IF(E67=0,0,IF(E67="THMO",$F$5,IF(E67="SHMO",$G$5,IF(E67="PSHMO",$H$5,IF(E67="VIVITY",$I$5,IF(E67="KAISER",$J$5,IF(E67="PPO",$K$5,IF(E67="SOL",$L$5,IF(E67="CDHP",$M$5)))))))))</f>
        <v>0</v>
      </c>
      <c r="H67" s="501" t="s">
        <v>72</v>
      </c>
      <c r="I67" s="638"/>
      <c r="J67" s="1136"/>
      <c r="K67" s="1137"/>
      <c r="L67" s="1138"/>
      <c r="M67" s="1139"/>
      <c r="N67" s="262"/>
      <c r="O67" s="560"/>
      <c r="P67" s="555"/>
      <c r="Q67" s="540" t="s">
        <v>48</v>
      </c>
      <c r="R67" s="540" t="s">
        <v>49</v>
      </c>
      <c r="S67" s="540" t="s">
        <v>94</v>
      </c>
      <c r="T67" s="540" t="s">
        <v>95</v>
      </c>
      <c r="U67" s="540" t="s">
        <v>96</v>
      </c>
      <c r="V67" s="1204">
        <f>FORMULAS!J2</f>
        <v>0</v>
      </c>
      <c r="W67" s="1205"/>
      <c r="X67" s="262"/>
      <c r="Y67" s="262"/>
      <c r="Z67" s="262"/>
      <c r="AA67" s="262"/>
      <c r="AB67" s="262"/>
      <c r="AC67" s="262"/>
      <c r="AD67" s="262"/>
      <c r="AE67" s="262"/>
      <c r="AF67" s="262"/>
    </row>
    <row r="68" spans="1:32" ht="15" customHeight="1" thickTop="1" thickBot="1" x14ac:dyDescent="0.25">
      <c r="A68" s="257"/>
      <c r="B68" s="1121" t="s">
        <v>29</v>
      </c>
      <c r="C68" s="1122"/>
      <c r="D68" s="1123">
        <f>INTAKE!D23</f>
        <v>0</v>
      </c>
      <c r="E68" s="1124"/>
      <c r="F68" s="1112"/>
      <c r="G68" s="1113"/>
      <c r="H68" s="1086" t="e">
        <f>VLOOKUP(I66,PLANS!$A$1:$H$95,2,FALSE)</f>
        <v>#N/A</v>
      </c>
      <c r="I68" s="1125"/>
      <c r="J68" s="1088" t="e">
        <f t="shared" ref="J68:J74" si="26">H68</f>
        <v>#N/A</v>
      </c>
      <c r="K68" s="1089"/>
      <c r="L68" s="1090" t="e">
        <f t="shared" ref="L68:L74" si="27">H68</f>
        <v>#N/A</v>
      </c>
      <c r="M68" s="1091"/>
      <c r="N68" s="262"/>
      <c r="O68" s="560"/>
      <c r="P68" s="555"/>
      <c r="Q68" s="649"/>
      <c r="R68" s="650"/>
      <c r="S68" s="650"/>
      <c r="T68" s="650"/>
      <c r="U68" s="650"/>
      <c r="V68" s="646"/>
      <c r="W68" s="651"/>
      <c r="X68" s="262"/>
      <c r="Y68" s="262"/>
      <c r="Z68" s="262"/>
      <c r="AA68" s="262"/>
      <c r="AB68" s="262"/>
      <c r="AC68" s="262"/>
      <c r="AD68" s="262"/>
      <c r="AE68" s="262"/>
      <c r="AF68" s="262"/>
    </row>
    <row r="69" spans="1:32" ht="15" customHeight="1" thickTop="1" thickBot="1" x14ac:dyDescent="0.25">
      <c r="A69" s="257"/>
      <c r="B69" s="1104" t="s">
        <v>33</v>
      </c>
      <c r="C69" s="1105"/>
      <c r="D69" s="1098">
        <f>INTAKE!N$23</f>
        <v>0</v>
      </c>
      <c r="E69" s="1099"/>
      <c r="F69" s="1112"/>
      <c r="G69" s="1114"/>
      <c r="H69" s="1086" t="e">
        <f>VLOOKUP(I66,PLANS!$A$1:$H$95,3,FALSE)</f>
        <v>#N/A</v>
      </c>
      <c r="I69" s="1087"/>
      <c r="J69" s="1088" t="e">
        <f t="shared" si="26"/>
        <v>#N/A</v>
      </c>
      <c r="K69" s="1089"/>
      <c r="L69" s="1090" t="e">
        <f t="shared" si="27"/>
        <v>#N/A</v>
      </c>
      <c r="M69" s="1091"/>
      <c r="N69" s="262"/>
      <c r="O69" s="560"/>
      <c r="P69" s="555"/>
      <c r="Q69" s="262"/>
      <c r="R69" s="262"/>
      <c r="S69" s="262"/>
      <c r="T69" s="262"/>
      <c r="U69" s="262"/>
      <c r="V69" s="262"/>
      <c r="W69" s="262"/>
      <c r="X69" s="262"/>
      <c r="Y69" s="262"/>
      <c r="Z69" s="262"/>
      <c r="AA69" s="262"/>
      <c r="AB69" s="262"/>
      <c r="AC69" s="262"/>
      <c r="AD69" s="262"/>
      <c r="AE69" s="262"/>
      <c r="AF69" s="262"/>
    </row>
    <row r="70" spans="1:32" ht="15" customHeight="1" thickTop="1" thickBot="1" x14ac:dyDescent="0.25">
      <c r="A70" s="257"/>
      <c r="B70" s="1119" t="s">
        <v>34</v>
      </c>
      <c r="C70" s="1120"/>
      <c r="D70" s="1098">
        <f>INTAKE!O$23</f>
        <v>0</v>
      </c>
      <c r="E70" s="1099"/>
      <c r="F70" s="1112"/>
      <c r="G70" s="1114"/>
      <c r="H70" s="1086" t="e">
        <f>VLOOKUP(I66,PLANS!$A$1:$H$95,4,FALSE)</f>
        <v>#N/A</v>
      </c>
      <c r="I70" s="1087"/>
      <c r="J70" s="1088" t="e">
        <f t="shared" si="26"/>
        <v>#N/A</v>
      </c>
      <c r="K70" s="1089"/>
      <c r="L70" s="1090" t="e">
        <f t="shared" si="27"/>
        <v>#N/A</v>
      </c>
      <c r="M70" s="1091"/>
      <c r="N70" s="262"/>
      <c r="O70" s="560"/>
      <c r="P70" s="555"/>
      <c r="Q70" s="962" t="s">
        <v>83</v>
      </c>
      <c r="R70" s="963"/>
      <c r="S70" s="963"/>
      <c r="T70" s="963"/>
      <c r="U70" s="963"/>
      <c r="V70" s="963"/>
      <c r="W70" s="963"/>
      <c r="X70" s="963"/>
      <c r="Y70" s="963"/>
      <c r="Z70" s="963"/>
      <c r="AA70" s="963"/>
      <c r="AB70" s="963"/>
      <c r="AC70" s="963"/>
      <c r="AD70" s="963"/>
      <c r="AE70" s="964"/>
      <c r="AF70" s="262"/>
    </row>
    <row r="71" spans="1:32" ht="15" customHeight="1" thickTop="1" thickBot="1" x14ac:dyDescent="0.25">
      <c r="A71" s="257"/>
      <c r="B71" s="1115" t="s">
        <v>35</v>
      </c>
      <c r="C71" s="1116"/>
      <c r="D71" s="1117">
        <f>INTAKE!P$23</f>
        <v>0</v>
      </c>
      <c r="E71" s="1118"/>
      <c r="F71" s="1112"/>
      <c r="G71" s="1114"/>
      <c r="H71" s="1086" t="e">
        <f>VLOOKUP(I66,PLANS!$A$1:$H$95,5,FALSE)</f>
        <v>#N/A</v>
      </c>
      <c r="I71" s="1087"/>
      <c r="J71" s="1088" t="e">
        <f t="shared" si="26"/>
        <v>#N/A</v>
      </c>
      <c r="K71" s="1089"/>
      <c r="L71" s="1090" t="e">
        <f t="shared" si="27"/>
        <v>#N/A</v>
      </c>
      <c r="M71" s="1091"/>
      <c r="N71" s="262"/>
      <c r="O71" s="560"/>
      <c r="P71" s="555"/>
      <c r="Q71" s="1032"/>
      <c r="R71" s="1034" t="s">
        <v>1958</v>
      </c>
      <c r="S71" s="1035"/>
      <c r="T71" s="983" t="s">
        <v>1932</v>
      </c>
      <c r="U71" s="984"/>
      <c r="V71" s="984"/>
      <c r="W71" s="984"/>
      <c r="X71" s="984"/>
      <c r="Y71" s="985"/>
      <c r="Z71" s="969" t="s">
        <v>1933</v>
      </c>
      <c r="AA71" s="970"/>
      <c r="AB71" s="970"/>
      <c r="AC71" s="970"/>
      <c r="AD71" s="970"/>
      <c r="AE71" s="971"/>
      <c r="AF71" s="262"/>
    </row>
    <row r="72" spans="1:32" ht="15" customHeight="1" thickTop="1" x14ac:dyDescent="0.2">
      <c r="A72" s="257"/>
      <c r="B72" s="1115" t="s">
        <v>36</v>
      </c>
      <c r="C72" s="1116"/>
      <c r="D72" s="1117">
        <f>INTAKE!Q$23</f>
        <v>0</v>
      </c>
      <c r="E72" s="1118"/>
      <c r="F72" s="1112"/>
      <c r="G72" s="1114"/>
      <c r="H72" s="1086" t="e">
        <f>VLOOKUP(I66,PLANS!$A$1:$H$95,6,FALSE)</f>
        <v>#N/A</v>
      </c>
      <c r="I72" s="1087"/>
      <c r="J72" s="1088" t="e">
        <f t="shared" si="26"/>
        <v>#N/A</v>
      </c>
      <c r="K72" s="1089"/>
      <c r="L72" s="1090" t="e">
        <f t="shared" si="27"/>
        <v>#N/A</v>
      </c>
      <c r="M72" s="1091"/>
      <c r="N72" s="262"/>
      <c r="O72" s="560"/>
      <c r="P72" s="555"/>
      <c r="Q72" s="1033"/>
      <c r="R72" s="1036"/>
      <c r="S72" s="1037"/>
      <c r="T72" s="972" t="s">
        <v>1928</v>
      </c>
      <c r="U72" s="973"/>
      <c r="V72" s="972" t="s">
        <v>1956</v>
      </c>
      <c r="W72" s="973"/>
      <c r="X72" s="972" t="s">
        <v>1955</v>
      </c>
      <c r="Y72" s="973"/>
      <c r="Z72" s="974" t="s">
        <v>1929</v>
      </c>
      <c r="AA72" s="975"/>
      <c r="AB72" s="974" t="s">
        <v>1930</v>
      </c>
      <c r="AC72" s="975"/>
      <c r="AD72" s="974" t="s">
        <v>1931</v>
      </c>
      <c r="AE72" s="975"/>
      <c r="AF72" s="262"/>
    </row>
    <row r="73" spans="1:32" ht="15" customHeight="1" x14ac:dyDescent="0.2">
      <c r="A73" s="257"/>
      <c r="B73" s="1115" t="s">
        <v>76</v>
      </c>
      <c r="C73" s="1116"/>
      <c r="D73" s="1098">
        <f>INTAKE!R$23</f>
        <v>0</v>
      </c>
      <c r="E73" s="1099"/>
      <c r="F73" s="1112"/>
      <c r="G73" s="1114"/>
      <c r="H73" s="1086" t="e">
        <f>VLOOKUP(I66,PLANS!$A$1:$H$95,7,FALSE)</f>
        <v>#N/A</v>
      </c>
      <c r="I73" s="1087"/>
      <c r="J73" s="1088" t="e">
        <f t="shared" si="26"/>
        <v>#N/A</v>
      </c>
      <c r="K73" s="1089"/>
      <c r="L73" s="1090" t="e">
        <f t="shared" si="27"/>
        <v>#N/A</v>
      </c>
      <c r="M73" s="1091"/>
      <c r="N73" s="262"/>
      <c r="O73" s="560"/>
      <c r="P73" s="555"/>
      <c r="Q73" s="532" t="s">
        <v>67</v>
      </c>
      <c r="R73" s="958">
        <f>M23+M42+M61+M80+M99+M118+M137+M156+M175+M194</f>
        <v>0</v>
      </c>
      <c r="S73" s="959"/>
      <c r="T73" s="1067">
        <f>T33</f>
        <v>70</v>
      </c>
      <c r="U73" s="1068"/>
      <c r="V73" s="1067">
        <f t="shared" ref="V73:V74" si="28">R73-T73</f>
        <v>-70</v>
      </c>
      <c r="W73" s="1068"/>
      <c r="X73" s="986">
        <f t="shared" ref="X73:X74" si="29">IF(R73=0,0,V73/T73)</f>
        <v>0</v>
      </c>
      <c r="Y73" s="987"/>
      <c r="Z73" s="980">
        <f>Z33</f>
        <v>70</v>
      </c>
      <c r="AA73" s="981"/>
      <c r="AB73" s="958">
        <f>R73-Z73</f>
        <v>-70</v>
      </c>
      <c r="AC73" s="959"/>
      <c r="AD73" s="960">
        <f>IF(R73=0,0,AB73/Z73)</f>
        <v>0</v>
      </c>
      <c r="AE73" s="961"/>
      <c r="AF73" s="262"/>
    </row>
    <row r="74" spans="1:32" ht="15" customHeight="1" thickBot="1" x14ac:dyDescent="0.25">
      <c r="A74" s="257"/>
      <c r="B74" s="1104" t="s">
        <v>78</v>
      </c>
      <c r="C74" s="1105"/>
      <c r="D74" s="1098">
        <f>INTAKE!S$23</f>
        <v>0</v>
      </c>
      <c r="E74" s="1099"/>
      <c r="F74" s="1112"/>
      <c r="G74" s="1114"/>
      <c r="H74" s="1106" t="e">
        <f>VLOOKUP(I66,PLANS!$A$1:$H$95,8,FALSE)</f>
        <v>#N/A</v>
      </c>
      <c r="I74" s="1107"/>
      <c r="J74" s="1108" t="e">
        <f t="shared" si="26"/>
        <v>#N/A</v>
      </c>
      <c r="K74" s="1109"/>
      <c r="L74" s="1110" t="e">
        <f t="shared" si="27"/>
        <v>#N/A</v>
      </c>
      <c r="M74" s="1111"/>
      <c r="N74" s="262"/>
      <c r="O74" s="560"/>
      <c r="P74" s="555"/>
      <c r="Q74" s="533" t="s">
        <v>71</v>
      </c>
      <c r="R74" s="996">
        <f>SUM(M24+M43+M62+M81+M100+M119+M138+M157+M176+M195)</f>
        <v>0</v>
      </c>
      <c r="S74" s="997"/>
      <c r="T74" s="1038">
        <f>T34</f>
        <v>840</v>
      </c>
      <c r="U74" s="1039"/>
      <c r="V74" s="1038">
        <f t="shared" si="28"/>
        <v>-840</v>
      </c>
      <c r="W74" s="1039"/>
      <c r="X74" s="976">
        <f t="shared" si="29"/>
        <v>0</v>
      </c>
      <c r="Y74" s="977"/>
      <c r="Z74" s="988">
        <f>Z34</f>
        <v>840</v>
      </c>
      <c r="AA74" s="989"/>
      <c r="AB74" s="996">
        <f>R74-Z74</f>
        <v>-840</v>
      </c>
      <c r="AC74" s="997"/>
      <c r="AD74" s="998">
        <f>IF(R74=0,0,AB74/Z74)</f>
        <v>0</v>
      </c>
      <c r="AE74" s="999"/>
      <c r="AF74" s="262"/>
    </row>
    <row r="75" spans="1:32" ht="15" customHeight="1" thickTop="1" thickBot="1" x14ac:dyDescent="0.25">
      <c r="A75" s="257"/>
      <c r="B75" s="1140" t="s">
        <v>79</v>
      </c>
      <c r="C75" s="1141"/>
      <c r="D75" s="492" t="s">
        <v>26</v>
      </c>
      <c r="E75" s="493" t="s">
        <v>80</v>
      </c>
      <c r="F75" s="224" t="s">
        <v>26</v>
      </c>
      <c r="G75" s="225" t="s">
        <v>80</v>
      </c>
      <c r="H75" s="302" t="s">
        <v>26</v>
      </c>
      <c r="I75" s="521" t="s">
        <v>80</v>
      </c>
      <c r="J75" s="228" t="s">
        <v>26</v>
      </c>
      <c r="K75" s="526" t="s">
        <v>80</v>
      </c>
      <c r="L75" s="229" t="s">
        <v>26</v>
      </c>
      <c r="M75" s="226" t="s">
        <v>80</v>
      </c>
      <c r="N75" s="262"/>
      <c r="O75" s="560"/>
      <c r="P75" s="555"/>
      <c r="Q75" s="262"/>
      <c r="R75" s="262"/>
      <c r="S75" s="262"/>
      <c r="T75" s="262"/>
      <c r="U75" s="262"/>
      <c r="V75" s="262"/>
      <c r="W75" s="262"/>
      <c r="X75" s="262"/>
      <c r="Y75" s="262"/>
      <c r="Z75" s="402"/>
      <c r="AA75" s="402"/>
      <c r="AB75" s="402"/>
      <c r="AC75" s="402"/>
      <c r="AD75" s="262"/>
      <c r="AE75" s="262"/>
      <c r="AF75" s="262"/>
    </row>
    <row r="76" spans="1:32" ht="15" customHeight="1" thickTop="1" thickBot="1" x14ac:dyDescent="0.25">
      <c r="A76" s="257"/>
      <c r="B76" s="489" t="s">
        <v>81</v>
      </c>
      <c r="C76" s="219">
        <f>INTAKE!I$24</f>
        <v>0</v>
      </c>
      <c r="D76" s="494">
        <f>INTAKE!I23</f>
        <v>0</v>
      </c>
      <c r="E76" s="495">
        <f>IF(D76="","",SUM(C76*D76))</f>
        <v>0</v>
      </c>
      <c r="F76" s="218">
        <f>IF(G67=0,D76,(1+G67/1)*D76)</f>
        <v>0</v>
      </c>
      <c r="G76" s="300">
        <f>IF(F76="","",SUM(C76*F76))</f>
        <v>0</v>
      </c>
      <c r="H76" s="529"/>
      <c r="I76" s="522">
        <f>C76*H76</f>
        <v>0</v>
      </c>
      <c r="J76" s="216">
        <f>IF(K66=0%,H76,SUM(H76)*(1-K66)*1)</f>
        <v>0</v>
      </c>
      <c r="K76" s="527">
        <f>IF(J76=0,0,C76*J76)</f>
        <v>0</v>
      </c>
      <c r="L76" s="223">
        <f>IF(M66=0,J76,SUM(J76)*(1-M66)*1)</f>
        <v>0</v>
      </c>
      <c r="M76" s="222">
        <f>C76*L76</f>
        <v>0</v>
      </c>
      <c r="N76" s="262"/>
      <c r="O76" s="560"/>
      <c r="P76" s="555"/>
      <c r="Q76" s="1012" t="s">
        <v>1877</v>
      </c>
      <c r="R76" s="1013"/>
      <c r="S76" s="1013"/>
      <c r="T76" s="1013"/>
      <c r="U76" s="1013"/>
      <c r="V76" s="1013"/>
      <c r="W76" s="1013"/>
      <c r="X76" s="1013"/>
      <c r="Y76" s="1013"/>
      <c r="Z76" s="1013"/>
      <c r="AA76" s="1013"/>
      <c r="AB76" s="1013"/>
      <c r="AC76" s="1013"/>
      <c r="AD76" s="1013"/>
      <c r="AE76" s="1014"/>
      <c r="AF76" s="262"/>
    </row>
    <row r="77" spans="1:32" ht="15" customHeight="1" x14ac:dyDescent="0.2">
      <c r="A77" s="257"/>
      <c r="B77" s="489" t="str">
        <f>IF(FORMULAS!$E$12=2,"EF:",IF(FORMULAS!$E$12=3,"EE+1:","ES:"))</f>
        <v>ES:</v>
      </c>
      <c r="C77" s="219">
        <f>INTAKE!J$24</f>
        <v>0</v>
      </c>
      <c r="D77" s="494">
        <f>INTAKE!J23</f>
        <v>0</v>
      </c>
      <c r="E77" s="495">
        <f>IF(D77="","",SUM(C77*D77))</f>
        <v>0</v>
      </c>
      <c r="F77" s="218">
        <f>IF(G67=0,D77,(1+G67/1)*D77)</f>
        <v>0</v>
      </c>
      <c r="G77" s="300">
        <f t="shared" ref="G77:G78" si="30">IF(F77="","",SUM(C77*F77))</f>
        <v>0</v>
      </c>
      <c r="H77" s="303">
        <f>IF(FORMULAS!E12=3,2.1*H76,2.2*H76)</f>
        <v>0</v>
      </c>
      <c r="I77" s="523">
        <f>C77*H77</f>
        <v>0</v>
      </c>
      <c r="J77" s="216">
        <f>IF(K66=0%,H77,SUM(H77)*(1-K66)*1)</f>
        <v>0</v>
      </c>
      <c r="K77" s="527">
        <f t="shared" ref="K77:K78" si="31">IF(J77=0,0,C77*J77)</f>
        <v>0</v>
      </c>
      <c r="L77" s="223">
        <f>IF(M66=0,J77,SUM(J77)*(1-M66)*1)</f>
        <v>0</v>
      </c>
      <c r="M77" s="222">
        <f>C77*L77</f>
        <v>0</v>
      </c>
      <c r="N77" s="262"/>
      <c r="O77" s="560"/>
      <c r="P77" s="555"/>
      <c r="Q77" s="1015"/>
      <c r="R77" s="1016"/>
      <c r="S77" s="1016"/>
      <c r="T77" s="1016"/>
      <c r="U77" s="1016"/>
      <c r="V77" s="1016"/>
      <c r="W77" s="1016"/>
      <c r="X77" s="1016"/>
      <c r="Y77" s="1016"/>
      <c r="Z77" s="1016"/>
      <c r="AA77" s="1016"/>
      <c r="AB77" s="1016"/>
      <c r="AC77" s="1016"/>
      <c r="AD77" s="1016"/>
      <c r="AE77" s="1017"/>
      <c r="AF77" s="262"/>
    </row>
    <row r="78" spans="1:32" ht="15" customHeight="1" x14ac:dyDescent="0.2">
      <c r="A78" s="257"/>
      <c r="B78" s="489" t="str">
        <f>IF(FORMULAS!$E$12=2,"",IF(FORMULAS!$E$12=3,"EE+2:","EC:"))</f>
        <v>EC:</v>
      </c>
      <c r="C78" s="219">
        <f>INTAKE!K$24</f>
        <v>0</v>
      </c>
      <c r="D78" s="494">
        <f>INTAKE!K23</f>
        <v>0</v>
      </c>
      <c r="E78" s="495">
        <f>IF(D78="","",SUM(C78*D78))</f>
        <v>0</v>
      </c>
      <c r="F78" s="218">
        <f>IF(G67=0,D78,(1+G67/1)*D78)</f>
        <v>0</v>
      </c>
      <c r="G78" s="300">
        <f t="shared" si="30"/>
        <v>0</v>
      </c>
      <c r="H78" s="223">
        <f>IF(FORMULAS!E12=3,3*H76,1.8*H76)</f>
        <v>0</v>
      </c>
      <c r="I78" s="523">
        <f>C78*H78</f>
        <v>0</v>
      </c>
      <c r="J78" s="216">
        <f>IF(K66=0%,H78,SUM(H78)*(1-K66)*1)</f>
        <v>0</v>
      </c>
      <c r="K78" s="527">
        <f t="shared" si="31"/>
        <v>0</v>
      </c>
      <c r="L78" s="223">
        <f>IF(M66=0,J78,SUM(J78)*(1-M66)*1)</f>
        <v>0</v>
      </c>
      <c r="M78" s="222">
        <f>C78*L78</f>
        <v>0</v>
      </c>
      <c r="N78" s="262"/>
      <c r="O78" s="560"/>
      <c r="P78" s="555"/>
      <c r="Q78" s="1015"/>
      <c r="R78" s="1016"/>
      <c r="S78" s="1016"/>
      <c r="T78" s="1016"/>
      <c r="U78" s="1016"/>
      <c r="V78" s="1016"/>
      <c r="W78" s="1016"/>
      <c r="X78" s="1016"/>
      <c r="Y78" s="1016"/>
      <c r="Z78" s="1016"/>
      <c r="AA78" s="1016"/>
      <c r="AB78" s="1016"/>
      <c r="AC78" s="1016"/>
      <c r="AD78" s="1016"/>
      <c r="AE78" s="1017"/>
      <c r="AF78" s="262"/>
    </row>
    <row r="79" spans="1:32" ht="15" customHeight="1" x14ac:dyDescent="0.2">
      <c r="A79" s="257"/>
      <c r="B79" s="489" t="str">
        <f>IF(FORMULAS!$E$12=2,"",IF(FORMULAS!$E$12=3,"","EF:"))</f>
        <v>EF:</v>
      </c>
      <c r="C79" s="219">
        <f>INTAKE!L$24</f>
        <v>0</v>
      </c>
      <c r="D79" s="496">
        <f>IF(INTAKE!L23="","",INTAKE!L23)</f>
        <v>0</v>
      </c>
      <c r="E79" s="495">
        <f>IF(D79="","",C79*D79)</f>
        <v>0</v>
      </c>
      <c r="F79" s="298">
        <f>IF(D79="","",IF(G67=0,D79,(1+G67/1)*D79))</f>
        <v>0</v>
      </c>
      <c r="G79" s="217">
        <f>IF(D79="","",C79*F79)</f>
        <v>0</v>
      </c>
      <c r="H79" s="223">
        <f>IF(FORMULAS!E12=3,"",IF(D79="","",3.1*H76))</f>
        <v>0</v>
      </c>
      <c r="I79" s="523">
        <f>IF(D79="","",C79*H79)</f>
        <v>0</v>
      </c>
      <c r="J79" s="216">
        <f>IF(D79="","",IF(K66=0%,H79,SUM(H79)*(1-K66)*1))</f>
        <v>0</v>
      </c>
      <c r="K79" s="527">
        <f>IF(D79="","",IF(J79=0,0,C79*J79))</f>
        <v>0</v>
      </c>
      <c r="L79" s="223">
        <f>IF(D79="","",IF(M66=0,J79,SUM(J79)*(1-M66)*1))</f>
        <v>0</v>
      </c>
      <c r="M79" s="222">
        <f>IF(D79="","",C79*L79)</f>
        <v>0</v>
      </c>
      <c r="N79" s="262"/>
      <c r="O79" s="560"/>
      <c r="P79" s="555"/>
      <c r="Q79" s="1015"/>
      <c r="R79" s="1016"/>
      <c r="S79" s="1016"/>
      <c r="T79" s="1016"/>
      <c r="U79" s="1016"/>
      <c r="V79" s="1016"/>
      <c r="W79" s="1016"/>
      <c r="X79" s="1016"/>
      <c r="Y79" s="1016"/>
      <c r="Z79" s="1016"/>
      <c r="AA79" s="1016"/>
      <c r="AB79" s="1016"/>
      <c r="AC79" s="1016"/>
      <c r="AD79" s="1016"/>
      <c r="AE79" s="1017"/>
      <c r="AF79" s="262"/>
    </row>
    <row r="80" spans="1:32" ht="15" customHeight="1" x14ac:dyDescent="0.2">
      <c r="A80" s="257"/>
      <c r="B80" s="1160"/>
      <c r="C80" s="1161"/>
      <c r="D80" s="516" t="s">
        <v>1698</v>
      </c>
      <c r="E80" s="497">
        <f>SUM(E76:E79)</f>
        <v>0</v>
      </c>
      <c r="F80" s="515" t="s">
        <v>1698</v>
      </c>
      <c r="G80" s="297">
        <f>SUM(G76:G79)</f>
        <v>0</v>
      </c>
      <c r="H80" s="511" t="s">
        <v>1698</v>
      </c>
      <c r="I80" s="524">
        <f>SUM(I76:I79)</f>
        <v>0</v>
      </c>
      <c r="J80" s="528" t="s">
        <v>1698</v>
      </c>
      <c r="K80" s="520">
        <f>SUM(K76:K79)</f>
        <v>0</v>
      </c>
      <c r="L80" s="295" t="s">
        <v>1698</v>
      </c>
      <c r="M80" s="292">
        <f>SUM(M76:M79)</f>
        <v>0</v>
      </c>
      <c r="N80" s="262"/>
      <c r="O80" s="560"/>
      <c r="P80" s="555"/>
      <c r="Q80" s="1015"/>
      <c r="R80" s="1016"/>
      <c r="S80" s="1016"/>
      <c r="T80" s="1016"/>
      <c r="U80" s="1016"/>
      <c r="V80" s="1016"/>
      <c r="W80" s="1016"/>
      <c r="X80" s="1016"/>
      <c r="Y80" s="1016"/>
      <c r="Z80" s="1016"/>
      <c r="AA80" s="1016"/>
      <c r="AB80" s="1016"/>
      <c r="AC80" s="1016"/>
      <c r="AD80" s="1016"/>
      <c r="AE80" s="1017"/>
      <c r="AF80" s="262"/>
    </row>
    <row r="81" spans="1:32" ht="15" customHeight="1" thickBot="1" x14ac:dyDescent="0.25">
      <c r="A81" s="257"/>
      <c r="B81" s="1162"/>
      <c r="C81" s="1163"/>
      <c r="D81" s="516" t="s">
        <v>1843</v>
      </c>
      <c r="E81" s="498">
        <f>E80*12</f>
        <v>0</v>
      </c>
      <c r="F81" s="515" t="s">
        <v>1843</v>
      </c>
      <c r="G81" s="299">
        <f>G80*12</f>
        <v>0</v>
      </c>
      <c r="H81" s="512" t="s">
        <v>1843</v>
      </c>
      <c r="I81" s="525">
        <f>I80*12</f>
        <v>0</v>
      </c>
      <c r="J81" s="528" t="s">
        <v>1843</v>
      </c>
      <c r="K81" s="546">
        <f>K80*12</f>
        <v>0</v>
      </c>
      <c r="L81" s="296" t="s">
        <v>1720</v>
      </c>
      <c r="M81" s="294">
        <f>M80*12</f>
        <v>0</v>
      </c>
      <c r="N81" s="262"/>
      <c r="O81" s="560"/>
      <c r="P81" s="555"/>
      <c r="Q81" s="1018"/>
      <c r="R81" s="1019"/>
      <c r="S81" s="1019"/>
      <c r="T81" s="1019"/>
      <c r="U81" s="1019"/>
      <c r="V81" s="1019"/>
      <c r="W81" s="1019"/>
      <c r="X81" s="1019"/>
      <c r="Y81" s="1019"/>
      <c r="Z81" s="1019"/>
      <c r="AA81" s="1019"/>
      <c r="AB81" s="1019"/>
      <c r="AC81" s="1019"/>
      <c r="AD81" s="1019"/>
      <c r="AE81" s="1020"/>
      <c r="AF81" s="262"/>
    </row>
    <row r="82" spans="1:32" ht="15" customHeight="1" thickTop="1" thickBot="1" x14ac:dyDescent="0.25">
      <c r="A82" s="257"/>
      <c r="B82" s="1164"/>
      <c r="C82" s="1165"/>
      <c r="D82" s="1096"/>
      <c r="E82" s="1097"/>
      <c r="F82" s="565" t="s">
        <v>1695</v>
      </c>
      <c r="G82" s="568" t="str">
        <f>IF(G80&lt;1,"",(E81-G81)/E81*-1)</f>
        <v/>
      </c>
      <c r="H82" s="509" t="s">
        <v>1695</v>
      </c>
      <c r="I82" s="552" t="str">
        <f>IF(I80&lt;1,"",(E81-I81)/E81*-1)</f>
        <v/>
      </c>
      <c r="J82" s="510" t="s">
        <v>1695</v>
      </c>
      <c r="K82" s="553">
        <f>IF(K81=0,0,(E81-K81)/E81*-1)</f>
        <v>0</v>
      </c>
      <c r="L82" s="230" t="s">
        <v>1695</v>
      </c>
      <c r="M82" s="552">
        <f>IF(I80=0,0,(E81-M81)/E81*-1)</f>
        <v>0</v>
      </c>
      <c r="N82" s="262"/>
      <c r="O82" s="560"/>
      <c r="P82" s="555"/>
      <c r="Q82" s="262"/>
      <c r="R82" s="262"/>
      <c r="S82" s="262"/>
      <c r="T82" s="262"/>
      <c r="U82" s="262"/>
      <c r="V82" s="262"/>
      <c r="W82" s="262"/>
      <c r="X82" s="402"/>
      <c r="Y82" s="402"/>
      <c r="Z82" s="262"/>
      <c r="AA82" s="262"/>
      <c r="AB82" s="262"/>
      <c r="AC82" s="262"/>
      <c r="AD82" s="262"/>
      <c r="AE82" s="262"/>
      <c r="AF82" s="262"/>
    </row>
    <row r="83" spans="1:32" ht="15" customHeight="1" thickTop="1" thickBot="1" x14ac:dyDescent="0.25">
      <c r="A83" s="257"/>
      <c r="B83" s="1130" t="s">
        <v>100</v>
      </c>
      <c r="C83" s="1131"/>
      <c r="D83" s="1142" t="s">
        <v>61</v>
      </c>
      <c r="E83" s="1143"/>
      <c r="F83" s="1143"/>
      <c r="G83" s="1144"/>
      <c r="H83" s="1145" t="s">
        <v>62</v>
      </c>
      <c r="I83" s="1146"/>
      <c r="J83" s="1147"/>
      <c r="K83" s="1147"/>
      <c r="L83" s="1146"/>
      <c r="M83" s="1148"/>
      <c r="N83" s="262"/>
      <c r="O83" s="560"/>
      <c r="P83" s="555"/>
      <c r="Q83" s="1021" t="s">
        <v>1964</v>
      </c>
      <c r="R83" s="1022"/>
      <c r="S83" s="1022"/>
      <c r="T83" s="1022"/>
      <c r="U83" s="1022"/>
      <c r="V83" s="1022"/>
      <c r="W83" s="1022"/>
      <c r="X83" s="1022"/>
      <c r="Y83" s="1022"/>
      <c r="Z83" s="1022"/>
      <c r="AA83" s="1022"/>
      <c r="AB83" s="1022"/>
      <c r="AC83" s="1022"/>
      <c r="AD83" s="1022"/>
      <c r="AE83" s="1023"/>
      <c r="AF83" s="262"/>
    </row>
    <row r="84" spans="1:32" ht="15" customHeight="1" thickTop="1" thickBot="1" x14ac:dyDescent="0.25">
      <c r="A84" s="257"/>
      <c r="B84" s="1132"/>
      <c r="C84" s="1133"/>
      <c r="D84" s="1100" t="s">
        <v>64</v>
      </c>
      <c r="E84" s="1101"/>
      <c r="F84" s="1126" t="s">
        <v>65</v>
      </c>
      <c r="G84" s="1127"/>
      <c r="H84" s="1092" t="s">
        <v>66</v>
      </c>
      <c r="I84" s="1093"/>
      <c r="J84" s="1094" t="s">
        <v>1699</v>
      </c>
      <c r="K84" s="1095"/>
      <c r="L84" s="1092" t="s">
        <v>1700</v>
      </c>
      <c r="M84" s="1093"/>
      <c r="N84" s="262"/>
      <c r="O84" s="560"/>
      <c r="P84" s="555"/>
      <c r="Q84" s="1026" t="s">
        <v>1934</v>
      </c>
      <c r="R84" s="1027"/>
      <c r="S84" s="1027"/>
      <c r="T84" s="1027"/>
      <c r="U84" s="1027"/>
      <c r="V84" s="1027"/>
      <c r="W84" s="1028"/>
      <c r="X84" s="1024" t="s">
        <v>1918</v>
      </c>
      <c r="Y84" s="1025"/>
      <c r="Z84" s="992"/>
      <c r="AA84" s="992"/>
      <c r="AB84" s="992"/>
      <c r="AC84" s="992"/>
      <c r="AD84" s="992"/>
      <c r="AE84" s="993"/>
      <c r="AF84" s="262"/>
    </row>
    <row r="85" spans="1:32" ht="15" customHeight="1" thickTop="1" thickBot="1" x14ac:dyDescent="0.25">
      <c r="A85" s="257"/>
      <c r="B85" s="1132"/>
      <c r="C85" s="1133"/>
      <c r="D85" s="1102"/>
      <c r="E85" s="1103"/>
      <c r="F85" s="1128"/>
      <c r="G85" s="1129"/>
      <c r="H85" s="502" t="s">
        <v>1696</v>
      </c>
      <c r="I85" s="638"/>
      <c r="J85" s="503" t="s">
        <v>1697</v>
      </c>
      <c r="K85" s="566">
        <f>IF(E86=0,0,VLOOKUP(E86,RBRATES,2,0))</f>
        <v>0</v>
      </c>
      <c r="L85" s="502" t="s">
        <v>70</v>
      </c>
      <c r="M85" s="567">
        <f>$V$67</f>
        <v>0</v>
      </c>
      <c r="N85" s="262"/>
      <c r="O85" s="560"/>
      <c r="P85" s="555"/>
      <c r="Q85" s="1026"/>
      <c r="R85" s="1027"/>
      <c r="S85" s="1027"/>
      <c r="T85" s="1027"/>
      <c r="U85" s="1027"/>
      <c r="V85" s="1027"/>
      <c r="W85" s="1028"/>
      <c r="X85" s="994" t="s">
        <v>1919</v>
      </c>
      <c r="Y85" s="995"/>
      <c r="Z85" s="1000"/>
      <c r="AA85" s="1001"/>
      <c r="AB85" s="1001"/>
      <c r="AC85" s="1001"/>
      <c r="AD85" s="1001"/>
      <c r="AE85" s="1002"/>
      <c r="AF85" s="262"/>
    </row>
    <row r="86" spans="1:32" ht="15" customHeight="1" thickTop="1" thickBot="1" x14ac:dyDescent="0.25">
      <c r="A86" s="257"/>
      <c r="B86" s="1134"/>
      <c r="C86" s="1135"/>
      <c r="D86" s="500" t="s">
        <v>1785</v>
      </c>
      <c r="E86" s="491">
        <f>INTAKE!C25</f>
        <v>0</v>
      </c>
      <c r="F86" s="508" t="s">
        <v>68</v>
      </c>
      <c r="G86" s="551">
        <f>IF(E86=0,0,IF(E86="THMO",$F$5,IF(E86="SHMO",$G$5,IF(E86="PSHMO",$H$5,IF(E86="VIVITY",$I$5,IF(E86="KAISER",$J$5,IF(E86="PPO",$K$5,IF(E86="SOL",$L$5,IF(E86="CDHP",$M$5)))))))))</f>
        <v>0</v>
      </c>
      <c r="H86" s="501" t="s">
        <v>72</v>
      </c>
      <c r="I86" s="638"/>
      <c r="J86" s="1136"/>
      <c r="K86" s="1137"/>
      <c r="L86" s="1138"/>
      <c r="M86" s="1139"/>
      <c r="N86" s="262"/>
      <c r="O86" s="560"/>
      <c r="P86" s="555"/>
      <c r="Q86" s="1029"/>
      <c r="R86" s="1030"/>
      <c r="S86" s="1030"/>
      <c r="T86" s="1030"/>
      <c r="U86" s="1030"/>
      <c r="V86" s="1030"/>
      <c r="W86" s="1031"/>
      <c r="X86" s="994" t="s">
        <v>1920</v>
      </c>
      <c r="Y86" s="995"/>
      <c r="Z86" s="1000"/>
      <c r="AA86" s="1001"/>
      <c r="AB86" s="1001"/>
      <c r="AC86" s="1001"/>
      <c r="AD86" s="1001"/>
      <c r="AE86" s="1002"/>
      <c r="AF86" s="262"/>
    </row>
    <row r="87" spans="1:32" ht="15" customHeight="1" thickTop="1" x14ac:dyDescent="0.2">
      <c r="A87" s="257"/>
      <c r="B87" s="1121" t="s">
        <v>29</v>
      </c>
      <c r="C87" s="1122"/>
      <c r="D87" s="1123">
        <f>INTAKE!D$25</f>
        <v>0</v>
      </c>
      <c r="E87" s="1124"/>
      <c r="F87" s="1112"/>
      <c r="G87" s="1113"/>
      <c r="H87" s="1086" t="e">
        <f>VLOOKUP(I85,PLANS!$A$1:$H$95,2,FALSE)</f>
        <v>#N/A</v>
      </c>
      <c r="I87" s="1125"/>
      <c r="J87" s="1088" t="e">
        <f t="shared" ref="J87:J93" si="32">H87</f>
        <v>#N/A</v>
      </c>
      <c r="K87" s="1089"/>
      <c r="L87" s="1090" t="e">
        <f t="shared" ref="L87:L93" si="33">H87</f>
        <v>#N/A</v>
      </c>
      <c r="M87" s="1091"/>
      <c r="N87" s="262"/>
      <c r="O87" s="560"/>
      <c r="P87" s="555"/>
      <c r="Q87" s="1003" t="s">
        <v>1959</v>
      </c>
      <c r="R87" s="1004"/>
      <c r="S87" s="1004"/>
      <c r="T87" s="1004"/>
      <c r="U87" s="1004"/>
      <c r="V87" s="1004"/>
      <c r="W87" s="1004"/>
      <c r="X87" s="1004"/>
      <c r="Y87" s="1004"/>
      <c r="Z87" s="1004"/>
      <c r="AA87" s="1004"/>
      <c r="AB87" s="1004"/>
      <c r="AC87" s="1004"/>
      <c r="AD87" s="1004"/>
      <c r="AE87" s="1005"/>
      <c r="AF87" s="262"/>
    </row>
    <row r="88" spans="1:32" ht="15" customHeight="1" x14ac:dyDescent="0.2">
      <c r="A88" s="257"/>
      <c r="B88" s="1104" t="s">
        <v>33</v>
      </c>
      <c r="C88" s="1105"/>
      <c r="D88" s="1098">
        <f>INTAKE!N$25</f>
        <v>0</v>
      </c>
      <c r="E88" s="1099"/>
      <c r="F88" s="1112"/>
      <c r="G88" s="1114"/>
      <c r="H88" s="1086" t="e">
        <f>VLOOKUP(I85,PLANS!$A$1:$H$95,3,FALSE)</f>
        <v>#N/A</v>
      </c>
      <c r="I88" s="1087"/>
      <c r="J88" s="1088" t="e">
        <f t="shared" si="32"/>
        <v>#N/A</v>
      </c>
      <c r="K88" s="1089"/>
      <c r="L88" s="1090" t="e">
        <f t="shared" si="33"/>
        <v>#N/A</v>
      </c>
      <c r="M88" s="1091"/>
      <c r="N88" s="262"/>
      <c r="O88" s="560"/>
      <c r="P88" s="555"/>
      <c r="Q88" s="1006"/>
      <c r="R88" s="1007"/>
      <c r="S88" s="1007"/>
      <c r="T88" s="1007"/>
      <c r="U88" s="1007"/>
      <c r="V88" s="1007"/>
      <c r="W88" s="1007"/>
      <c r="X88" s="1007"/>
      <c r="Y88" s="1007"/>
      <c r="Z88" s="1007"/>
      <c r="AA88" s="1007"/>
      <c r="AB88" s="1007"/>
      <c r="AC88" s="1007"/>
      <c r="AD88" s="1007"/>
      <c r="AE88" s="1008"/>
      <c r="AF88" s="262"/>
    </row>
    <row r="89" spans="1:32" ht="15" customHeight="1" x14ac:dyDescent="0.2">
      <c r="A89" s="257"/>
      <c r="B89" s="1119" t="s">
        <v>34</v>
      </c>
      <c r="C89" s="1120"/>
      <c r="D89" s="1098">
        <f>INTAKE!O$25</f>
        <v>0</v>
      </c>
      <c r="E89" s="1099"/>
      <c r="F89" s="1112"/>
      <c r="G89" s="1114"/>
      <c r="H89" s="1086" t="e">
        <f>VLOOKUP(I85,PLANS!$A$1:$H$95,4,FALSE)</f>
        <v>#N/A</v>
      </c>
      <c r="I89" s="1087"/>
      <c r="J89" s="1088" t="e">
        <f t="shared" si="32"/>
        <v>#N/A</v>
      </c>
      <c r="K89" s="1089"/>
      <c r="L89" s="1090" t="e">
        <f t="shared" si="33"/>
        <v>#N/A</v>
      </c>
      <c r="M89" s="1091"/>
      <c r="N89" s="262"/>
      <c r="O89" s="560"/>
      <c r="P89" s="555"/>
      <c r="Q89" s="1006"/>
      <c r="R89" s="1007"/>
      <c r="S89" s="1007"/>
      <c r="T89" s="1007"/>
      <c r="U89" s="1007"/>
      <c r="V89" s="1007"/>
      <c r="W89" s="1007"/>
      <c r="X89" s="1007"/>
      <c r="Y89" s="1007"/>
      <c r="Z89" s="1007"/>
      <c r="AA89" s="1007"/>
      <c r="AB89" s="1007"/>
      <c r="AC89" s="1007"/>
      <c r="AD89" s="1007"/>
      <c r="AE89" s="1008"/>
      <c r="AF89" s="262"/>
    </row>
    <row r="90" spans="1:32" ht="15" customHeight="1" x14ac:dyDescent="0.2">
      <c r="A90" s="257"/>
      <c r="B90" s="1115" t="s">
        <v>35</v>
      </c>
      <c r="C90" s="1116"/>
      <c r="D90" s="1117">
        <f>INTAKE!P$25</f>
        <v>0</v>
      </c>
      <c r="E90" s="1118"/>
      <c r="F90" s="1112"/>
      <c r="G90" s="1114"/>
      <c r="H90" s="1086" t="e">
        <f>VLOOKUP(I85,PLANS!$A$1:$H$95,5,FALSE)</f>
        <v>#N/A</v>
      </c>
      <c r="I90" s="1087"/>
      <c r="J90" s="1088" t="e">
        <f t="shared" si="32"/>
        <v>#N/A</v>
      </c>
      <c r="K90" s="1089"/>
      <c r="L90" s="1090" t="e">
        <f t="shared" si="33"/>
        <v>#N/A</v>
      </c>
      <c r="M90" s="1091"/>
      <c r="N90" s="262"/>
      <c r="O90" s="560"/>
      <c r="P90" s="555"/>
      <c r="Q90" s="1006"/>
      <c r="R90" s="1007"/>
      <c r="S90" s="1007"/>
      <c r="T90" s="1007"/>
      <c r="U90" s="1007"/>
      <c r="V90" s="1007"/>
      <c r="W90" s="1007"/>
      <c r="X90" s="1007"/>
      <c r="Y90" s="1007"/>
      <c r="Z90" s="1007"/>
      <c r="AA90" s="1007"/>
      <c r="AB90" s="1007"/>
      <c r="AC90" s="1007"/>
      <c r="AD90" s="1007"/>
      <c r="AE90" s="1008"/>
      <c r="AF90" s="262"/>
    </row>
    <row r="91" spans="1:32" ht="15" customHeight="1" x14ac:dyDescent="0.2">
      <c r="A91" s="257"/>
      <c r="B91" s="1115" t="s">
        <v>36</v>
      </c>
      <c r="C91" s="1116"/>
      <c r="D91" s="1117">
        <f>INTAKE!Q$25</f>
        <v>0</v>
      </c>
      <c r="E91" s="1118"/>
      <c r="F91" s="1112"/>
      <c r="G91" s="1114"/>
      <c r="H91" s="1086" t="e">
        <f>VLOOKUP(I85,PLANS!$A$1:$H$95,6,FALSE)</f>
        <v>#N/A</v>
      </c>
      <c r="I91" s="1087"/>
      <c r="J91" s="1088" t="e">
        <f t="shared" si="32"/>
        <v>#N/A</v>
      </c>
      <c r="K91" s="1089"/>
      <c r="L91" s="1090" t="e">
        <f t="shared" si="33"/>
        <v>#N/A</v>
      </c>
      <c r="M91" s="1091"/>
      <c r="N91" s="262"/>
      <c r="O91" s="560"/>
      <c r="P91" s="555"/>
      <c r="Q91" s="1006"/>
      <c r="R91" s="1007"/>
      <c r="S91" s="1007"/>
      <c r="T91" s="1007"/>
      <c r="U91" s="1007"/>
      <c r="V91" s="1007"/>
      <c r="W91" s="1007"/>
      <c r="X91" s="1007"/>
      <c r="Y91" s="1007"/>
      <c r="Z91" s="1007"/>
      <c r="AA91" s="1007"/>
      <c r="AB91" s="1007"/>
      <c r="AC91" s="1007"/>
      <c r="AD91" s="1007"/>
      <c r="AE91" s="1008"/>
      <c r="AF91" s="262"/>
    </row>
    <row r="92" spans="1:32" ht="15" customHeight="1" x14ac:dyDescent="0.2">
      <c r="A92" s="257"/>
      <c r="B92" s="1115" t="s">
        <v>76</v>
      </c>
      <c r="C92" s="1116"/>
      <c r="D92" s="1098">
        <f>INTAKE!R$25</f>
        <v>0</v>
      </c>
      <c r="E92" s="1099"/>
      <c r="F92" s="1112"/>
      <c r="G92" s="1114"/>
      <c r="H92" s="1086" t="e">
        <f>VLOOKUP(I85,PLANS!$A$1:$H$95,7,FALSE)</f>
        <v>#N/A</v>
      </c>
      <c r="I92" s="1087"/>
      <c r="J92" s="1088" t="e">
        <f t="shared" si="32"/>
        <v>#N/A</v>
      </c>
      <c r="K92" s="1089"/>
      <c r="L92" s="1090" t="e">
        <f t="shared" si="33"/>
        <v>#N/A</v>
      </c>
      <c r="M92" s="1091"/>
      <c r="N92" s="262"/>
      <c r="O92" s="560"/>
      <c r="P92" s="555"/>
      <c r="Q92" s="1064" t="s">
        <v>1963</v>
      </c>
      <c r="R92" s="1065"/>
      <c r="S92" s="1065"/>
      <c r="T92" s="1065"/>
      <c r="U92" s="1065"/>
      <c r="V92" s="1065"/>
      <c r="W92" s="1066"/>
      <c r="X92" s="1024" t="s">
        <v>1918</v>
      </c>
      <c r="Y92" s="1025"/>
      <c r="Z92" s="992"/>
      <c r="AA92" s="992"/>
      <c r="AB92" s="992"/>
      <c r="AC92" s="992"/>
      <c r="AD92" s="992"/>
      <c r="AE92" s="993"/>
      <c r="AF92" s="262"/>
    </row>
    <row r="93" spans="1:32" ht="15" customHeight="1" x14ac:dyDescent="0.2">
      <c r="A93" s="257"/>
      <c r="B93" s="1104" t="s">
        <v>78</v>
      </c>
      <c r="C93" s="1105"/>
      <c r="D93" s="1098">
        <f>INTAKE!S$25</f>
        <v>0</v>
      </c>
      <c r="E93" s="1099"/>
      <c r="F93" s="1112"/>
      <c r="G93" s="1114"/>
      <c r="H93" s="1106" t="e">
        <f>VLOOKUP(I85,PLANS!$A$1:$H$95,8,FALSE)</f>
        <v>#N/A</v>
      </c>
      <c r="I93" s="1107"/>
      <c r="J93" s="1108" t="e">
        <f t="shared" si="32"/>
        <v>#N/A</v>
      </c>
      <c r="K93" s="1109"/>
      <c r="L93" s="1110" t="e">
        <f t="shared" si="33"/>
        <v>#N/A</v>
      </c>
      <c r="M93" s="1111"/>
      <c r="N93" s="262"/>
      <c r="O93" s="560"/>
      <c r="P93" s="555"/>
      <c r="Q93" s="1026"/>
      <c r="R93" s="1027"/>
      <c r="S93" s="1027"/>
      <c r="T93" s="1027"/>
      <c r="U93" s="1027"/>
      <c r="V93" s="1027"/>
      <c r="W93" s="1028"/>
      <c r="X93" s="994" t="s">
        <v>1919</v>
      </c>
      <c r="Y93" s="995"/>
      <c r="Z93" s="1000"/>
      <c r="AA93" s="1001"/>
      <c r="AB93" s="1001"/>
      <c r="AC93" s="1001"/>
      <c r="AD93" s="1001"/>
      <c r="AE93" s="1002"/>
      <c r="AF93" s="262"/>
    </row>
    <row r="94" spans="1:32" ht="15" customHeight="1" thickBot="1" x14ac:dyDescent="0.25">
      <c r="A94" s="257"/>
      <c r="B94" s="1140" t="s">
        <v>79</v>
      </c>
      <c r="C94" s="1141"/>
      <c r="D94" s="492" t="s">
        <v>26</v>
      </c>
      <c r="E94" s="493" t="s">
        <v>80</v>
      </c>
      <c r="F94" s="224" t="s">
        <v>26</v>
      </c>
      <c r="G94" s="225" t="s">
        <v>80</v>
      </c>
      <c r="H94" s="302" t="s">
        <v>26</v>
      </c>
      <c r="I94" s="521" t="s">
        <v>80</v>
      </c>
      <c r="J94" s="228" t="s">
        <v>26</v>
      </c>
      <c r="K94" s="526" t="s">
        <v>80</v>
      </c>
      <c r="L94" s="229" t="s">
        <v>26</v>
      </c>
      <c r="M94" s="226" t="s">
        <v>80</v>
      </c>
      <c r="N94" s="262"/>
      <c r="O94" s="560"/>
      <c r="P94" s="555"/>
      <c r="Q94" s="1029"/>
      <c r="R94" s="1030"/>
      <c r="S94" s="1030"/>
      <c r="T94" s="1030"/>
      <c r="U94" s="1030"/>
      <c r="V94" s="1030"/>
      <c r="W94" s="1031"/>
      <c r="X94" s="994" t="s">
        <v>1920</v>
      </c>
      <c r="Y94" s="995"/>
      <c r="Z94" s="1000"/>
      <c r="AA94" s="1001"/>
      <c r="AB94" s="1001"/>
      <c r="AC94" s="1001"/>
      <c r="AD94" s="1001"/>
      <c r="AE94" s="1002"/>
      <c r="AF94" s="262"/>
    </row>
    <row r="95" spans="1:32" ht="15" customHeight="1" thickBot="1" x14ac:dyDescent="0.25">
      <c r="A95" s="257"/>
      <c r="B95" s="489" t="s">
        <v>81</v>
      </c>
      <c r="C95" s="219">
        <f>INTAKE!I$26</f>
        <v>0</v>
      </c>
      <c r="D95" s="494">
        <f>INTAKE!I25</f>
        <v>0</v>
      </c>
      <c r="E95" s="495">
        <f>IF(D95="","",SUM(C95*D95))</f>
        <v>0</v>
      </c>
      <c r="F95" s="218">
        <f>IF(G86=0,D95,(1+G86/1)*D95)</f>
        <v>0</v>
      </c>
      <c r="G95" s="300">
        <f>IF(F95="","",SUM(C95*F95))</f>
        <v>0</v>
      </c>
      <c r="H95" s="529"/>
      <c r="I95" s="522">
        <f>C95*H95</f>
        <v>0</v>
      </c>
      <c r="J95" s="216">
        <f>IF(K85=0%,H95,SUM(H95)*(1-K85)*1)</f>
        <v>0</v>
      </c>
      <c r="K95" s="527">
        <f>IF(J95=0,0,C95*J95)</f>
        <v>0</v>
      </c>
      <c r="L95" s="223">
        <f>IF(M85=0,J95,SUM(J95)*(1-M85)*1)</f>
        <v>0</v>
      </c>
      <c r="M95" s="222">
        <f>C95*L95</f>
        <v>0</v>
      </c>
      <c r="N95" s="262"/>
      <c r="O95" s="560"/>
      <c r="P95" s="555"/>
      <c r="Q95" s="1003" t="s">
        <v>1959</v>
      </c>
      <c r="R95" s="1004"/>
      <c r="S95" s="1004"/>
      <c r="T95" s="1004"/>
      <c r="U95" s="1004"/>
      <c r="V95" s="1004"/>
      <c r="W95" s="1004"/>
      <c r="X95" s="1004"/>
      <c r="Y95" s="1004"/>
      <c r="Z95" s="1004"/>
      <c r="AA95" s="1004"/>
      <c r="AB95" s="1004"/>
      <c r="AC95" s="1004"/>
      <c r="AD95" s="1004"/>
      <c r="AE95" s="1005"/>
      <c r="AF95" s="262"/>
    </row>
    <row r="96" spans="1:32" ht="15" customHeight="1" x14ac:dyDescent="0.2">
      <c r="A96" s="257"/>
      <c r="B96" s="489" t="str">
        <f>IF(FORMULAS!$E$12=2,"EF:",IF(FORMULAS!$E$12=3,"EE+1:","ES:"))</f>
        <v>ES:</v>
      </c>
      <c r="C96" s="219">
        <f>INTAKE!J$26</f>
        <v>0</v>
      </c>
      <c r="D96" s="494">
        <f>INTAKE!J25</f>
        <v>0</v>
      </c>
      <c r="E96" s="495">
        <f>IF(D96="","",SUM(C96*D96))</f>
        <v>0</v>
      </c>
      <c r="F96" s="218">
        <f>IF(G86=0,D96,(1+G86/1)*D96)</f>
        <v>0</v>
      </c>
      <c r="G96" s="300">
        <f t="shared" ref="G96:G97" si="34">IF(F96="","",SUM(C96*F96))</f>
        <v>0</v>
      </c>
      <c r="H96" s="303">
        <f>IF(FORMULAS!E12=3,2.1*H95,2.2*H95)</f>
        <v>0</v>
      </c>
      <c r="I96" s="523">
        <f>C96*H96</f>
        <v>0</v>
      </c>
      <c r="J96" s="216">
        <f>IF(K85=0%,H96,SUM(H96)*(1-K85)*1)</f>
        <v>0</v>
      </c>
      <c r="K96" s="527">
        <f t="shared" ref="K96:K97" si="35">IF(J96=0,0,C96*J96)</f>
        <v>0</v>
      </c>
      <c r="L96" s="223">
        <f>IF(M85=0,J96,SUM(J96)*(1-M85)*1)</f>
        <v>0</v>
      </c>
      <c r="M96" s="222">
        <f>C96*L96</f>
        <v>0</v>
      </c>
      <c r="N96" s="262"/>
      <c r="O96" s="560"/>
      <c r="P96" s="555"/>
      <c r="Q96" s="1006"/>
      <c r="R96" s="1007"/>
      <c r="S96" s="1007"/>
      <c r="T96" s="1007"/>
      <c r="U96" s="1007"/>
      <c r="V96" s="1007"/>
      <c r="W96" s="1007"/>
      <c r="X96" s="1007"/>
      <c r="Y96" s="1007"/>
      <c r="Z96" s="1007"/>
      <c r="AA96" s="1007"/>
      <c r="AB96" s="1007"/>
      <c r="AC96" s="1007"/>
      <c r="AD96" s="1007"/>
      <c r="AE96" s="1008"/>
      <c r="AF96" s="262"/>
    </row>
    <row r="97" spans="1:32" ht="15" customHeight="1" x14ac:dyDescent="0.2">
      <c r="A97" s="257"/>
      <c r="B97" s="489" t="str">
        <f>IF(FORMULAS!$E$12=2,"",IF(FORMULAS!$E$12=3,"EE+2:","EC:"))</f>
        <v>EC:</v>
      </c>
      <c r="C97" s="219">
        <f>INTAKE!K$26</f>
        <v>0</v>
      </c>
      <c r="D97" s="494">
        <f>INTAKE!K25</f>
        <v>0</v>
      </c>
      <c r="E97" s="495">
        <f>IF(D97="","",SUM(C97*D97))</f>
        <v>0</v>
      </c>
      <c r="F97" s="218">
        <f>IF(G86=0,D97,(1+G86/1)*D97)</f>
        <v>0</v>
      </c>
      <c r="G97" s="300">
        <f t="shared" si="34"/>
        <v>0</v>
      </c>
      <c r="H97" s="223">
        <f>IF(FORMULAS!E12=3,3*H95,1.8*H95)</f>
        <v>0</v>
      </c>
      <c r="I97" s="523">
        <f>C97*H97</f>
        <v>0</v>
      </c>
      <c r="J97" s="216">
        <f>IF(K85=0%,H97,SUM(H97)*(1-K85)*1)</f>
        <v>0</v>
      </c>
      <c r="K97" s="527">
        <f t="shared" si="35"/>
        <v>0</v>
      </c>
      <c r="L97" s="223">
        <f>IF(M85=0,J97,SUM(J97)*(1-M85)*1)</f>
        <v>0</v>
      </c>
      <c r="M97" s="222">
        <f>C97*L97</f>
        <v>0</v>
      </c>
      <c r="N97" s="262"/>
      <c r="O97" s="560"/>
      <c r="P97" s="555"/>
      <c r="Q97" s="1006"/>
      <c r="R97" s="1007"/>
      <c r="S97" s="1007"/>
      <c r="T97" s="1007"/>
      <c r="U97" s="1007"/>
      <c r="V97" s="1007"/>
      <c r="W97" s="1007"/>
      <c r="X97" s="1007"/>
      <c r="Y97" s="1007"/>
      <c r="Z97" s="1007"/>
      <c r="AA97" s="1007"/>
      <c r="AB97" s="1007"/>
      <c r="AC97" s="1007"/>
      <c r="AD97" s="1007"/>
      <c r="AE97" s="1008"/>
      <c r="AF97" s="262"/>
    </row>
    <row r="98" spans="1:32" ht="15" customHeight="1" x14ac:dyDescent="0.2">
      <c r="A98" s="257"/>
      <c r="B98" s="489" t="str">
        <f>IF(FORMULAS!$E$12=2,"",IF(FORMULAS!$E$12=3,"","EF:"))</f>
        <v>EF:</v>
      </c>
      <c r="C98" s="219">
        <f>INTAKE!L$26</f>
        <v>0</v>
      </c>
      <c r="D98" s="496">
        <f>IF(INTAKE!L25="","",INTAKE!L25)</f>
        <v>0</v>
      </c>
      <c r="E98" s="495">
        <f>IF(D98="","",C98*D98)</f>
        <v>0</v>
      </c>
      <c r="F98" s="298">
        <f>IF(D98="","",IF(G86=0,D98,(1+G86/1)*D98))</f>
        <v>0</v>
      </c>
      <c r="G98" s="217">
        <f>IF(D98="","",C98*F98)</f>
        <v>0</v>
      </c>
      <c r="H98" s="223">
        <f>IF(FORMULAS!E12=3,"",IF(D98="","",3.1*H95))</f>
        <v>0</v>
      </c>
      <c r="I98" s="523">
        <f>IF(D98="","",C98*H98)</f>
        <v>0</v>
      </c>
      <c r="J98" s="216">
        <f>IF(D98="","",IF(K85=0%,H98,SUM(H98)*(1-K85)*1))</f>
        <v>0</v>
      </c>
      <c r="K98" s="527">
        <f>IF(D98="","",IF(J98=0,0,C98*J98))</f>
        <v>0</v>
      </c>
      <c r="L98" s="223">
        <f>IF(D98="","",IF(M85=0,J98,SUM(J98)*(1-M85)*1))</f>
        <v>0</v>
      </c>
      <c r="M98" s="222">
        <f>IF(D98="","",C98*L98)</f>
        <v>0</v>
      </c>
      <c r="N98" s="262"/>
      <c r="O98" s="560"/>
      <c r="P98" s="555"/>
      <c r="Q98" s="1006"/>
      <c r="R98" s="1007"/>
      <c r="S98" s="1007"/>
      <c r="T98" s="1007"/>
      <c r="U98" s="1007"/>
      <c r="V98" s="1007"/>
      <c r="W98" s="1007"/>
      <c r="X98" s="1007"/>
      <c r="Y98" s="1007"/>
      <c r="Z98" s="1007"/>
      <c r="AA98" s="1007"/>
      <c r="AB98" s="1007"/>
      <c r="AC98" s="1007"/>
      <c r="AD98" s="1007"/>
      <c r="AE98" s="1008"/>
      <c r="AF98" s="262"/>
    </row>
    <row r="99" spans="1:32" ht="15" customHeight="1" x14ac:dyDescent="0.2">
      <c r="A99" s="257"/>
      <c r="B99" s="1160"/>
      <c r="C99" s="1161"/>
      <c r="D99" s="516" t="s">
        <v>1698</v>
      </c>
      <c r="E99" s="497">
        <f>SUM(E95:E98)</f>
        <v>0</v>
      </c>
      <c r="F99" s="515" t="s">
        <v>1698</v>
      </c>
      <c r="G99" s="297">
        <f>SUM(G95:G98)</f>
        <v>0</v>
      </c>
      <c r="H99" s="511" t="s">
        <v>1698</v>
      </c>
      <c r="I99" s="524">
        <f>SUM(I95:I98)</f>
        <v>0</v>
      </c>
      <c r="J99" s="528" t="s">
        <v>1698</v>
      </c>
      <c r="K99" s="520">
        <f>SUM(K95:K98)</f>
        <v>0</v>
      </c>
      <c r="L99" s="295" t="s">
        <v>1698</v>
      </c>
      <c r="M99" s="292">
        <f>SUM(M95:M98)</f>
        <v>0</v>
      </c>
      <c r="N99" s="262"/>
      <c r="O99" s="560"/>
      <c r="P99" s="555"/>
      <c r="Q99" s="1006"/>
      <c r="R99" s="1007"/>
      <c r="S99" s="1007"/>
      <c r="T99" s="1007"/>
      <c r="U99" s="1007"/>
      <c r="V99" s="1007"/>
      <c r="W99" s="1007"/>
      <c r="X99" s="1007"/>
      <c r="Y99" s="1007"/>
      <c r="Z99" s="1007"/>
      <c r="AA99" s="1007"/>
      <c r="AB99" s="1007"/>
      <c r="AC99" s="1007"/>
      <c r="AD99" s="1007"/>
      <c r="AE99" s="1008"/>
      <c r="AF99" s="262"/>
    </row>
    <row r="100" spans="1:32" ht="15" customHeight="1" x14ac:dyDescent="0.2">
      <c r="A100" s="257"/>
      <c r="B100" s="1162"/>
      <c r="C100" s="1163"/>
      <c r="D100" s="516" t="s">
        <v>1843</v>
      </c>
      <c r="E100" s="498">
        <f>E99*12</f>
        <v>0</v>
      </c>
      <c r="F100" s="515" t="s">
        <v>1843</v>
      </c>
      <c r="G100" s="299">
        <f>G99*12</f>
        <v>0</v>
      </c>
      <c r="H100" s="512" t="s">
        <v>1843</v>
      </c>
      <c r="I100" s="525">
        <f>I99*12</f>
        <v>0</v>
      </c>
      <c r="J100" s="528" t="s">
        <v>1843</v>
      </c>
      <c r="K100" s="546">
        <f>K99*12</f>
        <v>0</v>
      </c>
      <c r="L100" s="296" t="s">
        <v>1720</v>
      </c>
      <c r="M100" s="294">
        <f>M99*12</f>
        <v>0</v>
      </c>
      <c r="N100" s="262"/>
      <c r="O100" s="560"/>
      <c r="P100" s="555"/>
      <c r="Q100" s="1064" t="s">
        <v>1935</v>
      </c>
      <c r="R100" s="1065"/>
      <c r="S100" s="1065"/>
      <c r="T100" s="1065"/>
      <c r="U100" s="1065"/>
      <c r="V100" s="1065"/>
      <c r="W100" s="1066"/>
      <c r="X100" s="1024" t="s">
        <v>1918</v>
      </c>
      <c r="Y100" s="1025"/>
      <c r="Z100" s="992"/>
      <c r="AA100" s="992"/>
      <c r="AB100" s="992"/>
      <c r="AC100" s="992"/>
      <c r="AD100" s="992"/>
      <c r="AE100" s="993"/>
      <c r="AF100" s="262"/>
    </row>
    <row r="101" spans="1:32" ht="15" customHeight="1" thickBot="1" x14ac:dyDescent="0.25">
      <c r="A101" s="257"/>
      <c r="B101" s="1164"/>
      <c r="C101" s="1165"/>
      <c r="D101" s="1096"/>
      <c r="E101" s="1097"/>
      <c r="F101" s="565" t="s">
        <v>1695</v>
      </c>
      <c r="G101" s="568" t="str">
        <f>IF(G99&lt;1,"",(E100-G100)/E100*-1)</f>
        <v/>
      </c>
      <c r="H101" s="509" t="s">
        <v>1695</v>
      </c>
      <c r="I101" s="552" t="str">
        <f>IF(I99&lt;1,"",(E100-I100)/E100*-1)</f>
        <v/>
      </c>
      <c r="J101" s="510" t="s">
        <v>1695</v>
      </c>
      <c r="K101" s="553">
        <f>IF(K100=0,0,(E100-K100)/E100*-1)</f>
        <v>0</v>
      </c>
      <c r="L101" s="230" t="s">
        <v>1695</v>
      </c>
      <c r="M101" s="552">
        <f>IF(I99=0,0,(E100-M100)/E100*-1)</f>
        <v>0</v>
      </c>
      <c r="N101" s="262"/>
      <c r="O101" s="560"/>
      <c r="P101" s="555"/>
      <c r="Q101" s="1026"/>
      <c r="R101" s="1027"/>
      <c r="S101" s="1027"/>
      <c r="T101" s="1027"/>
      <c r="U101" s="1027"/>
      <c r="V101" s="1027"/>
      <c r="W101" s="1028"/>
      <c r="X101" s="994" t="s">
        <v>1919</v>
      </c>
      <c r="Y101" s="995"/>
      <c r="Z101" s="1000"/>
      <c r="AA101" s="1001"/>
      <c r="AB101" s="1001"/>
      <c r="AC101" s="1001"/>
      <c r="AD101" s="1001"/>
      <c r="AE101" s="1002"/>
      <c r="AF101" s="262"/>
    </row>
    <row r="102" spans="1:32" ht="15" customHeight="1" thickTop="1" thickBot="1" x14ac:dyDescent="0.25">
      <c r="A102" s="257"/>
      <c r="B102" s="1130" t="s">
        <v>101</v>
      </c>
      <c r="C102" s="1131"/>
      <c r="D102" s="1142" t="s">
        <v>61</v>
      </c>
      <c r="E102" s="1143"/>
      <c r="F102" s="1143"/>
      <c r="G102" s="1144"/>
      <c r="H102" s="1145" t="s">
        <v>62</v>
      </c>
      <c r="I102" s="1146"/>
      <c r="J102" s="1147"/>
      <c r="K102" s="1147"/>
      <c r="L102" s="1146"/>
      <c r="M102" s="1148"/>
      <c r="N102" s="262"/>
      <c r="O102" s="560"/>
      <c r="P102" s="555"/>
      <c r="Q102" s="1029"/>
      <c r="R102" s="1030"/>
      <c r="S102" s="1030"/>
      <c r="T102" s="1030"/>
      <c r="U102" s="1030"/>
      <c r="V102" s="1030"/>
      <c r="W102" s="1031"/>
      <c r="X102" s="994" t="s">
        <v>1920</v>
      </c>
      <c r="Y102" s="995"/>
      <c r="Z102" s="1000"/>
      <c r="AA102" s="1001"/>
      <c r="AB102" s="1001"/>
      <c r="AC102" s="1001"/>
      <c r="AD102" s="1001"/>
      <c r="AE102" s="1002"/>
      <c r="AF102" s="262"/>
    </row>
    <row r="103" spans="1:32" ht="15" customHeight="1" thickTop="1" thickBot="1" x14ac:dyDescent="0.25">
      <c r="A103" s="257"/>
      <c r="B103" s="1132"/>
      <c r="C103" s="1133"/>
      <c r="D103" s="1100" t="s">
        <v>64</v>
      </c>
      <c r="E103" s="1101"/>
      <c r="F103" s="1126" t="s">
        <v>65</v>
      </c>
      <c r="G103" s="1127"/>
      <c r="H103" s="1092" t="s">
        <v>66</v>
      </c>
      <c r="I103" s="1093"/>
      <c r="J103" s="1094" t="s">
        <v>1699</v>
      </c>
      <c r="K103" s="1095"/>
      <c r="L103" s="1092" t="s">
        <v>1700</v>
      </c>
      <c r="M103" s="1093"/>
      <c r="N103" s="262"/>
      <c r="O103" s="560"/>
      <c r="P103" s="555"/>
      <c r="Q103" s="1003" t="s">
        <v>1959</v>
      </c>
      <c r="R103" s="1004"/>
      <c r="S103" s="1004"/>
      <c r="T103" s="1004"/>
      <c r="U103" s="1004"/>
      <c r="V103" s="1004"/>
      <c r="W103" s="1004"/>
      <c r="X103" s="1004"/>
      <c r="Y103" s="1004"/>
      <c r="Z103" s="1004"/>
      <c r="AA103" s="1004"/>
      <c r="AB103" s="1004"/>
      <c r="AC103" s="1004"/>
      <c r="AD103" s="1004"/>
      <c r="AE103" s="1005"/>
      <c r="AF103" s="262"/>
    </row>
    <row r="104" spans="1:32" ht="15" customHeight="1" thickTop="1" thickBot="1" x14ac:dyDescent="0.25">
      <c r="A104" s="257"/>
      <c r="B104" s="1132"/>
      <c r="C104" s="1133"/>
      <c r="D104" s="1102"/>
      <c r="E104" s="1103"/>
      <c r="F104" s="1128"/>
      <c r="G104" s="1129"/>
      <c r="H104" s="502" t="s">
        <v>1696</v>
      </c>
      <c r="I104" s="638"/>
      <c r="J104" s="503" t="s">
        <v>1697</v>
      </c>
      <c r="K104" s="566">
        <f>IF(E105=0,0,VLOOKUP(E105,RBRATES,2,0))</f>
        <v>0</v>
      </c>
      <c r="L104" s="502" t="s">
        <v>70</v>
      </c>
      <c r="M104" s="567">
        <f>$V$67</f>
        <v>0</v>
      </c>
      <c r="N104" s="262"/>
      <c r="O104" s="560"/>
      <c r="P104" s="555"/>
      <c r="Q104" s="1006"/>
      <c r="R104" s="1007"/>
      <c r="S104" s="1007"/>
      <c r="T104" s="1007"/>
      <c r="U104" s="1007"/>
      <c r="V104" s="1007"/>
      <c r="W104" s="1007"/>
      <c r="X104" s="1007"/>
      <c r="Y104" s="1007"/>
      <c r="Z104" s="1007"/>
      <c r="AA104" s="1007"/>
      <c r="AB104" s="1007"/>
      <c r="AC104" s="1007"/>
      <c r="AD104" s="1007"/>
      <c r="AE104" s="1008"/>
      <c r="AF104" s="262"/>
    </row>
    <row r="105" spans="1:32" ht="15" customHeight="1" thickTop="1" thickBot="1" x14ac:dyDescent="0.25">
      <c r="A105" s="257"/>
      <c r="B105" s="1134"/>
      <c r="C105" s="1135"/>
      <c r="D105" s="500" t="s">
        <v>1785</v>
      </c>
      <c r="E105" s="504">
        <f>INTAKE!C27</f>
        <v>0</v>
      </c>
      <c r="F105" s="508" t="s">
        <v>68</v>
      </c>
      <c r="G105" s="551">
        <f>IF(E105=0,0,IF(E105="THMO",$F$5,IF(E105="SHMO",$G$5,IF(E105="PSHMO",$H$5,IF(E105="VIVITY",$I$5,IF(E105="KAISER",$J$5,IF(E105="PPO",$K$5,IF(E105="SOL",$L$5,IF(E105="CDHP",$M$5)))))))))</f>
        <v>0</v>
      </c>
      <c r="H105" s="290" t="s">
        <v>72</v>
      </c>
      <c r="I105" s="638"/>
      <c r="J105" s="1136"/>
      <c r="K105" s="1137"/>
      <c r="L105" s="1138"/>
      <c r="M105" s="1139"/>
      <c r="N105" s="262"/>
      <c r="O105" s="560"/>
      <c r="P105" s="555"/>
      <c r="Q105" s="1006"/>
      <c r="R105" s="1007"/>
      <c r="S105" s="1007"/>
      <c r="T105" s="1007"/>
      <c r="U105" s="1007"/>
      <c r="V105" s="1007"/>
      <c r="W105" s="1007"/>
      <c r="X105" s="1007"/>
      <c r="Y105" s="1007"/>
      <c r="Z105" s="1007"/>
      <c r="AA105" s="1007"/>
      <c r="AB105" s="1007"/>
      <c r="AC105" s="1007"/>
      <c r="AD105" s="1007"/>
      <c r="AE105" s="1008"/>
      <c r="AF105" s="262"/>
    </row>
    <row r="106" spans="1:32" ht="15" customHeight="1" thickTop="1" x14ac:dyDescent="0.2">
      <c r="A106" s="257"/>
      <c r="B106" s="1121" t="s">
        <v>29</v>
      </c>
      <c r="C106" s="1122"/>
      <c r="D106" s="1123">
        <f>INTAKE!D$27</f>
        <v>0</v>
      </c>
      <c r="E106" s="1124"/>
      <c r="F106" s="1112"/>
      <c r="G106" s="1113"/>
      <c r="H106" s="1086" t="e">
        <f>VLOOKUP(I104,PLANS!$A$1:$H$95,2,FALSE)</f>
        <v>#N/A</v>
      </c>
      <c r="I106" s="1125"/>
      <c r="J106" s="1088" t="e">
        <f t="shared" ref="J106:J112" si="36">H106</f>
        <v>#N/A</v>
      </c>
      <c r="K106" s="1089"/>
      <c r="L106" s="1090" t="e">
        <f t="shared" ref="L106:L112" si="37">H106</f>
        <v>#N/A</v>
      </c>
      <c r="M106" s="1091"/>
      <c r="N106" s="262"/>
      <c r="O106" s="560"/>
      <c r="P106" s="555"/>
      <c r="Q106" s="1006"/>
      <c r="R106" s="1007"/>
      <c r="S106" s="1007"/>
      <c r="T106" s="1007"/>
      <c r="U106" s="1007"/>
      <c r="V106" s="1007"/>
      <c r="W106" s="1007"/>
      <c r="X106" s="1007"/>
      <c r="Y106" s="1007"/>
      <c r="Z106" s="1007"/>
      <c r="AA106" s="1007"/>
      <c r="AB106" s="1007"/>
      <c r="AC106" s="1007"/>
      <c r="AD106" s="1007"/>
      <c r="AE106" s="1008"/>
      <c r="AF106" s="262"/>
    </row>
    <row r="107" spans="1:32" ht="15" customHeight="1" thickBot="1" x14ac:dyDescent="0.25">
      <c r="A107" s="257"/>
      <c r="B107" s="1104" t="s">
        <v>33</v>
      </c>
      <c r="C107" s="1105"/>
      <c r="D107" s="1098">
        <f>INTAKE!N$27</f>
        <v>0</v>
      </c>
      <c r="E107" s="1099"/>
      <c r="F107" s="1112"/>
      <c r="G107" s="1114"/>
      <c r="H107" s="1086" t="e">
        <f>VLOOKUP(I104,PLANS!$A$1:$H$95,3,FALSE)</f>
        <v>#N/A</v>
      </c>
      <c r="I107" s="1087"/>
      <c r="J107" s="1088" t="e">
        <f t="shared" si="36"/>
        <v>#N/A</v>
      </c>
      <c r="K107" s="1089"/>
      <c r="L107" s="1090" t="e">
        <f t="shared" si="37"/>
        <v>#N/A</v>
      </c>
      <c r="M107" s="1091"/>
      <c r="N107" s="262"/>
      <c r="O107" s="560"/>
      <c r="P107" s="555"/>
      <c r="Q107" s="1009"/>
      <c r="R107" s="1010"/>
      <c r="S107" s="1010"/>
      <c r="T107" s="1010"/>
      <c r="U107" s="1010"/>
      <c r="V107" s="1010"/>
      <c r="W107" s="1010"/>
      <c r="X107" s="1010"/>
      <c r="Y107" s="1010"/>
      <c r="Z107" s="1010"/>
      <c r="AA107" s="1010"/>
      <c r="AB107" s="1010"/>
      <c r="AC107" s="1010"/>
      <c r="AD107" s="1010"/>
      <c r="AE107" s="1011"/>
      <c r="AF107" s="262"/>
    </row>
    <row r="108" spans="1:32" ht="15" customHeight="1" x14ac:dyDescent="0.2">
      <c r="A108" s="257"/>
      <c r="B108" s="1119" t="s">
        <v>34</v>
      </c>
      <c r="C108" s="1120"/>
      <c r="D108" s="1098">
        <f>INTAKE!O$27</f>
        <v>0</v>
      </c>
      <c r="E108" s="1099"/>
      <c r="F108" s="1112"/>
      <c r="G108" s="1114"/>
      <c r="H108" s="1086" t="e">
        <f>VLOOKUP(I104,PLANS!$A$1:$H$95,4,FALSE)</f>
        <v>#N/A</v>
      </c>
      <c r="I108" s="1087"/>
      <c r="J108" s="1088" t="e">
        <f t="shared" si="36"/>
        <v>#N/A</v>
      </c>
      <c r="K108" s="1089"/>
      <c r="L108" s="1090" t="e">
        <f t="shared" si="37"/>
        <v>#N/A</v>
      </c>
      <c r="M108" s="1091"/>
      <c r="N108" s="262"/>
      <c r="O108" s="560"/>
      <c r="P108" s="555"/>
      <c r="Q108" s="262"/>
      <c r="R108" s="262"/>
      <c r="S108" s="262"/>
      <c r="T108" s="262"/>
      <c r="U108" s="262"/>
      <c r="V108" s="262"/>
      <c r="W108" s="262"/>
      <c r="X108" s="262"/>
      <c r="Y108" s="262"/>
      <c r="Z108" s="262"/>
      <c r="AA108" s="262"/>
      <c r="AB108" s="262"/>
      <c r="AC108" s="262"/>
      <c r="AD108" s="262"/>
      <c r="AE108" s="262"/>
      <c r="AF108" s="262"/>
    </row>
    <row r="109" spans="1:32" ht="15" customHeight="1" x14ac:dyDescent="0.2">
      <c r="A109" s="257"/>
      <c r="B109" s="1115" t="s">
        <v>35</v>
      </c>
      <c r="C109" s="1116"/>
      <c r="D109" s="1117">
        <f>INTAKE!P$27</f>
        <v>0</v>
      </c>
      <c r="E109" s="1118"/>
      <c r="F109" s="1112"/>
      <c r="G109" s="1114"/>
      <c r="H109" s="1086" t="e">
        <f>VLOOKUP(I104,PLANS!$A$1:$H$95,5,FALSE)</f>
        <v>#N/A</v>
      </c>
      <c r="I109" s="1087"/>
      <c r="J109" s="1088" t="e">
        <f t="shared" si="36"/>
        <v>#N/A</v>
      </c>
      <c r="K109" s="1089"/>
      <c r="L109" s="1090" t="e">
        <f t="shared" si="37"/>
        <v>#N/A</v>
      </c>
      <c r="M109" s="1091"/>
      <c r="N109" s="262"/>
      <c r="O109" s="560"/>
      <c r="P109" s="555"/>
      <c r="Q109" s="262"/>
      <c r="R109" s="262"/>
      <c r="S109" s="262"/>
      <c r="T109" s="262"/>
      <c r="U109" s="262"/>
      <c r="V109" s="262"/>
      <c r="W109" s="262"/>
      <c r="X109" s="262"/>
      <c r="Y109" s="262"/>
      <c r="Z109" s="262"/>
      <c r="AA109" s="262"/>
      <c r="AB109" s="262"/>
      <c r="AC109" s="262"/>
      <c r="AD109" s="262"/>
      <c r="AE109" s="262"/>
      <c r="AF109" s="262"/>
    </row>
    <row r="110" spans="1:32" ht="15" customHeight="1" x14ac:dyDescent="0.2">
      <c r="A110" s="257"/>
      <c r="B110" s="1115" t="s">
        <v>36</v>
      </c>
      <c r="C110" s="1116"/>
      <c r="D110" s="1117">
        <f>INTAKE!Q$27</f>
        <v>0</v>
      </c>
      <c r="E110" s="1118"/>
      <c r="F110" s="1112"/>
      <c r="G110" s="1114"/>
      <c r="H110" s="1086" t="e">
        <f>VLOOKUP(I104,PLANS!$A$1:$H$95,6,FALSE)</f>
        <v>#N/A</v>
      </c>
      <c r="I110" s="1087"/>
      <c r="J110" s="1088" t="e">
        <f t="shared" si="36"/>
        <v>#N/A</v>
      </c>
      <c r="K110" s="1089"/>
      <c r="L110" s="1090" t="e">
        <f t="shared" si="37"/>
        <v>#N/A</v>
      </c>
      <c r="M110" s="1091"/>
      <c r="N110" s="262"/>
      <c r="O110" s="560"/>
      <c r="P110" s="555"/>
      <c r="Q110" s="262"/>
      <c r="R110" s="262"/>
      <c r="S110" s="262"/>
      <c r="T110" s="262"/>
      <c r="U110" s="262"/>
      <c r="V110" s="262"/>
      <c r="W110" s="262"/>
      <c r="X110" s="262"/>
      <c r="Y110" s="262"/>
      <c r="Z110" s="262"/>
      <c r="AA110" s="262"/>
      <c r="AB110" s="262"/>
      <c r="AC110" s="262"/>
      <c r="AD110" s="262"/>
      <c r="AE110" s="262"/>
      <c r="AF110" s="262"/>
    </row>
    <row r="111" spans="1:32" ht="15" customHeight="1" x14ac:dyDescent="0.2">
      <c r="A111" s="257"/>
      <c r="B111" s="1115" t="s">
        <v>76</v>
      </c>
      <c r="C111" s="1116"/>
      <c r="D111" s="1098">
        <f>INTAKE!R$27</f>
        <v>0</v>
      </c>
      <c r="E111" s="1099"/>
      <c r="F111" s="1112"/>
      <c r="G111" s="1114"/>
      <c r="H111" s="1086" t="e">
        <f>VLOOKUP(I104,PLANS!$A$1:$H$95,7,FALSE)</f>
        <v>#N/A</v>
      </c>
      <c r="I111" s="1087"/>
      <c r="J111" s="1088" t="e">
        <f t="shared" si="36"/>
        <v>#N/A</v>
      </c>
      <c r="K111" s="1089"/>
      <c r="L111" s="1090" t="e">
        <f t="shared" si="37"/>
        <v>#N/A</v>
      </c>
      <c r="M111" s="1091"/>
      <c r="N111" s="262"/>
      <c r="O111" s="560"/>
      <c r="P111" s="555"/>
      <c r="Q111" s="262"/>
      <c r="R111" s="262"/>
      <c r="S111" s="262"/>
      <c r="T111" s="262"/>
      <c r="U111" s="262"/>
      <c r="V111" s="262"/>
      <c r="W111" s="262"/>
      <c r="X111" s="262"/>
      <c r="Y111" s="262"/>
      <c r="Z111" s="262"/>
      <c r="AA111" s="262"/>
      <c r="AB111" s="262"/>
      <c r="AC111" s="262"/>
      <c r="AD111" s="262"/>
      <c r="AE111" s="262"/>
      <c r="AF111" s="262"/>
    </row>
    <row r="112" spans="1:32" ht="15" customHeight="1" x14ac:dyDescent="0.2">
      <c r="A112" s="257"/>
      <c r="B112" s="1104" t="s">
        <v>78</v>
      </c>
      <c r="C112" s="1105"/>
      <c r="D112" s="1098">
        <f>INTAKE!S$27</f>
        <v>0</v>
      </c>
      <c r="E112" s="1099"/>
      <c r="F112" s="1112"/>
      <c r="G112" s="1114"/>
      <c r="H112" s="1106" t="e">
        <f>VLOOKUP(I104,PLANS!$A$1:$H$95,8,FALSE)</f>
        <v>#N/A</v>
      </c>
      <c r="I112" s="1107"/>
      <c r="J112" s="1108" t="e">
        <f t="shared" si="36"/>
        <v>#N/A</v>
      </c>
      <c r="K112" s="1109"/>
      <c r="L112" s="1110" t="e">
        <f t="shared" si="37"/>
        <v>#N/A</v>
      </c>
      <c r="M112" s="1111"/>
      <c r="N112" s="262"/>
      <c r="O112" s="560"/>
      <c r="P112" s="555"/>
      <c r="Q112" s="262"/>
      <c r="R112" s="262"/>
      <c r="S112" s="262"/>
      <c r="T112" s="262"/>
      <c r="U112" s="262"/>
      <c r="V112" s="262"/>
      <c r="W112" s="262"/>
      <c r="X112" s="402"/>
      <c r="Y112" s="402"/>
      <c r="Z112" s="262"/>
      <c r="AA112" s="262"/>
      <c r="AB112" s="262"/>
      <c r="AC112" s="262"/>
      <c r="AD112" s="262"/>
      <c r="AE112" s="262"/>
      <c r="AF112" s="262"/>
    </row>
    <row r="113" spans="1:32" ht="15" customHeight="1" thickBot="1" x14ac:dyDescent="0.25">
      <c r="A113" s="257"/>
      <c r="B113" s="1140" t="s">
        <v>79</v>
      </c>
      <c r="C113" s="1141"/>
      <c r="D113" s="492" t="s">
        <v>26</v>
      </c>
      <c r="E113" s="493" t="s">
        <v>80</v>
      </c>
      <c r="F113" s="224" t="s">
        <v>26</v>
      </c>
      <c r="G113" s="225" t="s">
        <v>80</v>
      </c>
      <c r="H113" s="302" t="s">
        <v>26</v>
      </c>
      <c r="I113" s="521" t="s">
        <v>80</v>
      </c>
      <c r="J113" s="228" t="s">
        <v>26</v>
      </c>
      <c r="K113" s="526" t="s">
        <v>80</v>
      </c>
      <c r="L113" s="229" t="s">
        <v>26</v>
      </c>
      <c r="M113" s="226" t="s">
        <v>80</v>
      </c>
      <c r="N113" s="262"/>
      <c r="O113" s="560"/>
      <c r="P113" s="555"/>
      <c r="Q113" s="262"/>
      <c r="R113" s="262"/>
      <c r="S113" s="262"/>
      <c r="T113" s="262"/>
      <c r="U113" s="262"/>
      <c r="V113" s="262"/>
      <c r="W113" s="262"/>
      <c r="X113" s="402"/>
      <c r="Y113" s="402"/>
      <c r="Z113" s="262"/>
      <c r="AA113" s="262"/>
      <c r="AB113" s="262"/>
      <c r="AC113" s="262"/>
      <c r="AD113" s="262"/>
      <c r="AE113" s="262"/>
      <c r="AF113" s="262"/>
    </row>
    <row r="114" spans="1:32" ht="15" customHeight="1" thickBot="1" x14ac:dyDescent="0.25">
      <c r="A114" s="257"/>
      <c r="B114" s="489" t="s">
        <v>81</v>
      </c>
      <c r="C114" s="219">
        <f>INTAKE!I$28</f>
        <v>0</v>
      </c>
      <c r="D114" s="494">
        <f>INTAKE!I27</f>
        <v>0</v>
      </c>
      <c r="E114" s="495">
        <f>IF(D114="","",SUM(C114*D114))</f>
        <v>0</v>
      </c>
      <c r="F114" s="218">
        <f>IF(G105=0,D114,(1+G105/1)*D114)</f>
        <v>0</v>
      </c>
      <c r="G114" s="300">
        <f>IF(F114="","",SUM(C114*F114))</f>
        <v>0</v>
      </c>
      <c r="H114" s="529"/>
      <c r="I114" s="522">
        <f>C114*H114</f>
        <v>0</v>
      </c>
      <c r="J114" s="216">
        <f>IF(K104=0%,H114,SUM(H114)*(1-K104)*1)</f>
        <v>0</v>
      </c>
      <c r="K114" s="527">
        <f>IF(J114=0,0,C114*J114)</f>
        <v>0</v>
      </c>
      <c r="L114" s="223">
        <f>IF(M104=0,J114,SUM(J114)*(1-M104)*1)</f>
        <v>0</v>
      </c>
      <c r="M114" s="222">
        <f>C114*L114</f>
        <v>0</v>
      </c>
      <c r="N114" s="262"/>
      <c r="O114" s="560"/>
      <c r="P114" s="555"/>
      <c r="Q114" s="262"/>
      <c r="R114" s="262"/>
      <c r="S114" s="262"/>
      <c r="T114" s="262"/>
      <c r="U114" s="262"/>
      <c r="V114" s="262"/>
      <c r="W114" s="262"/>
      <c r="X114" s="402"/>
      <c r="Y114" s="402"/>
      <c r="Z114" s="262"/>
      <c r="AA114" s="262"/>
      <c r="AB114" s="262"/>
      <c r="AC114" s="262"/>
      <c r="AD114" s="262"/>
      <c r="AE114" s="262"/>
      <c r="AF114" s="262"/>
    </row>
    <row r="115" spans="1:32" ht="15" customHeight="1" x14ac:dyDescent="0.2">
      <c r="A115" s="257"/>
      <c r="B115" s="489" t="str">
        <f>IF(FORMULAS!$E$12=2,"EF:",IF(FORMULAS!$E$12=3,"EE+1:","ES:"))</f>
        <v>ES:</v>
      </c>
      <c r="C115" s="219">
        <f>INTAKE!J$28</f>
        <v>0</v>
      </c>
      <c r="D115" s="494">
        <f>INTAKE!J27</f>
        <v>0</v>
      </c>
      <c r="E115" s="495">
        <f>IF(D115="","",SUM(C115*D115))</f>
        <v>0</v>
      </c>
      <c r="F115" s="218">
        <f>IF(G105=0,D115,(1+G105/1)*D115)</f>
        <v>0</v>
      </c>
      <c r="G115" s="300">
        <f t="shared" ref="G115:G116" si="38">IF(F115="","",SUM(C115*F115))</f>
        <v>0</v>
      </c>
      <c r="H115" s="303">
        <f>IF(FORMULAS!E12=3,2.1*H114,2.2*H114)</f>
        <v>0</v>
      </c>
      <c r="I115" s="523">
        <f>C115*H115</f>
        <v>0</v>
      </c>
      <c r="J115" s="216">
        <f>IF(K104=0%,H115,SUM(H115)*(1-K104)*1)</f>
        <v>0</v>
      </c>
      <c r="K115" s="527">
        <f t="shared" ref="K115:K116" si="39">IF(J115=0,0,C115*J115)</f>
        <v>0</v>
      </c>
      <c r="L115" s="223">
        <f>IF(M104=0,J115,SUM(J115)*(1-M104)*1)</f>
        <v>0</v>
      </c>
      <c r="M115" s="222">
        <f>C115*L115</f>
        <v>0</v>
      </c>
      <c r="N115" s="262"/>
      <c r="O115" s="560"/>
      <c r="P115" s="555"/>
      <c r="Q115" s="262"/>
      <c r="R115" s="262"/>
      <c r="S115" s="262"/>
      <c r="T115" s="262"/>
      <c r="U115" s="262"/>
      <c r="V115" s="262"/>
      <c r="W115" s="262"/>
      <c r="X115" s="402"/>
      <c r="Y115" s="402"/>
      <c r="Z115" s="262"/>
      <c r="AA115" s="262"/>
      <c r="AB115" s="262"/>
      <c r="AC115" s="262"/>
      <c r="AD115" s="262"/>
      <c r="AE115" s="262"/>
      <c r="AF115" s="262"/>
    </row>
    <row r="116" spans="1:32" ht="15" customHeight="1" x14ac:dyDescent="0.2">
      <c r="A116" s="257"/>
      <c r="B116" s="489" t="str">
        <f>IF(FORMULAS!$E$12=2,"",IF(FORMULAS!$E$12=3,"EE+2:","EC:"))</f>
        <v>EC:</v>
      </c>
      <c r="C116" s="219">
        <f>INTAKE!K$28</f>
        <v>0</v>
      </c>
      <c r="D116" s="494">
        <f>INTAKE!K27</f>
        <v>0</v>
      </c>
      <c r="E116" s="495">
        <f>IF(D116="","",SUM(C116*D116))</f>
        <v>0</v>
      </c>
      <c r="F116" s="218">
        <f>IF(G105=0,D116,(1+G105/1)*D116)</f>
        <v>0</v>
      </c>
      <c r="G116" s="300">
        <f t="shared" si="38"/>
        <v>0</v>
      </c>
      <c r="H116" s="223">
        <f>IF(FORMULAS!E12=3,3*H114,1.8*H114)</f>
        <v>0</v>
      </c>
      <c r="I116" s="523">
        <f>C116*H116</f>
        <v>0</v>
      </c>
      <c r="J116" s="216">
        <f>IF(K104=0%,H116,SUM(H116)*(1-K104)*1)</f>
        <v>0</v>
      </c>
      <c r="K116" s="527">
        <f t="shared" si="39"/>
        <v>0</v>
      </c>
      <c r="L116" s="223">
        <f>IF(M104=0,J116,SUM(J116)*(1-M104)*1)</f>
        <v>0</v>
      </c>
      <c r="M116" s="222">
        <f>C116*L116</f>
        <v>0</v>
      </c>
      <c r="N116" s="262"/>
      <c r="O116" s="560"/>
      <c r="P116" s="555"/>
      <c r="Q116" s="262"/>
      <c r="R116" s="262"/>
      <c r="S116" s="262"/>
      <c r="T116" s="262"/>
      <c r="U116" s="262"/>
      <c r="V116" s="262"/>
      <c r="W116" s="262"/>
      <c r="X116" s="402"/>
      <c r="Y116" s="402"/>
      <c r="Z116" s="262"/>
      <c r="AA116" s="262"/>
      <c r="AB116" s="262"/>
      <c r="AC116" s="262"/>
      <c r="AD116" s="262"/>
      <c r="AE116" s="262"/>
      <c r="AF116" s="262"/>
    </row>
    <row r="117" spans="1:32" ht="15" customHeight="1" x14ac:dyDescent="0.2">
      <c r="A117" s="257"/>
      <c r="B117" s="489" t="str">
        <f>IF(FORMULAS!$E$12=2,"",IF(FORMULAS!$E$12=3,"","EF:"))</f>
        <v>EF:</v>
      </c>
      <c r="C117" s="219">
        <f>INTAKE!L$28</f>
        <v>0</v>
      </c>
      <c r="D117" s="496">
        <f>IF(INTAKE!L27="","",INTAKE!L27)</f>
        <v>0</v>
      </c>
      <c r="E117" s="495">
        <f>IF(D117="","",C117*D117)</f>
        <v>0</v>
      </c>
      <c r="F117" s="298">
        <f>IF(D117="","",IF(G105=0,D117,(1+G105/1)*D117))</f>
        <v>0</v>
      </c>
      <c r="G117" s="217">
        <f>IF(D117="","",C117*F117)</f>
        <v>0</v>
      </c>
      <c r="H117" s="223">
        <f>IF(FORMULAS!E12=3,"",IF(D117="","",3.1*H114))</f>
        <v>0</v>
      </c>
      <c r="I117" s="523">
        <f>IF(D117="","",C117*H117)</f>
        <v>0</v>
      </c>
      <c r="J117" s="216">
        <f>IF(D117="","",IF(K104=0%,H117,SUM(H117)*(1-K104)*1))</f>
        <v>0</v>
      </c>
      <c r="K117" s="527">
        <f>IF(D117="","",IF(J117=0,0,C117*J117))</f>
        <v>0</v>
      </c>
      <c r="L117" s="223">
        <f>IF(D117="","",IF(M104=0,J117,SUM(J117)*(1-M104)*1))</f>
        <v>0</v>
      </c>
      <c r="M117" s="222">
        <f>IF(D117="","",C117*L117)</f>
        <v>0</v>
      </c>
      <c r="N117" s="262"/>
      <c r="O117" s="560"/>
      <c r="P117" s="555"/>
      <c r="Q117" s="262"/>
      <c r="R117" s="262"/>
      <c r="S117" s="262"/>
      <c r="T117" s="262"/>
      <c r="U117" s="262"/>
      <c r="V117" s="262"/>
      <c r="W117" s="262"/>
      <c r="X117" s="402"/>
      <c r="Y117" s="402"/>
      <c r="Z117" s="262"/>
      <c r="AA117" s="262"/>
      <c r="AB117" s="262"/>
      <c r="AC117" s="262"/>
      <c r="AD117" s="262"/>
      <c r="AE117" s="262"/>
      <c r="AF117" s="262"/>
    </row>
    <row r="118" spans="1:32" ht="15" customHeight="1" x14ac:dyDescent="0.2">
      <c r="A118" s="257"/>
      <c r="B118" s="1160"/>
      <c r="C118" s="1161"/>
      <c r="D118" s="516" t="s">
        <v>1698</v>
      </c>
      <c r="E118" s="497">
        <f>SUM(E114:E117)</f>
        <v>0</v>
      </c>
      <c r="F118" s="515" t="s">
        <v>1698</v>
      </c>
      <c r="G118" s="297">
        <f>SUM(G114:G117)</f>
        <v>0</v>
      </c>
      <c r="H118" s="511" t="s">
        <v>1698</v>
      </c>
      <c r="I118" s="524">
        <f>SUM(I114:I117)</f>
        <v>0</v>
      </c>
      <c r="J118" s="528" t="s">
        <v>1698</v>
      </c>
      <c r="K118" s="520">
        <f>SUM(K114:K117)</f>
        <v>0</v>
      </c>
      <c r="L118" s="295" t="s">
        <v>1698</v>
      </c>
      <c r="M118" s="292">
        <f>SUM(M114:M117)</f>
        <v>0</v>
      </c>
      <c r="N118" s="262"/>
      <c r="O118" s="560"/>
      <c r="P118" s="555"/>
      <c r="Q118" s="262"/>
      <c r="R118" s="262"/>
      <c r="S118" s="262"/>
      <c r="T118" s="262"/>
      <c r="U118" s="262"/>
      <c r="V118" s="262"/>
      <c r="W118" s="262"/>
      <c r="X118" s="402"/>
      <c r="Y118" s="402"/>
      <c r="Z118" s="262"/>
      <c r="AA118" s="262"/>
      <c r="AB118" s="262"/>
      <c r="AC118" s="262"/>
      <c r="AD118" s="262"/>
      <c r="AE118" s="262"/>
      <c r="AF118" s="262"/>
    </row>
    <row r="119" spans="1:32" ht="15" customHeight="1" x14ac:dyDescent="0.2">
      <c r="A119" s="257"/>
      <c r="B119" s="1162"/>
      <c r="C119" s="1163"/>
      <c r="D119" s="516" t="s">
        <v>1843</v>
      </c>
      <c r="E119" s="498">
        <f>E118*12</f>
        <v>0</v>
      </c>
      <c r="F119" s="515" t="s">
        <v>1843</v>
      </c>
      <c r="G119" s="299">
        <f>G118*12</f>
        <v>0</v>
      </c>
      <c r="H119" s="512" t="s">
        <v>1843</v>
      </c>
      <c r="I119" s="525">
        <f>I118*12</f>
        <v>0</v>
      </c>
      <c r="J119" s="528" t="s">
        <v>1843</v>
      </c>
      <c r="K119" s="546">
        <f>K118*12</f>
        <v>0</v>
      </c>
      <c r="L119" s="296" t="s">
        <v>1720</v>
      </c>
      <c r="M119" s="294">
        <f>M118*12</f>
        <v>0</v>
      </c>
      <c r="N119" s="262"/>
      <c r="O119" s="560"/>
      <c r="P119" s="555"/>
      <c r="Q119" s="262"/>
      <c r="R119" s="262"/>
      <c r="S119" s="262"/>
      <c r="T119" s="262"/>
      <c r="U119" s="262"/>
      <c r="V119" s="262"/>
      <c r="W119" s="262"/>
      <c r="X119" s="402"/>
      <c r="Y119" s="402"/>
      <c r="Z119" s="262"/>
      <c r="AA119" s="262"/>
      <c r="AB119" s="262"/>
      <c r="AC119" s="262"/>
      <c r="AD119" s="262"/>
      <c r="AE119" s="262"/>
      <c r="AF119" s="262"/>
    </row>
    <row r="120" spans="1:32" ht="15" customHeight="1" thickBot="1" x14ac:dyDescent="0.25">
      <c r="A120" s="257"/>
      <c r="B120" s="1164"/>
      <c r="C120" s="1165"/>
      <c r="D120" s="1096"/>
      <c r="E120" s="1097"/>
      <c r="F120" s="565" t="s">
        <v>1695</v>
      </c>
      <c r="G120" s="568" t="str">
        <f>IF(G118&lt;1,"",(E119-G119)/E119*-1)</f>
        <v/>
      </c>
      <c r="H120" s="509" t="s">
        <v>1695</v>
      </c>
      <c r="I120" s="552" t="str">
        <f>IF(I118&lt;1,"",(E119-I119)/E119*-1)</f>
        <v/>
      </c>
      <c r="J120" s="510" t="s">
        <v>1695</v>
      </c>
      <c r="K120" s="553">
        <f>IF(K119=0,0,(E119-K119)/E119*-1)</f>
        <v>0</v>
      </c>
      <c r="L120" s="230" t="s">
        <v>1695</v>
      </c>
      <c r="M120" s="552">
        <f>IF(I118=0,0,(E119-M119)/E119*-1)</f>
        <v>0</v>
      </c>
      <c r="N120" s="262"/>
      <c r="O120" s="560"/>
      <c r="P120" s="555"/>
      <c r="Q120" s="262"/>
      <c r="R120" s="262"/>
      <c r="S120" s="262"/>
      <c r="T120" s="262"/>
      <c r="U120" s="262"/>
      <c r="V120" s="262"/>
      <c r="W120" s="262"/>
      <c r="X120" s="402"/>
      <c r="Y120" s="402"/>
      <c r="Z120" s="262"/>
      <c r="AA120" s="262"/>
      <c r="AB120" s="262"/>
      <c r="AC120" s="262"/>
      <c r="AD120" s="262"/>
      <c r="AE120" s="262"/>
      <c r="AF120" s="262"/>
    </row>
    <row r="121" spans="1:32" ht="15" customHeight="1" thickTop="1" thickBot="1" x14ac:dyDescent="0.25">
      <c r="A121" s="257"/>
      <c r="B121" s="1130" t="s">
        <v>102</v>
      </c>
      <c r="C121" s="1131"/>
      <c r="D121" s="1142" t="s">
        <v>61</v>
      </c>
      <c r="E121" s="1143"/>
      <c r="F121" s="1143"/>
      <c r="G121" s="1144"/>
      <c r="H121" s="1145" t="s">
        <v>62</v>
      </c>
      <c r="I121" s="1146"/>
      <c r="J121" s="1147"/>
      <c r="K121" s="1147"/>
      <c r="L121" s="1146"/>
      <c r="M121" s="1148"/>
      <c r="N121" s="262"/>
      <c r="O121" s="560"/>
      <c r="P121" s="555"/>
      <c r="Q121" s="262"/>
      <c r="R121" s="262"/>
      <c r="S121" s="262"/>
      <c r="T121" s="262"/>
      <c r="U121" s="262"/>
      <c r="V121" s="262"/>
      <c r="W121" s="262"/>
      <c r="X121" s="402"/>
      <c r="Y121" s="402"/>
      <c r="Z121" s="262"/>
      <c r="AA121" s="262"/>
      <c r="AB121" s="262"/>
      <c r="AC121" s="262"/>
      <c r="AD121" s="262"/>
      <c r="AE121" s="262"/>
      <c r="AF121" s="262"/>
    </row>
    <row r="122" spans="1:32" ht="15" customHeight="1" thickTop="1" thickBot="1" x14ac:dyDescent="0.25">
      <c r="A122" s="257"/>
      <c r="B122" s="1132"/>
      <c r="C122" s="1133"/>
      <c r="D122" s="1100" t="s">
        <v>64</v>
      </c>
      <c r="E122" s="1101"/>
      <c r="F122" s="1126" t="s">
        <v>65</v>
      </c>
      <c r="G122" s="1127"/>
      <c r="H122" s="1092" t="s">
        <v>66</v>
      </c>
      <c r="I122" s="1093"/>
      <c r="J122" s="1094" t="s">
        <v>1699</v>
      </c>
      <c r="K122" s="1095"/>
      <c r="L122" s="1092" t="s">
        <v>1700</v>
      </c>
      <c r="M122" s="1093"/>
      <c r="N122" s="262"/>
      <c r="O122" s="560"/>
      <c r="P122" s="555"/>
      <c r="Q122" s="262"/>
      <c r="R122" s="262"/>
      <c r="S122" s="262"/>
      <c r="T122" s="262"/>
      <c r="U122" s="262"/>
      <c r="V122" s="262"/>
      <c r="W122" s="262"/>
      <c r="X122" s="402"/>
      <c r="Y122" s="402"/>
      <c r="Z122" s="262"/>
      <c r="AA122" s="262"/>
      <c r="AB122" s="262"/>
      <c r="AC122" s="262"/>
      <c r="AD122" s="262"/>
      <c r="AE122" s="262"/>
      <c r="AF122" s="262"/>
    </row>
    <row r="123" spans="1:32" ht="15" customHeight="1" thickTop="1" thickBot="1" x14ac:dyDescent="0.25">
      <c r="A123" s="257"/>
      <c r="B123" s="1132"/>
      <c r="C123" s="1133"/>
      <c r="D123" s="1102"/>
      <c r="E123" s="1103"/>
      <c r="F123" s="1128"/>
      <c r="G123" s="1129"/>
      <c r="H123" s="502" t="s">
        <v>1696</v>
      </c>
      <c r="I123" s="638"/>
      <c r="J123" s="503" t="s">
        <v>1697</v>
      </c>
      <c r="K123" s="566">
        <f>IF(E124=0,0,VLOOKUP(E124,RBRATES,2,0))</f>
        <v>0</v>
      </c>
      <c r="L123" s="502" t="s">
        <v>70</v>
      </c>
      <c r="M123" s="567">
        <f>$V$67</f>
        <v>0</v>
      </c>
      <c r="N123" s="262"/>
      <c r="O123" s="560"/>
      <c r="P123" s="555"/>
      <c r="Q123" s="262"/>
      <c r="R123" s="262"/>
      <c r="S123" s="262"/>
      <c r="T123" s="262"/>
      <c r="U123" s="262"/>
      <c r="V123" s="262"/>
      <c r="W123" s="262"/>
      <c r="X123" s="402"/>
      <c r="Y123" s="402"/>
      <c r="Z123" s="262"/>
      <c r="AA123" s="262"/>
      <c r="AB123" s="262"/>
      <c r="AC123" s="262"/>
      <c r="AD123" s="262"/>
      <c r="AE123" s="262"/>
      <c r="AF123" s="262"/>
    </row>
    <row r="124" spans="1:32" ht="15" customHeight="1" thickTop="1" thickBot="1" x14ac:dyDescent="0.25">
      <c r="A124" s="257"/>
      <c r="B124" s="1134"/>
      <c r="C124" s="1135"/>
      <c r="D124" s="500" t="s">
        <v>1785</v>
      </c>
      <c r="E124" s="491">
        <f>INTAKE!C29</f>
        <v>0</v>
      </c>
      <c r="F124" s="508" t="s">
        <v>68</v>
      </c>
      <c r="G124" s="551">
        <f>IF(E124=0,0,IF(E124="THMO",$F$5,IF(E124="SHMO",$G$5,IF(E124="PSHMO",$H$5,IF(E124="VIVITY",$I$5,IF(E124="KAISER",$J$5,IF(E124="PPO",$K$5,IF(E124="SOL",$L$5,IF(E124="CDHP",$M$5)))))))))</f>
        <v>0</v>
      </c>
      <c r="H124" s="501" t="s">
        <v>72</v>
      </c>
      <c r="I124" s="638"/>
      <c r="J124" s="1136"/>
      <c r="K124" s="1137"/>
      <c r="L124" s="1138"/>
      <c r="M124" s="1139"/>
      <c r="N124" s="262"/>
      <c r="O124" s="560"/>
      <c r="P124" s="555"/>
      <c r="Q124" s="262"/>
      <c r="R124" s="262"/>
      <c r="S124" s="262"/>
      <c r="T124" s="262"/>
      <c r="U124" s="262"/>
      <c r="V124" s="262"/>
      <c r="W124" s="262"/>
      <c r="X124" s="402"/>
      <c r="Y124" s="402"/>
      <c r="Z124" s="262"/>
      <c r="AA124" s="262"/>
      <c r="AB124" s="262"/>
      <c r="AC124" s="262"/>
      <c r="AD124" s="262"/>
      <c r="AE124" s="262"/>
      <c r="AF124" s="262"/>
    </row>
    <row r="125" spans="1:32" ht="15" customHeight="1" thickTop="1" x14ac:dyDescent="0.2">
      <c r="A125" s="257"/>
      <c r="B125" s="1121" t="s">
        <v>29</v>
      </c>
      <c r="C125" s="1122"/>
      <c r="D125" s="1123">
        <f>INTAKE!D$29</f>
        <v>0</v>
      </c>
      <c r="E125" s="1124"/>
      <c r="F125" s="1112"/>
      <c r="G125" s="1113"/>
      <c r="H125" s="1086" t="e">
        <f>VLOOKUP(I123,PLANS!$A$1:$H$95,2,FALSE)</f>
        <v>#N/A</v>
      </c>
      <c r="I125" s="1125"/>
      <c r="J125" s="1088" t="e">
        <f t="shared" ref="J125:J131" si="40">H125</f>
        <v>#N/A</v>
      </c>
      <c r="K125" s="1089"/>
      <c r="L125" s="1090" t="e">
        <f t="shared" ref="L125:L131" si="41">H125</f>
        <v>#N/A</v>
      </c>
      <c r="M125" s="1091"/>
      <c r="N125" s="262"/>
      <c r="O125" s="560"/>
      <c r="P125" s="555"/>
      <c r="Q125" s="262"/>
      <c r="R125" s="262"/>
      <c r="S125" s="262"/>
      <c r="T125" s="262"/>
      <c r="U125" s="262"/>
      <c r="V125" s="262"/>
      <c r="W125" s="262"/>
      <c r="X125" s="402"/>
      <c r="Y125" s="402"/>
      <c r="Z125" s="262"/>
      <c r="AA125" s="262"/>
      <c r="AB125" s="262"/>
      <c r="AC125" s="262"/>
      <c r="AD125" s="262"/>
      <c r="AE125" s="262"/>
      <c r="AF125" s="262"/>
    </row>
    <row r="126" spans="1:32" ht="15" customHeight="1" x14ac:dyDescent="0.2">
      <c r="A126" s="257"/>
      <c r="B126" s="1104" t="s">
        <v>33</v>
      </c>
      <c r="C126" s="1105"/>
      <c r="D126" s="1098">
        <f>INTAKE!N$29</f>
        <v>0</v>
      </c>
      <c r="E126" s="1099"/>
      <c r="F126" s="1112"/>
      <c r="G126" s="1114"/>
      <c r="H126" s="1086" t="e">
        <f>VLOOKUP(I123,PLANS!$A$1:$H$95,3,FALSE)</f>
        <v>#N/A</v>
      </c>
      <c r="I126" s="1087"/>
      <c r="J126" s="1088" t="e">
        <f t="shared" si="40"/>
        <v>#N/A</v>
      </c>
      <c r="K126" s="1089"/>
      <c r="L126" s="1090" t="e">
        <f t="shared" si="41"/>
        <v>#N/A</v>
      </c>
      <c r="M126" s="1091"/>
      <c r="N126" s="262"/>
      <c r="O126" s="560"/>
      <c r="P126" s="555"/>
      <c r="Q126" s="262"/>
      <c r="R126" s="262"/>
      <c r="S126" s="262"/>
      <c r="T126" s="262"/>
      <c r="U126" s="262"/>
      <c r="V126" s="262"/>
      <c r="W126" s="262"/>
      <c r="X126" s="402"/>
      <c r="Y126" s="402"/>
      <c r="Z126" s="262"/>
      <c r="AA126" s="262"/>
      <c r="AB126" s="262"/>
      <c r="AC126" s="262"/>
      <c r="AD126" s="262"/>
      <c r="AE126" s="262"/>
      <c r="AF126" s="262"/>
    </row>
    <row r="127" spans="1:32" ht="15" customHeight="1" x14ac:dyDescent="0.2">
      <c r="A127" s="257"/>
      <c r="B127" s="1119" t="s">
        <v>34</v>
      </c>
      <c r="C127" s="1120"/>
      <c r="D127" s="1098">
        <f>INTAKE!O$29</f>
        <v>0</v>
      </c>
      <c r="E127" s="1099"/>
      <c r="F127" s="1112"/>
      <c r="G127" s="1114"/>
      <c r="H127" s="1086" t="e">
        <f>VLOOKUP(I123,PLANS!$A$1:$H$95,4,FALSE)</f>
        <v>#N/A</v>
      </c>
      <c r="I127" s="1087"/>
      <c r="J127" s="1088" t="e">
        <f t="shared" si="40"/>
        <v>#N/A</v>
      </c>
      <c r="K127" s="1089"/>
      <c r="L127" s="1090" t="e">
        <f t="shared" si="41"/>
        <v>#N/A</v>
      </c>
      <c r="M127" s="1091"/>
      <c r="N127" s="262"/>
      <c r="O127" s="560"/>
      <c r="P127" s="555"/>
      <c r="Q127" s="262"/>
      <c r="R127" s="262"/>
      <c r="S127" s="262"/>
      <c r="T127" s="262"/>
      <c r="U127" s="262"/>
      <c r="V127" s="262"/>
      <c r="W127" s="262"/>
      <c r="X127" s="402"/>
      <c r="Y127" s="402"/>
      <c r="Z127" s="262"/>
      <c r="AA127" s="262"/>
      <c r="AB127" s="262"/>
      <c r="AC127" s="262"/>
      <c r="AD127" s="262"/>
      <c r="AE127" s="262"/>
      <c r="AF127" s="262"/>
    </row>
    <row r="128" spans="1:32" ht="15" customHeight="1" x14ac:dyDescent="0.2">
      <c r="A128" s="257"/>
      <c r="B128" s="1115" t="s">
        <v>35</v>
      </c>
      <c r="C128" s="1116"/>
      <c r="D128" s="1117">
        <f>INTAKE!P$29</f>
        <v>0</v>
      </c>
      <c r="E128" s="1118"/>
      <c r="F128" s="1112"/>
      <c r="G128" s="1114"/>
      <c r="H128" s="1086" t="e">
        <f>VLOOKUP(I123,PLANS!$A$1:$H$95,5,FALSE)</f>
        <v>#N/A</v>
      </c>
      <c r="I128" s="1087"/>
      <c r="J128" s="1088" t="e">
        <f t="shared" si="40"/>
        <v>#N/A</v>
      </c>
      <c r="K128" s="1089"/>
      <c r="L128" s="1090" t="e">
        <f t="shared" si="41"/>
        <v>#N/A</v>
      </c>
      <c r="M128" s="1091"/>
      <c r="N128" s="262"/>
      <c r="O128" s="560"/>
      <c r="P128" s="555"/>
      <c r="Q128" s="262"/>
      <c r="R128" s="262"/>
      <c r="S128" s="262"/>
      <c r="T128" s="262"/>
      <c r="U128" s="262"/>
      <c r="V128" s="262"/>
      <c r="W128" s="262"/>
      <c r="X128" s="402"/>
      <c r="Y128" s="402"/>
      <c r="Z128" s="262"/>
      <c r="AA128" s="262"/>
      <c r="AB128" s="262"/>
      <c r="AC128" s="262"/>
      <c r="AD128" s="262"/>
      <c r="AE128" s="262"/>
      <c r="AF128" s="262"/>
    </row>
    <row r="129" spans="1:32" ht="15" customHeight="1" x14ac:dyDescent="0.2">
      <c r="A129" s="257"/>
      <c r="B129" s="1115" t="s">
        <v>36</v>
      </c>
      <c r="C129" s="1116"/>
      <c r="D129" s="1117">
        <f>INTAKE!Q$29</f>
        <v>0</v>
      </c>
      <c r="E129" s="1118"/>
      <c r="F129" s="1112"/>
      <c r="G129" s="1114"/>
      <c r="H129" s="1086" t="e">
        <f>VLOOKUP(I123,PLANS!$A$1:$H$95,6,FALSE)</f>
        <v>#N/A</v>
      </c>
      <c r="I129" s="1087"/>
      <c r="J129" s="1088" t="e">
        <f t="shared" si="40"/>
        <v>#N/A</v>
      </c>
      <c r="K129" s="1089"/>
      <c r="L129" s="1090" t="e">
        <f t="shared" si="41"/>
        <v>#N/A</v>
      </c>
      <c r="M129" s="1091"/>
      <c r="N129" s="262"/>
      <c r="O129" s="560"/>
      <c r="P129" s="555"/>
      <c r="Q129" s="262"/>
      <c r="R129" s="262"/>
      <c r="S129" s="262"/>
      <c r="T129" s="262"/>
      <c r="U129" s="262"/>
      <c r="V129" s="262"/>
      <c r="W129" s="262"/>
      <c r="X129" s="402"/>
      <c r="Y129" s="402"/>
      <c r="Z129" s="262"/>
      <c r="AA129" s="262"/>
      <c r="AB129" s="262"/>
      <c r="AC129" s="262"/>
      <c r="AD129" s="262"/>
      <c r="AE129" s="262"/>
      <c r="AF129" s="262"/>
    </row>
    <row r="130" spans="1:32" ht="15" customHeight="1" x14ac:dyDescent="0.2">
      <c r="A130" s="257"/>
      <c r="B130" s="1115" t="s">
        <v>76</v>
      </c>
      <c r="C130" s="1116"/>
      <c r="D130" s="1098">
        <f>INTAKE!R$29</f>
        <v>0</v>
      </c>
      <c r="E130" s="1099"/>
      <c r="F130" s="1112"/>
      <c r="G130" s="1114"/>
      <c r="H130" s="1086" t="e">
        <f>VLOOKUP(I123,PLANS!$A$1:$H$95,7,FALSE)</f>
        <v>#N/A</v>
      </c>
      <c r="I130" s="1087"/>
      <c r="J130" s="1088" t="e">
        <f t="shared" si="40"/>
        <v>#N/A</v>
      </c>
      <c r="K130" s="1089"/>
      <c r="L130" s="1090" t="e">
        <f t="shared" si="41"/>
        <v>#N/A</v>
      </c>
      <c r="M130" s="1091"/>
      <c r="N130" s="262"/>
      <c r="O130" s="560"/>
      <c r="P130" s="555"/>
      <c r="Q130" s="262"/>
      <c r="R130" s="262"/>
      <c r="S130" s="262"/>
      <c r="T130" s="262"/>
      <c r="U130" s="262"/>
      <c r="V130" s="262"/>
      <c r="W130" s="262"/>
      <c r="X130" s="402"/>
      <c r="Y130" s="402"/>
      <c r="Z130" s="262"/>
      <c r="AA130" s="262"/>
      <c r="AB130" s="262"/>
      <c r="AC130" s="262"/>
      <c r="AD130" s="262"/>
      <c r="AE130" s="262"/>
      <c r="AF130" s="262"/>
    </row>
    <row r="131" spans="1:32" ht="15" customHeight="1" x14ac:dyDescent="0.2">
      <c r="A131" s="257"/>
      <c r="B131" s="1104" t="s">
        <v>78</v>
      </c>
      <c r="C131" s="1105"/>
      <c r="D131" s="1098">
        <f>INTAKE!S$29</f>
        <v>0</v>
      </c>
      <c r="E131" s="1099"/>
      <c r="F131" s="1112"/>
      <c r="G131" s="1114"/>
      <c r="H131" s="1106" t="e">
        <f>VLOOKUP(I123,PLANS!$A$1:$H$95,8,FALSE)</f>
        <v>#N/A</v>
      </c>
      <c r="I131" s="1107"/>
      <c r="J131" s="1108" t="e">
        <f t="shared" si="40"/>
        <v>#N/A</v>
      </c>
      <c r="K131" s="1109"/>
      <c r="L131" s="1110" t="e">
        <f t="shared" si="41"/>
        <v>#N/A</v>
      </c>
      <c r="M131" s="1111"/>
      <c r="N131" s="262"/>
      <c r="O131" s="560"/>
      <c r="P131" s="555"/>
      <c r="Q131" s="262"/>
      <c r="R131" s="262"/>
      <c r="S131" s="262"/>
      <c r="T131" s="262"/>
      <c r="U131" s="262"/>
      <c r="V131" s="262"/>
      <c r="W131" s="262"/>
      <c r="X131" s="402"/>
      <c r="Y131" s="402"/>
      <c r="Z131" s="262"/>
      <c r="AA131" s="262"/>
      <c r="AB131" s="262"/>
      <c r="AC131" s="262"/>
      <c r="AD131" s="262"/>
      <c r="AE131" s="262"/>
      <c r="AF131" s="262"/>
    </row>
    <row r="132" spans="1:32" ht="15" customHeight="1" thickBot="1" x14ac:dyDescent="0.25">
      <c r="A132" s="257"/>
      <c r="B132" s="1140" t="s">
        <v>79</v>
      </c>
      <c r="C132" s="1141"/>
      <c r="D132" s="492" t="s">
        <v>26</v>
      </c>
      <c r="E132" s="493" t="s">
        <v>80</v>
      </c>
      <c r="F132" s="224" t="s">
        <v>26</v>
      </c>
      <c r="G132" s="225" t="s">
        <v>80</v>
      </c>
      <c r="H132" s="302" t="s">
        <v>26</v>
      </c>
      <c r="I132" s="521" t="s">
        <v>80</v>
      </c>
      <c r="J132" s="228" t="s">
        <v>26</v>
      </c>
      <c r="K132" s="526" t="s">
        <v>80</v>
      </c>
      <c r="L132" s="229" t="s">
        <v>26</v>
      </c>
      <c r="M132" s="226" t="s">
        <v>80</v>
      </c>
      <c r="N132" s="262"/>
      <c r="O132" s="560"/>
      <c r="P132" s="555"/>
      <c r="Q132" s="262"/>
      <c r="R132" s="262"/>
      <c r="S132" s="262"/>
      <c r="T132" s="262"/>
      <c r="U132" s="262"/>
      <c r="V132" s="262"/>
      <c r="W132" s="262"/>
      <c r="X132" s="402"/>
      <c r="Y132" s="402"/>
      <c r="Z132" s="262"/>
      <c r="AA132" s="262"/>
      <c r="AB132" s="262"/>
      <c r="AC132" s="262"/>
      <c r="AD132" s="262"/>
      <c r="AE132" s="262"/>
      <c r="AF132" s="262"/>
    </row>
    <row r="133" spans="1:32" ht="15" customHeight="1" thickBot="1" x14ac:dyDescent="0.25">
      <c r="A133" s="257"/>
      <c r="B133" s="489" t="s">
        <v>81</v>
      </c>
      <c r="C133" s="219">
        <f>INTAKE!I$30</f>
        <v>0</v>
      </c>
      <c r="D133" s="494">
        <f>INTAKE!I29</f>
        <v>0</v>
      </c>
      <c r="E133" s="495">
        <f>IF(D133="","",SUM(C133*D133))</f>
        <v>0</v>
      </c>
      <c r="F133" s="218">
        <f>IF(G124=0,D133,(1+G124/1)*D133)</f>
        <v>0</v>
      </c>
      <c r="G133" s="300">
        <f>IF(F133="","",SUM(C133*F133))</f>
        <v>0</v>
      </c>
      <c r="H133" s="529"/>
      <c r="I133" s="522">
        <f>C133*H133</f>
        <v>0</v>
      </c>
      <c r="J133" s="216">
        <f>IF(K123=0%,H133,SUM(H133)*(1-K123)*1)</f>
        <v>0</v>
      </c>
      <c r="K133" s="527">
        <f>IF(J133=0,0,C133*J133)</f>
        <v>0</v>
      </c>
      <c r="L133" s="223">
        <f>IF(M123=0,J133,SUM(J133)*(1-M123)*1)</f>
        <v>0</v>
      </c>
      <c r="M133" s="222">
        <f>C133*L133</f>
        <v>0</v>
      </c>
      <c r="N133" s="262"/>
      <c r="O133" s="560"/>
      <c r="P133" s="555"/>
      <c r="Q133" s="262"/>
      <c r="R133" s="262"/>
      <c r="S133" s="262"/>
      <c r="T133" s="262"/>
      <c r="U133" s="262"/>
      <c r="V133" s="262"/>
      <c r="W133" s="262"/>
      <c r="X133" s="402"/>
      <c r="Y133" s="402"/>
      <c r="Z133" s="262"/>
      <c r="AA133" s="262"/>
      <c r="AB133" s="262"/>
      <c r="AC133" s="262"/>
      <c r="AD133" s="262"/>
      <c r="AE133" s="262"/>
      <c r="AF133" s="262"/>
    </row>
    <row r="134" spans="1:32" ht="15" customHeight="1" x14ac:dyDescent="0.2">
      <c r="A134" s="257"/>
      <c r="B134" s="489" t="str">
        <f>IF(FORMULAS!$E$12=2,"EF:",IF(FORMULAS!$E$12=3,"EE+1:","ES:"))</f>
        <v>ES:</v>
      </c>
      <c r="C134" s="219">
        <f>INTAKE!J$30</f>
        <v>0</v>
      </c>
      <c r="D134" s="494">
        <f>INTAKE!J29</f>
        <v>0</v>
      </c>
      <c r="E134" s="495">
        <f>IF(D134="","",SUM(C134*D134))</f>
        <v>0</v>
      </c>
      <c r="F134" s="218">
        <f>IF(G124=0,D134,(1+G124/1)*D134)</f>
        <v>0</v>
      </c>
      <c r="G134" s="300">
        <f t="shared" ref="G134:G135" si="42">IF(F134="","",SUM(C134*F134))</f>
        <v>0</v>
      </c>
      <c r="H134" s="303">
        <f>IF(FORMULAS!E12=3,2.1*H133,2.2*H133)</f>
        <v>0</v>
      </c>
      <c r="I134" s="523">
        <f>C134*H134</f>
        <v>0</v>
      </c>
      <c r="J134" s="216">
        <f>IF(K123=0%,H134,SUM(H134)*(1-K123)*1)</f>
        <v>0</v>
      </c>
      <c r="K134" s="527">
        <f t="shared" ref="K134:K135" si="43">IF(J134=0,0,C134*J134)</f>
        <v>0</v>
      </c>
      <c r="L134" s="223">
        <f>IF(M123=0,J134,SUM(J134)*(1-M123)*1)</f>
        <v>0</v>
      </c>
      <c r="M134" s="222">
        <f>C134*L134</f>
        <v>0</v>
      </c>
      <c r="N134" s="262"/>
      <c r="O134" s="560"/>
      <c r="P134" s="555"/>
      <c r="Q134" s="262"/>
      <c r="R134" s="262"/>
      <c r="S134" s="262"/>
      <c r="T134" s="262"/>
      <c r="U134" s="262"/>
      <c r="V134" s="262"/>
      <c r="W134" s="262"/>
      <c r="X134" s="402"/>
      <c r="Y134" s="402"/>
      <c r="Z134" s="262"/>
      <c r="AA134" s="262"/>
      <c r="AB134" s="262"/>
      <c r="AC134" s="262"/>
      <c r="AD134" s="262"/>
      <c r="AE134" s="262"/>
      <c r="AF134" s="262"/>
    </row>
    <row r="135" spans="1:32" ht="15" customHeight="1" x14ac:dyDescent="0.2">
      <c r="A135" s="257"/>
      <c r="B135" s="489" t="str">
        <f>IF(FORMULAS!$E$12=2,"",IF(FORMULAS!$E$12=3,"EE+2:","EC:"))</f>
        <v>EC:</v>
      </c>
      <c r="C135" s="219">
        <f>INTAKE!K$30</f>
        <v>0</v>
      </c>
      <c r="D135" s="494">
        <f>INTAKE!K29</f>
        <v>0</v>
      </c>
      <c r="E135" s="495">
        <f>IF(D135="","",SUM(C135*D135))</f>
        <v>0</v>
      </c>
      <c r="F135" s="218">
        <f>IF(G124=0,D135,(1+G124/1)*D135)</f>
        <v>0</v>
      </c>
      <c r="G135" s="300">
        <f t="shared" si="42"/>
        <v>0</v>
      </c>
      <c r="H135" s="223">
        <f>IF(FORMULAS!E12=3,3*H133,1.8*H133)</f>
        <v>0</v>
      </c>
      <c r="I135" s="523">
        <f>C135*H135</f>
        <v>0</v>
      </c>
      <c r="J135" s="216">
        <f>IF(K123=0%,H135,SUM(H135)*(1-K123)*1)</f>
        <v>0</v>
      </c>
      <c r="K135" s="527">
        <f t="shared" si="43"/>
        <v>0</v>
      </c>
      <c r="L135" s="223">
        <f>IF(M123=0,J135,SUM(J135)*(1-M123)*1)</f>
        <v>0</v>
      </c>
      <c r="M135" s="222">
        <f>C135*L135</f>
        <v>0</v>
      </c>
      <c r="N135" s="262"/>
      <c r="O135" s="560"/>
      <c r="P135" s="555"/>
      <c r="Q135" s="262"/>
      <c r="R135" s="262"/>
      <c r="S135" s="262"/>
      <c r="T135" s="262"/>
      <c r="U135" s="262"/>
      <c r="V135" s="262"/>
      <c r="W135" s="262"/>
      <c r="X135" s="402"/>
      <c r="Y135" s="402"/>
      <c r="Z135" s="262"/>
      <c r="AA135" s="262"/>
      <c r="AB135" s="262"/>
      <c r="AC135" s="262"/>
      <c r="AD135" s="262"/>
      <c r="AE135" s="262"/>
      <c r="AF135" s="262"/>
    </row>
    <row r="136" spans="1:32" ht="15" customHeight="1" x14ac:dyDescent="0.2">
      <c r="A136" s="257"/>
      <c r="B136" s="489" t="str">
        <f>IF(FORMULAS!$E$12=2,"",IF(FORMULAS!$E$12=3,"","EF:"))</f>
        <v>EF:</v>
      </c>
      <c r="C136" s="219">
        <f>INTAKE!L$30</f>
        <v>0</v>
      </c>
      <c r="D136" s="496">
        <f>IF(INTAKE!L29="","",INTAKE!L29)</f>
        <v>0</v>
      </c>
      <c r="E136" s="495">
        <f>IF(D136="","",C136*D136)</f>
        <v>0</v>
      </c>
      <c r="F136" s="298">
        <f>IF(D136="","",IF(G124=0,D136,(1+G124/1)*D136))</f>
        <v>0</v>
      </c>
      <c r="G136" s="217">
        <f>IF(D136="","",C136*F136)</f>
        <v>0</v>
      </c>
      <c r="H136" s="223">
        <f>IF(FORMULAS!E12=3,"",IF(D136="","",3.1*H133))</f>
        <v>0</v>
      </c>
      <c r="I136" s="523">
        <f>IF(D136="","",C136*H136)</f>
        <v>0</v>
      </c>
      <c r="J136" s="216">
        <f>IF(D136="","",IF(K123=0%,H136,SUM(H136)*(1-K123)*1))</f>
        <v>0</v>
      </c>
      <c r="K136" s="527">
        <f>IF(D136="","",IF(J136=0,0,C136*J136))</f>
        <v>0</v>
      </c>
      <c r="L136" s="223">
        <f>IF(D136="","",IF(M123=0,J136,SUM(J136)*(1-M123)*1))</f>
        <v>0</v>
      </c>
      <c r="M136" s="222">
        <f>IF(D136="","",C136*L136)</f>
        <v>0</v>
      </c>
      <c r="N136" s="262"/>
      <c r="O136" s="560"/>
      <c r="P136" s="555"/>
      <c r="Q136" s="262"/>
      <c r="R136" s="262"/>
      <c r="S136" s="262"/>
      <c r="T136" s="262"/>
      <c r="U136" s="262"/>
      <c r="V136" s="262"/>
      <c r="W136" s="262"/>
      <c r="X136" s="402"/>
      <c r="Y136" s="402"/>
      <c r="Z136" s="262"/>
      <c r="AA136" s="262"/>
      <c r="AB136" s="262"/>
      <c r="AC136" s="262"/>
      <c r="AD136" s="262"/>
      <c r="AE136" s="262"/>
      <c r="AF136" s="262"/>
    </row>
    <row r="137" spans="1:32" ht="15" customHeight="1" x14ac:dyDescent="0.2">
      <c r="A137" s="257"/>
      <c r="B137" s="1160"/>
      <c r="C137" s="1161"/>
      <c r="D137" s="516" t="s">
        <v>1698</v>
      </c>
      <c r="E137" s="497">
        <f>SUM(E133:E136)</f>
        <v>0</v>
      </c>
      <c r="F137" s="515" t="s">
        <v>1698</v>
      </c>
      <c r="G137" s="297">
        <f>SUM(G133:G136)</f>
        <v>0</v>
      </c>
      <c r="H137" s="511" t="s">
        <v>1698</v>
      </c>
      <c r="I137" s="524">
        <f>SUM(I133:I136)</f>
        <v>0</v>
      </c>
      <c r="J137" s="528" t="s">
        <v>1698</v>
      </c>
      <c r="K137" s="520">
        <f>SUM(K133:K136)</f>
        <v>0</v>
      </c>
      <c r="L137" s="295" t="s">
        <v>1698</v>
      </c>
      <c r="M137" s="292">
        <f>SUM(M133:M136)</f>
        <v>0</v>
      </c>
      <c r="N137" s="262"/>
      <c r="O137" s="560"/>
      <c r="P137" s="555"/>
      <c r="Q137" s="262"/>
      <c r="R137" s="262"/>
      <c r="S137" s="262"/>
      <c r="T137" s="262"/>
      <c r="U137" s="262"/>
      <c r="V137" s="262"/>
      <c r="W137" s="262"/>
      <c r="X137" s="402"/>
      <c r="Y137" s="402"/>
      <c r="Z137" s="262"/>
      <c r="AA137" s="262"/>
      <c r="AB137" s="262"/>
      <c r="AC137" s="262"/>
      <c r="AD137" s="262"/>
      <c r="AE137" s="262"/>
      <c r="AF137" s="262"/>
    </row>
    <row r="138" spans="1:32" ht="15" customHeight="1" x14ac:dyDescent="0.2">
      <c r="A138" s="257"/>
      <c r="B138" s="1162"/>
      <c r="C138" s="1163"/>
      <c r="D138" s="516" t="s">
        <v>1843</v>
      </c>
      <c r="E138" s="498">
        <f>E137*12</f>
        <v>0</v>
      </c>
      <c r="F138" s="515" t="s">
        <v>1843</v>
      </c>
      <c r="G138" s="299">
        <f>G137*12</f>
        <v>0</v>
      </c>
      <c r="H138" s="512" t="s">
        <v>1843</v>
      </c>
      <c r="I138" s="525">
        <f>I137*12</f>
        <v>0</v>
      </c>
      <c r="J138" s="528" t="s">
        <v>1843</v>
      </c>
      <c r="K138" s="546">
        <f>K137*12</f>
        <v>0</v>
      </c>
      <c r="L138" s="296" t="s">
        <v>1720</v>
      </c>
      <c r="M138" s="294">
        <f>M137*12</f>
        <v>0</v>
      </c>
      <c r="N138" s="262"/>
      <c r="O138" s="560"/>
      <c r="P138" s="555"/>
      <c r="Q138" s="262"/>
      <c r="R138" s="262"/>
      <c r="S138" s="262"/>
      <c r="T138" s="262"/>
      <c r="U138" s="262"/>
      <c r="V138" s="262"/>
      <c r="W138" s="262"/>
      <c r="X138" s="402"/>
      <c r="Y138" s="402"/>
      <c r="Z138" s="262"/>
      <c r="AA138" s="262"/>
      <c r="AB138" s="262"/>
      <c r="AC138" s="262"/>
      <c r="AD138" s="262"/>
      <c r="AE138" s="262"/>
      <c r="AF138" s="262"/>
    </row>
    <row r="139" spans="1:32" ht="15" customHeight="1" thickBot="1" x14ac:dyDescent="0.25">
      <c r="A139" s="257"/>
      <c r="B139" s="1164"/>
      <c r="C139" s="1165"/>
      <c r="D139" s="1096"/>
      <c r="E139" s="1097"/>
      <c r="F139" s="565" t="s">
        <v>1695</v>
      </c>
      <c r="G139" s="568" t="str">
        <f>IF(G137&lt;1,"",(E138-G138)/E138*-1)</f>
        <v/>
      </c>
      <c r="H139" s="509" t="s">
        <v>1695</v>
      </c>
      <c r="I139" s="552" t="str">
        <f>IF(I137&lt;1,"",(E138-I138)/E138*-1)</f>
        <v/>
      </c>
      <c r="J139" s="510" t="s">
        <v>1695</v>
      </c>
      <c r="K139" s="553">
        <f>IF(K138=0,0,(E138-K138)/E138*-1)</f>
        <v>0</v>
      </c>
      <c r="L139" s="230" t="s">
        <v>1695</v>
      </c>
      <c r="M139" s="552">
        <f>IF(I137=0,0,(E138-M138)/E138*-1)</f>
        <v>0</v>
      </c>
      <c r="N139" s="262"/>
      <c r="O139" s="560"/>
      <c r="P139" s="555"/>
      <c r="Q139" s="262"/>
      <c r="R139" s="262"/>
      <c r="S139" s="262"/>
      <c r="T139" s="262"/>
      <c r="U139" s="262"/>
      <c r="V139" s="262"/>
      <c r="W139" s="262"/>
      <c r="X139" s="402"/>
      <c r="Y139" s="402"/>
      <c r="Z139" s="262"/>
      <c r="AA139" s="262"/>
      <c r="AB139" s="262"/>
      <c r="AC139" s="262"/>
      <c r="AD139" s="262"/>
      <c r="AE139" s="262"/>
      <c r="AF139" s="262"/>
    </row>
    <row r="140" spans="1:32" ht="15" customHeight="1" thickTop="1" thickBot="1" x14ac:dyDescent="0.25">
      <c r="A140" s="257"/>
      <c r="B140" s="1130" t="s">
        <v>103</v>
      </c>
      <c r="C140" s="1131"/>
      <c r="D140" s="1142" t="s">
        <v>61</v>
      </c>
      <c r="E140" s="1143"/>
      <c r="F140" s="1143"/>
      <c r="G140" s="1144"/>
      <c r="H140" s="1145" t="s">
        <v>62</v>
      </c>
      <c r="I140" s="1146"/>
      <c r="J140" s="1147"/>
      <c r="K140" s="1147"/>
      <c r="L140" s="1146"/>
      <c r="M140" s="1148"/>
      <c r="N140" s="262"/>
      <c r="O140" s="560"/>
      <c r="P140" s="555"/>
      <c r="Q140" s="262"/>
      <c r="R140" s="262"/>
      <c r="S140" s="262"/>
      <c r="T140" s="262"/>
      <c r="U140" s="262"/>
      <c r="V140" s="262"/>
      <c r="W140" s="262"/>
      <c r="X140" s="402"/>
      <c r="Y140" s="402"/>
      <c r="Z140" s="262"/>
      <c r="AA140" s="262"/>
      <c r="AB140" s="262"/>
      <c r="AC140" s="262"/>
      <c r="AD140" s="262"/>
      <c r="AE140" s="262"/>
      <c r="AF140" s="262"/>
    </row>
    <row r="141" spans="1:32" ht="15" customHeight="1" thickTop="1" thickBot="1" x14ac:dyDescent="0.25">
      <c r="A141" s="257"/>
      <c r="B141" s="1132"/>
      <c r="C141" s="1133"/>
      <c r="D141" s="1100" t="s">
        <v>64</v>
      </c>
      <c r="E141" s="1101"/>
      <c r="F141" s="1126" t="s">
        <v>65</v>
      </c>
      <c r="G141" s="1127"/>
      <c r="H141" s="1092" t="s">
        <v>66</v>
      </c>
      <c r="I141" s="1093"/>
      <c r="J141" s="1094" t="s">
        <v>1699</v>
      </c>
      <c r="K141" s="1095"/>
      <c r="L141" s="1092" t="s">
        <v>1700</v>
      </c>
      <c r="M141" s="1093"/>
      <c r="N141" s="262"/>
      <c r="O141" s="560"/>
      <c r="P141" s="555"/>
      <c r="Q141" s="262"/>
      <c r="R141" s="262"/>
      <c r="S141" s="262"/>
      <c r="T141" s="262"/>
      <c r="U141" s="262"/>
      <c r="V141" s="262"/>
      <c r="W141" s="262"/>
      <c r="X141" s="402"/>
      <c r="Y141" s="402"/>
      <c r="Z141" s="262"/>
      <c r="AA141" s="262"/>
      <c r="AB141" s="262"/>
      <c r="AC141" s="262"/>
      <c r="AD141" s="262"/>
      <c r="AE141" s="262"/>
      <c r="AF141" s="262"/>
    </row>
    <row r="142" spans="1:32" ht="15" customHeight="1" thickTop="1" thickBot="1" x14ac:dyDescent="0.25">
      <c r="A142" s="257"/>
      <c r="B142" s="1132"/>
      <c r="C142" s="1133"/>
      <c r="D142" s="1102"/>
      <c r="E142" s="1103"/>
      <c r="F142" s="1128"/>
      <c r="G142" s="1129"/>
      <c r="H142" s="502" t="s">
        <v>1696</v>
      </c>
      <c r="I142" s="638"/>
      <c r="J142" s="503" t="s">
        <v>1697</v>
      </c>
      <c r="K142" s="566">
        <f>IF(E143=0,0,VLOOKUP(E143,RBRATES,2,0))</f>
        <v>0</v>
      </c>
      <c r="L142" s="502" t="s">
        <v>70</v>
      </c>
      <c r="M142" s="567">
        <f>$V$67</f>
        <v>0</v>
      </c>
      <c r="N142" s="262"/>
      <c r="O142" s="560"/>
      <c r="P142" s="555"/>
      <c r="Q142" s="262"/>
      <c r="R142" s="262"/>
      <c r="S142" s="262"/>
      <c r="T142" s="262"/>
      <c r="U142" s="262"/>
      <c r="V142" s="262"/>
      <c r="W142" s="262"/>
      <c r="X142" s="402"/>
      <c r="Y142" s="402"/>
      <c r="Z142" s="262"/>
      <c r="AA142" s="262"/>
      <c r="AB142" s="262"/>
      <c r="AC142" s="262"/>
      <c r="AD142" s="262"/>
      <c r="AE142" s="262"/>
      <c r="AF142" s="262"/>
    </row>
    <row r="143" spans="1:32" ht="15" customHeight="1" thickTop="1" thickBot="1" x14ac:dyDescent="0.25">
      <c r="A143" s="257"/>
      <c r="B143" s="1134"/>
      <c r="C143" s="1135"/>
      <c r="D143" s="500" t="s">
        <v>1785</v>
      </c>
      <c r="E143" s="491">
        <f>INTAKE!C31</f>
        <v>0</v>
      </c>
      <c r="F143" s="508" t="s">
        <v>68</v>
      </c>
      <c r="G143" s="551">
        <f>IF(E143=0,0,IF(E143="THMO",$F$5,IF(E143="SHMO",$G$5,IF(E143="PSHMO",$H$5,IF(E143="VIVITY",$I$5,IF(E143="KAISER",$J$5,IF(E143="PPO",$K$5,IF(E143="SOL",$L$5,IF(E143="CDHP",$M$5)))))))))</f>
        <v>0</v>
      </c>
      <c r="H143" s="501" t="s">
        <v>72</v>
      </c>
      <c r="I143" s="638"/>
      <c r="J143" s="1136"/>
      <c r="K143" s="1137"/>
      <c r="L143" s="1138"/>
      <c r="M143" s="1139"/>
      <c r="N143" s="262"/>
      <c r="O143" s="560"/>
      <c r="P143" s="555"/>
      <c r="Q143" s="262"/>
      <c r="R143" s="262"/>
      <c r="S143" s="262"/>
      <c r="T143" s="262"/>
      <c r="U143" s="262"/>
      <c r="V143" s="262"/>
      <c r="W143" s="262"/>
      <c r="X143" s="402"/>
      <c r="Y143" s="402"/>
      <c r="Z143" s="262"/>
      <c r="AA143" s="262"/>
      <c r="AB143" s="262"/>
      <c r="AC143" s="262"/>
      <c r="AD143" s="262"/>
      <c r="AE143" s="262"/>
      <c r="AF143" s="262"/>
    </row>
    <row r="144" spans="1:32" ht="15" customHeight="1" thickTop="1" x14ac:dyDescent="0.2">
      <c r="A144" s="257"/>
      <c r="B144" s="1149" t="s">
        <v>29</v>
      </c>
      <c r="C144" s="1150"/>
      <c r="D144" s="1123">
        <f>INTAKE!D$31</f>
        <v>0</v>
      </c>
      <c r="E144" s="1124"/>
      <c r="F144" s="1112"/>
      <c r="G144" s="1113"/>
      <c r="H144" s="1086" t="e">
        <f>VLOOKUP(I142,PLANS!$A$1:$H$95,2,FALSE)</f>
        <v>#N/A</v>
      </c>
      <c r="I144" s="1125"/>
      <c r="J144" s="1088" t="e">
        <f t="shared" ref="J144:J150" si="44">H144</f>
        <v>#N/A</v>
      </c>
      <c r="K144" s="1089"/>
      <c r="L144" s="1090" t="e">
        <f t="shared" ref="L144:L150" si="45">H144</f>
        <v>#N/A</v>
      </c>
      <c r="M144" s="1091"/>
      <c r="N144" s="262"/>
      <c r="O144" s="560"/>
      <c r="P144" s="555"/>
      <c r="Q144" s="262"/>
      <c r="R144" s="262"/>
      <c r="S144" s="262"/>
      <c r="T144" s="262"/>
      <c r="U144" s="262"/>
      <c r="V144" s="262"/>
      <c r="W144" s="262"/>
      <c r="X144" s="402"/>
      <c r="Y144" s="402"/>
      <c r="Z144" s="262"/>
      <c r="AA144" s="262"/>
      <c r="AB144" s="262"/>
      <c r="AC144" s="262"/>
      <c r="AD144" s="262"/>
      <c r="AE144" s="262"/>
      <c r="AF144" s="262"/>
    </row>
    <row r="145" spans="1:32" ht="15" customHeight="1" x14ac:dyDescent="0.2">
      <c r="A145" s="257"/>
      <c r="B145" s="1104" t="s">
        <v>33</v>
      </c>
      <c r="C145" s="1105"/>
      <c r="D145" s="1098">
        <f>INTAKE!N$31</f>
        <v>0</v>
      </c>
      <c r="E145" s="1099"/>
      <c r="F145" s="1112"/>
      <c r="G145" s="1114"/>
      <c r="H145" s="1086" t="e">
        <f>VLOOKUP(I142,PLANS!$A$1:$H$95,3,FALSE)</f>
        <v>#N/A</v>
      </c>
      <c r="I145" s="1087"/>
      <c r="J145" s="1088" t="e">
        <f t="shared" si="44"/>
        <v>#N/A</v>
      </c>
      <c r="K145" s="1089"/>
      <c r="L145" s="1090" t="e">
        <f t="shared" si="45"/>
        <v>#N/A</v>
      </c>
      <c r="M145" s="1091"/>
      <c r="N145" s="262"/>
      <c r="O145" s="560"/>
      <c r="P145" s="555"/>
      <c r="Q145" s="262"/>
      <c r="R145" s="262"/>
      <c r="S145" s="262"/>
      <c r="T145" s="262"/>
      <c r="U145" s="262"/>
      <c r="V145" s="262"/>
      <c r="W145" s="262"/>
      <c r="X145" s="402"/>
      <c r="Y145" s="402"/>
      <c r="Z145" s="262"/>
      <c r="AA145" s="262"/>
      <c r="AB145" s="262"/>
      <c r="AC145" s="262"/>
      <c r="AD145" s="262"/>
      <c r="AE145" s="262"/>
      <c r="AF145" s="262"/>
    </row>
    <row r="146" spans="1:32" ht="15" customHeight="1" x14ac:dyDescent="0.2">
      <c r="A146" s="257"/>
      <c r="B146" s="1119" t="s">
        <v>34</v>
      </c>
      <c r="C146" s="1120"/>
      <c r="D146" s="1098">
        <f>INTAKE!O$31</f>
        <v>0</v>
      </c>
      <c r="E146" s="1099"/>
      <c r="F146" s="1112"/>
      <c r="G146" s="1114"/>
      <c r="H146" s="1086" t="e">
        <f>VLOOKUP(I142,PLANS!$A$1:$H$95,4,FALSE)</f>
        <v>#N/A</v>
      </c>
      <c r="I146" s="1087"/>
      <c r="J146" s="1088" t="e">
        <f t="shared" si="44"/>
        <v>#N/A</v>
      </c>
      <c r="K146" s="1089"/>
      <c r="L146" s="1090" t="e">
        <f t="shared" si="45"/>
        <v>#N/A</v>
      </c>
      <c r="M146" s="1091"/>
      <c r="N146" s="262"/>
      <c r="O146" s="560"/>
      <c r="P146" s="555"/>
      <c r="Q146" s="262"/>
      <c r="R146" s="262"/>
      <c r="S146" s="262"/>
      <c r="T146" s="262"/>
      <c r="U146" s="262"/>
      <c r="V146" s="262"/>
      <c r="W146" s="262"/>
      <c r="X146" s="402"/>
      <c r="Y146" s="402"/>
      <c r="Z146" s="262"/>
      <c r="AA146" s="262"/>
      <c r="AB146" s="262"/>
      <c r="AC146" s="262"/>
      <c r="AD146" s="262"/>
      <c r="AE146" s="262"/>
      <c r="AF146" s="262"/>
    </row>
    <row r="147" spans="1:32" ht="15" customHeight="1" x14ac:dyDescent="0.2">
      <c r="A147" s="257"/>
      <c r="B147" s="1115" t="s">
        <v>35</v>
      </c>
      <c r="C147" s="1116"/>
      <c r="D147" s="1117">
        <f>INTAKE!P$31</f>
        <v>0</v>
      </c>
      <c r="E147" s="1118"/>
      <c r="F147" s="1112"/>
      <c r="G147" s="1114"/>
      <c r="H147" s="1086" t="e">
        <f>VLOOKUP(I142,PLANS!$A$1:$H$95,5,FALSE)</f>
        <v>#N/A</v>
      </c>
      <c r="I147" s="1087"/>
      <c r="J147" s="1088" t="e">
        <f t="shared" si="44"/>
        <v>#N/A</v>
      </c>
      <c r="K147" s="1089"/>
      <c r="L147" s="1090" t="e">
        <f t="shared" si="45"/>
        <v>#N/A</v>
      </c>
      <c r="M147" s="1091"/>
      <c r="N147" s="262"/>
      <c r="O147" s="560"/>
      <c r="P147" s="555"/>
      <c r="Q147" s="262"/>
      <c r="R147" s="262"/>
      <c r="S147" s="262"/>
      <c r="T147" s="262"/>
      <c r="U147" s="262"/>
      <c r="V147" s="262"/>
      <c r="W147" s="262"/>
      <c r="X147" s="402"/>
      <c r="Y147" s="402"/>
      <c r="Z147" s="262"/>
      <c r="AA147" s="262"/>
      <c r="AB147" s="262"/>
      <c r="AC147" s="262"/>
      <c r="AD147" s="262"/>
      <c r="AE147" s="262"/>
      <c r="AF147" s="262"/>
    </row>
    <row r="148" spans="1:32" ht="15" customHeight="1" x14ac:dyDescent="0.2">
      <c r="A148" s="257"/>
      <c r="B148" s="1115" t="s">
        <v>36</v>
      </c>
      <c r="C148" s="1116"/>
      <c r="D148" s="1117">
        <f>INTAKE!Q$31</f>
        <v>0</v>
      </c>
      <c r="E148" s="1118"/>
      <c r="F148" s="1112"/>
      <c r="G148" s="1114"/>
      <c r="H148" s="1086" t="e">
        <f>VLOOKUP(I142,PLANS!$A$1:$H$95,6,FALSE)</f>
        <v>#N/A</v>
      </c>
      <c r="I148" s="1087"/>
      <c r="J148" s="1088" t="e">
        <f t="shared" si="44"/>
        <v>#N/A</v>
      </c>
      <c r="K148" s="1089"/>
      <c r="L148" s="1090" t="e">
        <f t="shared" si="45"/>
        <v>#N/A</v>
      </c>
      <c r="M148" s="1091"/>
      <c r="N148" s="262"/>
      <c r="O148" s="560"/>
      <c r="P148" s="555"/>
      <c r="Q148" s="262"/>
      <c r="R148" s="262"/>
      <c r="S148" s="262"/>
      <c r="T148" s="262"/>
      <c r="U148" s="262"/>
      <c r="V148" s="262"/>
      <c r="W148" s="262"/>
      <c r="X148" s="402"/>
      <c r="Y148" s="402"/>
      <c r="Z148" s="262"/>
      <c r="AA148" s="262"/>
      <c r="AB148" s="262"/>
      <c r="AC148" s="262"/>
      <c r="AD148" s="262"/>
      <c r="AE148" s="262"/>
      <c r="AF148" s="262"/>
    </row>
    <row r="149" spans="1:32" ht="15" customHeight="1" x14ac:dyDescent="0.2">
      <c r="A149" s="257"/>
      <c r="B149" s="1115" t="s">
        <v>76</v>
      </c>
      <c r="C149" s="1116"/>
      <c r="D149" s="1098">
        <f>INTAKE!R$31</f>
        <v>0</v>
      </c>
      <c r="E149" s="1099"/>
      <c r="F149" s="1112"/>
      <c r="G149" s="1114"/>
      <c r="H149" s="1086" t="e">
        <f>VLOOKUP(I142,PLANS!$A$1:$H$95,7,FALSE)</f>
        <v>#N/A</v>
      </c>
      <c r="I149" s="1087"/>
      <c r="J149" s="1088" t="e">
        <f t="shared" si="44"/>
        <v>#N/A</v>
      </c>
      <c r="K149" s="1089"/>
      <c r="L149" s="1090" t="e">
        <f t="shared" si="45"/>
        <v>#N/A</v>
      </c>
      <c r="M149" s="1091"/>
      <c r="N149" s="262"/>
      <c r="O149" s="560"/>
      <c r="P149" s="555"/>
      <c r="Q149" s="262"/>
      <c r="R149" s="262"/>
      <c r="S149" s="262"/>
      <c r="T149" s="262"/>
      <c r="U149" s="262"/>
      <c r="V149" s="262"/>
      <c r="W149" s="262"/>
      <c r="X149" s="402"/>
      <c r="Y149" s="402"/>
      <c r="Z149" s="262"/>
      <c r="AA149" s="262"/>
      <c r="AB149" s="262"/>
      <c r="AC149" s="262"/>
      <c r="AD149" s="262"/>
      <c r="AE149" s="262"/>
      <c r="AF149" s="262"/>
    </row>
    <row r="150" spans="1:32" ht="15" customHeight="1" x14ac:dyDescent="0.2">
      <c r="A150" s="257"/>
      <c r="B150" s="1104" t="s">
        <v>78</v>
      </c>
      <c r="C150" s="1105"/>
      <c r="D150" s="1098">
        <f>INTAKE!S$31</f>
        <v>0</v>
      </c>
      <c r="E150" s="1099"/>
      <c r="F150" s="1112"/>
      <c r="G150" s="1114"/>
      <c r="H150" s="1106" t="e">
        <f>VLOOKUP(I142,PLANS!$A$1:$H$95,8,FALSE)</f>
        <v>#N/A</v>
      </c>
      <c r="I150" s="1107"/>
      <c r="J150" s="1108" t="e">
        <f t="shared" si="44"/>
        <v>#N/A</v>
      </c>
      <c r="K150" s="1109"/>
      <c r="L150" s="1110" t="e">
        <f t="shared" si="45"/>
        <v>#N/A</v>
      </c>
      <c r="M150" s="1111"/>
      <c r="N150" s="262"/>
      <c r="O150" s="560"/>
      <c r="P150" s="555"/>
      <c r="Q150" s="262"/>
      <c r="R150" s="262"/>
      <c r="S150" s="262"/>
      <c r="T150" s="262"/>
      <c r="U150" s="262"/>
      <c r="V150" s="262"/>
      <c r="W150" s="262"/>
      <c r="X150" s="402"/>
      <c r="Y150" s="402"/>
      <c r="Z150" s="262"/>
      <c r="AA150" s="262"/>
      <c r="AB150" s="262"/>
      <c r="AC150" s="262"/>
      <c r="AD150" s="262"/>
      <c r="AE150" s="262"/>
      <c r="AF150" s="262"/>
    </row>
    <row r="151" spans="1:32" ht="15" customHeight="1" thickBot="1" x14ac:dyDescent="0.25">
      <c r="A151" s="257"/>
      <c r="B151" s="1140" t="s">
        <v>79</v>
      </c>
      <c r="C151" s="1141"/>
      <c r="D151" s="492" t="s">
        <v>26</v>
      </c>
      <c r="E151" s="493" t="s">
        <v>80</v>
      </c>
      <c r="F151" s="224" t="s">
        <v>26</v>
      </c>
      <c r="G151" s="225" t="s">
        <v>80</v>
      </c>
      <c r="H151" s="302" t="s">
        <v>26</v>
      </c>
      <c r="I151" s="521" t="s">
        <v>80</v>
      </c>
      <c r="J151" s="228" t="s">
        <v>26</v>
      </c>
      <c r="K151" s="526" t="s">
        <v>80</v>
      </c>
      <c r="L151" s="229" t="s">
        <v>26</v>
      </c>
      <c r="M151" s="226" t="s">
        <v>80</v>
      </c>
      <c r="N151" s="262"/>
      <c r="O151" s="560"/>
      <c r="P151" s="555"/>
      <c r="Q151" s="262"/>
      <c r="R151" s="262"/>
      <c r="S151" s="262"/>
      <c r="T151" s="262"/>
      <c r="U151" s="262"/>
      <c r="V151" s="262"/>
      <c r="W151" s="262"/>
      <c r="X151" s="402"/>
      <c r="Y151" s="402"/>
      <c r="Z151" s="262"/>
      <c r="AA151" s="262"/>
      <c r="AB151" s="262"/>
      <c r="AC151" s="262"/>
      <c r="AD151" s="262"/>
      <c r="AE151" s="262"/>
      <c r="AF151" s="262"/>
    </row>
    <row r="152" spans="1:32" ht="15" customHeight="1" thickBot="1" x14ac:dyDescent="0.25">
      <c r="A152" s="257"/>
      <c r="B152" s="489" t="s">
        <v>81</v>
      </c>
      <c r="C152" s="219">
        <f>INTAKE!I$32</f>
        <v>0</v>
      </c>
      <c r="D152" s="494">
        <f>INTAKE!I31</f>
        <v>0</v>
      </c>
      <c r="E152" s="495">
        <f>IF(D152="","",SUM(C152*D152))</f>
        <v>0</v>
      </c>
      <c r="F152" s="218">
        <f>IF(G143=0,D152,(1+G143/1)*D152)</f>
        <v>0</v>
      </c>
      <c r="G152" s="300">
        <f>IF(F152="","",SUM(C152*F152))</f>
        <v>0</v>
      </c>
      <c r="H152" s="529"/>
      <c r="I152" s="522">
        <f>C152*H152</f>
        <v>0</v>
      </c>
      <c r="J152" s="216">
        <f>IF(K142=0%,H152,SUM(H152)*(1-K142)*1)</f>
        <v>0</v>
      </c>
      <c r="K152" s="527">
        <f>IF(J152=0,0,C152*J152)</f>
        <v>0</v>
      </c>
      <c r="L152" s="223">
        <f>IF(M142=0,J152,SUM(J152)*(1-M142)*1)</f>
        <v>0</v>
      </c>
      <c r="M152" s="222">
        <f>C152*L152</f>
        <v>0</v>
      </c>
      <c r="N152" s="262"/>
      <c r="O152" s="560"/>
      <c r="P152" s="555"/>
      <c r="Q152" s="262"/>
      <c r="R152" s="262"/>
      <c r="S152" s="262"/>
      <c r="T152" s="262"/>
      <c r="U152" s="262"/>
      <c r="V152" s="262"/>
      <c r="W152" s="262"/>
      <c r="X152" s="402"/>
      <c r="Y152" s="402"/>
      <c r="Z152" s="262"/>
      <c r="AA152" s="262"/>
      <c r="AB152" s="262"/>
      <c r="AC152" s="262"/>
      <c r="AD152" s="262"/>
      <c r="AE152" s="262"/>
      <c r="AF152" s="262"/>
    </row>
    <row r="153" spans="1:32" ht="15" customHeight="1" x14ac:dyDescent="0.2">
      <c r="A153" s="257"/>
      <c r="B153" s="489" t="str">
        <f>IF(FORMULAS!$E$12=2,"EF:",IF(FORMULAS!$E$12=3,"EE+1:","ES:"))</f>
        <v>ES:</v>
      </c>
      <c r="C153" s="219">
        <f>INTAKE!J$32</f>
        <v>0</v>
      </c>
      <c r="D153" s="494">
        <f>INTAKE!J31</f>
        <v>0</v>
      </c>
      <c r="E153" s="495">
        <f>IF(D153="","",SUM(C153*D153))</f>
        <v>0</v>
      </c>
      <c r="F153" s="218">
        <f>IF(G143=0,D153,(1+G143/1)*D153)</f>
        <v>0</v>
      </c>
      <c r="G153" s="300">
        <f t="shared" ref="G153:G154" si="46">IF(F153="","",SUM(C153*F153))</f>
        <v>0</v>
      </c>
      <c r="H153" s="303">
        <f>IF(FORMULAS!E12=3,2.1*H152,2.2*H152)</f>
        <v>0</v>
      </c>
      <c r="I153" s="523">
        <f>C153*H153</f>
        <v>0</v>
      </c>
      <c r="J153" s="216">
        <f>IF(K142=0%,H153,SUM(H153)*(1-K142)*1)</f>
        <v>0</v>
      </c>
      <c r="K153" s="527">
        <f t="shared" ref="K153:K154" si="47">IF(J153=0,0,C153*J153)</f>
        <v>0</v>
      </c>
      <c r="L153" s="223">
        <f>IF(M142=0,J153,SUM(J153)*(1-M142)*1)</f>
        <v>0</v>
      </c>
      <c r="M153" s="222">
        <f>C153*L153</f>
        <v>0</v>
      </c>
      <c r="N153" s="262"/>
      <c r="O153" s="560"/>
      <c r="P153" s="555"/>
      <c r="Q153" s="262"/>
      <c r="R153" s="262"/>
      <c r="S153" s="262"/>
      <c r="T153" s="262"/>
      <c r="U153" s="262"/>
      <c r="V153" s="262"/>
      <c r="W153" s="262"/>
      <c r="X153" s="402"/>
      <c r="Y153" s="402"/>
      <c r="Z153" s="262"/>
      <c r="AA153" s="262"/>
      <c r="AB153" s="262"/>
      <c r="AC153" s="262"/>
      <c r="AD153" s="262"/>
      <c r="AE153" s="262"/>
      <c r="AF153" s="262"/>
    </row>
    <row r="154" spans="1:32" ht="15" customHeight="1" x14ac:dyDescent="0.2">
      <c r="A154" s="257"/>
      <c r="B154" s="489" t="str">
        <f>IF(FORMULAS!$E$12=2,"",IF(FORMULAS!$E$12=3,"EE+2:","EC:"))</f>
        <v>EC:</v>
      </c>
      <c r="C154" s="219">
        <f>INTAKE!K$32</f>
        <v>0</v>
      </c>
      <c r="D154" s="494">
        <f>INTAKE!K31</f>
        <v>0</v>
      </c>
      <c r="E154" s="495">
        <f>IF(D154="","",SUM(C154*D154))</f>
        <v>0</v>
      </c>
      <c r="F154" s="218">
        <f>IF(G143=0,D154,(1+G143/1)*D154)</f>
        <v>0</v>
      </c>
      <c r="G154" s="300">
        <f t="shared" si="46"/>
        <v>0</v>
      </c>
      <c r="H154" s="223">
        <f>IF(FORMULAS!E12=3,3*H152,1.8*H152)</f>
        <v>0</v>
      </c>
      <c r="I154" s="523">
        <f>C154*H154</f>
        <v>0</v>
      </c>
      <c r="J154" s="216">
        <f>IF(K142=0%,H154,SUM(H154)*(1-K142)*1)</f>
        <v>0</v>
      </c>
      <c r="K154" s="527">
        <f t="shared" si="47"/>
        <v>0</v>
      </c>
      <c r="L154" s="223">
        <f>IF(M142=0,J154,SUM(J154)*(1-M142)*1)</f>
        <v>0</v>
      </c>
      <c r="M154" s="222">
        <f>C154*L154</f>
        <v>0</v>
      </c>
      <c r="N154" s="262"/>
      <c r="O154" s="560"/>
      <c r="P154" s="555"/>
      <c r="Q154" s="262"/>
      <c r="R154" s="262"/>
      <c r="S154" s="262"/>
      <c r="T154" s="262"/>
      <c r="U154" s="262"/>
      <c r="V154" s="262"/>
      <c r="W154" s="262"/>
      <c r="X154" s="402"/>
      <c r="Y154" s="402"/>
      <c r="Z154" s="262"/>
      <c r="AA154" s="262"/>
      <c r="AB154" s="262"/>
      <c r="AC154" s="262"/>
      <c r="AD154" s="262"/>
      <c r="AE154" s="262"/>
      <c r="AF154" s="262"/>
    </row>
    <row r="155" spans="1:32" ht="15" customHeight="1" x14ac:dyDescent="0.2">
      <c r="A155" s="257"/>
      <c r="B155" s="489" t="str">
        <f>IF(FORMULAS!$E$12=2,"",IF(FORMULAS!$E$12=3,"","EF:"))</f>
        <v>EF:</v>
      </c>
      <c r="C155" s="219">
        <f>INTAKE!L$32</f>
        <v>0</v>
      </c>
      <c r="D155" s="496">
        <f>IF(INTAKE!L31="","",INTAKE!L31)</f>
        <v>0</v>
      </c>
      <c r="E155" s="495">
        <f>IF(D155="","",C155*D155)</f>
        <v>0</v>
      </c>
      <c r="F155" s="298">
        <f>IF(D155="","",IF(G143=0,D155,(1+G143/1)*D155))</f>
        <v>0</v>
      </c>
      <c r="G155" s="217">
        <f>IF(D155="","",C155*F155)</f>
        <v>0</v>
      </c>
      <c r="H155" s="223">
        <f>IF(FORMULAS!E12=3,"",IF(D155="","",3.1*H152))</f>
        <v>0</v>
      </c>
      <c r="I155" s="523">
        <f>IF(D155="","",C155*H155)</f>
        <v>0</v>
      </c>
      <c r="J155" s="216">
        <f>IF(D155="","",IF(K142=0%,H155,SUM(H155)*(1-K142)*1))</f>
        <v>0</v>
      </c>
      <c r="K155" s="527">
        <f>IF(D155="","",IF(J155=0,0,C155*J155))</f>
        <v>0</v>
      </c>
      <c r="L155" s="223">
        <f>IF(D155="","",IF(M142=0,J155,SUM(J155)*(1-M142)*1))</f>
        <v>0</v>
      </c>
      <c r="M155" s="222">
        <f>IF(D155="","",C155*L155)</f>
        <v>0</v>
      </c>
      <c r="N155" s="262"/>
      <c r="O155" s="560"/>
      <c r="P155" s="555"/>
      <c r="Q155" s="262"/>
      <c r="R155" s="262"/>
      <c r="S155" s="262"/>
      <c r="T155" s="262"/>
      <c r="U155" s="262"/>
      <c r="V155" s="262"/>
      <c r="W155" s="262"/>
      <c r="X155" s="402"/>
      <c r="Y155" s="402"/>
      <c r="Z155" s="262"/>
      <c r="AA155" s="262"/>
      <c r="AB155" s="262"/>
      <c r="AC155" s="262"/>
      <c r="AD155" s="262"/>
      <c r="AE155" s="262"/>
      <c r="AF155" s="262"/>
    </row>
    <row r="156" spans="1:32" ht="15" customHeight="1" x14ac:dyDescent="0.2">
      <c r="A156" s="257"/>
      <c r="B156" s="1160"/>
      <c r="C156" s="1161"/>
      <c r="D156" s="516" t="s">
        <v>1698</v>
      </c>
      <c r="E156" s="497">
        <f>SUM(E152:E155)</f>
        <v>0</v>
      </c>
      <c r="F156" s="515" t="s">
        <v>1698</v>
      </c>
      <c r="G156" s="297">
        <f>SUM(G152:G155)</f>
        <v>0</v>
      </c>
      <c r="H156" s="511" t="s">
        <v>1698</v>
      </c>
      <c r="I156" s="524">
        <f>SUM(I152:I155)</f>
        <v>0</v>
      </c>
      <c r="J156" s="528" t="s">
        <v>1698</v>
      </c>
      <c r="K156" s="520">
        <f>SUM(K152:K155)</f>
        <v>0</v>
      </c>
      <c r="L156" s="295" t="s">
        <v>1698</v>
      </c>
      <c r="M156" s="292">
        <f>SUM(M152:M155)</f>
        <v>0</v>
      </c>
      <c r="N156" s="262"/>
      <c r="O156" s="560"/>
      <c r="P156" s="555"/>
      <c r="Q156" s="262"/>
      <c r="R156" s="262"/>
      <c r="S156" s="262"/>
      <c r="T156" s="262"/>
      <c r="U156" s="262"/>
      <c r="V156" s="262"/>
      <c r="W156" s="262"/>
      <c r="X156" s="402"/>
      <c r="Y156" s="402"/>
      <c r="Z156" s="262"/>
      <c r="AA156" s="262"/>
      <c r="AB156" s="262"/>
      <c r="AC156" s="262"/>
      <c r="AD156" s="262"/>
      <c r="AE156" s="262"/>
      <c r="AF156" s="262"/>
    </row>
    <row r="157" spans="1:32" ht="15" customHeight="1" x14ac:dyDescent="0.2">
      <c r="A157" s="257"/>
      <c r="B157" s="1162"/>
      <c r="C157" s="1163"/>
      <c r="D157" s="516" t="s">
        <v>1843</v>
      </c>
      <c r="E157" s="498">
        <f>E156*12</f>
        <v>0</v>
      </c>
      <c r="F157" s="515" t="s">
        <v>1843</v>
      </c>
      <c r="G157" s="299">
        <f>G156*12</f>
        <v>0</v>
      </c>
      <c r="H157" s="512" t="s">
        <v>1843</v>
      </c>
      <c r="I157" s="525">
        <f>I156*12</f>
        <v>0</v>
      </c>
      <c r="J157" s="528" t="s">
        <v>1843</v>
      </c>
      <c r="K157" s="546">
        <f>K156*12</f>
        <v>0</v>
      </c>
      <c r="L157" s="296" t="s">
        <v>1720</v>
      </c>
      <c r="M157" s="294">
        <f>M156*12</f>
        <v>0</v>
      </c>
      <c r="N157" s="262"/>
      <c r="O157" s="560"/>
      <c r="P157" s="555"/>
      <c r="Q157" s="262"/>
      <c r="R157" s="262"/>
      <c r="S157" s="262"/>
      <c r="T157" s="262"/>
      <c r="U157" s="262"/>
      <c r="V157" s="262"/>
      <c r="W157" s="262"/>
      <c r="X157" s="402"/>
      <c r="Y157" s="402"/>
      <c r="Z157" s="262"/>
      <c r="AA157" s="262"/>
      <c r="AB157" s="262"/>
      <c r="AC157" s="262"/>
      <c r="AD157" s="262"/>
      <c r="AE157" s="262"/>
      <c r="AF157" s="262"/>
    </row>
    <row r="158" spans="1:32" ht="15" customHeight="1" thickBot="1" x14ac:dyDescent="0.25">
      <c r="A158" s="257"/>
      <c r="B158" s="1164"/>
      <c r="C158" s="1165"/>
      <c r="D158" s="1096"/>
      <c r="E158" s="1097"/>
      <c r="F158" s="565" t="s">
        <v>1695</v>
      </c>
      <c r="G158" s="568" t="str">
        <f>IF(G156&lt;1,"",(E157-G157)/E157*-1)</f>
        <v/>
      </c>
      <c r="H158" s="509" t="s">
        <v>1695</v>
      </c>
      <c r="I158" s="552" t="str">
        <f>IF(I156&lt;1,"",(E157-I157)/E157*-1)</f>
        <v/>
      </c>
      <c r="J158" s="510" t="s">
        <v>1695</v>
      </c>
      <c r="K158" s="553">
        <f>IF(K157=0,0,(E157-K157)/E157*-1)</f>
        <v>0</v>
      </c>
      <c r="L158" s="230" t="s">
        <v>1695</v>
      </c>
      <c r="M158" s="552">
        <f>IF(I156=0,0,(E157-M157)/E157*-1)</f>
        <v>0</v>
      </c>
      <c r="N158" s="262"/>
      <c r="O158" s="560"/>
      <c r="P158" s="555"/>
      <c r="Q158" s="262"/>
      <c r="R158" s="262"/>
      <c r="S158" s="262"/>
      <c r="T158" s="262"/>
      <c r="U158" s="262"/>
      <c r="V158" s="262"/>
      <c r="W158" s="262"/>
      <c r="X158" s="402"/>
      <c r="Y158" s="402"/>
      <c r="Z158" s="262"/>
      <c r="AA158" s="262"/>
      <c r="AB158" s="262"/>
      <c r="AC158" s="262"/>
      <c r="AD158" s="262"/>
      <c r="AE158" s="262"/>
      <c r="AF158" s="262"/>
    </row>
    <row r="159" spans="1:32" ht="15" customHeight="1" thickTop="1" thickBot="1" x14ac:dyDescent="0.25">
      <c r="A159" s="257"/>
      <c r="B159" s="1130" t="s">
        <v>104</v>
      </c>
      <c r="C159" s="1131"/>
      <c r="D159" s="1142" t="s">
        <v>61</v>
      </c>
      <c r="E159" s="1143"/>
      <c r="F159" s="1143"/>
      <c r="G159" s="1144"/>
      <c r="H159" s="1145" t="s">
        <v>62</v>
      </c>
      <c r="I159" s="1146"/>
      <c r="J159" s="1147"/>
      <c r="K159" s="1147"/>
      <c r="L159" s="1146"/>
      <c r="M159" s="1148"/>
      <c r="N159" s="262"/>
      <c r="O159" s="560"/>
      <c r="P159" s="555"/>
      <c r="Q159" s="262"/>
      <c r="R159" s="262"/>
      <c r="S159" s="262"/>
      <c r="T159" s="262"/>
      <c r="U159" s="262"/>
      <c r="V159" s="262"/>
      <c r="W159" s="262"/>
      <c r="X159" s="402"/>
      <c r="Y159" s="402"/>
      <c r="Z159" s="262"/>
      <c r="AA159" s="262"/>
      <c r="AB159" s="262"/>
      <c r="AC159" s="262"/>
      <c r="AD159" s="262"/>
      <c r="AE159" s="262"/>
      <c r="AF159" s="262"/>
    </row>
    <row r="160" spans="1:32" ht="15" customHeight="1" thickTop="1" thickBot="1" x14ac:dyDescent="0.25">
      <c r="A160" s="257"/>
      <c r="B160" s="1132"/>
      <c r="C160" s="1133"/>
      <c r="D160" s="1100" t="s">
        <v>64</v>
      </c>
      <c r="E160" s="1101"/>
      <c r="F160" s="1126" t="s">
        <v>65</v>
      </c>
      <c r="G160" s="1127"/>
      <c r="H160" s="1092" t="s">
        <v>66</v>
      </c>
      <c r="I160" s="1093"/>
      <c r="J160" s="1094" t="s">
        <v>1699</v>
      </c>
      <c r="K160" s="1095"/>
      <c r="L160" s="1092" t="s">
        <v>1700</v>
      </c>
      <c r="M160" s="1093"/>
      <c r="N160" s="262"/>
      <c r="O160" s="560"/>
      <c r="P160" s="555"/>
      <c r="Q160" s="262"/>
      <c r="R160" s="262"/>
      <c r="S160" s="262"/>
      <c r="T160" s="262"/>
      <c r="U160" s="262"/>
      <c r="V160" s="262"/>
      <c r="W160" s="262"/>
      <c r="X160" s="402"/>
      <c r="Y160" s="402"/>
      <c r="Z160" s="262"/>
      <c r="AA160" s="262"/>
      <c r="AB160" s="262"/>
      <c r="AC160" s="262"/>
      <c r="AD160" s="262"/>
      <c r="AE160" s="262"/>
      <c r="AF160" s="262"/>
    </row>
    <row r="161" spans="1:32" ht="15" customHeight="1" thickTop="1" thickBot="1" x14ac:dyDescent="0.25">
      <c r="A161" s="257"/>
      <c r="B161" s="1132"/>
      <c r="C161" s="1133"/>
      <c r="D161" s="1102"/>
      <c r="E161" s="1103"/>
      <c r="F161" s="1128"/>
      <c r="G161" s="1129"/>
      <c r="H161" s="502" t="s">
        <v>1696</v>
      </c>
      <c r="I161" s="638"/>
      <c r="J161" s="503" t="s">
        <v>1697</v>
      </c>
      <c r="K161" s="566">
        <f>IF(E162=0,0,VLOOKUP(E162,RBRATES,2,0))</f>
        <v>0</v>
      </c>
      <c r="L161" s="502" t="s">
        <v>70</v>
      </c>
      <c r="M161" s="567">
        <f>$V$67</f>
        <v>0</v>
      </c>
      <c r="N161" s="262"/>
      <c r="O161" s="560"/>
      <c r="P161" s="555"/>
      <c r="Q161" s="262"/>
      <c r="R161" s="262"/>
      <c r="S161" s="262"/>
      <c r="T161" s="262"/>
      <c r="U161" s="262"/>
      <c r="V161" s="262"/>
      <c r="W161" s="262"/>
      <c r="X161" s="402"/>
      <c r="Y161" s="402"/>
      <c r="Z161" s="262"/>
      <c r="AA161" s="262"/>
      <c r="AB161" s="262"/>
      <c r="AC161" s="262"/>
      <c r="AD161" s="262"/>
      <c r="AE161" s="262"/>
      <c r="AF161" s="262"/>
    </row>
    <row r="162" spans="1:32" ht="15" customHeight="1" thickTop="1" thickBot="1" x14ac:dyDescent="0.25">
      <c r="A162" s="257"/>
      <c r="B162" s="1134"/>
      <c r="C162" s="1135"/>
      <c r="D162" s="500" t="s">
        <v>1785</v>
      </c>
      <c r="E162" s="491">
        <f>INTAKE!C33</f>
        <v>0</v>
      </c>
      <c r="F162" s="508" t="s">
        <v>68</v>
      </c>
      <c r="G162" s="551">
        <f>IF(E162=0,0,IF(E162="THMO",$F$5,IF(E162="SHMO",$G$5,IF(E162="PSHMO",$H$5,IF(E162="VIVITY",$I$5,IF(E162="KAISER",$J$5,IF(E162="PPO",$K$5,IF(E162="SOL",$L$5,IF(E162="CDHP",$M$5)))))))))</f>
        <v>0</v>
      </c>
      <c r="H162" s="501" t="s">
        <v>72</v>
      </c>
      <c r="I162" s="638"/>
      <c r="J162" s="1136"/>
      <c r="K162" s="1137"/>
      <c r="L162" s="1138"/>
      <c r="M162" s="1139"/>
      <c r="N162" s="262"/>
      <c r="O162" s="560"/>
      <c r="P162" s="555"/>
      <c r="Q162" s="262"/>
      <c r="R162" s="262"/>
      <c r="S162" s="262"/>
      <c r="T162" s="262"/>
      <c r="U162" s="262"/>
      <c r="V162" s="262"/>
      <c r="W162" s="262"/>
      <c r="X162" s="402"/>
      <c r="Y162" s="402"/>
      <c r="Z162" s="262"/>
      <c r="AA162" s="262"/>
      <c r="AB162" s="262"/>
      <c r="AC162" s="262"/>
      <c r="AD162" s="262"/>
      <c r="AE162" s="262"/>
      <c r="AF162" s="262"/>
    </row>
    <row r="163" spans="1:32" ht="15" customHeight="1" thickTop="1" x14ac:dyDescent="0.2">
      <c r="A163" s="257"/>
      <c r="B163" s="1121" t="s">
        <v>29</v>
      </c>
      <c r="C163" s="1122"/>
      <c r="D163" s="1123">
        <f>INTAKE!D$33</f>
        <v>0</v>
      </c>
      <c r="E163" s="1124"/>
      <c r="F163" s="1112"/>
      <c r="G163" s="1113"/>
      <c r="H163" s="1086" t="e">
        <f>VLOOKUP(I161,PLANS!$A$1:$H$95,2,FALSE)</f>
        <v>#N/A</v>
      </c>
      <c r="I163" s="1125"/>
      <c r="J163" s="1088" t="e">
        <f t="shared" ref="J163:J169" si="48">H163</f>
        <v>#N/A</v>
      </c>
      <c r="K163" s="1089"/>
      <c r="L163" s="1090" t="e">
        <f t="shared" ref="L163:L169" si="49">H163</f>
        <v>#N/A</v>
      </c>
      <c r="M163" s="1091"/>
      <c r="N163" s="262"/>
      <c r="O163" s="560"/>
      <c r="P163" s="555"/>
      <c r="Q163" s="262"/>
      <c r="R163" s="262"/>
      <c r="S163" s="262"/>
      <c r="T163" s="262"/>
      <c r="U163" s="262"/>
      <c r="V163" s="262"/>
      <c r="W163" s="262"/>
      <c r="X163" s="402"/>
      <c r="Y163" s="402"/>
      <c r="Z163" s="262"/>
      <c r="AA163" s="262"/>
      <c r="AB163" s="262"/>
      <c r="AC163" s="262"/>
      <c r="AD163" s="262"/>
      <c r="AE163" s="262"/>
      <c r="AF163" s="262"/>
    </row>
    <row r="164" spans="1:32" ht="15" customHeight="1" x14ac:dyDescent="0.2">
      <c r="A164" s="257"/>
      <c r="B164" s="1104" t="s">
        <v>33</v>
      </c>
      <c r="C164" s="1105"/>
      <c r="D164" s="1098">
        <f>INTAKE!N$33</f>
        <v>0</v>
      </c>
      <c r="E164" s="1099"/>
      <c r="F164" s="1112"/>
      <c r="G164" s="1114"/>
      <c r="H164" s="1086" t="e">
        <f>VLOOKUP(I161,PLANS!$A$1:$H$95,3,FALSE)</f>
        <v>#N/A</v>
      </c>
      <c r="I164" s="1087"/>
      <c r="J164" s="1088" t="e">
        <f t="shared" si="48"/>
        <v>#N/A</v>
      </c>
      <c r="K164" s="1089"/>
      <c r="L164" s="1090" t="e">
        <f t="shared" si="49"/>
        <v>#N/A</v>
      </c>
      <c r="M164" s="1091"/>
      <c r="N164" s="262"/>
      <c r="O164" s="560"/>
      <c r="P164" s="555"/>
      <c r="Q164" s="262"/>
      <c r="R164" s="262"/>
      <c r="S164" s="262"/>
      <c r="T164" s="262"/>
      <c r="U164" s="262"/>
      <c r="V164" s="262"/>
      <c r="W164" s="262"/>
      <c r="X164" s="402"/>
      <c r="Y164" s="402"/>
      <c r="Z164" s="262"/>
      <c r="AA164" s="262"/>
      <c r="AB164" s="262"/>
      <c r="AC164" s="262"/>
      <c r="AD164" s="262"/>
      <c r="AE164" s="262"/>
      <c r="AF164" s="262"/>
    </row>
    <row r="165" spans="1:32" ht="15" customHeight="1" x14ac:dyDescent="0.2">
      <c r="A165" s="257"/>
      <c r="B165" s="1119" t="s">
        <v>34</v>
      </c>
      <c r="C165" s="1120"/>
      <c r="D165" s="1098">
        <f>INTAKE!O$33</f>
        <v>0</v>
      </c>
      <c r="E165" s="1099"/>
      <c r="F165" s="1112"/>
      <c r="G165" s="1114"/>
      <c r="H165" s="1086" t="e">
        <f>VLOOKUP(I161,PLANS!$A$1:$H$95,4,FALSE)</f>
        <v>#N/A</v>
      </c>
      <c r="I165" s="1087"/>
      <c r="J165" s="1088" t="e">
        <f t="shared" si="48"/>
        <v>#N/A</v>
      </c>
      <c r="K165" s="1089"/>
      <c r="L165" s="1090" t="e">
        <f t="shared" si="49"/>
        <v>#N/A</v>
      </c>
      <c r="M165" s="1091"/>
      <c r="N165" s="262"/>
      <c r="O165" s="560"/>
      <c r="P165" s="555"/>
      <c r="Q165" s="262"/>
      <c r="R165" s="262"/>
      <c r="S165" s="262"/>
      <c r="T165" s="262"/>
      <c r="U165" s="262"/>
      <c r="V165" s="262"/>
      <c r="W165" s="262"/>
      <c r="X165" s="402"/>
      <c r="Y165" s="402"/>
      <c r="Z165" s="262"/>
      <c r="AA165" s="262"/>
      <c r="AB165" s="262"/>
      <c r="AC165" s="262"/>
      <c r="AD165" s="262"/>
      <c r="AE165" s="262"/>
      <c r="AF165" s="262"/>
    </row>
    <row r="166" spans="1:32" ht="15" customHeight="1" x14ac:dyDescent="0.2">
      <c r="A166" s="257"/>
      <c r="B166" s="1115" t="s">
        <v>35</v>
      </c>
      <c r="C166" s="1116"/>
      <c r="D166" s="1117">
        <f>INTAKE!P$33</f>
        <v>0</v>
      </c>
      <c r="E166" s="1118"/>
      <c r="F166" s="1112"/>
      <c r="G166" s="1114"/>
      <c r="H166" s="1086" t="e">
        <f>VLOOKUP(I161,PLANS!$A$1:$H$95,5,FALSE)</f>
        <v>#N/A</v>
      </c>
      <c r="I166" s="1087"/>
      <c r="J166" s="1088" t="e">
        <f t="shared" si="48"/>
        <v>#N/A</v>
      </c>
      <c r="K166" s="1089"/>
      <c r="L166" s="1090" t="e">
        <f t="shared" si="49"/>
        <v>#N/A</v>
      </c>
      <c r="M166" s="1091"/>
      <c r="N166" s="262"/>
      <c r="O166" s="560"/>
      <c r="P166" s="555"/>
      <c r="Q166" s="262"/>
      <c r="R166" s="262"/>
      <c r="S166" s="262"/>
      <c r="T166" s="262"/>
      <c r="U166" s="262"/>
      <c r="V166" s="262"/>
      <c r="W166" s="262"/>
      <c r="X166" s="402"/>
      <c r="Y166" s="402"/>
      <c r="Z166" s="262"/>
      <c r="AA166" s="262"/>
      <c r="AB166" s="262"/>
      <c r="AC166" s="262"/>
      <c r="AD166" s="262"/>
      <c r="AE166" s="262"/>
      <c r="AF166" s="262"/>
    </row>
    <row r="167" spans="1:32" ht="15" customHeight="1" x14ac:dyDescent="0.2">
      <c r="A167" s="257"/>
      <c r="B167" s="1115" t="s">
        <v>36</v>
      </c>
      <c r="C167" s="1116"/>
      <c r="D167" s="1117">
        <f>INTAKE!Q$33</f>
        <v>0</v>
      </c>
      <c r="E167" s="1118"/>
      <c r="F167" s="1112"/>
      <c r="G167" s="1114"/>
      <c r="H167" s="1086" t="e">
        <f>VLOOKUP(I161,PLANS!$A$1:$H$95,6,FALSE)</f>
        <v>#N/A</v>
      </c>
      <c r="I167" s="1087"/>
      <c r="J167" s="1088" t="e">
        <f t="shared" si="48"/>
        <v>#N/A</v>
      </c>
      <c r="K167" s="1089"/>
      <c r="L167" s="1090" t="e">
        <f t="shared" si="49"/>
        <v>#N/A</v>
      </c>
      <c r="M167" s="1091"/>
      <c r="N167" s="262"/>
      <c r="O167" s="560"/>
      <c r="P167" s="558"/>
      <c r="Q167" s="262"/>
      <c r="R167" s="262"/>
      <c r="S167" s="262"/>
      <c r="T167" s="262"/>
      <c r="U167" s="262"/>
      <c r="V167" s="262"/>
      <c r="W167" s="262"/>
      <c r="X167" s="402"/>
      <c r="Y167" s="402"/>
      <c r="Z167" s="262"/>
      <c r="AA167" s="262"/>
      <c r="AB167" s="262"/>
      <c r="AC167" s="262"/>
      <c r="AD167" s="262"/>
      <c r="AE167" s="262"/>
      <c r="AF167" s="262"/>
    </row>
    <row r="168" spans="1:32" ht="15" customHeight="1" x14ac:dyDescent="0.2">
      <c r="A168" s="257"/>
      <c r="B168" s="1115" t="s">
        <v>76</v>
      </c>
      <c r="C168" s="1116"/>
      <c r="D168" s="1098">
        <f>INTAKE!R$33</f>
        <v>0</v>
      </c>
      <c r="E168" s="1099"/>
      <c r="F168" s="1112"/>
      <c r="G168" s="1114"/>
      <c r="H168" s="1086" t="e">
        <f>VLOOKUP(I161,PLANS!$A$1:$H$95,7,FALSE)</f>
        <v>#N/A</v>
      </c>
      <c r="I168" s="1087"/>
      <c r="J168" s="1088" t="e">
        <f t="shared" si="48"/>
        <v>#N/A</v>
      </c>
      <c r="K168" s="1089"/>
      <c r="L168" s="1090" t="e">
        <f t="shared" si="49"/>
        <v>#N/A</v>
      </c>
      <c r="M168" s="1091"/>
      <c r="N168" s="262"/>
      <c r="O168" s="560"/>
      <c r="P168" s="558"/>
      <c r="Q168" s="262"/>
      <c r="R168" s="262"/>
      <c r="S168" s="262"/>
      <c r="T168" s="262"/>
      <c r="U168" s="262"/>
      <c r="V168" s="262"/>
      <c r="W168" s="262"/>
      <c r="X168" s="402"/>
      <c r="Y168" s="402"/>
      <c r="Z168" s="262"/>
      <c r="AA168" s="262"/>
      <c r="AB168" s="262"/>
      <c r="AC168" s="262"/>
      <c r="AD168" s="262"/>
      <c r="AE168" s="262"/>
      <c r="AF168" s="262"/>
    </row>
    <row r="169" spans="1:32" ht="15" customHeight="1" x14ac:dyDescent="0.2">
      <c r="A169" s="257"/>
      <c r="B169" s="1104" t="s">
        <v>78</v>
      </c>
      <c r="C169" s="1105"/>
      <c r="D169" s="1098">
        <f>INTAKE!S$33</f>
        <v>0</v>
      </c>
      <c r="E169" s="1099"/>
      <c r="F169" s="1112"/>
      <c r="G169" s="1114"/>
      <c r="H169" s="1106" t="e">
        <f>VLOOKUP(I161,PLANS!$A$1:$H$95,8,FALSE)</f>
        <v>#N/A</v>
      </c>
      <c r="I169" s="1107"/>
      <c r="J169" s="1108" t="e">
        <f t="shared" si="48"/>
        <v>#N/A</v>
      </c>
      <c r="K169" s="1109"/>
      <c r="L169" s="1110" t="e">
        <f t="shared" si="49"/>
        <v>#N/A</v>
      </c>
      <c r="M169" s="1111"/>
      <c r="N169" s="262"/>
      <c r="O169" s="560"/>
      <c r="P169" s="558"/>
      <c r="Q169" s="262"/>
      <c r="R169" s="262"/>
      <c r="S169" s="262"/>
      <c r="T169" s="262"/>
      <c r="U169" s="262"/>
      <c r="V169" s="262"/>
      <c r="W169" s="262"/>
      <c r="X169" s="402"/>
      <c r="Y169" s="402"/>
      <c r="Z169" s="262"/>
      <c r="AA169" s="262"/>
      <c r="AB169" s="262"/>
      <c r="AC169" s="262"/>
      <c r="AD169" s="262"/>
      <c r="AE169" s="262"/>
      <c r="AF169" s="262"/>
    </row>
    <row r="170" spans="1:32" ht="15" customHeight="1" thickBot="1" x14ac:dyDescent="0.25">
      <c r="A170" s="257"/>
      <c r="B170" s="1140" t="s">
        <v>79</v>
      </c>
      <c r="C170" s="1141"/>
      <c r="D170" s="492" t="s">
        <v>26</v>
      </c>
      <c r="E170" s="493" t="s">
        <v>80</v>
      </c>
      <c r="F170" s="224" t="s">
        <v>26</v>
      </c>
      <c r="G170" s="225" t="s">
        <v>80</v>
      </c>
      <c r="H170" s="302" t="s">
        <v>26</v>
      </c>
      <c r="I170" s="521" t="s">
        <v>80</v>
      </c>
      <c r="J170" s="228" t="s">
        <v>26</v>
      </c>
      <c r="K170" s="526" t="s">
        <v>80</v>
      </c>
      <c r="L170" s="229" t="s">
        <v>26</v>
      </c>
      <c r="M170" s="226" t="s">
        <v>80</v>
      </c>
      <c r="N170" s="262"/>
      <c r="O170" s="560"/>
      <c r="P170" s="558"/>
      <c r="Q170" s="262"/>
      <c r="R170" s="262"/>
      <c r="S170" s="262"/>
      <c r="T170" s="262"/>
      <c r="U170" s="262"/>
      <c r="V170" s="262"/>
      <c r="W170" s="262"/>
      <c r="X170" s="402"/>
      <c r="Y170" s="402"/>
      <c r="Z170" s="262"/>
      <c r="AA170" s="262"/>
      <c r="AB170" s="262"/>
      <c r="AC170" s="262"/>
      <c r="AD170" s="262"/>
      <c r="AE170" s="262"/>
      <c r="AF170" s="262"/>
    </row>
    <row r="171" spans="1:32" ht="15" customHeight="1" thickBot="1" x14ac:dyDescent="0.25">
      <c r="A171" s="257"/>
      <c r="B171" s="489" t="s">
        <v>81</v>
      </c>
      <c r="C171" s="219">
        <f>INTAKE!I$34</f>
        <v>0</v>
      </c>
      <c r="D171" s="494">
        <f>INTAKE!I33</f>
        <v>0</v>
      </c>
      <c r="E171" s="495">
        <f>IF(D171="","",SUM(C171*D171))</f>
        <v>0</v>
      </c>
      <c r="F171" s="218">
        <f>IF(G162=0,D171,(1+G162/1)*D171)</f>
        <v>0</v>
      </c>
      <c r="G171" s="300">
        <f>IF(F171="","",SUM(C171*F171))</f>
        <v>0</v>
      </c>
      <c r="H171" s="529"/>
      <c r="I171" s="522">
        <f>C171*H171</f>
        <v>0</v>
      </c>
      <c r="J171" s="216">
        <f>IF(K161=0%,H171,SUM(H171)*(1-K161)*1)</f>
        <v>0</v>
      </c>
      <c r="K171" s="527">
        <f>IF(J171=0,0,C171*J171)</f>
        <v>0</v>
      </c>
      <c r="L171" s="223">
        <f>IF(M161=0,J171,SUM(J171)*(1-M161)*1)</f>
        <v>0</v>
      </c>
      <c r="M171" s="222">
        <f>C171*L171</f>
        <v>0</v>
      </c>
      <c r="N171" s="262"/>
      <c r="O171" s="560"/>
      <c r="P171" s="558"/>
      <c r="Q171" s="262"/>
      <c r="R171" s="262"/>
      <c r="S171" s="262"/>
      <c r="T171" s="262"/>
      <c r="U171" s="262"/>
      <c r="V171" s="262"/>
      <c r="W171" s="262"/>
      <c r="X171" s="402"/>
      <c r="Y171" s="402"/>
      <c r="Z171" s="262"/>
      <c r="AA171" s="262"/>
      <c r="AB171" s="262"/>
      <c r="AC171" s="262"/>
      <c r="AD171" s="262"/>
      <c r="AE171" s="262"/>
      <c r="AF171" s="262"/>
    </row>
    <row r="172" spans="1:32" ht="15" customHeight="1" x14ac:dyDescent="0.2">
      <c r="A172" s="257"/>
      <c r="B172" s="489" t="str">
        <f>IF(FORMULAS!$E$12=2,"EF:",IF(FORMULAS!$E$12=3,"EE+1:","ES:"))</f>
        <v>ES:</v>
      </c>
      <c r="C172" s="219">
        <f>INTAKE!J$34</f>
        <v>0</v>
      </c>
      <c r="D172" s="494">
        <f>INTAKE!J33</f>
        <v>0</v>
      </c>
      <c r="E172" s="495">
        <f>IF(D172="","",SUM(C172*D172))</f>
        <v>0</v>
      </c>
      <c r="F172" s="218">
        <f>IF(G162=0,D172,(1+G162/1)*D172)</f>
        <v>0</v>
      </c>
      <c r="G172" s="300">
        <f t="shared" ref="G172:G173" si="50">IF(F172="","",SUM(C172*F172))</f>
        <v>0</v>
      </c>
      <c r="H172" s="303">
        <f>IF(FORMULAS!E12=3,2.1*H171,2.2*H171)</f>
        <v>0</v>
      </c>
      <c r="I172" s="523">
        <f>C172*H172</f>
        <v>0</v>
      </c>
      <c r="J172" s="216">
        <f>IF(K161=0%,H172,SUM(H172)*(1-K161)*1)</f>
        <v>0</v>
      </c>
      <c r="K172" s="527">
        <f t="shared" ref="K172:K173" si="51">IF(J172=0,0,C172*J172)</f>
        <v>0</v>
      </c>
      <c r="L172" s="223">
        <f>IF(M161=0,J172,SUM(J172)*(1-M161)*1)</f>
        <v>0</v>
      </c>
      <c r="M172" s="222">
        <f>C172*L172</f>
        <v>0</v>
      </c>
      <c r="N172" s="262"/>
      <c r="O172" s="560"/>
      <c r="P172" s="558"/>
      <c r="Q172" s="262"/>
      <c r="R172" s="262"/>
      <c r="S172" s="262"/>
      <c r="T172" s="262"/>
      <c r="U172" s="262"/>
      <c r="V172" s="262"/>
      <c r="W172" s="262"/>
      <c r="X172" s="402"/>
      <c r="Y172" s="402"/>
      <c r="Z172" s="262"/>
      <c r="AA172" s="262"/>
      <c r="AB172" s="262"/>
      <c r="AC172" s="262"/>
      <c r="AD172" s="262"/>
      <c r="AE172" s="262"/>
      <c r="AF172" s="262"/>
    </row>
    <row r="173" spans="1:32" ht="15" customHeight="1" x14ac:dyDescent="0.2">
      <c r="A173" s="257"/>
      <c r="B173" s="489" t="str">
        <f>IF(FORMULAS!$E$12=2,"",IF(FORMULAS!$E$12=3,"EE+2:","EC:"))</f>
        <v>EC:</v>
      </c>
      <c r="C173" s="219">
        <f>INTAKE!K$34</f>
        <v>0</v>
      </c>
      <c r="D173" s="494">
        <f>INTAKE!K33</f>
        <v>0</v>
      </c>
      <c r="E173" s="495">
        <f>IF(D173="","",SUM(C173*D173))</f>
        <v>0</v>
      </c>
      <c r="F173" s="218">
        <f>IF(G162=0,D173,(1+G162/1)*D173)</f>
        <v>0</v>
      </c>
      <c r="G173" s="300">
        <f t="shared" si="50"/>
        <v>0</v>
      </c>
      <c r="H173" s="223">
        <f>IF(FORMULAS!E12=3,3*H171,1.8*H171)</f>
        <v>0</v>
      </c>
      <c r="I173" s="523">
        <f>C173*H173</f>
        <v>0</v>
      </c>
      <c r="J173" s="216">
        <f>IF(K161=0%,H173,SUM(H173)*(1-K161)*1)</f>
        <v>0</v>
      </c>
      <c r="K173" s="527">
        <f t="shared" si="51"/>
        <v>0</v>
      </c>
      <c r="L173" s="223">
        <f>IF(M161=0,J173,SUM(J173)*(1-M161)*1)</f>
        <v>0</v>
      </c>
      <c r="M173" s="222">
        <f>C173*L173</f>
        <v>0</v>
      </c>
      <c r="N173" s="262"/>
      <c r="O173" s="560"/>
      <c r="P173" s="558"/>
      <c r="Q173" s="262"/>
      <c r="R173" s="262"/>
      <c r="S173" s="262"/>
      <c r="T173" s="262"/>
      <c r="U173" s="262"/>
      <c r="V173" s="262"/>
      <c r="W173" s="262"/>
      <c r="X173" s="402"/>
      <c r="Y173" s="402"/>
      <c r="Z173" s="262"/>
      <c r="AA173" s="262"/>
      <c r="AB173" s="262"/>
      <c r="AC173" s="262"/>
      <c r="AD173" s="262"/>
      <c r="AE173" s="262"/>
      <c r="AF173" s="262"/>
    </row>
    <row r="174" spans="1:32" ht="15" customHeight="1" x14ac:dyDescent="0.2">
      <c r="A174" s="257"/>
      <c r="B174" s="489" t="str">
        <f>IF(FORMULAS!$E$12=2,"",IF(FORMULAS!$E$12=3,"","EF:"))</f>
        <v>EF:</v>
      </c>
      <c r="C174" s="219">
        <f>INTAKE!L$34</f>
        <v>0</v>
      </c>
      <c r="D174" s="496">
        <f>IF(INTAKE!L33="","",INTAKE!L33)</f>
        <v>0</v>
      </c>
      <c r="E174" s="495">
        <f>IF(D174="","",C174*D174)</f>
        <v>0</v>
      </c>
      <c r="F174" s="298">
        <f>IF(D174="","",IF(G162=0,D174,(1+G162/1)*D174))</f>
        <v>0</v>
      </c>
      <c r="G174" s="217">
        <f>IF(D174="","",C174*F174)</f>
        <v>0</v>
      </c>
      <c r="H174" s="223">
        <f>IF(FORMULAS!E12=3,"",IF(D174="","",3.1*H171))</f>
        <v>0</v>
      </c>
      <c r="I174" s="523">
        <f>IF(D174="","",C174*H174)</f>
        <v>0</v>
      </c>
      <c r="J174" s="216">
        <f>IF(D174="","",IF(K161=0%,H174,SUM(H174)*(1-K161)*1))</f>
        <v>0</v>
      </c>
      <c r="K174" s="527">
        <f>IF(D174="","",IF(J174=0,0,C174*J174))</f>
        <v>0</v>
      </c>
      <c r="L174" s="223">
        <f>IF(D174="","",IF(M161=0,J174,SUM(J174)*(1-M161)*1))</f>
        <v>0</v>
      </c>
      <c r="M174" s="222">
        <f>IF(D174="","",C174*L174)</f>
        <v>0</v>
      </c>
      <c r="N174" s="262"/>
      <c r="O174" s="560"/>
      <c r="P174" s="558"/>
      <c r="Q174" s="262"/>
      <c r="R174" s="262"/>
      <c r="S174" s="262"/>
      <c r="T174" s="262"/>
      <c r="U174" s="262"/>
      <c r="V174" s="262"/>
      <c r="W174" s="262"/>
      <c r="X174" s="402"/>
      <c r="Y174" s="402"/>
      <c r="Z174" s="262"/>
      <c r="AA174" s="262"/>
      <c r="AB174" s="262"/>
      <c r="AC174" s="262"/>
      <c r="AD174" s="262"/>
      <c r="AE174" s="262"/>
      <c r="AF174" s="262"/>
    </row>
    <row r="175" spans="1:32" ht="15" customHeight="1" x14ac:dyDescent="0.2">
      <c r="A175" s="257"/>
      <c r="B175" s="1160"/>
      <c r="C175" s="1161"/>
      <c r="D175" s="516" t="s">
        <v>1698</v>
      </c>
      <c r="E175" s="497">
        <f>SUM(E171:E174)</f>
        <v>0</v>
      </c>
      <c r="F175" s="515" t="s">
        <v>1698</v>
      </c>
      <c r="G175" s="297">
        <f>SUM(G171:G174)</f>
        <v>0</v>
      </c>
      <c r="H175" s="511" t="s">
        <v>1698</v>
      </c>
      <c r="I175" s="524">
        <f>SUM(I171:I174)</f>
        <v>0</v>
      </c>
      <c r="J175" s="528" t="s">
        <v>1698</v>
      </c>
      <c r="K175" s="520">
        <f>SUM(K171:K174)</f>
        <v>0</v>
      </c>
      <c r="L175" s="295" t="s">
        <v>1698</v>
      </c>
      <c r="M175" s="292">
        <f>SUM(M171:M174)</f>
        <v>0</v>
      </c>
      <c r="N175" s="262"/>
      <c r="O175" s="560"/>
      <c r="P175" s="558"/>
      <c r="Q175" s="262"/>
      <c r="R175" s="262"/>
      <c r="S175" s="262"/>
      <c r="T175" s="262"/>
      <c r="U175" s="262"/>
      <c r="V175" s="262"/>
      <c r="W175" s="262"/>
      <c r="X175" s="402"/>
      <c r="Y175" s="402"/>
      <c r="Z175" s="262"/>
      <c r="AA175" s="262"/>
      <c r="AB175" s="262"/>
      <c r="AC175" s="262"/>
      <c r="AD175" s="262"/>
      <c r="AE175" s="262"/>
      <c r="AF175" s="262"/>
    </row>
    <row r="176" spans="1:32" ht="15" customHeight="1" x14ac:dyDescent="0.2">
      <c r="A176" s="257"/>
      <c r="B176" s="1162"/>
      <c r="C176" s="1163"/>
      <c r="D176" s="516" t="s">
        <v>1843</v>
      </c>
      <c r="E176" s="498">
        <f>E175*12</f>
        <v>0</v>
      </c>
      <c r="F176" s="515" t="s">
        <v>1843</v>
      </c>
      <c r="G176" s="299">
        <f>G175*12</f>
        <v>0</v>
      </c>
      <c r="H176" s="512" t="s">
        <v>1843</v>
      </c>
      <c r="I176" s="525">
        <f>I175*12</f>
        <v>0</v>
      </c>
      <c r="J176" s="528" t="s">
        <v>1843</v>
      </c>
      <c r="K176" s="546">
        <f>K175*12</f>
        <v>0</v>
      </c>
      <c r="L176" s="296" t="s">
        <v>1720</v>
      </c>
      <c r="M176" s="294">
        <f>M175*12</f>
        <v>0</v>
      </c>
      <c r="N176" s="262"/>
      <c r="O176" s="560"/>
      <c r="P176" s="558"/>
      <c r="Q176" s="262"/>
      <c r="R176" s="262"/>
      <c r="S176" s="262"/>
      <c r="T176" s="262"/>
      <c r="U176" s="262"/>
      <c r="V176" s="262"/>
      <c r="W176" s="262"/>
      <c r="X176" s="402"/>
      <c r="Y176" s="402"/>
      <c r="Z176" s="262"/>
      <c r="AA176" s="262"/>
      <c r="AB176" s="262"/>
      <c r="AC176" s="262"/>
      <c r="AD176" s="262"/>
      <c r="AE176" s="262"/>
      <c r="AF176" s="262"/>
    </row>
    <row r="177" spans="1:32" ht="15" customHeight="1" thickBot="1" x14ac:dyDescent="0.25">
      <c r="A177" s="257"/>
      <c r="B177" s="1164"/>
      <c r="C177" s="1165"/>
      <c r="D177" s="1096"/>
      <c r="E177" s="1097"/>
      <c r="F177" s="565" t="s">
        <v>1695</v>
      </c>
      <c r="G177" s="568" t="str">
        <f>IF(G175&lt;1,"",(E176-G176)/E176*-1)</f>
        <v/>
      </c>
      <c r="H177" s="509" t="s">
        <v>1695</v>
      </c>
      <c r="I177" s="552" t="str">
        <f>IF(I175&lt;1,"",(E176-I176)/E176*-1)</f>
        <v/>
      </c>
      <c r="J177" s="510" t="s">
        <v>1695</v>
      </c>
      <c r="K177" s="553">
        <f>IF(K176=0,0,(E176-K176)/E176*-1)</f>
        <v>0</v>
      </c>
      <c r="L177" s="230" t="s">
        <v>1695</v>
      </c>
      <c r="M177" s="552">
        <f>IF(I175=0,0,(E176-M176)/E176*-1)</f>
        <v>0</v>
      </c>
      <c r="N177" s="262"/>
      <c r="O177" s="560"/>
      <c r="P177" s="558"/>
      <c r="Q177" s="262"/>
      <c r="R177" s="262"/>
      <c r="S177" s="262"/>
      <c r="T177" s="262"/>
      <c r="U177" s="262"/>
      <c r="V177" s="262"/>
      <c r="W177" s="262"/>
      <c r="X177" s="402"/>
      <c r="Y177" s="402"/>
      <c r="Z177" s="262"/>
      <c r="AA177" s="262"/>
      <c r="AB177" s="262"/>
      <c r="AC177" s="262"/>
      <c r="AD177" s="262"/>
      <c r="AE177" s="262"/>
      <c r="AF177" s="262"/>
    </row>
    <row r="178" spans="1:32" ht="15" customHeight="1" thickTop="1" thickBot="1" x14ac:dyDescent="0.25">
      <c r="A178" s="257"/>
      <c r="B178" s="1130" t="s">
        <v>105</v>
      </c>
      <c r="C178" s="1131"/>
      <c r="D178" s="1142" t="s">
        <v>61</v>
      </c>
      <c r="E178" s="1143"/>
      <c r="F178" s="1143"/>
      <c r="G178" s="1144"/>
      <c r="H178" s="1145" t="s">
        <v>62</v>
      </c>
      <c r="I178" s="1146"/>
      <c r="J178" s="1147"/>
      <c r="K178" s="1147"/>
      <c r="L178" s="1146"/>
      <c r="M178" s="1148"/>
      <c r="N178" s="262"/>
      <c r="O178" s="560"/>
      <c r="P178" s="558"/>
      <c r="Q178" s="262"/>
      <c r="R178" s="262"/>
      <c r="S178" s="262"/>
      <c r="T178" s="262"/>
      <c r="U178" s="262"/>
      <c r="V178" s="262"/>
      <c r="W178" s="262"/>
      <c r="X178" s="402"/>
      <c r="Y178" s="402"/>
      <c r="Z178" s="262"/>
      <c r="AA178" s="262"/>
      <c r="AB178" s="262"/>
      <c r="AC178" s="262"/>
      <c r="AD178" s="262"/>
      <c r="AE178" s="262"/>
      <c r="AF178" s="262"/>
    </row>
    <row r="179" spans="1:32" ht="15" customHeight="1" thickTop="1" thickBot="1" x14ac:dyDescent="0.25">
      <c r="A179" s="257"/>
      <c r="B179" s="1132"/>
      <c r="C179" s="1133"/>
      <c r="D179" s="1100" t="s">
        <v>64</v>
      </c>
      <c r="E179" s="1101"/>
      <c r="F179" s="1126" t="s">
        <v>65</v>
      </c>
      <c r="G179" s="1127"/>
      <c r="H179" s="1092" t="s">
        <v>66</v>
      </c>
      <c r="I179" s="1093"/>
      <c r="J179" s="1094" t="s">
        <v>1699</v>
      </c>
      <c r="K179" s="1095"/>
      <c r="L179" s="1092" t="s">
        <v>1700</v>
      </c>
      <c r="M179" s="1093"/>
      <c r="N179" s="262"/>
      <c r="O179" s="560"/>
      <c r="P179" s="558"/>
      <c r="Q179" s="262"/>
      <c r="R179" s="262"/>
      <c r="S179" s="262"/>
      <c r="T179" s="262"/>
      <c r="U179" s="262"/>
      <c r="V179" s="262"/>
      <c r="W179" s="262"/>
      <c r="X179" s="402"/>
      <c r="Y179" s="402"/>
      <c r="Z179" s="262"/>
      <c r="AA179" s="262"/>
      <c r="AB179" s="262"/>
      <c r="AC179" s="262"/>
      <c r="AD179" s="262"/>
      <c r="AE179" s="262"/>
      <c r="AF179" s="262"/>
    </row>
    <row r="180" spans="1:32" ht="15" customHeight="1" thickTop="1" thickBot="1" x14ac:dyDescent="0.25">
      <c r="A180" s="257"/>
      <c r="B180" s="1132"/>
      <c r="C180" s="1133"/>
      <c r="D180" s="1102"/>
      <c r="E180" s="1103"/>
      <c r="F180" s="1128"/>
      <c r="G180" s="1129"/>
      <c r="H180" s="502" t="s">
        <v>1696</v>
      </c>
      <c r="I180" s="638"/>
      <c r="J180" s="503" t="s">
        <v>1697</v>
      </c>
      <c r="K180" s="566">
        <f>IF(E181=0,0,VLOOKUP(E181,RBRATES,2,0))</f>
        <v>0</v>
      </c>
      <c r="L180" s="502" t="s">
        <v>70</v>
      </c>
      <c r="M180" s="567">
        <f>$V$67</f>
        <v>0</v>
      </c>
      <c r="N180" s="262"/>
      <c r="O180" s="560"/>
      <c r="P180" s="558"/>
      <c r="Q180" s="262"/>
      <c r="R180" s="262"/>
      <c r="S180" s="262"/>
      <c r="T180" s="262"/>
      <c r="U180" s="262"/>
      <c r="V180" s="262"/>
      <c r="W180" s="262"/>
      <c r="X180" s="402"/>
      <c r="Y180" s="402"/>
      <c r="Z180" s="262"/>
      <c r="AA180" s="262"/>
      <c r="AB180" s="262"/>
      <c r="AC180" s="262"/>
      <c r="AD180" s="262"/>
      <c r="AE180" s="262"/>
      <c r="AF180" s="262"/>
    </row>
    <row r="181" spans="1:32" ht="15" customHeight="1" thickTop="1" thickBot="1" x14ac:dyDescent="0.25">
      <c r="A181" s="257"/>
      <c r="B181" s="1134"/>
      <c r="C181" s="1135"/>
      <c r="D181" s="500" t="s">
        <v>1785</v>
      </c>
      <c r="E181" s="491">
        <f>INTAKE!C35</f>
        <v>0</v>
      </c>
      <c r="F181" s="508" t="s">
        <v>68</v>
      </c>
      <c r="G181" s="551">
        <f>IF(E181=0,0,IF(E181="THMO",$F$5,IF(E181="SHMO",$G$5,IF(E181="PSHMO",$H$5,IF(E181="VIVITY",$I$5,IF(E181="KAISER",$J$5,IF(E181="PPO",$K$5,IF(E181="SOL",$L$5,IF(E181="CDHP",$M$5)))))))))</f>
        <v>0</v>
      </c>
      <c r="H181" s="501" t="s">
        <v>72</v>
      </c>
      <c r="I181" s="638"/>
      <c r="J181" s="1136"/>
      <c r="K181" s="1137"/>
      <c r="L181" s="1138"/>
      <c r="M181" s="1139"/>
      <c r="N181" s="262"/>
      <c r="O181" s="560"/>
      <c r="P181" s="558"/>
      <c r="Q181" s="262"/>
      <c r="R181" s="262"/>
      <c r="S181" s="262"/>
      <c r="T181" s="262"/>
      <c r="U181" s="262"/>
      <c r="V181" s="262"/>
      <c r="W181" s="262"/>
      <c r="X181" s="402"/>
      <c r="Y181" s="402"/>
      <c r="Z181" s="262"/>
      <c r="AA181" s="262"/>
      <c r="AB181" s="262"/>
      <c r="AC181" s="262"/>
      <c r="AD181" s="262"/>
      <c r="AE181" s="262"/>
      <c r="AF181" s="262"/>
    </row>
    <row r="182" spans="1:32" ht="15" customHeight="1" thickTop="1" x14ac:dyDescent="0.2">
      <c r="A182" s="257"/>
      <c r="B182" s="1121" t="s">
        <v>29</v>
      </c>
      <c r="C182" s="1122"/>
      <c r="D182" s="1123">
        <f>INTAKE!D$35</f>
        <v>0</v>
      </c>
      <c r="E182" s="1124"/>
      <c r="F182" s="1112"/>
      <c r="G182" s="1113"/>
      <c r="H182" s="1086" t="e">
        <f>VLOOKUP(I180,PLANS!$A$1:$H$95,2,FALSE)</f>
        <v>#N/A</v>
      </c>
      <c r="I182" s="1125"/>
      <c r="J182" s="1088" t="e">
        <f t="shared" ref="J182:J188" si="52">H182</f>
        <v>#N/A</v>
      </c>
      <c r="K182" s="1089"/>
      <c r="L182" s="1090" t="e">
        <f t="shared" ref="L182:L188" si="53">H182</f>
        <v>#N/A</v>
      </c>
      <c r="M182" s="1091"/>
      <c r="N182" s="262"/>
      <c r="O182" s="560"/>
      <c r="P182" s="558"/>
      <c r="Q182" s="262"/>
      <c r="R182" s="262"/>
      <c r="S182" s="262"/>
      <c r="T182" s="262"/>
      <c r="U182" s="262"/>
      <c r="V182" s="262"/>
      <c r="W182" s="262"/>
      <c r="X182" s="402"/>
      <c r="Y182" s="402"/>
      <c r="Z182" s="262"/>
      <c r="AA182" s="262"/>
      <c r="AB182" s="262"/>
      <c r="AC182" s="262"/>
      <c r="AD182" s="262"/>
      <c r="AE182" s="262"/>
      <c r="AF182" s="262"/>
    </row>
    <row r="183" spans="1:32" ht="15" customHeight="1" x14ac:dyDescent="0.2">
      <c r="A183" s="257"/>
      <c r="B183" s="1104" t="s">
        <v>33</v>
      </c>
      <c r="C183" s="1105"/>
      <c r="D183" s="1098">
        <f>INTAKE!N$35</f>
        <v>0</v>
      </c>
      <c r="E183" s="1099"/>
      <c r="F183" s="1112"/>
      <c r="G183" s="1114"/>
      <c r="H183" s="1086" t="e">
        <f>VLOOKUP(I180,PLANS!$A$1:$H$95,3,FALSE)</f>
        <v>#N/A</v>
      </c>
      <c r="I183" s="1087"/>
      <c r="J183" s="1088" t="e">
        <f t="shared" si="52"/>
        <v>#N/A</v>
      </c>
      <c r="K183" s="1089"/>
      <c r="L183" s="1090" t="e">
        <f t="shared" si="53"/>
        <v>#N/A</v>
      </c>
      <c r="M183" s="1091"/>
      <c r="N183" s="262"/>
      <c r="O183" s="560"/>
      <c r="P183" s="558"/>
      <c r="Q183" s="262"/>
      <c r="R183" s="262"/>
      <c r="S183" s="262"/>
      <c r="T183" s="262"/>
      <c r="U183" s="262"/>
      <c r="V183" s="262"/>
      <c r="W183" s="262"/>
      <c r="X183" s="402"/>
      <c r="Y183" s="402"/>
      <c r="Z183" s="262"/>
      <c r="AA183" s="262"/>
      <c r="AB183" s="262"/>
      <c r="AC183" s="262"/>
      <c r="AD183" s="262"/>
      <c r="AE183" s="262"/>
      <c r="AF183" s="262"/>
    </row>
    <row r="184" spans="1:32" ht="15" customHeight="1" x14ac:dyDescent="0.2">
      <c r="A184" s="257"/>
      <c r="B184" s="1119" t="s">
        <v>34</v>
      </c>
      <c r="C184" s="1120"/>
      <c r="D184" s="1098">
        <f>INTAKE!O$35</f>
        <v>0</v>
      </c>
      <c r="E184" s="1099"/>
      <c r="F184" s="1112"/>
      <c r="G184" s="1114"/>
      <c r="H184" s="1086" t="e">
        <f>VLOOKUP(I180,PLANS!$A$1:$H$95,4,FALSE)</f>
        <v>#N/A</v>
      </c>
      <c r="I184" s="1087"/>
      <c r="J184" s="1088" t="e">
        <f t="shared" si="52"/>
        <v>#N/A</v>
      </c>
      <c r="K184" s="1089"/>
      <c r="L184" s="1090" t="e">
        <f t="shared" si="53"/>
        <v>#N/A</v>
      </c>
      <c r="M184" s="1091"/>
      <c r="N184" s="262"/>
      <c r="O184" s="560"/>
      <c r="P184" s="558"/>
      <c r="Q184" s="262"/>
      <c r="R184" s="262"/>
      <c r="S184" s="262"/>
      <c r="T184" s="262"/>
      <c r="U184" s="262"/>
      <c r="V184" s="262"/>
      <c r="W184" s="262"/>
      <c r="X184" s="402"/>
      <c r="Y184" s="402"/>
      <c r="Z184" s="262"/>
      <c r="AA184" s="262"/>
      <c r="AB184" s="262"/>
      <c r="AC184" s="262"/>
      <c r="AD184" s="262"/>
      <c r="AE184" s="262"/>
      <c r="AF184" s="262"/>
    </row>
    <row r="185" spans="1:32" ht="15" customHeight="1" x14ac:dyDescent="0.2">
      <c r="A185" s="257"/>
      <c r="B185" s="1115" t="s">
        <v>35</v>
      </c>
      <c r="C185" s="1116"/>
      <c r="D185" s="1117">
        <f>INTAKE!P$35</f>
        <v>0</v>
      </c>
      <c r="E185" s="1118"/>
      <c r="F185" s="1112"/>
      <c r="G185" s="1114"/>
      <c r="H185" s="1086" t="e">
        <f>VLOOKUP(I180,PLANS!$A$1:$H$95,5,FALSE)</f>
        <v>#N/A</v>
      </c>
      <c r="I185" s="1087"/>
      <c r="J185" s="1088" t="e">
        <f t="shared" si="52"/>
        <v>#N/A</v>
      </c>
      <c r="K185" s="1089"/>
      <c r="L185" s="1090" t="e">
        <f t="shared" si="53"/>
        <v>#N/A</v>
      </c>
      <c r="M185" s="1091"/>
      <c r="N185" s="262"/>
      <c r="O185" s="560"/>
      <c r="P185" s="558"/>
      <c r="Q185" s="262"/>
      <c r="R185" s="262"/>
      <c r="S185" s="262"/>
      <c r="T185" s="262"/>
      <c r="U185" s="262"/>
      <c r="V185" s="262"/>
      <c r="W185" s="262"/>
      <c r="X185" s="402"/>
      <c r="Y185" s="402"/>
      <c r="Z185" s="262"/>
      <c r="AA185" s="262"/>
      <c r="AB185" s="262"/>
      <c r="AC185" s="262"/>
      <c r="AD185" s="262"/>
      <c r="AE185" s="262"/>
      <c r="AF185" s="262"/>
    </row>
    <row r="186" spans="1:32" ht="15" customHeight="1" x14ac:dyDescent="0.2">
      <c r="A186" s="257"/>
      <c r="B186" s="1115" t="s">
        <v>36</v>
      </c>
      <c r="C186" s="1116"/>
      <c r="D186" s="1117">
        <f>INTAKE!Q$35</f>
        <v>0</v>
      </c>
      <c r="E186" s="1118"/>
      <c r="F186" s="1112"/>
      <c r="G186" s="1114"/>
      <c r="H186" s="1086" t="e">
        <f>VLOOKUP(I180,PLANS!$A$1:$H$95,6,FALSE)</f>
        <v>#N/A</v>
      </c>
      <c r="I186" s="1087"/>
      <c r="J186" s="1088" t="e">
        <f t="shared" si="52"/>
        <v>#N/A</v>
      </c>
      <c r="K186" s="1089"/>
      <c r="L186" s="1090" t="e">
        <f t="shared" si="53"/>
        <v>#N/A</v>
      </c>
      <c r="M186" s="1091"/>
      <c r="N186" s="262"/>
      <c r="O186" s="560"/>
      <c r="P186" s="558"/>
      <c r="Q186" s="262"/>
      <c r="R186" s="262"/>
      <c r="S186" s="262"/>
      <c r="T186" s="262"/>
      <c r="U186" s="262"/>
      <c r="V186" s="262"/>
      <c r="W186" s="262"/>
      <c r="X186" s="402"/>
      <c r="Y186" s="402"/>
      <c r="Z186" s="262"/>
      <c r="AA186" s="262"/>
      <c r="AB186" s="262"/>
      <c r="AC186" s="262"/>
      <c r="AD186" s="262"/>
      <c r="AE186" s="262"/>
      <c r="AF186" s="262"/>
    </row>
    <row r="187" spans="1:32" ht="15" customHeight="1" x14ac:dyDescent="0.2">
      <c r="A187" s="257"/>
      <c r="B187" s="1115" t="s">
        <v>76</v>
      </c>
      <c r="C187" s="1116"/>
      <c r="D187" s="1098">
        <f>INTAKE!R$35</f>
        <v>0</v>
      </c>
      <c r="E187" s="1099"/>
      <c r="F187" s="1112"/>
      <c r="G187" s="1114"/>
      <c r="H187" s="1086" t="e">
        <f>VLOOKUP(I180,PLANS!$A$1:$H$95,7,FALSE)</f>
        <v>#N/A</v>
      </c>
      <c r="I187" s="1087"/>
      <c r="J187" s="1088" t="e">
        <f t="shared" si="52"/>
        <v>#N/A</v>
      </c>
      <c r="K187" s="1089"/>
      <c r="L187" s="1090" t="e">
        <f t="shared" si="53"/>
        <v>#N/A</v>
      </c>
      <c r="M187" s="1091"/>
      <c r="N187" s="262"/>
      <c r="O187" s="560"/>
      <c r="P187" s="558"/>
      <c r="Q187" s="262"/>
      <c r="R187" s="262"/>
      <c r="S187" s="262"/>
      <c r="T187" s="262"/>
      <c r="U187" s="262"/>
      <c r="V187" s="262"/>
      <c r="W187" s="262"/>
      <c r="X187" s="402"/>
      <c r="Y187" s="402"/>
      <c r="Z187" s="262"/>
      <c r="AA187" s="262"/>
      <c r="AB187" s="262"/>
      <c r="AC187" s="262"/>
      <c r="AD187" s="262"/>
      <c r="AE187" s="262"/>
      <c r="AF187" s="262"/>
    </row>
    <row r="188" spans="1:32" ht="15" customHeight="1" x14ac:dyDescent="0.2">
      <c r="A188" s="257"/>
      <c r="B188" s="1104" t="s">
        <v>78</v>
      </c>
      <c r="C188" s="1105"/>
      <c r="D188" s="1098">
        <f>INTAKE!S$35</f>
        <v>0</v>
      </c>
      <c r="E188" s="1099"/>
      <c r="F188" s="1112"/>
      <c r="G188" s="1114"/>
      <c r="H188" s="1106" t="e">
        <f>VLOOKUP(I180,PLANS!$A$1:$H$95,8,FALSE)</f>
        <v>#N/A</v>
      </c>
      <c r="I188" s="1107"/>
      <c r="J188" s="1108" t="e">
        <f t="shared" si="52"/>
        <v>#N/A</v>
      </c>
      <c r="K188" s="1109"/>
      <c r="L188" s="1110" t="e">
        <f t="shared" si="53"/>
        <v>#N/A</v>
      </c>
      <c r="M188" s="1111"/>
      <c r="N188" s="262"/>
      <c r="O188" s="560"/>
      <c r="P188" s="558"/>
      <c r="Q188" s="262"/>
      <c r="R188" s="262"/>
      <c r="S188" s="262"/>
      <c r="T188" s="262"/>
      <c r="U188" s="262"/>
      <c r="V188" s="262"/>
      <c r="W188" s="262"/>
      <c r="X188" s="402"/>
      <c r="Y188" s="402"/>
      <c r="Z188" s="262"/>
      <c r="AA188" s="262"/>
      <c r="AB188" s="262"/>
      <c r="AC188" s="262"/>
      <c r="AD188" s="262"/>
      <c r="AE188" s="262"/>
      <c r="AF188" s="262"/>
    </row>
    <row r="189" spans="1:32" ht="15" customHeight="1" thickBot="1" x14ac:dyDescent="0.25">
      <c r="A189" s="257"/>
      <c r="B189" s="1140" t="s">
        <v>79</v>
      </c>
      <c r="C189" s="1141"/>
      <c r="D189" s="492" t="s">
        <v>26</v>
      </c>
      <c r="E189" s="493" t="s">
        <v>80</v>
      </c>
      <c r="F189" s="224" t="s">
        <v>26</v>
      </c>
      <c r="G189" s="225" t="s">
        <v>80</v>
      </c>
      <c r="H189" s="302" t="s">
        <v>26</v>
      </c>
      <c r="I189" s="521" t="s">
        <v>80</v>
      </c>
      <c r="J189" s="228" t="s">
        <v>26</v>
      </c>
      <c r="K189" s="526" t="s">
        <v>80</v>
      </c>
      <c r="L189" s="229" t="s">
        <v>26</v>
      </c>
      <c r="M189" s="226" t="s">
        <v>80</v>
      </c>
      <c r="N189" s="262"/>
      <c r="O189" s="560"/>
      <c r="P189" s="558"/>
      <c r="Q189" s="262"/>
      <c r="R189" s="262"/>
      <c r="S189" s="262"/>
      <c r="T189" s="262"/>
      <c r="U189" s="262"/>
      <c r="V189" s="262"/>
      <c r="W189" s="262"/>
      <c r="X189" s="402"/>
      <c r="Y189" s="402"/>
      <c r="Z189" s="262"/>
      <c r="AA189" s="262"/>
      <c r="AB189" s="262"/>
      <c r="AC189" s="262"/>
      <c r="AD189" s="262"/>
      <c r="AE189" s="262"/>
      <c r="AF189" s="262"/>
    </row>
    <row r="190" spans="1:32" ht="15" customHeight="1" thickBot="1" x14ac:dyDescent="0.25">
      <c r="A190" s="257"/>
      <c r="B190" s="489" t="s">
        <v>81</v>
      </c>
      <c r="C190" s="219">
        <f>INTAKE!I$36</f>
        <v>0</v>
      </c>
      <c r="D190" s="494">
        <f>INTAKE!I35</f>
        <v>0</v>
      </c>
      <c r="E190" s="495">
        <f>IF(D190="","",SUM(C190*D190))</f>
        <v>0</v>
      </c>
      <c r="F190" s="218">
        <f>IF(G181=0,D190,(1+G181/1)*D190)</f>
        <v>0</v>
      </c>
      <c r="G190" s="217">
        <f>IF(F190="","",SUM(C190*F190))</f>
        <v>0</v>
      </c>
      <c r="H190" s="714"/>
      <c r="I190" s="223">
        <f>C190*H190</f>
        <v>0</v>
      </c>
      <c r="J190" s="216">
        <f>IF(K180=0%,H190,SUM(H190)*(1-K180)*1)</f>
        <v>0</v>
      </c>
      <c r="K190" s="527">
        <f>IF(J190=0,0,C190*J190)</f>
        <v>0</v>
      </c>
      <c r="L190" s="223">
        <f>IF(M180=0,J190,SUM(J190)*(1-M180)*1)</f>
        <v>0</v>
      </c>
      <c r="M190" s="222">
        <f>C190*L190</f>
        <v>0</v>
      </c>
      <c r="N190" s="262"/>
      <c r="O190" s="560"/>
      <c r="P190" s="558"/>
      <c r="Q190" s="262"/>
      <c r="R190" s="262"/>
      <c r="S190" s="262"/>
      <c r="T190" s="262"/>
      <c r="U190" s="262"/>
      <c r="V190" s="262"/>
      <c r="W190" s="262"/>
      <c r="X190" s="402"/>
      <c r="Y190" s="402"/>
      <c r="Z190" s="262"/>
      <c r="AA190" s="262"/>
      <c r="AB190" s="262"/>
      <c r="AC190" s="262"/>
      <c r="AD190" s="262"/>
      <c r="AE190" s="262"/>
      <c r="AF190" s="262"/>
    </row>
    <row r="191" spans="1:32" ht="15" customHeight="1" x14ac:dyDescent="0.2">
      <c r="A191" s="257"/>
      <c r="B191" s="489" t="str">
        <f>IF(FORMULAS!$E$12=2,"EF:",IF(FORMULAS!$E$12=3,"EE+1:","ES:"))</f>
        <v>ES:</v>
      </c>
      <c r="C191" s="219">
        <f>INTAKE!J$36</f>
        <v>0</v>
      </c>
      <c r="D191" s="494">
        <f>INTAKE!J35</f>
        <v>0</v>
      </c>
      <c r="E191" s="495">
        <f>IF(D191="","",SUM(C191*D191))</f>
        <v>0</v>
      </c>
      <c r="F191" s="218">
        <f>IF(G181=0,D191,(1+G181/1)*D191)</f>
        <v>0</v>
      </c>
      <c r="G191" s="217">
        <f t="shared" ref="G191:G192" si="54">IF(F191="","",SUM(C191*F191))</f>
        <v>0</v>
      </c>
      <c r="H191" s="303">
        <f>IF(FORMULAS!E12=3,2.1*H190,2.2*H190)</f>
        <v>0</v>
      </c>
      <c r="I191" s="710">
        <f>C191*H191</f>
        <v>0</v>
      </c>
      <c r="J191" s="216">
        <f>IF(K180=0%,H191,SUM(H191)*(1-K180)*1)</f>
        <v>0</v>
      </c>
      <c r="K191" s="527">
        <f t="shared" ref="K191:K192" si="55">IF(J191=0,0,C191*J191)</f>
        <v>0</v>
      </c>
      <c r="L191" s="223">
        <f>IF(M180=0,J191,SUM(J191)*(1-M180)*1)</f>
        <v>0</v>
      </c>
      <c r="M191" s="222">
        <f>C191*L191</f>
        <v>0</v>
      </c>
      <c r="N191" s="262"/>
      <c r="O191" s="560"/>
      <c r="P191" s="558"/>
      <c r="Q191" s="262"/>
      <c r="R191" s="262"/>
      <c r="S191" s="262"/>
      <c r="T191" s="262"/>
      <c r="U191" s="262"/>
      <c r="V191" s="262"/>
      <c r="W191" s="262"/>
      <c r="X191" s="402"/>
      <c r="Y191" s="402"/>
      <c r="Z191" s="262"/>
      <c r="AA191" s="262"/>
      <c r="AB191" s="262"/>
      <c r="AC191" s="262"/>
      <c r="AD191" s="262"/>
      <c r="AE191" s="262"/>
      <c r="AF191" s="262"/>
    </row>
    <row r="192" spans="1:32" ht="15" customHeight="1" x14ac:dyDescent="0.2">
      <c r="A192" s="257"/>
      <c r="B192" s="489" t="str">
        <f>IF(FORMULAS!$E$12=2,"",IF(FORMULAS!$E$12=3,"EE+2:","EC:"))</f>
        <v>EC:</v>
      </c>
      <c r="C192" s="219">
        <f>INTAKE!K$36</f>
        <v>0</v>
      </c>
      <c r="D192" s="494">
        <f>INTAKE!K35</f>
        <v>0</v>
      </c>
      <c r="E192" s="495">
        <f>IF(D192="","",SUM(C192*D192))</f>
        <v>0</v>
      </c>
      <c r="F192" s="218">
        <f>IF(G181=0,D192,(1+G181/1)*D192)</f>
        <v>0</v>
      </c>
      <c r="G192" s="217">
        <f t="shared" si="54"/>
        <v>0</v>
      </c>
      <c r="H192" s="223">
        <f>IF(FORMULAS!E12=3,3*H190,1.8*H190)</f>
        <v>0</v>
      </c>
      <c r="I192" s="710">
        <f>C192*H192</f>
        <v>0</v>
      </c>
      <c r="J192" s="216">
        <f>IF(K180=0%,H192,SUM(H192)*(1-K180)*1)</f>
        <v>0</v>
      </c>
      <c r="K192" s="527">
        <f t="shared" si="55"/>
        <v>0</v>
      </c>
      <c r="L192" s="223">
        <f>IF(M180=0,J192,SUM(J192)*(1-M180)*1)</f>
        <v>0</v>
      </c>
      <c r="M192" s="222">
        <f>C192*L192</f>
        <v>0</v>
      </c>
      <c r="N192" s="262"/>
      <c r="O192" s="560"/>
      <c r="P192" s="558"/>
      <c r="Q192" s="262"/>
      <c r="R192" s="262"/>
      <c r="S192" s="262"/>
      <c r="T192" s="262"/>
      <c r="U192" s="262"/>
      <c r="V192" s="262"/>
      <c r="W192" s="262"/>
      <c r="X192" s="402"/>
      <c r="Y192" s="402"/>
      <c r="Z192" s="262"/>
      <c r="AA192" s="262"/>
      <c r="AB192" s="262"/>
      <c r="AC192" s="262"/>
      <c r="AD192" s="262"/>
      <c r="AE192" s="262"/>
      <c r="AF192" s="262"/>
    </row>
    <row r="193" spans="1:32" ht="15" customHeight="1" x14ac:dyDescent="0.2">
      <c r="A193" s="257"/>
      <c r="B193" s="489" t="str">
        <f>IF(FORMULAS!$E$12=2,"",IF(FORMULAS!$E$12=3,"","EF:"))</f>
        <v>EF:</v>
      </c>
      <c r="C193" s="219">
        <f>INTAKE!L$36</f>
        <v>0</v>
      </c>
      <c r="D193" s="496">
        <f>IF(INTAKE!L35="","",INTAKE!L35)</f>
        <v>0</v>
      </c>
      <c r="E193" s="495">
        <f>IF(D193="","",C193*D193)</f>
        <v>0</v>
      </c>
      <c r="F193" s="298">
        <f>IF(D193="","",IF(G181=0,D193,(1+G181/1)*D193))</f>
        <v>0</v>
      </c>
      <c r="G193" s="217">
        <f>IF(D193="","",C193*F193)</f>
        <v>0</v>
      </c>
      <c r="H193" s="223">
        <f>IF(FORMULAS!E12=3,"",IF(D193="","",3.1*H190))</f>
        <v>0</v>
      </c>
      <c r="I193" s="710">
        <f>IF(D193="","",C193*H193)</f>
        <v>0</v>
      </c>
      <c r="J193" s="216">
        <f>IF(D193="","",IF(K180=0%,H193,SUM(H193)*(1-K180)*1))</f>
        <v>0</v>
      </c>
      <c r="K193" s="527">
        <f>IF(D193="","",IF(J193=0,0,C193*J193))</f>
        <v>0</v>
      </c>
      <c r="L193" s="223">
        <f>IF(D193="","",IF(M180=0,J193,SUM(J193)*(1-M180)*1))</f>
        <v>0</v>
      </c>
      <c r="M193" s="222">
        <f>IF(D193="","",C193*L193)</f>
        <v>0</v>
      </c>
      <c r="N193" s="262"/>
      <c r="O193" s="560"/>
      <c r="P193" s="558"/>
      <c r="Q193" s="262"/>
      <c r="R193" s="262"/>
      <c r="S193" s="262"/>
      <c r="T193" s="262"/>
      <c r="U193" s="262"/>
      <c r="V193" s="262"/>
      <c r="W193" s="262"/>
      <c r="X193" s="402"/>
      <c r="Y193" s="402"/>
      <c r="Z193" s="262"/>
      <c r="AA193" s="262"/>
      <c r="AB193" s="262"/>
      <c r="AC193" s="262"/>
      <c r="AD193" s="262"/>
      <c r="AE193" s="262"/>
      <c r="AF193" s="262"/>
    </row>
    <row r="194" spans="1:32" ht="15" customHeight="1" x14ac:dyDescent="0.2">
      <c r="A194" s="257"/>
      <c r="B194" s="1160"/>
      <c r="C194" s="1161"/>
      <c r="D194" s="516" t="s">
        <v>1698</v>
      </c>
      <c r="E194" s="497">
        <f>SUM(E190:E193)</f>
        <v>0</v>
      </c>
      <c r="F194" s="515" t="s">
        <v>1698</v>
      </c>
      <c r="G194" s="297">
        <f>SUM(G190:G193)</f>
        <v>0</v>
      </c>
      <c r="H194" s="511" t="s">
        <v>1698</v>
      </c>
      <c r="I194" s="711">
        <f>SUM(I190:I193)</f>
        <v>0</v>
      </c>
      <c r="J194" s="709" t="s">
        <v>1698</v>
      </c>
      <c r="K194" s="520">
        <f>SUM(K190:K193)</f>
        <v>0</v>
      </c>
      <c r="L194" s="295" t="s">
        <v>1698</v>
      </c>
      <c r="M194" s="292">
        <f>SUM(M190:M193)</f>
        <v>0</v>
      </c>
      <c r="N194" s="262"/>
      <c r="O194" s="560"/>
      <c r="P194" s="558"/>
      <c r="Q194" s="262"/>
      <c r="R194" s="262"/>
      <c r="S194" s="262"/>
      <c r="T194" s="262"/>
      <c r="U194" s="262"/>
      <c r="V194" s="262"/>
      <c r="W194" s="262"/>
      <c r="X194" s="402"/>
      <c r="Y194" s="402"/>
      <c r="Z194" s="262"/>
      <c r="AA194" s="262"/>
      <c r="AB194" s="262"/>
      <c r="AC194" s="262"/>
      <c r="AD194" s="262"/>
      <c r="AE194" s="262"/>
      <c r="AF194" s="262"/>
    </row>
    <row r="195" spans="1:32" ht="15" customHeight="1" x14ac:dyDescent="0.2">
      <c r="A195" s="257"/>
      <c r="B195" s="1162"/>
      <c r="C195" s="1163"/>
      <c r="D195" s="516" t="s">
        <v>1843</v>
      </c>
      <c r="E195" s="498">
        <f>E194*12</f>
        <v>0</v>
      </c>
      <c r="F195" s="515" t="s">
        <v>1843</v>
      </c>
      <c r="G195" s="299">
        <f>G194*12</f>
        <v>0</v>
      </c>
      <c r="H195" s="512" t="s">
        <v>1843</v>
      </c>
      <c r="I195" s="712">
        <f>I194*12</f>
        <v>0</v>
      </c>
      <c r="J195" s="709" t="s">
        <v>1843</v>
      </c>
      <c r="K195" s="546">
        <f>K194*12</f>
        <v>0</v>
      </c>
      <c r="L195" s="296" t="s">
        <v>1720</v>
      </c>
      <c r="M195" s="294">
        <f>M194*12</f>
        <v>0</v>
      </c>
      <c r="N195" s="262"/>
      <c r="O195" s="560"/>
      <c r="P195" s="558"/>
      <c r="Q195" s="262"/>
      <c r="R195" s="262"/>
      <c r="S195" s="262"/>
      <c r="T195" s="262"/>
      <c r="U195" s="262"/>
      <c r="V195" s="262"/>
      <c r="W195" s="262"/>
      <c r="X195" s="402"/>
      <c r="Y195" s="402"/>
      <c r="Z195" s="262"/>
      <c r="AA195" s="262"/>
      <c r="AB195" s="262"/>
      <c r="AC195" s="262"/>
      <c r="AD195" s="262"/>
      <c r="AE195" s="262"/>
      <c r="AF195" s="262"/>
    </row>
    <row r="196" spans="1:32" ht="15" customHeight="1" thickBot="1" x14ac:dyDescent="0.25">
      <c r="A196" s="257"/>
      <c r="B196" s="1164"/>
      <c r="C196" s="1165"/>
      <c r="D196" s="1096"/>
      <c r="E196" s="1097"/>
      <c r="F196" s="565" t="s">
        <v>1695</v>
      </c>
      <c r="G196" s="568" t="str">
        <f>IF(G194&lt;1,"",(E195-G195)/E195*-1)</f>
        <v/>
      </c>
      <c r="H196" s="509" t="s">
        <v>1695</v>
      </c>
      <c r="I196" s="713" t="str">
        <f>IF(I194&lt;1,"",(E195-I195)/E195*-1)</f>
        <v/>
      </c>
      <c r="J196" s="510" t="s">
        <v>1695</v>
      </c>
      <c r="K196" s="553">
        <f>IF(K195=0,0,(E195-K195)/E195*-1)</f>
        <v>0</v>
      </c>
      <c r="L196" s="230" t="s">
        <v>1695</v>
      </c>
      <c r="M196" s="552">
        <f>IF(I194=0,0,(E195-M195)/E195*-1)</f>
        <v>0</v>
      </c>
      <c r="N196" s="262"/>
      <c r="O196" s="560"/>
      <c r="P196" s="558"/>
      <c r="Q196" s="262"/>
      <c r="R196" s="262"/>
      <c r="S196" s="262"/>
      <c r="T196" s="262"/>
      <c r="U196" s="262"/>
      <c r="V196" s="262"/>
      <c r="W196" s="262"/>
      <c r="X196" s="402"/>
      <c r="Y196" s="402"/>
      <c r="Z196" s="262"/>
      <c r="AA196" s="262"/>
      <c r="AB196" s="262"/>
      <c r="AC196" s="262"/>
      <c r="AD196" s="262"/>
      <c r="AE196" s="262"/>
      <c r="AF196" s="262"/>
    </row>
    <row r="197" spans="1:32" ht="24" thickTop="1" x14ac:dyDescent="0.2">
      <c r="A197" s="257"/>
      <c r="B197" s="262"/>
      <c r="C197" s="262"/>
      <c r="D197" s="262"/>
      <c r="E197" s="262"/>
      <c r="F197" s="262"/>
      <c r="G197" s="262"/>
      <c r="H197" s="262"/>
      <c r="I197" s="262"/>
      <c r="J197" s="262"/>
      <c r="K197" s="262"/>
      <c r="L197" s="262"/>
      <c r="M197" s="262"/>
      <c r="N197" s="262"/>
      <c r="O197" s="560"/>
      <c r="P197" s="262"/>
      <c r="Q197" s="262"/>
      <c r="R197" s="262"/>
      <c r="S197" s="262"/>
      <c r="T197" s="262"/>
      <c r="U197" s="262"/>
      <c r="V197" s="262"/>
      <c r="W197" s="402"/>
      <c r="X197" s="402"/>
      <c r="Y197" s="262"/>
      <c r="Z197" s="262"/>
      <c r="AA197" s="262"/>
      <c r="AB197" s="262"/>
      <c r="AC197" s="262"/>
      <c r="AD197" s="262"/>
      <c r="AE197" s="262"/>
      <c r="AF197" s="262"/>
    </row>
    <row r="198" spans="1:32" x14ac:dyDescent="0.2">
      <c r="A198" s="61"/>
      <c r="P198" s="61"/>
      <c r="Q198" s="61"/>
      <c r="R198" s="61"/>
      <c r="S198" s="61"/>
      <c r="T198" s="61"/>
      <c r="U198" s="61"/>
      <c r="V198" s="61"/>
      <c r="W198" s="61"/>
      <c r="X198" s="61"/>
      <c r="Y198" s="61"/>
      <c r="Z198" s="61"/>
      <c r="AA198" s="61"/>
      <c r="AB198" s="61"/>
      <c r="AC198" s="61"/>
      <c r="AD198" s="61"/>
      <c r="AE198" s="61"/>
      <c r="AF198" s="61"/>
    </row>
    <row r="199" spans="1:32" x14ac:dyDescent="0.2">
      <c r="Q199" s="61"/>
      <c r="R199" s="61"/>
      <c r="S199" s="61"/>
      <c r="T199" s="61"/>
      <c r="U199" s="61"/>
      <c r="V199" s="61"/>
      <c r="W199" s="61"/>
      <c r="X199" s="61"/>
      <c r="Y199" s="61"/>
      <c r="Z199" s="61"/>
    </row>
    <row r="200" spans="1:32" x14ac:dyDescent="0.2">
      <c r="Q200" s="61"/>
      <c r="R200" s="61"/>
      <c r="S200" s="61"/>
      <c r="T200" s="61"/>
      <c r="U200" s="61"/>
      <c r="V200" s="61"/>
      <c r="W200" s="61"/>
      <c r="X200" s="61"/>
      <c r="Y200" s="61"/>
      <c r="Z200" s="61"/>
    </row>
    <row r="201" spans="1:32" x14ac:dyDescent="0.2">
      <c r="Q201" s="61"/>
      <c r="R201" s="61"/>
      <c r="S201" s="61"/>
      <c r="T201" s="61"/>
      <c r="U201" s="61"/>
      <c r="V201" s="61"/>
      <c r="W201" s="61"/>
      <c r="X201" s="61"/>
      <c r="Y201" s="61"/>
      <c r="Z201" s="61"/>
    </row>
    <row r="202" spans="1:32" x14ac:dyDescent="0.2">
      <c r="Q202" s="61"/>
      <c r="R202" s="61"/>
      <c r="S202" s="61"/>
      <c r="T202" s="61"/>
      <c r="U202" s="61"/>
      <c r="V202" s="61"/>
      <c r="W202" s="61"/>
      <c r="X202" s="61"/>
      <c r="Y202" s="61"/>
      <c r="Z202" s="61"/>
    </row>
    <row r="203" spans="1:32" x14ac:dyDescent="0.2">
      <c r="Q203" s="61"/>
      <c r="R203" s="61"/>
      <c r="S203" s="61"/>
      <c r="T203" s="61"/>
      <c r="U203" s="61"/>
      <c r="V203" s="61"/>
      <c r="W203" s="61"/>
      <c r="X203" s="61"/>
      <c r="Y203" s="61"/>
      <c r="Z203" s="61"/>
    </row>
    <row r="204" spans="1:32" x14ac:dyDescent="0.2">
      <c r="Q204" s="61"/>
      <c r="R204" s="61"/>
      <c r="S204" s="61"/>
      <c r="T204" s="61"/>
      <c r="U204" s="61"/>
      <c r="V204" s="61"/>
      <c r="W204" s="61"/>
      <c r="X204" s="61"/>
      <c r="Y204" s="61"/>
      <c r="Z204" s="61"/>
    </row>
    <row r="205" spans="1:32" x14ac:dyDescent="0.2">
      <c r="Q205" s="61"/>
      <c r="R205" s="61"/>
      <c r="S205" s="61"/>
      <c r="T205" s="61"/>
      <c r="U205" s="61"/>
      <c r="V205" s="61"/>
      <c r="W205" s="61"/>
      <c r="X205" s="61"/>
      <c r="Y205" s="61"/>
      <c r="Z205" s="61"/>
    </row>
    <row r="206" spans="1:32" x14ac:dyDescent="0.2">
      <c r="Q206" s="61"/>
      <c r="R206" s="61"/>
      <c r="S206" s="61"/>
      <c r="T206" s="61"/>
      <c r="U206" s="61"/>
      <c r="V206" s="61"/>
      <c r="W206" s="61"/>
      <c r="X206" s="61"/>
      <c r="Y206" s="61"/>
      <c r="Z206" s="61"/>
    </row>
    <row r="207" spans="1:32" x14ac:dyDescent="0.2">
      <c r="Q207" s="61"/>
      <c r="R207" s="61"/>
      <c r="S207" s="61"/>
      <c r="T207" s="61"/>
      <c r="U207" s="61"/>
      <c r="V207" s="61"/>
      <c r="W207" s="61"/>
      <c r="X207" s="61"/>
      <c r="Y207" s="61"/>
      <c r="Z207" s="61"/>
    </row>
    <row r="208" spans="1:32" x14ac:dyDescent="0.2">
      <c r="Q208" s="61"/>
      <c r="R208" s="61"/>
      <c r="S208" s="61"/>
      <c r="T208" s="61"/>
      <c r="U208" s="61"/>
      <c r="V208" s="61"/>
      <c r="W208" s="61"/>
      <c r="X208" s="61"/>
      <c r="Y208" s="61"/>
      <c r="Z208" s="61"/>
    </row>
    <row r="209" spans="17:26" x14ac:dyDescent="0.2">
      <c r="Q209" s="61"/>
      <c r="R209" s="61"/>
      <c r="S209" s="61"/>
      <c r="T209" s="61"/>
      <c r="U209" s="61"/>
      <c r="V209" s="61"/>
      <c r="W209" s="61"/>
      <c r="X209" s="61"/>
      <c r="Y209" s="61"/>
      <c r="Z209" s="61"/>
    </row>
    <row r="210" spans="17:26" x14ac:dyDescent="0.2">
      <c r="Q210" s="61"/>
      <c r="R210" s="61"/>
      <c r="S210" s="61"/>
      <c r="T210" s="61"/>
      <c r="U210" s="61"/>
      <c r="V210" s="61"/>
      <c r="W210" s="61"/>
      <c r="X210" s="61"/>
      <c r="Y210" s="61"/>
      <c r="Z210" s="61"/>
    </row>
    <row r="211" spans="17:26" x14ac:dyDescent="0.2">
      <c r="Q211" s="61"/>
      <c r="R211" s="61"/>
      <c r="S211" s="61"/>
      <c r="T211" s="61"/>
      <c r="U211" s="61"/>
      <c r="V211" s="61"/>
      <c r="W211" s="61"/>
      <c r="X211" s="61"/>
      <c r="Y211" s="61"/>
      <c r="Z211" s="61"/>
    </row>
    <row r="212" spans="17:26" x14ac:dyDescent="0.2">
      <c r="Q212" s="61"/>
      <c r="R212" s="61"/>
      <c r="S212" s="61"/>
      <c r="T212" s="61"/>
      <c r="U212" s="61"/>
      <c r="V212" s="61"/>
      <c r="W212" s="61"/>
      <c r="X212" s="61"/>
      <c r="Y212" s="61"/>
      <c r="Z212" s="61"/>
    </row>
    <row r="213" spans="17:26" x14ac:dyDescent="0.2">
      <c r="Q213" s="61"/>
      <c r="R213" s="61"/>
      <c r="S213" s="61"/>
      <c r="T213" s="61"/>
      <c r="U213" s="61"/>
      <c r="V213" s="61"/>
      <c r="W213" s="61"/>
      <c r="X213" s="61"/>
      <c r="Y213" s="61"/>
      <c r="Z213" s="61"/>
    </row>
    <row r="214" spans="17:26" x14ac:dyDescent="0.2">
      <c r="Q214" s="61"/>
      <c r="R214" s="61"/>
      <c r="S214" s="61"/>
      <c r="T214" s="61"/>
      <c r="U214" s="61"/>
      <c r="V214" s="61"/>
      <c r="W214" s="61"/>
      <c r="X214" s="61"/>
      <c r="Y214" s="61"/>
      <c r="Z214" s="61"/>
    </row>
    <row r="215" spans="17:26" x14ac:dyDescent="0.2">
      <c r="Q215" s="61"/>
      <c r="R215" s="61"/>
      <c r="S215" s="61"/>
      <c r="T215" s="61"/>
      <c r="U215" s="61"/>
      <c r="V215" s="61"/>
      <c r="W215" s="61"/>
      <c r="X215" s="61"/>
      <c r="Y215" s="61"/>
      <c r="Z215" s="61"/>
    </row>
    <row r="216" spans="17:26" x14ac:dyDescent="0.2">
      <c r="Q216" s="61"/>
      <c r="R216" s="61"/>
      <c r="S216" s="61"/>
      <c r="T216" s="61"/>
      <c r="U216" s="61"/>
      <c r="V216" s="61"/>
      <c r="W216" s="61"/>
      <c r="X216" s="61"/>
      <c r="Y216" s="61"/>
      <c r="Z216" s="61"/>
    </row>
    <row r="217" spans="17:26" x14ac:dyDescent="0.2">
      <c r="Q217" s="61"/>
      <c r="R217" s="61"/>
      <c r="S217" s="61"/>
      <c r="T217" s="61"/>
      <c r="U217" s="61"/>
      <c r="V217" s="61"/>
      <c r="W217" s="61"/>
      <c r="X217" s="61"/>
      <c r="Y217" s="61"/>
      <c r="Z217" s="61"/>
    </row>
    <row r="218" spans="17:26" x14ac:dyDescent="0.2">
      <c r="Q218" s="61"/>
      <c r="R218" s="61"/>
      <c r="S218" s="61"/>
      <c r="T218" s="61"/>
      <c r="U218" s="61"/>
      <c r="V218" s="61"/>
      <c r="W218" s="61"/>
      <c r="X218" s="61"/>
      <c r="Y218" s="61"/>
      <c r="Z218" s="61"/>
    </row>
    <row r="219" spans="17:26" x14ac:dyDescent="0.2">
      <c r="Q219" s="61"/>
      <c r="R219" s="61"/>
      <c r="S219" s="61"/>
      <c r="T219" s="61"/>
      <c r="U219" s="61"/>
      <c r="V219" s="61"/>
      <c r="W219" s="61"/>
      <c r="X219" s="61"/>
      <c r="Y219" s="61"/>
      <c r="Z219" s="61"/>
    </row>
    <row r="220" spans="17:26" x14ac:dyDescent="0.2">
      <c r="Q220" s="61"/>
      <c r="R220" s="61"/>
      <c r="S220" s="61"/>
      <c r="T220" s="61"/>
      <c r="U220" s="61"/>
      <c r="V220" s="61"/>
      <c r="W220" s="61"/>
      <c r="X220" s="61"/>
      <c r="Y220" s="61"/>
      <c r="Z220" s="61"/>
    </row>
    <row r="221" spans="17:26" x14ac:dyDescent="0.2">
      <c r="Q221" s="61"/>
      <c r="R221" s="61"/>
      <c r="S221" s="61"/>
      <c r="T221" s="61"/>
      <c r="U221" s="61"/>
      <c r="V221" s="61"/>
      <c r="W221" s="61"/>
      <c r="X221" s="61"/>
      <c r="Y221" s="61"/>
      <c r="Z221" s="61"/>
    </row>
    <row r="222" spans="17:26" x14ac:dyDescent="0.2">
      <c r="Q222" s="61"/>
      <c r="R222" s="61"/>
      <c r="S222" s="61"/>
      <c r="T222" s="61"/>
      <c r="U222" s="61"/>
      <c r="V222" s="61"/>
      <c r="W222" s="61"/>
      <c r="X222" s="61"/>
      <c r="Y222" s="61"/>
      <c r="Z222" s="61"/>
    </row>
    <row r="223" spans="17:26" x14ac:dyDescent="0.2">
      <c r="Q223" s="61"/>
      <c r="R223" s="61"/>
      <c r="S223" s="61"/>
      <c r="T223" s="61"/>
      <c r="U223" s="61"/>
      <c r="V223" s="61"/>
      <c r="W223" s="61"/>
      <c r="X223" s="61"/>
      <c r="Y223" s="61"/>
      <c r="Z223" s="61"/>
    </row>
    <row r="224" spans="17:26" x14ac:dyDescent="0.2">
      <c r="Q224" s="61"/>
      <c r="R224" s="61"/>
      <c r="S224" s="61"/>
      <c r="T224" s="61"/>
      <c r="U224" s="61"/>
      <c r="V224" s="61"/>
      <c r="W224" s="61"/>
      <c r="X224" s="61"/>
      <c r="Y224" s="61"/>
      <c r="Z224" s="61"/>
    </row>
    <row r="225" spans="17:26" x14ac:dyDescent="0.2">
      <c r="Q225" s="61"/>
      <c r="R225" s="61"/>
      <c r="S225" s="61"/>
      <c r="T225" s="61"/>
      <c r="U225" s="61"/>
      <c r="V225" s="61"/>
      <c r="W225" s="61"/>
      <c r="X225" s="61"/>
      <c r="Y225" s="61"/>
      <c r="Z225" s="61"/>
    </row>
    <row r="226" spans="17:26" x14ac:dyDescent="0.2">
      <c r="Q226" s="61"/>
      <c r="R226" s="61"/>
      <c r="S226" s="61"/>
      <c r="T226" s="61"/>
      <c r="U226" s="61"/>
      <c r="V226" s="61"/>
      <c r="W226" s="61"/>
      <c r="X226" s="61"/>
      <c r="Y226" s="61"/>
      <c r="Z226" s="61"/>
    </row>
    <row r="227" spans="17:26" x14ac:dyDescent="0.2">
      <c r="Q227" s="61"/>
      <c r="R227" s="61"/>
      <c r="S227" s="61"/>
      <c r="T227" s="61"/>
      <c r="U227" s="61"/>
      <c r="V227" s="61"/>
      <c r="W227" s="61"/>
      <c r="X227" s="61"/>
      <c r="Y227" s="61"/>
      <c r="Z227" s="61"/>
    </row>
    <row r="228" spans="17:26" x14ac:dyDescent="0.2">
      <c r="Q228" s="61"/>
      <c r="R228" s="61"/>
      <c r="S228" s="61"/>
      <c r="T228" s="61"/>
      <c r="U228" s="61"/>
      <c r="V228" s="61"/>
      <c r="W228" s="61"/>
      <c r="X228" s="61"/>
      <c r="Y228" s="61"/>
      <c r="Z228" s="61"/>
    </row>
    <row r="229" spans="17:26" x14ac:dyDescent="0.2">
      <c r="Q229" s="61"/>
      <c r="R229" s="61"/>
      <c r="S229" s="61"/>
      <c r="T229" s="61"/>
      <c r="U229" s="61"/>
      <c r="V229" s="61"/>
      <c r="W229" s="61"/>
      <c r="X229" s="61"/>
      <c r="Y229" s="61"/>
      <c r="Z229" s="61"/>
    </row>
    <row r="230" spans="17:26" x14ac:dyDescent="0.2">
      <c r="Q230" s="61"/>
      <c r="R230" s="61"/>
      <c r="S230" s="61"/>
      <c r="T230" s="61"/>
      <c r="U230" s="61"/>
      <c r="V230" s="61"/>
      <c r="W230" s="61"/>
      <c r="X230" s="61"/>
      <c r="Y230" s="61"/>
      <c r="Z230" s="61"/>
    </row>
    <row r="231" spans="17:26" x14ac:dyDescent="0.2">
      <c r="Q231" s="61"/>
      <c r="R231" s="61"/>
      <c r="S231" s="61"/>
      <c r="T231" s="61"/>
      <c r="U231" s="61"/>
      <c r="V231" s="61"/>
      <c r="W231" s="61"/>
      <c r="X231" s="61"/>
      <c r="Y231" s="61"/>
      <c r="Z231" s="61"/>
    </row>
    <row r="232" spans="17:26" x14ac:dyDescent="0.2">
      <c r="Q232" s="61"/>
      <c r="R232" s="61"/>
      <c r="S232" s="61"/>
      <c r="T232" s="61"/>
      <c r="U232" s="61"/>
      <c r="V232" s="61"/>
      <c r="W232" s="61"/>
      <c r="X232" s="61"/>
      <c r="Y232" s="61"/>
      <c r="Z232" s="61"/>
    </row>
    <row r="233" spans="17:26" x14ac:dyDescent="0.2">
      <c r="Q233" s="61"/>
      <c r="R233" s="61"/>
      <c r="S233" s="61"/>
      <c r="T233" s="61"/>
      <c r="U233" s="61"/>
      <c r="V233" s="61"/>
      <c r="W233" s="61"/>
      <c r="X233" s="61"/>
      <c r="Y233" s="61"/>
      <c r="Z233" s="61"/>
    </row>
    <row r="234" spans="17:26" x14ac:dyDescent="0.2">
      <c r="Q234" s="61"/>
      <c r="R234" s="61"/>
      <c r="S234" s="61"/>
      <c r="T234" s="61"/>
      <c r="U234" s="61"/>
      <c r="V234" s="61"/>
      <c r="W234" s="61"/>
      <c r="X234" s="61"/>
      <c r="Y234" s="61"/>
      <c r="Z234" s="61"/>
    </row>
  </sheetData>
  <mergeCells count="822">
    <mergeCell ref="V74:W74"/>
    <mergeCell ref="T73:U73"/>
    <mergeCell ref="V73:W73"/>
    <mergeCell ref="X102:Y102"/>
    <mergeCell ref="V67:W67"/>
    <mergeCell ref="X73:Y73"/>
    <mergeCell ref="AB73:AC73"/>
    <mergeCell ref="AD73:AE73"/>
    <mergeCell ref="T71:Y71"/>
    <mergeCell ref="Z71:AE71"/>
    <mergeCell ref="T72:U72"/>
    <mergeCell ref="V72:W72"/>
    <mergeCell ref="X72:Y72"/>
    <mergeCell ref="Q59:R59"/>
    <mergeCell ref="Q57:R57"/>
    <mergeCell ref="Q60:R60"/>
    <mergeCell ref="X48:Y48"/>
    <mergeCell ref="R49:S49"/>
    <mergeCell ref="T49:U49"/>
    <mergeCell ref="V49:W49"/>
    <mergeCell ref="X49:Y49"/>
    <mergeCell ref="Q52:R52"/>
    <mergeCell ref="Q53:R53"/>
    <mergeCell ref="V48:W48"/>
    <mergeCell ref="R48:S48"/>
    <mergeCell ref="T48:U48"/>
    <mergeCell ref="S56:Y56"/>
    <mergeCell ref="R42:S42"/>
    <mergeCell ref="T42:U42"/>
    <mergeCell ref="V42:W42"/>
    <mergeCell ref="X45:Y45"/>
    <mergeCell ref="R46:S46"/>
    <mergeCell ref="T46:U46"/>
    <mergeCell ref="V46:W46"/>
    <mergeCell ref="X46:Y46"/>
    <mergeCell ref="R47:S47"/>
    <mergeCell ref="T47:U47"/>
    <mergeCell ref="V47:W47"/>
    <mergeCell ref="X47:Y47"/>
    <mergeCell ref="R45:S45"/>
    <mergeCell ref="T45:U45"/>
    <mergeCell ref="V45:W45"/>
    <mergeCell ref="R43:S43"/>
    <mergeCell ref="T43:U43"/>
    <mergeCell ref="V43:W43"/>
    <mergeCell ref="X43:Y43"/>
    <mergeCell ref="R44:S44"/>
    <mergeCell ref="T44:U44"/>
    <mergeCell ref="V44:W44"/>
    <mergeCell ref="X44:Y44"/>
    <mergeCell ref="X42:Y42"/>
    <mergeCell ref="Q37:Q38"/>
    <mergeCell ref="R37:S38"/>
    <mergeCell ref="X39:Y39"/>
    <mergeCell ref="V40:W40"/>
    <mergeCell ref="X40:Y40"/>
    <mergeCell ref="R41:S41"/>
    <mergeCell ref="T41:U41"/>
    <mergeCell ref="V41:W41"/>
    <mergeCell ref="X41:Y41"/>
    <mergeCell ref="R39:S39"/>
    <mergeCell ref="T39:U39"/>
    <mergeCell ref="V39:W39"/>
    <mergeCell ref="Q31:Q32"/>
    <mergeCell ref="R31:S32"/>
    <mergeCell ref="Q25:Y25"/>
    <mergeCell ref="Q26:Y26"/>
    <mergeCell ref="T32:U32"/>
    <mergeCell ref="V32:W32"/>
    <mergeCell ref="R21:S21"/>
    <mergeCell ref="R22:S22"/>
    <mergeCell ref="T16:U16"/>
    <mergeCell ref="T17:U17"/>
    <mergeCell ref="T18:U18"/>
    <mergeCell ref="T19:U19"/>
    <mergeCell ref="V20:W20"/>
    <mergeCell ref="X17:Y17"/>
    <mergeCell ref="X18:Y18"/>
    <mergeCell ref="X19:Y19"/>
    <mergeCell ref="X20:Y20"/>
    <mergeCell ref="X21:Y21"/>
    <mergeCell ref="X22:Y22"/>
    <mergeCell ref="V16:W16"/>
    <mergeCell ref="V17:W17"/>
    <mergeCell ref="V18:W18"/>
    <mergeCell ref="V19:W19"/>
    <mergeCell ref="V21:W21"/>
    <mergeCell ref="R34:S34"/>
    <mergeCell ref="T33:U33"/>
    <mergeCell ref="T34:U34"/>
    <mergeCell ref="V33:W33"/>
    <mergeCell ref="V34:W34"/>
    <mergeCell ref="V7:W7"/>
    <mergeCell ref="V8:W8"/>
    <mergeCell ref="R5:S6"/>
    <mergeCell ref="V23:W23"/>
    <mergeCell ref="V14:W14"/>
    <mergeCell ref="V15:W15"/>
    <mergeCell ref="V22:W22"/>
    <mergeCell ref="B42:C44"/>
    <mergeCell ref="B61:C63"/>
    <mergeCell ref="B80:C82"/>
    <mergeCell ref="B99:C101"/>
    <mergeCell ref="B118:C120"/>
    <mergeCell ref="L52:M52"/>
    <mergeCell ref="D53:E53"/>
    <mergeCell ref="H53:I53"/>
    <mergeCell ref="J53:K53"/>
    <mergeCell ref="L53:M53"/>
    <mergeCell ref="D50:E50"/>
    <mergeCell ref="H50:I50"/>
    <mergeCell ref="J50:K50"/>
    <mergeCell ref="L50:M50"/>
    <mergeCell ref="J51:K51"/>
    <mergeCell ref="L51:M51"/>
    <mergeCell ref="H46:I46"/>
    <mergeCell ref="J46:K46"/>
    <mergeCell ref="L46:M46"/>
    <mergeCell ref="B49:C49"/>
    <mergeCell ref="D49:E49"/>
    <mergeCell ref="H49:I49"/>
    <mergeCell ref="J49:K49"/>
    <mergeCell ref="L49:M49"/>
    <mergeCell ref="B137:C139"/>
    <mergeCell ref="B156:C158"/>
    <mergeCell ref="B175:C177"/>
    <mergeCell ref="J54:K54"/>
    <mergeCell ref="L54:M54"/>
    <mergeCell ref="D55:E55"/>
    <mergeCell ref="H55:I55"/>
    <mergeCell ref="J55:K55"/>
    <mergeCell ref="L55:M55"/>
    <mergeCell ref="B70:C70"/>
    <mergeCell ref="D70:E70"/>
    <mergeCell ref="H70:I70"/>
    <mergeCell ref="J70:K70"/>
    <mergeCell ref="L70:M70"/>
    <mergeCell ref="H65:I65"/>
    <mergeCell ref="J65:K65"/>
    <mergeCell ref="L65:M65"/>
    <mergeCell ref="B68:C68"/>
    <mergeCell ref="D68:E68"/>
    <mergeCell ref="H68:I68"/>
    <mergeCell ref="J68:K68"/>
    <mergeCell ref="L68:M68"/>
    <mergeCell ref="D65:E66"/>
    <mergeCell ref="F65:G66"/>
    <mergeCell ref="B194:C196"/>
    <mergeCell ref="B50:C50"/>
    <mergeCell ref="B56:C56"/>
    <mergeCell ref="B69:C69"/>
    <mergeCell ref="B75:C75"/>
    <mergeCell ref="B88:C88"/>
    <mergeCell ref="B94:C94"/>
    <mergeCell ref="B107:C107"/>
    <mergeCell ref="B113:C113"/>
    <mergeCell ref="B126:C126"/>
    <mergeCell ref="B132:C132"/>
    <mergeCell ref="B145:C145"/>
    <mergeCell ref="B151:C151"/>
    <mergeCell ref="B189:C189"/>
    <mergeCell ref="B187:C187"/>
    <mergeCell ref="B54:C54"/>
    <mergeCell ref="B55:C55"/>
    <mergeCell ref="B53:C53"/>
    <mergeCell ref="B51:C51"/>
    <mergeCell ref="B73:C73"/>
    <mergeCell ref="B89:C89"/>
    <mergeCell ref="B92:C92"/>
    <mergeCell ref="B108:C108"/>
    <mergeCell ref="B111:C111"/>
    <mergeCell ref="D7:G7"/>
    <mergeCell ref="H7:M7"/>
    <mergeCell ref="H8:I8"/>
    <mergeCell ref="J8:K8"/>
    <mergeCell ref="L8:M8"/>
    <mergeCell ref="B3:M3"/>
    <mergeCell ref="D8:E9"/>
    <mergeCell ref="F8:G9"/>
    <mergeCell ref="B7:C10"/>
    <mergeCell ref="J10:K10"/>
    <mergeCell ref="L10:M10"/>
    <mergeCell ref="D5:E5"/>
    <mergeCell ref="H13:I13"/>
    <mergeCell ref="J13:K13"/>
    <mergeCell ref="L13:M13"/>
    <mergeCell ref="B11:C11"/>
    <mergeCell ref="D11:E11"/>
    <mergeCell ref="H11:I11"/>
    <mergeCell ref="J11:K11"/>
    <mergeCell ref="L11:M11"/>
    <mergeCell ref="B12:C12"/>
    <mergeCell ref="D12:E12"/>
    <mergeCell ref="H12:I12"/>
    <mergeCell ref="J12:K12"/>
    <mergeCell ref="L12:M12"/>
    <mergeCell ref="B23:C25"/>
    <mergeCell ref="B16:C16"/>
    <mergeCell ref="D16:E16"/>
    <mergeCell ref="H16:I16"/>
    <mergeCell ref="J16:K16"/>
    <mergeCell ref="L16:M16"/>
    <mergeCell ref="B17:C17"/>
    <mergeCell ref="D17:E17"/>
    <mergeCell ref="H17:I17"/>
    <mergeCell ref="J17:K17"/>
    <mergeCell ref="L17:M17"/>
    <mergeCell ref="F11:G17"/>
    <mergeCell ref="B14:C14"/>
    <mergeCell ref="D14:E14"/>
    <mergeCell ref="H14:I14"/>
    <mergeCell ref="J14:K14"/>
    <mergeCell ref="L14:M14"/>
    <mergeCell ref="B15:C15"/>
    <mergeCell ref="D15:E15"/>
    <mergeCell ref="H15:I15"/>
    <mergeCell ref="J15:K15"/>
    <mergeCell ref="L15:M15"/>
    <mergeCell ref="B13:C13"/>
    <mergeCell ref="D13:E13"/>
    <mergeCell ref="B26:C29"/>
    <mergeCell ref="J29:K29"/>
    <mergeCell ref="L29:M29"/>
    <mergeCell ref="H27:I27"/>
    <mergeCell ref="J27:K27"/>
    <mergeCell ref="L27:M27"/>
    <mergeCell ref="B37:C37"/>
    <mergeCell ref="B36:C36"/>
    <mergeCell ref="D36:E36"/>
    <mergeCell ref="H36:I36"/>
    <mergeCell ref="J36:K36"/>
    <mergeCell ref="L36:M36"/>
    <mergeCell ref="D34:E34"/>
    <mergeCell ref="H34:I34"/>
    <mergeCell ref="J34:K34"/>
    <mergeCell ref="L34:M34"/>
    <mergeCell ref="B33:C33"/>
    <mergeCell ref="D33:E33"/>
    <mergeCell ref="H33:I33"/>
    <mergeCell ref="J33:K33"/>
    <mergeCell ref="L33:M33"/>
    <mergeCell ref="B32:C32"/>
    <mergeCell ref="D32:E32"/>
    <mergeCell ref="F27:G28"/>
    <mergeCell ref="B18:C18"/>
    <mergeCell ref="D26:G26"/>
    <mergeCell ref="H26:M26"/>
    <mergeCell ref="D27:E28"/>
    <mergeCell ref="H32:I32"/>
    <mergeCell ref="J32:K32"/>
    <mergeCell ref="L32:M32"/>
    <mergeCell ref="B31:C31"/>
    <mergeCell ref="D31:E31"/>
    <mergeCell ref="H31:I31"/>
    <mergeCell ref="J31:K31"/>
    <mergeCell ref="L31:M31"/>
    <mergeCell ref="B30:C30"/>
    <mergeCell ref="D30:E30"/>
    <mergeCell ref="H30:I30"/>
    <mergeCell ref="J30:K30"/>
    <mergeCell ref="L30:M30"/>
    <mergeCell ref="F30:G36"/>
    <mergeCell ref="B35:C35"/>
    <mergeCell ref="D35:E35"/>
    <mergeCell ref="H35:I35"/>
    <mergeCell ref="J35:K35"/>
    <mergeCell ref="L35:M35"/>
    <mergeCell ref="B34:C34"/>
    <mergeCell ref="F46:G47"/>
    <mergeCell ref="B45:C48"/>
    <mergeCell ref="J48:K48"/>
    <mergeCell ref="L48:M48"/>
    <mergeCell ref="D45:G45"/>
    <mergeCell ref="H45:M45"/>
    <mergeCell ref="F49:G55"/>
    <mergeCell ref="B52:C52"/>
    <mergeCell ref="D52:E52"/>
    <mergeCell ref="H52:I52"/>
    <mergeCell ref="J52:K52"/>
    <mergeCell ref="H51:I51"/>
    <mergeCell ref="B64:C67"/>
    <mergeCell ref="J67:K67"/>
    <mergeCell ref="L67:M67"/>
    <mergeCell ref="D64:G64"/>
    <mergeCell ref="H64:M64"/>
    <mergeCell ref="H54:I54"/>
    <mergeCell ref="D73:E73"/>
    <mergeCell ref="H73:I73"/>
    <mergeCell ref="J73:K73"/>
    <mergeCell ref="L73:M73"/>
    <mergeCell ref="B74:C74"/>
    <mergeCell ref="D74:E74"/>
    <mergeCell ref="H74:I74"/>
    <mergeCell ref="J74:K74"/>
    <mergeCell ref="L74:M74"/>
    <mergeCell ref="F68:G74"/>
    <mergeCell ref="B71:C71"/>
    <mergeCell ref="D71:E71"/>
    <mergeCell ref="H71:I71"/>
    <mergeCell ref="J71:K71"/>
    <mergeCell ref="L71:M71"/>
    <mergeCell ref="B72:C72"/>
    <mergeCell ref="D72:E72"/>
    <mergeCell ref="H72:I72"/>
    <mergeCell ref="J72:K72"/>
    <mergeCell ref="L72:M72"/>
    <mergeCell ref="D69:E69"/>
    <mergeCell ref="H69:I69"/>
    <mergeCell ref="J69:K69"/>
    <mergeCell ref="L69:M69"/>
    <mergeCell ref="H89:I89"/>
    <mergeCell ref="J89:K89"/>
    <mergeCell ref="L89:M89"/>
    <mergeCell ref="H84:I84"/>
    <mergeCell ref="J84:K84"/>
    <mergeCell ref="L84:M84"/>
    <mergeCell ref="B87:C87"/>
    <mergeCell ref="D87:E87"/>
    <mergeCell ref="H87:I87"/>
    <mergeCell ref="J87:K87"/>
    <mergeCell ref="L87:M87"/>
    <mergeCell ref="D84:E85"/>
    <mergeCell ref="F84:G85"/>
    <mergeCell ref="B83:C86"/>
    <mergeCell ref="J86:K86"/>
    <mergeCell ref="L86:M86"/>
    <mergeCell ref="D83:G83"/>
    <mergeCell ref="H83:M83"/>
    <mergeCell ref="H92:I92"/>
    <mergeCell ref="J92:K92"/>
    <mergeCell ref="L92:M92"/>
    <mergeCell ref="B93:C93"/>
    <mergeCell ref="D93:E93"/>
    <mergeCell ref="H93:I93"/>
    <mergeCell ref="J93:K93"/>
    <mergeCell ref="L93:M93"/>
    <mergeCell ref="F87:G93"/>
    <mergeCell ref="B90:C90"/>
    <mergeCell ref="D90:E90"/>
    <mergeCell ref="H90:I90"/>
    <mergeCell ref="J90:K90"/>
    <mergeCell ref="L90:M90"/>
    <mergeCell ref="B91:C91"/>
    <mergeCell ref="D91:E91"/>
    <mergeCell ref="H91:I91"/>
    <mergeCell ref="J91:K91"/>
    <mergeCell ref="L91:M91"/>
    <mergeCell ref="D88:E88"/>
    <mergeCell ref="H88:I88"/>
    <mergeCell ref="J88:K88"/>
    <mergeCell ref="L88:M88"/>
    <mergeCell ref="D89:E89"/>
    <mergeCell ref="H108:I108"/>
    <mergeCell ref="J108:K108"/>
    <mergeCell ref="L108:M108"/>
    <mergeCell ref="H103:I103"/>
    <mergeCell ref="J103:K103"/>
    <mergeCell ref="L103:M103"/>
    <mergeCell ref="B106:C106"/>
    <mergeCell ref="D106:E106"/>
    <mergeCell ref="H106:I106"/>
    <mergeCell ref="J106:K106"/>
    <mergeCell ref="L106:M106"/>
    <mergeCell ref="D103:E104"/>
    <mergeCell ref="F103:G104"/>
    <mergeCell ref="B102:C105"/>
    <mergeCell ref="J105:K105"/>
    <mergeCell ref="L105:M105"/>
    <mergeCell ref="D102:G102"/>
    <mergeCell ref="H102:M102"/>
    <mergeCell ref="H111:I111"/>
    <mergeCell ref="J111:K111"/>
    <mergeCell ref="L111:M111"/>
    <mergeCell ref="B112:C112"/>
    <mergeCell ref="D112:E112"/>
    <mergeCell ref="H112:I112"/>
    <mergeCell ref="J112:K112"/>
    <mergeCell ref="L112:M112"/>
    <mergeCell ref="F106:G112"/>
    <mergeCell ref="B109:C109"/>
    <mergeCell ref="D109:E109"/>
    <mergeCell ref="H109:I109"/>
    <mergeCell ref="J109:K109"/>
    <mergeCell ref="L109:M109"/>
    <mergeCell ref="B110:C110"/>
    <mergeCell ref="D110:E110"/>
    <mergeCell ref="H110:I110"/>
    <mergeCell ref="J110:K110"/>
    <mergeCell ref="L110:M110"/>
    <mergeCell ref="D107:E107"/>
    <mergeCell ref="H107:I107"/>
    <mergeCell ref="J107:K107"/>
    <mergeCell ref="L107:M107"/>
    <mergeCell ref="D108:E108"/>
    <mergeCell ref="B127:C127"/>
    <mergeCell ref="D127:E127"/>
    <mergeCell ref="H127:I127"/>
    <mergeCell ref="J127:K127"/>
    <mergeCell ref="L127:M127"/>
    <mergeCell ref="H122:I122"/>
    <mergeCell ref="J122:K122"/>
    <mergeCell ref="L122:M122"/>
    <mergeCell ref="B125:C125"/>
    <mergeCell ref="D125:E125"/>
    <mergeCell ref="H125:I125"/>
    <mergeCell ref="J125:K125"/>
    <mergeCell ref="L125:M125"/>
    <mergeCell ref="D122:E123"/>
    <mergeCell ref="F122:G123"/>
    <mergeCell ref="B121:C124"/>
    <mergeCell ref="J124:K124"/>
    <mergeCell ref="L124:M124"/>
    <mergeCell ref="D121:G121"/>
    <mergeCell ref="H121:M121"/>
    <mergeCell ref="L126:M126"/>
    <mergeCell ref="B130:C130"/>
    <mergeCell ref="D130:E130"/>
    <mergeCell ref="H130:I130"/>
    <mergeCell ref="J130:K130"/>
    <mergeCell ref="L130:M130"/>
    <mergeCell ref="B131:C131"/>
    <mergeCell ref="D131:E131"/>
    <mergeCell ref="H131:I131"/>
    <mergeCell ref="J131:K131"/>
    <mergeCell ref="L131:M131"/>
    <mergeCell ref="F125:G131"/>
    <mergeCell ref="B128:C128"/>
    <mergeCell ref="D128:E128"/>
    <mergeCell ref="H128:I128"/>
    <mergeCell ref="J128:K128"/>
    <mergeCell ref="L128:M128"/>
    <mergeCell ref="B129:C129"/>
    <mergeCell ref="D129:E129"/>
    <mergeCell ref="H129:I129"/>
    <mergeCell ref="J129:K129"/>
    <mergeCell ref="L129:M129"/>
    <mergeCell ref="D126:E126"/>
    <mergeCell ref="H126:I126"/>
    <mergeCell ref="J126:K126"/>
    <mergeCell ref="B146:C146"/>
    <mergeCell ref="D146:E146"/>
    <mergeCell ref="H146:I146"/>
    <mergeCell ref="J146:K146"/>
    <mergeCell ref="L146:M146"/>
    <mergeCell ref="H141:I141"/>
    <mergeCell ref="J141:K141"/>
    <mergeCell ref="L141:M141"/>
    <mergeCell ref="B144:C144"/>
    <mergeCell ref="D144:E144"/>
    <mergeCell ref="H144:I144"/>
    <mergeCell ref="J144:K144"/>
    <mergeCell ref="L144:M144"/>
    <mergeCell ref="D141:E142"/>
    <mergeCell ref="F141:G142"/>
    <mergeCell ref="B140:C143"/>
    <mergeCell ref="J143:K143"/>
    <mergeCell ref="L143:M143"/>
    <mergeCell ref="D140:G140"/>
    <mergeCell ref="H140:M140"/>
    <mergeCell ref="L145:M145"/>
    <mergeCell ref="B149:C149"/>
    <mergeCell ref="D149:E149"/>
    <mergeCell ref="H149:I149"/>
    <mergeCell ref="J149:K149"/>
    <mergeCell ref="L149:M149"/>
    <mergeCell ref="B150:C150"/>
    <mergeCell ref="D150:E150"/>
    <mergeCell ref="H150:I150"/>
    <mergeCell ref="J150:K150"/>
    <mergeCell ref="L150:M150"/>
    <mergeCell ref="F144:G150"/>
    <mergeCell ref="B147:C147"/>
    <mergeCell ref="D147:E147"/>
    <mergeCell ref="H147:I147"/>
    <mergeCell ref="J147:K147"/>
    <mergeCell ref="L147:M147"/>
    <mergeCell ref="B148:C148"/>
    <mergeCell ref="D148:E148"/>
    <mergeCell ref="H148:I148"/>
    <mergeCell ref="J148:K148"/>
    <mergeCell ref="L148:M148"/>
    <mergeCell ref="D145:E145"/>
    <mergeCell ref="H145:I145"/>
    <mergeCell ref="J145:K145"/>
    <mergeCell ref="B163:C163"/>
    <mergeCell ref="D163:E163"/>
    <mergeCell ref="H163:I163"/>
    <mergeCell ref="J163:K163"/>
    <mergeCell ref="L163:M163"/>
    <mergeCell ref="D160:E161"/>
    <mergeCell ref="F160:G161"/>
    <mergeCell ref="B159:C162"/>
    <mergeCell ref="J162:K162"/>
    <mergeCell ref="L162:M162"/>
    <mergeCell ref="D159:G159"/>
    <mergeCell ref="H159:M159"/>
    <mergeCell ref="B164:C164"/>
    <mergeCell ref="D164:E164"/>
    <mergeCell ref="H164:I164"/>
    <mergeCell ref="J164:K164"/>
    <mergeCell ref="L164:M164"/>
    <mergeCell ref="B165:C165"/>
    <mergeCell ref="D165:E165"/>
    <mergeCell ref="H165:I165"/>
    <mergeCell ref="J165:K165"/>
    <mergeCell ref="L165:M165"/>
    <mergeCell ref="B170:C170"/>
    <mergeCell ref="D178:G178"/>
    <mergeCell ref="H178:M178"/>
    <mergeCell ref="B168:C168"/>
    <mergeCell ref="D168:E168"/>
    <mergeCell ref="H168:I168"/>
    <mergeCell ref="J168:K168"/>
    <mergeCell ref="L168:M168"/>
    <mergeCell ref="B169:C169"/>
    <mergeCell ref="D169:E169"/>
    <mergeCell ref="H169:I169"/>
    <mergeCell ref="J169:K169"/>
    <mergeCell ref="L169:M169"/>
    <mergeCell ref="F163:G169"/>
    <mergeCell ref="B166:C166"/>
    <mergeCell ref="D166:E166"/>
    <mergeCell ref="H166:I166"/>
    <mergeCell ref="J166:K166"/>
    <mergeCell ref="L166:M166"/>
    <mergeCell ref="B167:C167"/>
    <mergeCell ref="D167:E167"/>
    <mergeCell ref="H167:I167"/>
    <mergeCell ref="J167:K167"/>
    <mergeCell ref="L167:M167"/>
    <mergeCell ref="B182:C182"/>
    <mergeCell ref="D182:E182"/>
    <mergeCell ref="H182:I182"/>
    <mergeCell ref="J182:K182"/>
    <mergeCell ref="L182:M182"/>
    <mergeCell ref="D179:E180"/>
    <mergeCell ref="F179:G180"/>
    <mergeCell ref="B178:C181"/>
    <mergeCell ref="J181:K181"/>
    <mergeCell ref="L181:M181"/>
    <mergeCell ref="B188:C188"/>
    <mergeCell ref="D188:E188"/>
    <mergeCell ref="H188:I188"/>
    <mergeCell ref="J188:K188"/>
    <mergeCell ref="L188:M188"/>
    <mergeCell ref="F182:G188"/>
    <mergeCell ref="B185:C185"/>
    <mergeCell ref="D185:E185"/>
    <mergeCell ref="H185:I185"/>
    <mergeCell ref="J185:K185"/>
    <mergeCell ref="L185:M185"/>
    <mergeCell ref="B186:C186"/>
    <mergeCell ref="D186:E186"/>
    <mergeCell ref="H186:I186"/>
    <mergeCell ref="J186:K186"/>
    <mergeCell ref="L186:M186"/>
    <mergeCell ref="B183:C183"/>
    <mergeCell ref="D183:E183"/>
    <mergeCell ref="H183:I183"/>
    <mergeCell ref="J183:K183"/>
    <mergeCell ref="L183:M183"/>
    <mergeCell ref="B184:C184"/>
    <mergeCell ref="D184:E184"/>
    <mergeCell ref="H184:I184"/>
    <mergeCell ref="D196:E196"/>
    <mergeCell ref="D25:E25"/>
    <mergeCell ref="D63:E63"/>
    <mergeCell ref="D82:E82"/>
    <mergeCell ref="D101:E101"/>
    <mergeCell ref="D120:E120"/>
    <mergeCell ref="D139:E139"/>
    <mergeCell ref="D158:E158"/>
    <mergeCell ref="D44:E44"/>
    <mergeCell ref="D187:E187"/>
    <mergeCell ref="D177:E177"/>
    <mergeCell ref="D54:E54"/>
    <mergeCell ref="D51:E51"/>
    <mergeCell ref="D111:E111"/>
    <mergeCell ref="D92:E92"/>
    <mergeCell ref="D46:E47"/>
    <mergeCell ref="H187:I187"/>
    <mergeCell ref="J187:K187"/>
    <mergeCell ref="L187:M187"/>
    <mergeCell ref="J184:K184"/>
    <mergeCell ref="L184:M184"/>
    <mergeCell ref="H179:I179"/>
    <mergeCell ref="J179:K179"/>
    <mergeCell ref="L179:M179"/>
    <mergeCell ref="H160:I160"/>
    <mergeCell ref="J160:K160"/>
    <mergeCell ref="L160:M160"/>
    <mergeCell ref="Y2:Z2"/>
    <mergeCell ref="V2:X2"/>
    <mergeCell ref="Q61:R61"/>
    <mergeCell ref="Q62:R62"/>
    <mergeCell ref="Q63:R63"/>
    <mergeCell ref="Q55:R55"/>
    <mergeCell ref="Q56:R56"/>
    <mergeCell ref="Q58:R58"/>
    <mergeCell ref="T7:U7"/>
    <mergeCell ref="T8:U8"/>
    <mergeCell ref="R11:S12"/>
    <mergeCell ref="Q54:R54"/>
    <mergeCell ref="R7:S7"/>
    <mergeCell ref="R8:S8"/>
    <mergeCell ref="Q11:Q12"/>
    <mergeCell ref="T13:U13"/>
    <mergeCell ref="R13:S13"/>
    <mergeCell ref="R23:S23"/>
    <mergeCell ref="T23:U23"/>
    <mergeCell ref="R40:S40"/>
    <mergeCell ref="T40:U40"/>
    <mergeCell ref="V13:W13"/>
    <mergeCell ref="Q5:Q6"/>
    <mergeCell ref="R33:S33"/>
    <mergeCell ref="Q4:AE4"/>
    <mergeCell ref="Q92:W94"/>
    <mergeCell ref="X92:Y92"/>
    <mergeCell ref="Z92:AE92"/>
    <mergeCell ref="X93:Y93"/>
    <mergeCell ref="X94:Y94"/>
    <mergeCell ref="Q95:AE95"/>
    <mergeCell ref="Q96:AE99"/>
    <mergeCell ref="Q100:W102"/>
    <mergeCell ref="X100:Y100"/>
    <mergeCell ref="Z13:AA13"/>
    <mergeCell ref="X13:Y13"/>
    <mergeCell ref="T14:U14"/>
    <mergeCell ref="T15:U15"/>
    <mergeCell ref="T20:U20"/>
    <mergeCell ref="T21:U21"/>
    <mergeCell ref="T22:U22"/>
    <mergeCell ref="R14:S14"/>
    <mergeCell ref="R15:S15"/>
    <mergeCell ref="R16:S16"/>
    <mergeCell ref="R17:S17"/>
    <mergeCell ref="R18:S18"/>
    <mergeCell ref="R19:S19"/>
    <mergeCell ref="R20:S20"/>
    <mergeCell ref="AD13:AE13"/>
    <mergeCell ref="Z14:AA14"/>
    <mergeCell ref="AD14:AE14"/>
    <mergeCell ref="Z15:AA15"/>
    <mergeCell ref="AD15:AE15"/>
    <mergeCell ref="Z16:AA16"/>
    <mergeCell ref="AD16:AE16"/>
    <mergeCell ref="X8:Y8"/>
    <mergeCell ref="Z8:AA8"/>
    <mergeCell ref="AB8:AC8"/>
    <mergeCell ref="AD8:AE8"/>
    <mergeCell ref="X14:Y14"/>
    <mergeCell ref="X15:Y15"/>
    <mergeCell ref="X16:Y16"/>
    <mergeCell ref="AB15:AC15"/>
    <mergeCell ref="AB16:AC16"/>
    <mergeCell ref="AD20:AE20"/>
    <mergeCell ref="Z21:AA21"/>
    <mergeCell ref="AD21:AE21"/>
    <mergeCell ref="Z22:AA22"/>
    <mergeCell ref="AD22:AE22"/>
    <mergeCell ref="Z17:AA17"/>
    <mergeCell ref="AD17:AE17"/>
    <mergeCell ref="Z18:AA18"/>
    <mergeCell ref="AD18:AE18"/>
    <mergeCell ref="Z19:AA19"/>
    <mergeCell ref="AD19:AE19"/>
    <mergeCell ref="AB17:AC17"/>
    <mergeCell ref="AB18:AC18"/>
    <mergeCell ref="AB19:AC19"/>
    <mergeCell ref="AB20:AC20"/>
    <mergeCell ref="AB21:AC21"/>
    <mergeCell ref="AB22:AC22"/>
    <mergeCell ref="Z39:AA39"/>
    <mergeCell ref="Z40:AA40"/>
    <mergeCell ref="Z41:AA41"/>
    <mergeCell ref="Z42:AA42"/>
    <mergeCell ref="X33:Y33"/>
    <mergeCell ref="AB33:AC33"/>
    <mergeCell ref="AD33:AE33"/>
    <mergeCell ref="X34:Y34"/>
    <mergeCell ref="AB34:AC34"/>
    <mergeCell ref="AD34:AE34"/>
    <mergeCell ref="Z33:AA33"/>
    <mergeCell ref="Z34:AA34"/>
    <mergeCell ref="AB39:AC39"/>
    <mergeCell ref="AD39:AE39"/>
    <mergeCell ref="T37:Y37"/>
    <mergeCell ref="Z37:AE37"/>
    <mergeCell ref="T38:U38"/>
    <mergeCell ref="V38:W38"/>
    <mergeCell ref="X38:Y38"/>
    <mergeCell ref="Z38:AA38"/>
    <mergeCell ref="AB38:AC38"/>
    <mergeCell ref="AD38:AE38"/>
    <mergeCell ref="AB43:AC43"/>
    <mergeCell ref="AD43:AE43"/>
    <mergeCell ref="AB44:AC44"/>
    <mergeCell ref="AD44:AE44"/>
    <mergeCell ref="AB45:AC45"/>
    <mergeCell ref="AD45:AE45"/>
    <mergeCell ref="AB40:AC40"/>
    <mergeCell ref="AD40:AE40"/>
    <mergeCell ref="AB41:AC41"/>
    <mergeCell ref="AD41:AE41"/>
    <mergeCell ref="AB42:AC42"/>
    <mergeCell ref="AD42:AE42"/>
    <mergeCell ref="Q65:W65"/>
    <mergeCell ref="Q66:W66"/>
    <mergeCell ref="Q70:AE70"/>
    <mergeCell ref="T6:U6"/>
    <mergeCell ref="V6:W6"/>
    <mergeCell ref="X6:Y6"/>
    <mergeCell ref="T31:Y31"/>
    <mergeCell ref="S57:Y57"/>
    <mergeCell ref="S58:Y58"/>
    <mergeCell ref="S59:Y59"/>
    <mergeCell ref="S60:Y60"/>
    <mergeCell ref="S61:Y61"/>
    <mergeCell ref="S62:Y62"/>
    <mergeCell ref="S63:Y63"/>
    <mergeCell ref="AB49:AC49"/>
    <mergeCell ref="AD49:AE49"/>
    <mergeCell ref="Q51:Y51"/>
    <mergeCell ref="S52:Y52"/>
    <mergeCell ref="S53:Y53"/>
    <mergeCell ref="S54:Y54"/>
    <mergeCell ref="S55:Y55"/>
    <mergeCell ref="AB13:AC13"/>
    <mergeCell ref="AB14:AC14"/>
    <mergeCell ref="Z6:AA6"/>
    <mergeCell ref="Q103:AE103"/>
    <mergeCell ref="Q104:AE107"/>
    <mergeCell ref="Z72:AA72"/>
    <mergeCell ref="AB72:AC72"/>
    <mergeCell ref="AD72:AE72"/>
    <mergeCell ref="Q76:AE76"/>
    <mergeCell ref="Q77:AE81"/>
    <mergeCell ref="Q88:AE91"/>
    <mergeCell ref="Q83:AE83"/>
    <mergeCell ref="Z84:AE84"/>
    <mergeCell ref="X84:Y84"/>
    <mergeCell ref="X85:Y85"/>
    <mergeCell ref="X86:Y86"/>
    <mergeCell ref="Q87:AE87"/>
    <mergeCell ref="Q84:W86"/>
    <mergeCell ref="X74:Y74"/>
    <mergeCell ref="AB74:AC74"/>
    <mergeCell ref="AD74:AE74"/>
    <mergeCell ref="Q71:Q72"/>
    <mergeCell ref="R71:S72"/>
    <mergeCell ref="R73:S73"/>
    <mergeCell ref="R74:S74"/>
    <mergeCell ref="T74:U74"/>
    <mergeCell ref="Z102:AE102"/>
    <mergeCell ref="Z45:AA45"/>
    <mergeCell ref="Z46:AA46"/>
    <mergeCell ref="Z47:AA47"/>
    <mergeCell ref="Z48:AA48"/>
    <mergeCell ref="Z49:AA49"/>
    <mergeCell ref="Z73:AA73"/>
    <mergeCell ref="Z74:AA74"/>
    <mergeCell ref="Z100:AE100"/>
    <mergeCell ref="X101:Y101"/>
    <mergeCell ref="AB46:AC46"/>
    <mergeCell ref="AD46:AE46"/>
    <mergeCell ref="AB47:AC47"/>
    <mergeCell ref="AD47:AE47"/>
    <mergeCell ref="AB48:AC48"/>
    <mergeCell ref="AD48:AE48"/>
    <mergeCell ref="Z101:AE101"/>
    <mergeCell ref="Z93:AE93"/>
    <mergeCell ref="Z94:AE94"/>
    <mergeCell ref="Z85:AE85"/>
    <mergeCell ref="Z86:AE86"/>
    <mergeCell ref="Q1:Z1"/>
    <mergeCell ref="R9:S9"/>
    <mergeCell ref="T9:U9"/>
    <mergeCell ref="V9:W9"/>
    <mergeCell ref="X9:Y9"/>
    <mergeCell ref="Z9:AA9"/>
    <mergeCell ref="AB9:AC9"/>
    <mergeCell ref="Z43:AA43"/>
    <mergeCell ref="Z44:AA44"/>
    <mergeCell ref="Q36:AE36"/>
    <mergeCell ref="T5:Y5"/>
    <mergeCell ref="Z5:AE5"/>
    <mergeCell ref="AB6:AC6"/>
    <mergeCell ref="AD6:AE6"/>
    <mergeCell ref="T11:Y11"/>
    <mergeCell ref="Z11:AE11"/>
    <mergeCell ref="T12:U12"/>
    <mergeCell ref="V12:W12"/>
    <mergeCell ref="X12:Y12"/>
    <mergeCell ref="Z12:AA12"/>
    <mergeCell ref="AB12:AC12"/>
    <mergeCell ref="AD12:AE12"/>
    <mergeCell ref="X7:Y7"/>
    <mergeCell ref="Z7:AA7"/>
    <mergeCell ref="R35:S35"/>
    <mergeCell ref="T35:U35"/>
    <mergeCell ref="V35:W35"/>
    <mergeCell ref="X35:Y35"/>
    <mergeCell ref="Z35:AA35"/>
    <mergeCell ref="AB35:AC35"/>
    <mergeCell ref="AD35:AE35"/>
    <mergeCell ref="Q2:R2"/>
    <mergeCell ref="S2:U2"/>
    <mergeCell ref="AB7:AC7"/>
    <mergeCell ref="AD7:AE7"/>
    <mergeCell ref="Q10:AE10"/>
    <mergeCell ref="AD9:AE9"/>
    <mergeCell ref="Z23:AA23"/>
    <mergeCell ref="AD23:AE23"/>
    <mergeCell ref="Z31:AE31"/>
    <mergeCell ref="X32:Y32"/>
    <mergeCell ref="Z32:AA32"/>
    <mergeCell ref="AB32:AC32"/>
    <mergeCell ref="AD32:AE32"/>
    <mergeCell ref="X23:Y23"/>
    <mergeCell ref="Q30:AE30"/>
    <mergeCell ref="AB23:AC23"/>
    <mergeCell ref="Z20:AA20"/>
  </mergeCells>
  <dataValidations count="5">
    <dataValidation type="list" allowBlank="1" showInputMessage="1" showErrorMessage="1" sqref="I9 I142 I66 I123 I161 I28 I47 I85 I104 I180">
      <formula1>PLAN_CODE</formula1>
    </dataValidation>
    <dataValidation type="list" allowBlank="1" showInputMessage="1" showErrorMessage="1" sqref="I10 I143 I162 I29 I48 I67 I86 I105 I124 I181">
      <formula1>"Traditional,Select,Vivity,Priority Select"</formula1>
    </dataValidation>
    <dataValidation type="list" allowBlank="1" showInputMessage="1" showErrorMessage="1" sqref="S58:Y58 AD58">
      <formula1>"Select One,Yes,No"</formula1>
    </dataValidation>
    <dataValidation type="list" allowBlank="1" showInputMessage="1" showErrorMessage="1" sqref="Q60:R60">
      <formula1>"Select One,No Add'l $ Requested,Wellness Dollars:,Communication Budget:, Implementation Budget:,Wellness/Communication:,Wellness/Implementation:,Communication/Implementation:"</formula1>
    </dataValidation>
    <dataValidation type="list" allowBlank="1" showInputMessage="1" showErrorMessage="1" sqref="Q68:U68">
      <formula1>"X,"</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I125"/>
  <sheetViews>
    <sheetView zoomScale="95" zoomScaleNormal="95" workbookViewId="0">
      <pane xSplit="1" ySplit="1" topLeftCell="B2" activePane="bottomRight" state="frozen"/>
      <selection pane="topRight" activeCell="B1" sqref="B1"/>
      <selection pane="bottomLeft" activeCell="A2" sqref="A2"/>
      <selection pane="bottomRight" activeCell="H35" sqref="H35"/>
    </sheetView>
  </sheetViews>
  <sheetFormatPr baseColWidth="10" defaultColWidth="9.1640625" defaultRowHeight="14" x14ac:dyDescent="0.2"/>
  <cols>
    <col min="1" max="1" width="9.6640625" style="231" bestFit="1" customWidth="1"/>
    <col min="2" max="2" width="33.33203125" style="67" customWidth="1"/>
    <col min="3" max="3" width="11.6640625" style="68" customWidth="1"/>
    <col min="4" max="4" width="17.83203125" style="67" customWidth="1"/>
    <col min="5" max="5" width="11.33203125" style="68" customWidth="1"/>
    <col min="6" max="6" width="19.1640625" style="67" customWidth="1"/>
    <col min="7" max="7" width="14.5" style="67" customWidth="1"/>
    <col min="8" max="8" width="34.1640625" style="67" customWidth="1"/>
    <col min="9" max="16384" width="9.1640625" style="67"/>
  </cols>
  <sheetData>
    <row r="1" spans="1:8" s="199" customFormat="1" ht="26" customHeight="1" x14ac:dyDescent="0.2">
      <c r="A1" s="198" t="s">
        <v>69</v>
      </c>
      <c r="B1" s="198" t="s">
        <v>1881</v>
      </c>
      <c r="C1" s="198" t="s">
        <v>1692</v>
      </c>
      <c r="D1" s="198" t="s">
        <v>73</v>
      </c>
      <c r="E1" s="198" t="s">
        <v>74</v>
      </c>
      <c r="F1" s="198" t="s">
        <v>75</v>
      </c>
      <c r="G1" s="198" t="s">
        <v>77</v>
      </c>
      <c r="H1" s="198" t="s">
        <v>1694</v>
      </c>
    </row>
    <row r="2" spans="1:8" s="200" customFormat="1" x14ac:dyDescent="0.2">
      <c r="A2" s="241"/>
      <c r="B2" s="254" t="s">
        <v>106</v>
      </c>
      <c r="C2" s="242"/>
      <c r="D2" s="241"/>
      <c r="E2" s="242"/>
      <c r="F2" s="241"/>
      <c r="G2" s="241"/>
      <c r="H2" s="241"/>
    </row>
    <row r="3" spans="1:8" ht="13.25" customHeight="1" x14ac:dyDescent="0.2">
      <c r="A3" s="231" t="s">
        <v>107</v>
      </c>
      <c r="B3" s="67" t="s">
        <v>108</v>
      </c>
      <c r="C3" s="201">
        <v>0</v>
      </c>
      <c r="D3" s="67" t="s">
        <v>109</v>
      </c>
      <c r="E3" s="69">
        <v>10</v>
      </c>
      <c r="F3" s="67" t="s">
        <v>110</v>
      </c>
      <c r="G3" s="67" t="s">
        <v>110</v>
      </c>
      <c r="H3" s="62" t="s">
        <v>111</v>
      </c>
    </row>
    <row r="4" spans="1:8" ht="13.25" customHeight="1" x14ac:dyDescent="0.2">
      <c r="A4" s="232" t="s">
        <v>112</v>
      </c>
      <c r="B4" s="202" t="s">
        <v>113</v>
      </c>
      <c r="C4" s="203">
        <v>0</v>
      </c>
      <c r="D4" s="202" t="s">
        <v>109</v>
      </c>
      <c r="E4" s="204">
        <v>15</v>
      </c>
      <c r="F4" s="202" t="s">
        <v>110</v>
      </c>
      <c r="G4" s="202" t="s">
        <v>110</v>
      </c>
      <c r="H4" s="205" t="s">
        <v>111</v>
      </c>
    </row>
    <row r="5" spans="1:8" ht="13.25" customHeight="1" x14ac:dyDescent="0.2">
      <c r="A5" s="231" t="s">
        <v>114</v>
      </c>
      <c r="B5" s="67" t="s">
        <v>115</v>
      </c>
      <c r="C5" s="201">
        <v>0</v>
      </c>
      <c r="D5" s="67" t="s">
        <v>109</v>
      </c>
      <c r="E5" s="69">
        <v>20</v>
      </c>
      <c r="F5" s="67" t="s">
        <v>110</v>
      </c>
      <c r="G5" s="67" t="s">
        <v>110</v>
      </c>
      <c r="H5" s="62" t="s">
        <v>111</v>
      </c>
    </row>
    <row r="6" spans="1:8" ht="13.25" customHeight="1" x14ac:dyDescent="0.2">
      <c r="A6" s="232" t="s">
        <v>116</v>
      </c>
      <c r="B6" s="202" t="s">
        <v>117</v>
      </c>
      <c r="C6" s="203">
        <v>0</v>
      </c>
      <c r="D6" s="202" t="s">
        <v>109</v>
      </c>
      <c r="E6" s="204">
        <v>30</v>
      </c>
      <c r="F6" s="202" t="s">
        <v>110</v>
      </c>
      <c r="G6" s="202" t="s">
        <v>110</v>
      </c>
      <c r="H6" s="205" t="s">
        <v>111</v>
      </c>
    </row>
    <row r="7" spans="1:8" x14ac:dyDescent="0.2">
      <c r="A7" s="241"/>
      <c r="B7" s="254" t="s">
        <v>1820</v>
      </c>
      <c r="C7" s="243"/>
      <c r="D7" s="244"/>
      <c r="E7" s="245"/>
      <c r="F7" s="244"/>
      <c r="G7" s="244"/>
      <c r="H7" s="244"/>
    </row>
    <row r="8" spans="1:8" ht="13.25" customHeight="1" x14ac:dyDescent="0.2">
      <c r="A8" s="232" t="s">
        <v>118</v>
      </c>
      <c r="B8" s="205" t="s">
        <v>119</v>
      </c>
      <c r="C8" s="203">
        <v>0</v>
      </c>
      <c r="D8" s="202" t="s">
        <v>120</v>
      </c>
      <c r="E8" s="204" t="s">
        <v>121</v>
      </c>
      <c r="F8" s="202" t="s">
        <v>122</v>
      </c>
      <c r="G8" s="202" t="s">
        <v>123</v>
      </c>
      <c r="H8" s="205" t="s">
        <v>124</v>
      </c>
    </row>
    <row r="9" spans="1:8" ht="13.25" customHeight="1" x14ac:dyDescent="0.2">
      <c r="A9" s="231" t="s">
        <v>125</v>
      </c>
      <c r="B9" s="62" t="s">
        <v>126</v>
      </c>
      <c r="C9" s="201">
        <v>0</v>
      </c>
      <c r="D9" s="67" t="s">
        <v>120</v>
      </c>
      <c r="E9" s="69" t="s">
        <v>127</v>
      </c>
      <c r="F9" s="67" t="s">
        <v>122</v>
      </c>
      <c r="G9" s="67" t="s">
        <v>123</v>
      </c>
      <c r="H9" s="62" t="s">
        <v>124</v>
      </c>
    </row>
    <row r="10" spans="1:8" ht="13.25" customHeight="1" x14ac:dyDescent="0.2">
      <c r="A10" s="232" t="s">
        <v>128</v>
      </c>
      <c r="B10" s="205" t="s">
        <v>129</v>
      </c>
      <c r="C10" s="203">
        <v>0</v>
      </c>
      <c r="D10" s="202" t="s">
        <v>130</v>
      </c>
      <c r="E10" s="204" t="s">
        <v>131</v>
      </c>
      <c r="F10" s="202" t="s">
        <v>132</v>
      </c>
      <c r="G10" s="202" t="s">
        <v>122</v>
      </c>
      <c r="H10" s="205" t="s">
        <v>124</v>
      </c>
    </row>
    <row r="11" spans="1:8" ht="13.25" customHeight="1" x14ac:dyDescent="0.2">
      <c r="A11" s="231" t="s">
        <v>133</v>
      </c>
      <c r="B11" s="62" t="s">
        <v>134</v>
      </c>
      <c r="C11" s="201">
        <v>0</v>
      </c>
      <c r="D11" s="67" t="s">
        <v>130</v>
      </c>
      <c r="E11" s="69" t="s">
        <v>135</v>
      </c>
      <c r="F11" s="67" t="s">
        <v>136</v>
      </c>
      <c r="G11" s="67" t="s">
        <v>137</v>
      </c>
      <c r="H11" s="62" t="s">
        <v>124</v>
      </c>
    </row>
    <row r="12" spans="1:8" x14ac:dyDescent="0.2">
      <c r="A12" s="241"/>
      <c r="B12" s="254" t="s">
        <v>1821</v>
      </c>
      <c r="C12" s="243"/>
      <c r="D12" s="244"/>
      <c r="E12" s="434"/>
      <c r="F12" s="244"/>
      <c r="G12" s="244"/>
      <c r="H12" s="244"/>
    </row>
    <row r="13" spans="1:8" ht="13.25" customHeight="1" x14ac:dyDescent="0.2">
      <c r="A13" s="231" t="s">
        <v>138</v>
      </c>
      <c r="B13" s="62" t="s">
        <v>139</v>
      </c>
      <c r="C13" s="201">
        <v>0</v>
      </c>
      <c r="D13" s="67" t="s">
        <v>130</v>
      </c>
      <c r="E13" s="68" t="s">
        <v>127</v>
      </c>
      <c r="F13" s="67" t="s">
        <v>140</v>
      </c>
      <c r="G13" s="67" t="s">
        <v>123</v>
      </c>
      <c r="H13" s="62" t="s">
        <v>141</v>
      </c>
    </row>
    <row r="14" spans="1:8" ht="13.25" customHeight="1" x14ac:dyDescent="0.2">
      <c r="A14" s="232" t="s">
        <v>142</v>
      </c>
      <c r="B14" s="205" t="s">
        <v>143</v>
      </c>
      <c r="C14" s="203">
        <v>0</v>
      </c>
      <c r="D14" s="202" t="s">
        <v>144</v>
      </c>
      <c r="E14" s="206" t="s">
        <v>127</v>
      </c>
      <c r="F14" s="202" t="s">
        <v>140</v>
      </c>
      <c r="G14" s="202" t="s">
        <v>145</v>
      </c>
      <c r="H14" s="205" t="s">
        <v>160</v>
      </c>
    </row>
    <row r="15" spans="1:8" ht="13.25" customHeight="1" x14ac:dyDescent="0.2">
      <c r="A15" s="231" t="s">
        <v>146</v>
      </c>
      <c r="B15" s="62" t="s">
        <v>147</v>
      </c>
      <c r="C15" s="201">
        <v>0</v>
      </c>
      <c r="D15" s="67" t="s">
        <v>130</v>
      </c>
      <c r="E15" s="69" t="s">
        <v>131</v>
      </c>
      <c r="F15" s="67" t="s">
        <v>148</v>
      </c>
      <c r="G15" s="67" t="s">
        <v>122</v>
      </c>
      <c r="H15" s="62" t="s">
        <v>141</v>
      </c>
    </row>
    <row r="16" spans="1:8" ht="13.25" customHeight="1" x14ac:dyDescent="0.2">
      <c r="A16" s="232" t="s">
        <v>149</v>
      </c>
      <c r="B16" s="205" t="s">
        <v>150</v>
      </c>
      <c r="C16" s="203">
        <v>0</v>
      </c>
      <c r="D16" s="202" t="s">
        <v>144</v>
      </c>
      <c r="E16" s="204" t="s">
        <v>131</v>
      </c>
      <c r="F16" s="202" t="s">
        <v>148</v>
      </c>
      <c r="G16" s="202" t="s">
        <v>145</v>
      </c>
      <c r="H16" s="205" t="s">
        <v>160</v>
      </c>
    </row>
    <row r="17" spans="1:8" ht="13.25" customHeight="1" x14ac:dyDescent="0.2">
      <c r="A17" s="231" t="s">
        <v>151</v>
      </c>
      <c r="B17" s="62" t="s">
        <v>152</v>
      </c>
      <c r="C17" s="201">
        <v>0</v>
      </c>
      <c r="D17" s="67" t="s">
        <v>153</v>
      </c>
      <c r="E17" s="69" t="s">
        <v>135</v>
      </c>
      <c r="F17" s="67" t="s">
        <v>154</v>
      </c>
      <c r="G17" s="67" t="s">
        <v>137</v>
      </c>
      <c r="H17" s="62" t="s">
        <v>1900</v>
      </c>
    </row>
    <row r="18" spans="1:8" x14ac:dyDescent="0.2">
      <c r="A18" s="241"/>
      <c r="B18" s="254" t="s">
        <v>1822</v>
      </c>
      <c r="C18" s="246"/>
      <c r="D18" s="244"/>
      <c r="E18" s="434"/>
      <c r="F18" s="244"/>
      <c r="G18" s="247"/>
      <c r="H18" s="244"/>
    </row>
    <row r="19" spans="1:8" ht="13.25" customHeight="1" x14ac:dyDescent="0.2">
      <c r="A19" s="231" t="s">
        <v>155</v>
      </c>
      <c r="B19" s="63" t="s">
        <v>156</v>
      </c>
      <c r="C19" s="201">
        <v>0</v>
      </c>
      <c r="D19" s="67" t="s">
        <v>153</v>
      </c>
      <c r="E19" s="68" t="s">
        <v>157</v>
      </c>
      <c r="F19" s="70" t="s">
        <v>158</v>
      </c>
      <c r="G19" s="70" t="s">
        <v>159</v>
      </c>
      <c r="H19" s="64" t="s">
        <v>160</v>
      </c>
    </row>
    <row r="20" spans="1:8" ht="13.25" customHeight="1" x14ac:dyDescent="0.2">
      <c r="A20" s="232" t="s">
        <v>161</v>
      </c>
      <c r="B20" s="205" t="s">
        <v>162</v>
      </c>
      <c r="C20" s="203">
        <v>0</v>
      </c>
      <c r="D20" s="202" t="s">
        <v>163</v>
      </c>
      <c r="E20" s="206" t="s">
        <v>131</v>
      </c>
      <c r="F20" s="207" t="s">
        <v>164</v>
      </c>
      <c r="G20" s="207" t="s">
        <v>165</v>
      </c>
      <c r="H20" s="205" t="s">
        <v>1901</v>
      </c>
    </row>
    <row r="21" spans="1:8" x14ac:dyDescent="0.2">
      <c r="A21" s="241"/>
      <c r="B21" s="254" t="s">
        <v>1823</v>
      </c>
      <c r="C21" s="246"/>
      <c r="D21" s="244"/>
      <c r="E21" s="434"/>
      <c r="F21" s="247"/>
      <c r="G21" s="247"/>
      <c r="H21" s="244"/>
    </row>
    <row r="22" spans="1:8" ht="13.25" customHeight="1" x14ac:dyDescent="0.2">
      <c r="A22" s="232" t="s">
        <v>166</v>
      </c>
      <c r="B22" s="205" t="s">
        <v>167</v>
      </c>
      <c r="C22" s="204">
        <v>250</v>
      </c>
      <c r="D22" s="202" t="s">
        <v>144</v>
      </c>
      <c r="E22" s="204" t="s">
        <v>127</v>
      </c>
      <c r="F22" s="202" t="s">
        <v>1904</v>
      </c>
      <c r="G22" s="202" t="s">
        <v>1904</v>
      </c>
      <c r="H22" s="205" t="s">
        <v>168</v>
      </c>
    </row>
    <row r="23" spans="1:8" ht="13.25" customHeight="1" x14ac:dyDescent="0.2">
      <c r="A23" s="231" t="s">
        <v>169</v>
      </c>
      <c r="B23" s="63" t="s">
        <v>170</v>
      </c>
      <c r="C23" s="69">
        <v>500</v>
      </c>
      <c r="D23" s="67" t="s">
        <v>144</v>
      </c>
      <c r="E23" s="69" t="s">
        <v>127</v>
      </c>
      <c r="F23" s="70" t="s">
        <v>1905</v>
      </c>
      <c r="G23" s="70" t="s">
        <v>1905</v>
      </c>
      <c r="H23" s="63" t="s">
        <v>168</v>
      </c>
    </row>
    <row r="24" spans="1:8" ht="13.25" customHeight="1" x14ac:dyDescent="0.2">
      <c r="A24" s="232" t="s">
        <v>171</v>
      </c>
      <c r="B24" s="205" t="s">
        <v>1902</v>
      </c>
      <c r="C24" s="204">
        <v>750</v>
      </c>
      <c r="D24" s="202" t="s">
        <v>144</v>
      </c>
      <c r="E24" s="204" t="s">
        <v>174</v>
      </c>
      <c r="F24" s="207" t="s">
        <v>1907</v>
      </c>
      <c r="G24" s="207" t="s">
        <v>1907</v>
      </c>
      <c r="H24" s="205" t="s">
        <v>168</v>
      </c>
    </row>
    <row r="25" spans="1:8" ht="13.25" customHeight="1" x14ac:dyDescent="0.2">
      <c r="A25" s="231" t="s">
        <v>172</v>
      </c>
      <c r="B25" s="63" t="s">
        <v>173</v>
      </c>
      <c r="C25" s="69">
        <v>1500</v>
      </c>
      <c r="D25" s="67" t="s">
        <v>1903</v>
      </c>
      <c r="E25" s="69" t="s">
        <v>174</v>
      </c>
      <c r="F25" s="70" t="s">
        <v>1906</v>
      </c>
      <c r="G25" s="70" t="s">
        <v>1906</v>
      </c>
      <c r="H25" s="63" t="s">
        <v>1910</v>
      </c>
    </row>
    <row r="26" spans="1:8" ht="13.25" customHeight="1" x14ac:dyDescent="0.2">
      <c r="A26" s="232" t="s">
        <v>175</v>
      </c>
      <c r="B26" s="205" t="s">
        <v>176</v>
      </c>
      <c r="C26" s="204">
        <v>2000</v>
      </c>
      <c r="D26" s="202" t="s">
        <v>153</v>
      </c>
      <c r="E26" s="206" t="s">
        <v>177</v>
      </c>
      <c r="F26" s="207" t="s">
        <v>1908</v>
      </c>
      <c r="G26" s="207" t="s">
        <v>1909</v>
      </c>
      <c r="H26" s="205" t="s">
        <v>1910</v>
      </c>
    </row>
    <row r="27" spans="1:8" x14ac:dyDescent="0.2">
      <c r="A27" s="248"/>
      <c r="B27" s="254" t="s">
        <v>1824</v>
      </c>
      <c r="C27" s="243"/>
      <c r="D27" s="249"/>
      <c r="E27" s="250"/>
      <c r="F27" s="251"/>
      <c r="G27" s="251"/>
      <c r="H27" s="251"/>
    </row>
    <row r="28" spans="1:8" ht="13.25" customHeight="1" x14ac:dyDescent="0.2">
      <c r="A28" s="233" t="s">
        <v>178</v>
      </c>
      <c r="B28" s="205" t="s">
        <v>179</v>
      </c>
      <c r="C28" s="203">
        <v>0</v>
      </c>
      <c r="D28" s="202" t="s">
        <v>130</v>
      </c>
      <c r="E28" s="208" t="s">
        <v>180</v>
      </c>
      <c r="F28" s="202" t="s">
        <v>122</v>
      </c>
      <c r="G28" s="202" t="s">
        <v>123</v>
      </c>
      <c r="H28" s="205" t="s">
        <v>181</v>
      </c>
    </row>
    <row r="29" spans="1:8" ht="13.25" customHeight="1" x14ac:dyDescent="0.2">
      <c r="A29" s="234" t="s">
        <v>182</v>
      </c>
      <c r="B29" s="63" t="s">
        <v>183</v>
      </c>
      <c r="C29" s="69">
        <v>0</v>
      </c>
      <c r="D29" s="67" t="s">
        <v>184</v>
      </c>
      <c r="E29" s="209" t="s">
        <v>185</v>
      </c>
      <c r="F29" s="67" t="s">
        <v>148</v>
      </c>
      <c r="G29" s="67" t="s">
        <v>122</v>
      </c>
      <c r="H29" s="63" t="s">
        <v>181</v>
      </c>
    </row>
    <row r="30" spans="1:8" x14ac:dyDescent="0.2">
      <c r="A30" s="241"/>
      <c r="B30" s="254" t="s">
        <v>1825</v>
      </c>
      <c r="C30" s="245"/>
      <c r="D30" s="244"/>
      <c r="E30" s="245"/>
      <c r="F30" s="247"/>
      <c r="G30" s="247"/>
      <c r="H30" s="244"/>
    </row>
    <row r="31" spans="1:8" ht="13.25" customHeight="1" x14ac:dyDescent="0.2">
      <c r="A31" s="231" t="s">
        <v>186</v>
      </c>
      <c r="B31" s="63" t="s">
        <v>187</v>
      </c>
      <c r="C31" s="69">
        <v>1500</v>
      </c>
      <c r="D31" s="67" t="s">
        <v>188</v>
      </c>
      <c r="E31" s="69" t="s">
        <v>189</v>
      </c>
      <c r="F31" s="67" t="s">
        <v>1911</v>
      </c>
      <c r="G31" s="67" t="s">
        <v>1911</v>
      </c>
      <c r="H31" s="63" t="s">
        <v>1914</v>
      </c>
    </row>
    <row r="32" spans="1:8" ht="13.25" customHeight="1" x14ac:dyDescent="0.2">
      <c r="A32" s="232" t="s">
        <v>190</v>
      </c>
      <c r="B32" s="205" t="s">
        <v>191</v>
      </c>
      <c r="C32" s="204">
        <v>3000</v>
      </c>
      <c r="D32" s="202" t="s">
        <v>188</v>
      </c>
      <c r="E32" s="204" t="s">
        <v>192</v>
      </c>
      <c r="F32" s="202" t="s">
        <v>1912</v>
      </c>
      <c r="G32" s="202" t="s">
        <v>1912</v>
      </c>
      <c r="H32" s="205" t="s">
        <v>1914</v>
      </c>
    </row>
    <row r="33" spans="1:9" ht="13.25" customHeight="1" x14ac:dyDescent="0.2">
      <c r="A33" s="231" t="s">
        <v>193</v>
      </c>
      <c r="B33" s="63" t="s">
        <v>194</v>
      </c>
      <c r="C33" s="69">
        <v>5900</v>
      </c>
      <c r="D33" s="67" t="s">
        <v>188</v>
      </c>
      <c r="E33" s="69" t="s">
        <v>195</v>
      </c>
      <c r="F33" s="67" t="s">
        <v>1913</v>
      </c>
      <c r="G33" s="67" t="s">
        <v>1913</v>
      </c>
      <c r="H33" s="63" t="s">
        <v>1914</v>
      </c>
    </row>
    <row r="34" spans="1:9" s="210" customFormat="1" x14ac:dyDescent="0.2">
      <c r="A34" s="241"/>
      <c r="B34" s="254" t="s">
        <v>196</v>
      </c>
      <c r="C34" s="245"/>
      <c r="D34" s="244"/>
      <c r="E34" s="245"/>
      <c r="F34" s="247"/>
      <c r="G34" s="247"/>
      <c r="H34" s="244"/>
    </row>
    <row r="35" spans="1:9" s="210" customFormat="1" ht="13.25" customHeight="1" x14ac:dyDescent="0.2">
      <c r="A35" s="235" t="s">
        <v>197</v>
      </c>
      <c r="B35" s="236" t="s">
        <v>1693</v>
      </c>
      <c r="C35" s="237" t="s">
        <v>198</v>
      </c>
      <c r="D35" s="236" t="s">
        <v>130</v>
      </c>
      <c r="E35" s="238">
        <v>20</v>
      </c>
      <c r="F35" s="239">
        <v>0.1</v>
      </c>
      <c r="G35" s="239">
        <v>0.3</v>
      </c>
      <c r="H35" s="240" t="s">
        <v>1887</v>
      </c>
    </row>
    <row r="36" spans="1:9" s="210" customFormat="1" x14ac:dyDescent="0.2">
      <c r="A36" s="241"/>
      <c r="B36" s="254" t="s">
        <v>199</v>
      </c>
      <c r="C36" s="252" t="s">
        <v>1826</v>
      </c>
      <c r="D36" s="244"/>
      <c r="E36" s="245"/>
      <c r="F36" s="247"/>
      <c r="G36" s="247"/>
      <c r="H36" s="244"/>
    </row>
    <row r="37" spans="1:9" ht="13.25" customHeight="1" x14ac:dyDescent="0.2">
      <c r="A37" s="232" t="s">
        <v>200</v>
      </c>
      <c r="B37" s="202" t="s">
        <v>201</v>
      </c>
      <c r="C37" s="203" t="s">
        <v>202</v>
      </c>
      <c r="D37" s="202" t="s">
        <v>120</v>
      </c>
      <c r="E37" s="204">
        <v>10</v>
      </c>
      <c r="F37" s="207">
        <v>0.1</v>
      </c>
      <c r="G37" s="207">
        <v>0.3</v>
      </c>
      <c r="H37" s="205" t="s">
        <v>1888</v>
      </c>
      <c r="I37" s="210"/>
    </row>
    <row r="38" spans="1:9" ht="13.25" customHeight="1" x14ac:dyDescent="0.2">
      <c r="A38" s="231" t="s">
        <v>203</v>
      </c>
      <c r="B38" s="67" t="s">
        <v>204</v>
      </c>
      <c r="C38" s="201" t="s">
        <v>198</v>
      </c>
      <c r="D38" s="67" t="s">
        <v>130</v>
      </c>
      <c r="E38" s="69">
        <v>15</v>
      </c>
      <c r="F38" s="70">
        <v>0.1</v>
      </c>
      <c r="G38" s="70">
        <v>0.3</v>
      </c>
      <c r="H38" s="63" t="s">
        <v>1888</v>
      </c>
      <c r="I38" s="210"/>
    </row>
    <row r="39" spans="1:9" ht="13.25" customHeight="1" x14ac:dyDescent="0.2">
      <c r="A39" s="232" t="s">
        <v>205</v>
      </c>
      <c r="B39" s="202" t="s">
        <v>206</v>
      </c>
      <c r="C39" s="203" t="s">
        <v>198</v>
      </c>
      <c r="D39" s="202" t="s">
        <v>153</v>
      </c>
      <c r="E39" s="204">
        <v>20</v>
      </c>
      <c r="F39" s="207">
        <v>0.2</v>
      </c>
      <c r="G39" s="207">
        <v>0.4</v>
      </c>
      <c r="H39" s="205" t="s">
        <v>1888</v>
      </c>
      <c r="I39" s="210"/>
    </row>
    <row r="40" spans="1:9" ht="13.25" customHeight="1" x14ac:dyDescent="0.2">
      <c r="A40" s="231" t="s">
        <v>207</v>
      </c>
      <c r="B40" s="67" t="s">
        <v>208</v>
      </c>
      <c r="C40" s="68" t="s">
        <v>209</v>
      </c>
      <c r="D40" s="67" t="s">
        <v>153</v>
      </c>
      <c r="E40" s="69">
        <v>20</v>
      </c>
      <c r="F40" s="70">
        <v>0.2</v>
      </c>
      <c r="G40" s="70">
        <v>0.4</v>
      </c>
      <c r="H40" s="63" t="s">
        <v>1888</v>
      </c>
      <c r="I40" s="210"/>
    </row>
    <row r="41" spans="1:9" s="210" customFormat="1" x14ac:dyDescent="0.2">
      <c r="A41" s="241"/>
      <c r="B41" s="254" t="s">
        <v>210</v>
      </c>
      <c r="C41" s="252" t="s">
        <v>1826</v>
      </c>
      <c r="D41" s="244"/>
      <c r="E41" s="245"/>
      <c r="F41" s="247"/>
      <c r="G41" s="247"/>
      <c r="H41" s="244"/>
    </row>
    <row r="42" spans="1:9" s="210" customFormat="1" ht="13.25" customHeight="1" x14ac:dyDescent="0.2">
      <c r="A42" s="231" t="s">
        <v>211</v>
      </c>
      <c r="B42" s="67" t="s">
        <v>212</v>
      </c>
      <c r="C42" s="201" t="s">
        <v>213</v>
      </c>
      <c r="D42" s="67" t="s">
        <v>130</v>
      </c>
      <c r="E42" s="69">
        <v>20</v>
      </c>
      <c r="F42" s="70">
        <v>0.1</v>
      </c>
      <c r="G42" s="70">
        <v>0.3</v>
      </c>
      <c r="H42" s="63" t="s">
        <v>124</v>
      </c>
    </row>
    <row r="43" spans="1:9" s="210" customFormat="1" ht="13.25" customHeight="1" x14ac:dyDescent="0.2">
      <c r="A43" s="232" t="s">
        <v>214</v>
      </c>
      <c r="B43" s="202" t="s">
        <v>215</v>
      </c>
      <c r="C43" s="203" t="s">
        <v>213</v>
      </c>
      <c r="D43" s="202" t="s">
        <v>130</v>
      </c>
      <c r="E43" s="204">
        <v>20</v>
      </c>
      <c r="F43" s="207">
        <v>0.2</v>
      </c>
      <c r="G43" s="207">
        <v>0.4</v>
      </c>
      <c r="H43" s="205" t="s">
        <v>124</v>
      </c>
    </row>
    <row r="44" spans="1:9" s="210" customFormat="1" ht="13.25" customHeight="1" x14ac:dyDescent="0.2">
      <c r="A44" s="231" t="s">
        <v>216</v>
      </c>
      <c r="B44" s="67" t="s">
        <v>217</v>
      </c>
      <c r="C44" s="201" t="s">
        <v>218</v>
      </c>
      <c r="D44" s="67" t="s">
        <v>153</v>
      </c>
      <c r="E44" s="69">
        <v>20</v>
      </c>
      <c r="F44" s="70">
        <v>0.1</v>
      </c>
      <c r="G44" s="70">
        <v>0.3</v>
      </c>
      <c r="H44" s="63" t="s">
        <v>124</v>
      </c>
    </row>
    <row r="45" spans="1:9" ht="13.25" customHeight="1" x14ac:dyDescent="0.2">
      <c r="A45" s="232" t="s">
        <v>219</v>
      </c>
      <c r="B45" s="202" t="s">
        <v>220</v>
      </c>
      <c r="C45" s="203" t="s">
        <v>218</v>
      </c>
      <c r="D45" s="202" t="s">
        <v>153</v>
      </c>
      <c r="E45" s="204">
        <v>20</v>
      </c>
      <c r="F45" s="207">
        <v>0.2</v>
      </c>
      <c r="G45" s="207">
        <v>0.4</v>
      </c>
      <c r="H45" s="205" t="s">
        <v>124</v>
      </c>
      <c r="I45" s="210"/>
    </row>
    <row r="46" spans="1:9" ht="13.25" customHeight="1" x14ac:dyDescent="0.2">
      <c r="A46" s="231" t="s">
        <v>221</v>
      </c>
      <c r="B46" s="67" t="s">
        <v>222</v>
      </c>
      <c r="C46" s="201" t="s">
        <v>218</v>
      </c>
      <c r="D46" s="67" t="s">
        <v>223</v>
      </c>
      <c r="E46" s="69">
        <v>30</v>
      </c>
      <c r="F46" s="70">
        <v>0.2</v>
      </c>
      <c r="G46" s="70">
        <v>0.4</v>
      </c>
      <c r="H46" s="63" t="s">
        <v>124</v>
      </c>
      <c r="I46" s="210"/>
    </row>
    <row r="47" spans="1:9" ht="13.25" customHeight="1" x14ac:dyDescent="0.2">
      <c r="A47" s="232" t="s">
        <v>224</v>
      </c>
      <c r="B47" s="202" t="s">
        <v>225</v>
      </c>
      <c r="C47" s="206" t="s">
        <v>226</v>
      </c>
      <c r="D47" s="202" t="s">
        <v>163</v>
      </c>
      <c r="E47" s="204">
        <v>30</v>
      </c>
      <c r="F47" s="207">
        <v>0.2</v>
      </c>
      <c r="G47" s="207">
        <v>0.4</v>
      </c>
      <c r="H47" s="205" t="s">
        <v>141</v>
      </c>
      <c r="I47" s="210"/>
    </row>
    <row r="48" spans="1:9" ht="13.25" customHeight="1" x14ac:dyDescent="0.2">
      <c r="A48" s="231" t="s">
        <v>227</v>
      </c>
      <c r="B48" s="67" t="s">
        <v>228</v>
      </c>
      <c r="C48" s="68" t="s">
        <v>229</v>
      </c>
      <c r="D48" s="67" t="s">
        <v>163</v>
      </c>
      <c r="E48" s="69">
        <v>35</v>
      </c>
      <c r="F48" s="70">
        <v>0.2</v>
      </c>
      <c r="G48" s="70">
        <v>0.4</v>
      </c>
      <c r="H48" s="63" t="s">
        <v>141</v>
      </c>
      <c r="I48" s="210"/>
    </row>
    <row r="49" spans="1:9" x14ac:dyDescent="0.2">
      <c r="A49" s="241"/>
      <c r="B49" s="254" t="s">
        <v>1889</v>
      </c>
      <c r="C49" s="245"/>
      <c r="D49" s="244"/>
      <c r="E49" s="245"/>
      <c r="F49" s="247"/>
      <c r="G49" s="247"/>
      <c r="H49" s="244"/>
    </row>
    <row r="50" spans="1:9" ht="13.25" customHeight="1" x14ac:dyDescent="0.2">
      <c r="A50" s="231" t="s">
        <v>1890</v>
      </c>
      <c r="B50" s="67" t="s">
        <v>1892</v>
      </c>
      <c r="C50" s="201" t="s">
        <v>213</v>
      </c>
      <c r="D50" s="67" t="s">
        <v>130</v>
      </c>
      <c r="E50" s="69">
        <v>20</v>
      </c>
      <c r="F50" s="70">
        <v>0.1</v>
      </c>
      <c r="G50" s="70">
        <v>0.3</v>
      </c>
      <c r="H50" s="63" t="s">
        <v>124</v>
      </c>
      <c r="I50" s="210"/>
    </row>
    <row r="51" spans="1:9" ht="13.25" customHeight="1" x14ac:dyDescent="0.2">
      <c r="A51" s="232" t="s">
        <v>1891</v>
      </c>
      <c r="B51" s="202" t="s">
        <v>1893</v>
      </c>
      <c r="C51" s="206" t="s">
        <v>218</v>
      </c>
      <c r="D51" s="202" t="s">
        <v>223</v>
      </c>
      <c r="E51" s="204">
        <v>30</v>
      </c>
      <c r="F51" s="207">
        <v>0.2</v>
      </c>
      <c r="G51" s="207">
        <v>0.4</v>
      </c>
      <c r="H51" s="205" t="s">
        <v>124</v>
      </c>
      <c r="I51" s="210"/>
    </row>
    <row r="52" spans="1:9" x14ac:dyDescent="0.2">
      <c r="A52" s="241"/>
      <c r="B52" s="254" t="s">
        <v>230</v>
      </c>
      <c r="C52" s="245"/>
      <c r="D52" s="244"/>
      <c r="E52" s="245"/>
      <c r="F52" s="247"/>
      <c r="G52" s="247"/>
      <c r="H52" s="244"/>
    </row>
    <row r="53" spans="1:9" ht="13.25" customHeight="1" x14ac:dyDescent="0.2">
      <c r="A53" s="231" t="s">
        <v>231</v>
      </c>
      <c r="B53" s="67" t="s">
        <v>232</v>
      </c>
      <c r="C53" s="68" t="s">
        <v>233</v>
      </c>
      <c r="D53" s="67" t="s">
        <v>153</v>
      </c>
      <c r="E53" s="69">
        <v>15</v>
      </c>
      <c r="F53" s="70">
        <v>0.2</v>
      </c>
      <c r="G53" s="70">
        <v>0.4</v>
      </c>
      <c r="H53" s="63" t="s">
        <v>160</v>
      </c>
      <c r="I53" s="210"/>
    </row>
    <row r="54" spans="1:9" ht="13.25" customHeight="1" x14ac:dyDescent="0.2">
      <c r="A54" s="232" t="s">
        <v>234</v>
      </c>
      <c r="B54" s="202" t="s">
        <v>235</v>
      </c>
      <c r="C54" s="206" t="s">
        <v>236</v>
      </c>
      <c r="D54" s="202" t="s">
        <v>223</v>
      </c>
      <c r="E54" s="204">
        <v>20</v>
      </c>
      <c r="F54" s="207">
        <v>0.2</v>
      </c>
      <c r="G54" s="207">
        <v>0.4</v>
      </c>
      <c r="H54" s="205" t="s">
        <v>160</v>
      </c>
      <c r="I54" s="210"/>
    </row>
    <row r="55" spans="1:9" ht="13.25" customHeight="1" x14ac:dyDescent="0.2">
      <c r="A55" s="231" t="s">
        <v>237</v>
      </c>
      <c r="B55" s="67" t="s">
        <v>238</v>
      </c>
      <c r="C55" s="68" t="s">
        <v>239</v>
      </c>
      <c r="D55" s="67" t="s">
        <v>240</v>
      </c>
      <c r="E55" s="69">
        <v>25</v>
      </c>
      <c r="F55" s="70">
        <v>0.2</v>
      </c>
      <c r="G55" s="70">
        <v>0.4</v>
      </c>
      <c r="H55" s="63" t="s">
        <v>160</v>
      </c>
      <c r="I55" s="210"/>
    </row>
    <row r="56" spans="1:9" ht="13.25" customHeight="1" x14ac:dyDescent="0.2">
      <c r="A56" s="232" t="s">
        <v>241</v>
      </c>
      <c r="B56" s="202" t="s">
        <v>242</v>
      </c>
      <c r="C56" s="206" t="s">
        <v>243</v>
      </c>
      <c r="D56" s="202" t="s">
        <v>240</v>
      </c>
      <c r="E56" s="204">
        <v>30</v>
      </c>
      <c r="F56" s="207">
        <v>0.3</v>
      </c>
      <c r="G56" s="207">
        <v>0.5</v>
      </c>
      <c r="H56" s="205" t="s">
        <v>160</v>
      </c>
      <c r="I56" s="210"/>
    </row>
    <row r="57" spans="1:9" ht="13.25" customHeight="1" x14ac:dyDescent="0.2">
      <c r="A57" s="231" t="s">
        <v>244</v>
      </c>
      <c r="B57" s="67" t="s">
        <v>245</v>
      </c>
      <c r="C57" s="68" t="s">
        <v>246</v>
      </c>
      <c r="D57" s="67" t="s">
        <v>247</v>
      </c>
      <c r="E57" s="69">
        <v>30</v>
      </c>
      <c r="F57" s="70">
        <v>0.3</v>
      </c>
      <c r="G57" s="70">
        <v>0.5</v>
      </c>
      <c r="H57" s="63" t="s">
        <v>160</v>
      </c>
      <c r="I57" s="210"/>
    </row>
    <row r="58" spans="1:9" ht="13.25" customHeight="1" x14ac:dyDescent="0.2">
      <c r="A58" s="232" t="s">
        <v>1894</v>
      </c>
      <c r="B58" s="202" t="s">
        <v>1895</v>
      </c>
      <c r="C58" s="206" t="s">
        <v>304</v>
      </c>
      <c r="D58" s="202" t="s">
        <v>1886</v>
      </c>
      <c r="E58" s="204">
        <v>30</v>
      </c>
      <c r="F58" s="207">
        <v>0.3</v>
      </c>
      <c r="G58" s="207">
        <v>0.5</v>
      </c>
      <c r="H58" s="205" t="s">
        <v>160</v>
      </c>
      <c r="I58" s="210"/>
    </row>
    <row r="59" spans="1:9" ht="13.25" customHeight="1" x14ac:dyDescent="0.2">
      <c r="A59" s="241"/>
      <c r="B59" s="255" t="s">
        <v>248</v>
      </c>
      <c r="C59" s="245"/>
      <c r="D59" s="244"/>
      <c r="E59" s="245"/>
      <c r="F59" s="247"/>
      <c r="G59" s="247"/>
      <c r="H59" s="244"/>
    </row>
    <row r="60" spans="1:9" ht="13.25" customHeight="1" x14ac:dyDescent="0.2">
      <c r="A60" s="231" t="s">
        <v>249</v>
      </c>
      <c r="B60" s="67" t="s">
        <v>250</v>
      </c>
      <c r="C60" s="69" t="s">
        <v>218</v>
      </c>
      <c r="D60" s="67" t="s">
        <v>153</v>
      </c>
      <c r="E60" s="69">
        <v>20</v>
      </c>
      <c r="F60" s="70">
        <v>0.1</v>
      </c>
      <c r="G60" s="70">
        <v>0.3</v>
      </c>
      <c r="H60" s="63" t="s">
        <v>181</v>
      </c>
      <c r="I60" s="210"/>
    </row>
    <row r="61" spans="1:9" ht="13.25" customHeight="1" x14ac:dyDescent="0.2">
      <c r="A61" s="232" t="s">
        <v>251</v>
      </c>
      <c r="B61" s="202" t="s">
        <v>252</v>
      </c>
      <c r="C61" s="204" t="s">
        <v>239</v>
      </c>
      <c r="D61" s="202" t="s">
        <v>253</v>
      </c>
      <c r="E61" s="204">
        <v>30</v>
      </c>
      <c r="F61" s="207">
        <v>0.3</v>
      </c>
      <c r="G61" s="207">
        <v>0.5</v>
      </c>
      <c r="H61" s="205" t="s">
        <v>181</v>
      </c>
      <c r="I61" s="210"/>
    </row>
    <row r="62" spans="1:9" x14ac:dyDescent="0.2">
      <c r="A62" s="241"/>
      <c r="B62" s="254" t="s">
        <v>254</v>
      </c>
      <c r="C62" s="245"/>
      <c r="D62" s="244"/>
      <c r="E62" s="245"/>
      <c r="F62" s="247"/>
      <c r="G62" s="247"/>
      <c r="H62" s="244"/>
    </row>
    <row r="63" spans="1:9" ht="13.25" customHeight="1" x14ac:dyDescent="0.2">
      <c r="A63" s="232" t="s">
        <v>255</v>
      </c>
      <c r="B63" s="202" t="s">
        <v>256</v>
      </c>
      <c r="C63" s="206" t="s">
        <v>257</v>
      </c>
      <c r="D63" s="202" t="s">
        <v>258</v>
      </c>
      <c r="E63" s="204" t="s">
        <v>259</v>
      </c>
      <c r="F63" s="207" t="s">
        <v>260</v>
      </c>
      <c r="G63" s="207">
        <v>0.5</v>
      </c>
      <c r="H63" s="205" t="s">
        <v>1899</v>
      </c>
      <c r="I63" s="210"/>
    </row>
    <row r="64" spans="1:9" ht="13.25" customHeight="1" x14ac:dyDescent="0.2">
      <c r="A64" s="231" t="s">
        <v>261</v>
      </c>
      <c r="B64" s="67" t="s">
        <v>262</v>
      </c>
      <c r="C64" s="68" t="s">
        <v>263</v>
      </c>
      <c r="D64" s="67" t="s">
        <v>258</v>
      </c>
      <c r="E64" s="69" t="s">
        <v>1898</v>
      </c>
      <c r="F64" s="70" t="s">
        <v>260</v>
      </c>
      <c r="G64" s="70">
        <v>0.5</v>
      </c>
      <c r="H64" s="63" t="s">
        <v>1899</v>
      </c>
      <c r="I64" s="210"/>
    </row>
    <row r="65" spans="1:9" ht="13.25" customHeight="1" x14ac:dyDescent="0.2">
      <c r="A65" s="232" t="s">
        <v>1896</v>
      </c>
      <c r="B65" s="202" t="s">
        <v>1897</v>
      </c>
      <c r="C65" s="206" t="s">
        <v>258</v>
      </c>
      <c r="D65" s="202" t="s">
        <v>1886</v>
      </c>
      <c r="E65" s="204" t="s">
        <v>1898</v>
      </c>
      <c r="F65" s="207" t="s">
        <v>260</v>
      </c>
      <c r="G65" s="207">
        <v>0.5</v>
      </c>
      <c r="H65" s="205" t="s">
        <v>1899</v>
      </c>
      <c r="I65" s="210"/>
    </row>
    <row r="66" spans="1:9" x14ac:dyDescent="0.2">
      <c r="A66" s="241"/>
      <c r="B66" s="254" t="s">
        <v>1827</v>
      </c>
      <c r="C66" s="245"/>
      <c r="D66" s="244"/>
      <c r="E66" s="434"/>
      <c r="F66" s="247"/>
      <c r="G66" s="247"/>
      <c r="H66" s="244"/>
    </row>
    <row r="67" spans="1:9" ht="13.25" customHeight="1" x14ac:dyDescent="0.2">
      <c r="A67" s="231" t="s">
        <v>264</v>
      </c>
      <c r="B67" s="67" t="s">
        <v>265</v>
      </c>
      <c r="C67" s="68" t="s">
        <v>266</v>
      </c>
      <c r="D67" s="67" t="s">
        <v>130</v>
      </c>
      <c r="E67" s="69">
        <v>20</v>
      </c>
      <c r="F67" s="70" t="s">
        <v>260</v>
      </c>
      <c r="G67" s="70">
        <v>0.5</v>
      </c>
      <c r="H67" s="63" t="s">
        <v>124</v>
      </c>
    </row>
    <row r="68" spans="1:9" ht="13.25" customHeight="1" x14ac:dyDescent="0.2">
      <c r="A68" s="232" t="s">
        <v>267</v>
      </c>
      <c r="B68" s="202" t="s">
        <v>268</v>
      </c>
      <c r="C68" s="206" t="s">
        <v>269</v>
      </c>
      <c r="D68" s="202" t="s">
        <v>130</v>
      </c>
      <c r="E68" s="204">
        <v>20</v>
      </c>
      <c r="F68" s="207">
        <v>0.2</v>
      </c>
      <c r="G68" s="207">
        <v>0.5</v>
      </c>
      <c r="H68" s="205" t="s">
        <v>124</v>
      </c>
    </row>
    <row r="69" spans="1:9" ht="13.25" customHeight="1" x14ac:dyDescent="0.2">
      <c r="A69" s="231" t="s">
        <v>270</v>
      </c>
      <c r="B69" s="67" t="s">
        <v>271</v>
      </c>
      <c r="C69" s="68" t="s">
        <v>269</v>
      </c>
      <c r="D69" s="67" t="s">
        <v>130</v>
      </c>
      <c r="E69" s="69">
        <v>30</v>
      </c>
      <c r="F69" s="70">
        <v>0.2</v>
      </c>
      <c r="G69" s="70">
        <v>0.5</v>
      </c>
      <c r="H69" s="63" t="s">
        <v>124</v>
      </c>
    </row>
    <row r="70" spans="1:9" x14ac:dyDescent="0.2">
      <c r="A70" s="241"/>
      <c r="B70" s="254" t="s">
        <v>1828</v>
      </c>
      <c r="C70" s="245"/>
      <c r="D70" s="244"/>
      <c r="E70" s="434"/>
      <c r="F70" s="247"/>
      <c r="G70" s="247"/>
      <c r="H70" s="244"/>
    </row>
    <row r="71" spans="1:9" ht="13.25" customHeight="1" x14ac:dyDescent="0.2">
      <c r="A71" s="231" t="s">
        <v>272</v>
      </c>
      <c r="B71" s="67" t="s">
        <v>273</v>
      </c>
      <c r="C71" s="68" t="s">
        <v>269</v>
      </c>
      <c r="D71" s="67" t="s">
        <v>163</v>
      </c>
      <c r="E71" s="69">
        <v>30</v>
      </c>
      <c r="F71" s="70">
        <v>0.3</v>
      </c>
      <c r="G71" s="70">
        <v>0.5</v>
      </c>
      <c r="H71" s="63" t="s">
        <v>124</v>
      </c>
    </row>
    <row r="72" spans="1:9" x14ac:dyDescent="0.2">
      <c r="A72" s="241"/>
      <c r="B72" s="254" t="s">
        <v>1829</v>
      </c>
      <c r="C72" s="245"/>
      <c r="D72" s="244"/>
      <c r="E72" s="434"/>
      <c r="F72" s="247"/>
      <c r="G72" s="247"/>
      <c r="H72" s="244"/>
    </row>
    <row r="73" spans="1:9" ht="12" customHeight="1" x14ac:dyDescent="0.2">
      <c r="A73" s="231" t="s">
        <v>274</v>
      </c>
      <c r="B73" s="63" t="s">
        <v>275</v>
      </c>
      <c r="C73" s="68" t="s">
        <v>276</v>
      </c>
      <c r="D73" s="67" t="s">
        <v>184</v>
      </c>
      <c r="E73" s="69">
        <v>15</v>
      </c>
      <c r="F73" s="70">
        <v>0.2</v>
      </c>
      <c r="G73" s="70" t="s">
        <v>277</v>
      </c>
      <c r="H73" s="63" t="s">
        <v>124</v>
      </c>
    </row>
    <row r="74" spans="1:9" ht="13.25" customHeight="1" x14ac:dyDescent="0.2">
      <c r="A74" s="232" t="s">
        <v>278</v>
      </c>
      <c r="B74" s="205" t="s">
        <v>279</v>
      </c>
      <c r="C74" s="206" t="s">
        <v>280</v>
      </c>
      <c r="D74" s="202" t="s">
        <v>304</v>
      </c>
      <c r="E74" s="204">
        <v>15</v>
      </c>
      <c r="F74" s="207">
        <v>0.2</v>
      </c>
      <c r="G74" s="207" t="s">
        <v>277</v>
      </c>
      <c r="H74" s="205" t="s">
        <v>160</v>
      </c>
    </row>
    <row r="75" spans="1:9" ht="13.25" customHeight="1" x14ac:dyDescent="0.2">
      <c r="A75" s="231" t="s">
        <v>281</v>
      </c>
      <c r="B75" s="63" t="s">
        <v>282</v>
      </c>
      <c r="C75" s="68" t="s">
        <v>120</v>
      </c>
      <c r="D75" s="67" t="s">
        <v>258</v>
      </c>
      <c r="E75" s="69">
        <v>25</v>
      </c>
      <c r="F75" s="70">
        <v>0.2</v>
      </c>
      <c r="G75" s="70" t="s">
        <v>277</v>
      </c>
      <c r="H75" s="63" t="s">
        <v>160</v>
      </c>
    </row>
    <row r="76" spans="1:9" ht="13.25" customHeight="1" x14ac:dyDescent="0.2">
      <c r="A76" s="232" t="s">
        <v>1884</v>
      </c>
      <c r="B76" s="205" t="s">
        <v>1885</v>
      </c>
      <c r="C76" s="206" t="s">
        <v>144</v>
      </c>
      <c r="D76" s="202" t="s">
        <v>1886</v>
      </c>
      <c r="E76" s="204">
        <v>25</v>
      </c>
      <c r="F76" s="207">
        <v>0.2</v>
      </c>
      <c r="G76" s="207" t="s">
        <v>277</v>
      </c>
      <c r="H76" s="205" t="s">
        <v>160</v>
      </c>
    </row>
    <row r="77" spans="1:9" x14ac:dyDescent="0.2">
      <c r="A77" s="241"/>
      <c r="B77" s="254" t="s">
        <v>283</v>
      </c>
      <c r="C77" s="252"/>
      <c r="D77" s="434"/>
      <c r="E77" s="252"/>
      <c r="F77" s="253"/>
      <c r="G77" s="253"/>
      <c r="H77" s="244"/>
    </row>
    <row r="78" spans="1:9" ht="13.25" customHeight="1" x14ac:dyDescent="0.2">
      <c r="A78" s="231" t="s">
        <v>284</v>
      </c>
      <c r="B78" s="65" t="s">
        <v>1830</v>
      </c>
      <c r="C78" s="63" t="s">
        <v>1831</v>
      </c>
      <c r="D78" s="67" t="s">
        <v>285</v>
      </c>
      <c r="E78" s="66" t="s">
        <v>286</v>
      </c>
      <c r="F78" s="70">
        <v>0.1</v>
      </c>
      <c r="G78" s="70">
        <v>0.3</v>
      </c>
      <c r="H78" s="63" t="s">
        <v>1915</v>
      </c>
    </row>
    <row r="79" spans="1:9" ht="13.25" customHeight="1" x14ac:dyDescent="0.2">
      <c r="A79" s="232" t="s">
        <v>287</v>
      </c>
      <c r="B79" s="211" t="s">
        <v>288</v>
      </c>
      <c r="C79" s="205" t="s">
        <v>1832</v>
      </c>
      <c r="D79" s="202" t="s">
        <v>285</v>
      </c>
      <c r="E79" s="212" t="s">
        <v>286</v>
      </c>
      <c r="F79" s="207">
        <v>0.1</v>
      </c>
      <c r="G79" s="207">
        <v>0.3</v>
      </c>
      <c r="H79" s="205" t="s">
        <v>1915</v>
      </c>
    </row>
    <row r="80" spans="1:9" ht="13.25" customHeight="1" x14ac:dyDescent="0.2">
      <c r="A80" s="231" t="s">
        <v>289</v>
      </c>
      <c r="B80" s="65" t="s">
        <v>290</v>
      </c>
      <c r="C80" s="63" t="s">
        <v>1832</v>
      </c>
      <c r="D80" s="67" t="s">
        <v>285</v>
      </c>
      <c r="E80" s="66" t="s">
        <v>291</v>
      </c>
      <c r="F80" s="213">
        <v>0.2</v>
      </c>
      <c r="G80" s="70">
        <v>0.4</v>
      </c>
      <c r="H80" s="63" t="s">
        <v>1915</v>
      </c>
    </row>
    <row r="81" spans="1:8" ht="13.25" customHeight="1" x14ac:dyDescent="0.2">
      <c r="A81" s="232" t="s">
        <v>292</v>
      </c>
      <c r="B81" s="211" t="s">
        <v>293</v>
      </c>
      <c r="C81" s="205" t="s">
        <v>1833</v>
      </c>
      <c r="D81" s="202" t="s">
        <v>285</v>
      </c>
      <c r="E81" s="212" t="s">
        <v>291</v>
      </c>
      <c r="F81" s="214">
        <v>0.2</v>
      </c>
      <c r="G81" s="207">
        <v>0.4</v>
      </c>
      <c r="H81" s="205" t="s">
        <v>1915</v>
      </c>
    </row>
    <row r="82" spans="1:8" ht="13.25" customHeight="1" x14ac:dyDescent="0.2">
      <c r="A82" s="231" t="s">
        <v>294</v>
      </c>
      <c r="B82" s="65" t="s">
        <v>1834</v>
      </c>
      <c r="C82" s="63" t="s">
        <v>313</v>
      </c>
      <c r="D82" s="67" t="s">
        <v>163</v>
      </c>
      <c r="E82" s="66" t="s">
        <v>295</v>
      </c>
      <c r="F82" s="67" t="s">
        <v>260</v>
      </c>
      <c r="G82" s="70">
        <v>0.3</v>
      </c>
      <c r="H82" s="63" t="s">
        <v>296</v>
      </c>
    </row>
    <row r="83" spans="1:8" ht="13.25" customHeight="1" x14ac:dyDescent="0.2">
      <c r="A83" s="232" t="s">
        <v>297</v>
      </c>
      <c r="B83" s="211" t="s">
        <v>1835</v>
      </c>
      <c r="C83" s="205" t="s">
        <v>313</v>
      </c>
      <c r="D83" s="202" t="s">
        <v>163</v>
      </c>
      <c r="E83" s="212" t="s">
        <v>298</v>
      </c>
      <c r="F83" s="214">
        <v>0.2</v>
      </c>
      <c r="G83" s="207">
        <v>0.5</v>
      </c>
      <c r="H83" s="205" t="s">
        <v>296</v>
      </c>
    </row>
    <row r="84" spans="1:8" ht="13.25" customHeight="1" x14ac:dyDescent="0.2">
      <c r="A84" s="231" t="s">
        <v>299</v>
      </c>
      <c r="B84" s="65" t="s">
        <v>300</v>
      </c>
      <c r="C84" s="63" t="s">
        <v>301</v>
      </c>
      <c r="D84" s="67" t="s">
        <v>163</v>
      </c>
      <c r="E84" s="66" t="s">
        <v>291</v>
      </c>
      <c r="F84" s="213">
        <v>0.2</v>
      </c>
      <c r="G84" s="70">
        <v>0.4</v>
      </c>
      <c r="H84" s="63" t="s">
        <v>296</v>
      </c>
    </row>
    <row r="85" spans="1:8" ht="13.25" customHeight="1" x14ac:dyDescent="0.2">
      <c r="A85" s="232" t="s">
        <v>302</v>
      </c>
      <c r="B85" s="211" t="s">
        <v>303</v>
      </c>
      <c r="C85" s="205" t="s">
        <v>243</v>
      </c>
      <c r="D85" s="202" t="s">
        <v>304</v>
      </c>
      <c r="E85" s="212" t="s">
        <v>298</v>
      </c>
      <c r="F85" s="214">
        <v>0.2</v>
      </c>
      <c r="G85" s="207">
        <v>0.5</v>
      </c>
      <c r="H85" s="205" t="s">
        <v>296</v>
      </c>
    </row>
    <row r="86" spans="1:8" ht="13.25" customHeight="1" x14ac:dyDescent="0.2">
      <c r="A86" s="231" t="s">
        <v>305</v>
      </c>
      <c r="B86" s="65" t="s">
        <v>306</v>
      </c>
      <c r="C86" s="63" t="s">
        <v>307</v>
      </c>
      <c r="D86" s="67" t="s">
        <v>304</v>
      </c>
      <c r="E86" s="66" t="s">
        <v>298</v>
      </c>
      <c r="F86" s="213">
        <v>0.2</v>
      </c>
      <c r="G86" s="70">
        <v>0.5</v>
      </c>
      <c r="H86" s="63" t="s">
        <v>296</v>
      </c>
    </row>
    <row r="87" spans="1:8" ht="13.25" customHeight="1" x14ac:dyDescent="0.2">
      <c r="A87" s="232" t="s">
        <v>308</v>
      </c>
      <c r="B87" s="211" t="s">
        <v>309</v>
      </c>
      <c r="C87" s="205" t="s">
        <v>246</v>
      </c>
      <c r="D87" s="202" t="s">
        <v>253</v>
      </c>
      <c r="E87" s="212" t="s">
        <v>298</v>
      </c>
      <c r="F87" s="214">
        <v>0.2</v>
      </c>
      <c r="G87" s="207">
        <v>0.5</v>
      </c>
      <c r="H87" s="205" t="s">
        <v>296</v>
      </c>
    </row>
    <row r="88" spans="1:8" x14ac:dyDescent="0.2">
      <c r="A88" s="241"/>
      <c r="B88" s="255" t="s">
        <v>310</v>
      </c>
      <c r="C88" s="245"/>
      <c r="D88" s="244"/>
      <c r="E88" s="245"/>
      <c r="F88" s="247"/>
      <c r="G88" s="247"/>
      <c r="H88" s="244"/>
    </row>
    <row r="89" spans="1:8" ht="13.25" customHeight="1" x14ac:dyDescent="0.2">
      <c r="A89" s="232" t="s">
        <v>311</v>
      </c>
      <c r="B89" s="202" t="s">
        <v>312</v>
      </c>
      <c r="C89" s="206" t="s">
        <v>313</v>
      </c>
      <c r="D89" s="202" t="s">
        <v>163</v>
      </c>
      <c r="E89" s="204" t="s">
        <v>291</v>
      </c>
      <c r="F89" s="207">
        <v>0.2</v>
      </c>
      <c r="G89" s="207">
        <v>0.4</v>
      </c>
      <c r="H89" s="205" t="s">
        <v>181</v>
      </c>
    </row>
    <row r="90" spans="1:8" x14ac:dyDescent="0.2">
      <c r="A90" s="248"/>
      <c r="B90" s="254" t="s">
        <v>314</v>
      </c>
      <c r="C90" s="250"/>
      <c r="D90" s="251"/>
      <c r="E90" s="434"/>
      <c r="F90" s="247"/>
      <c r="G90" s="247"/>
      <c r="H90" s="244"/>
    </row>
    <row r="91" spans="1:8" ht="13.25" customHeight="1" x14ac:dyDescent="0.2">
      <c r="A91" s="232" t="s">
        <v>315</v>
      </c>
      <c r="B91" s="202" t="s">
        <v>316</v>
      </c>
      <c r="C91" s="206" t="s">
        <v>246</v>
      </c>
      <c r="D91" s="202" t="s">
        <v>240</v>
      </c>
      <c r="E91" s="206" t="s">
        <v>298</v>
      </c>
      <c r="F91" s="207">
        <v>0.2</v>
      </c>
      <c r="G91" s="207">
        <v>0.5</v>
      </c>
      <c r="H91" s="215" t="s">
        <v>181</v>
      </c>
    </row>
    <row r="92" spans="1:8" ht="13.25" customHeight="1" x14ac:dyDescent="0.2">
      <c r="A92" s="231" t="s">
        <v>317</v>
      </c>
      <c r="B92" s="67" t="s">
        <v>318</v>
      </c>
      <c r="C92" s="68" t="s">
        <v>319</v>
      </c>
      <c r="D92" s="67" t="s">
        <v>1836</v>
      </c>
      <c r="E92" s="68" t="s">
        <v>320</v>
      </c>
      <c r="F92" s="70" t="s">
        <v>260</v>
      </c>
      <c r="G92" s="70">
        <v>0.5</v>
      </c>
      <c r="H92" s="71" t="s">
        <v>181</v>
      </c>
    </row>
    <row r="93" spans="1:8" ht="12.75" customHeight="1" x14ac:dyDescent="0.2">
      <c r="F93" s="70"/>
      <c r="G93" s="70"/>
    </row>
    <row r="94" spans="1:8" ht="12.75" customHeight="1" x14ac:dyDescent="0.2">
      <c r="F94" s="70"/>
      <c r="G94" s="70"/>
    </row>
    <row r="95" spans="1:8" ht="12.75" customHeight="1" x14ac:dyDescent="0.2">
      <c r="F95" s="70"/>
      <c r="G95" s="70"/>
    </row>
    <row r="96" spans="1:8" ht="12.75" customHeight="1" x14ac:dyDescent="0.2">
      <c r="F96" s="70"/>
      <c r="G96" s="70"/>
    </row>
    <row r="97" spans="6:7" ht="12.75" customHeight="1" x14ac:dyDescent="0.2">
      <c r="F97" s="70"/>
      <c r="G97" s="70"/>
    </row>
    <row r="98" spans="6:7" ht="12.75" customHeight="1" x14ac:dyDescent="0.2">
      <c r="F98" s="70"/>
      <c r="G98" s="70"/>
    </row>
    <row r="99" spans="6:7" ht="12.75" customHeight="1" x14ac:dyDescent="0.2">
      <c r="F99" s="70"/>
      <c r="G99" s="70"/>
    </row>
    <row r="100" spans="6:7" ht="12.75" customHeight="1" x14ac:dyDescent="0.2">
      <c r="F100" s="70"/>
      <c r="G100" s="70"/>
    </row>
    <row r="101" spans="6:7" ht="12.75" customHeight="1" x14ac:dyDescent="0.2">
      <c r="F101" s="70"/>
      <c r="G101" s="70"/>
    </row>
    <row r="102" spans="6:7" ht="12.75" customHeight="1" x14ac:dyDescent="0.2">
      <c r="F102" s="70"/>
      <c r="G102" s="70"/>
    </row>
    <row r="103" spans="6:7" ht="12.75" customHeight="1" x14ac:dyDescent="0.2">
      <c r="F103" s="70"/>
      <c r="G103" s="70"/>
    </row>
    <row r="104" spans="6:7" ht="12.75" customHeight="1" x14ac:dyDescent="0.2">
      <c r="F104" s="70"/>
      <c r="G104" s="70"/>
    </row>
    <row r="105" spans="6:7" ht="12.75" customHeight="1" x14ac:dyDescent="0.2">
      <c r="F105" s="70"/>
      <c r="G105" s="70"/>
    </row>
    <row r="106" spans="6:7" ht="12.75" customHeight="1" x14ac:dyDescent="0.2">
      <c r="F106" s="70"/>
      <c r="G106" s="70"/>
    </row>
    <row r="107" spans="6:7" ht="12.75" customHeight="1" x14ac:dyDescent="0.2">
      <c r="F107" s="70"/>
      <c r="G107" s="70"/>
    </row>
    <row r="108" spans="6:7" ht="12.75" customHeight="1" x14ac:dyDescent="0.2">
      <c r="F108" s="70"/>
      <c r="G108" s="70"/>
    </row>
    <row r="109" spans="6:7" ht="12.75" customHeight="1" x14ac:dyDescent="0.2">
      <c r="F109" s="70"/>
      <c r="G109" s="70"/>
    </row>
    <row r="110" spans="6:7" ht="12.75" customHeight="1" x14ac:dyDescent="0.2">
      <c r="F110" s="70"/>
      <c r="G110" s="70"/>
    </row>
    <row r="111" spans="6:7" ht="12.75" customHeight="1" x14ac:dyDescent="0.2">
      <c r="F111" s="70"/>
      <c r="G111" s="70"/>
    </row>
    <row r="112" spans="6:7" ht="12.75" customHeight="1" x14ac:dyDescent="0.2">
      <c r="F112" s="70"/>
      <c r="G112" s="70"/>
    </row>
    <row r="113" spans="6:7" ht="12.75" customHeight="1" x14ac:dyDescent="0.2">
      <c r="F113" s="70"/>
      <c r="G113" s="70"/>
    </row>
    <row r="114" spans="6:7" ht="12.75" customHeight="1" x14ac:dyDescent="0.2">
      <c r="F114" s="70"/>
      <c r="G114" s="70"/>
    </row>
    <row r="115" spans="6:7" ht="12.75" customHeight="1" x14ac:dyDescent="0.2">
      <c r="F115" s="70"/>
      <c r="G115" s="70"/>
    </row>
    <row r="116" spans="6:7" ht="12.75" customHeight="1" x14ac:dyDescent="0.2">
      <c r="F116" s="70"/>
      <c r="G116" s="70"/>
    </row>
    <row r="117" spans="6:7" ht="12.75" customHeight="1" x14ac:dyDescent="0.2">
      <c r="F117" s="70"/>
      <c r="G117" s="70"/>
    </row>
    <row r="118" spans="6:7" ht="12.75" customHeight="1" x14ac:dyDescent="0.2">
      <c r="F118" s="70"/>
      <c r="G118" s="70"/>
    </row>
    <row r="119" spans="6:7" ht="12.75" customHeight="1" x14ac:dyDescent="0.2">
      <c r="F119" s="70"/>
      <c r="G119" s="70"/>
    </row>
    <row r="120" spans="6:7" ht="12.75" customHeight="1" x14ac:dyDescent="0.2">
      <c r="F120" s="70"/>
      <c r="G120" s="70"/>
    </row>
    <row r="121" spans="6:7" ht="12.75" customHeight="1" x14ac:dyDescent="0.2">
      <c r="F121" s="70"/>
      <c r="G121" s="70"/>
    </row>
    <row r="122" spans="6:7" ht="12.75" customHeight="1" x14ac:dyDescent="0.2">
      <c r="F122" s="70"/>
      <c r="G122" s="70"/>
    </row>
    <row r="123" spans="6:7" ht="12.75" customHeight="1" x14ac:dyDescent="0.2">
      <c r="F123" s="70"/>
      <c r="G123" s="70"/>
    </row>
    <row r="124" spans="6:7" ht="12.75" customHeight="1" x14ac:dyDescent="0.2">
      <c r="F124" s="70"/>
      <c r="G124" s="70"/>
    </row>
    <row r="125" spans="6:7" ht="12.75" customHeight="1" x14ac:dyDescent="0.2">
      <c r="F125" s="70"/>
      <c r="G125" s="7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X144"/>
  <sheetViews>
    <sheetView showGridLines="0" zoomScale="85" zoomScaleNormal="85" workbookViewId="0">
      <selection activeCell="F4" sqref="F4:F6"/>
    </sheetView>
  </sheetViews>
  <sheetFormatPr baseColWidth="10" defaultColWidth="9.1640625" defaultRowHeight="14.25" customHeight="1" x14ac:dyDescent="0.2"/>
  <cols>
    <col min="1" max="1" width="2.6640625" style="72" customWidth="1"/>
    <col min="2" max="2" width="31.33203125" style="72" customWidth="1"/>
    <col min="3" max="3" width="20.5" style="72" customWidth="1"/>
    <col min="4" max="4" width="6.5" style="72" hidden="1" customWidth="1"/>
    <col min="5" max="6" width="10.6640625" style="72" customWidth="1"/>
    <col min="7" max="11" width="14.5" style="72" customWidth="1"/>
    <col min="12" max="12" width="11.83203125" style="72" customWidth="1"/>
    <col min="13" max="13" width="9.6640625" style="72" customWidth="1"/>
    <col min="14" max="19" width="10.6640625" style="72" customWidth="1"/>
    <col min="20" max="20" width="25.33203125" style="72" hidden="1" customWidth="1"/>
    <col min="21" max="22" width="8.6640625" style="72" customWidth="1"/>
    <col min="23" max="23" width="12.33203125" style="72" customWidth="1"/>
    <col min="24" max="32" width="22.5" style="72" customWidth="1"/>
    <col min="33" max="33" width="6.5" style="72" customWidth="1"/>
    <col min="34" max="35" width="20.83203125" style="72" customWidth="1"/>
    <col min="36" max="43" width="18.5" style="72" customWidth="1"/>
    <col min="44" max="16384" width="9.1640625" style="72"/>
  </cols>
  <sheetData>
    <row r="1" spans="1:24" ht="24" thickBot="1" x14ac:dyDescent="0.25">
      <c r="A1" s="257"/>
      <c r="B1" s="277" t="s">
        <v>1975</v>
      </c>
      <c r="C1" s="258"/>
      <c r="D1" s="258"/>
      <c r="E1" s="257"/>
      <c r="F1" s="258"/>
      <c r="G1" s="258"/>
      <c r="H1" s="258"/>
      <c r="I1" s="257"/>
      <c r="J1" s="257"/>
      <c r="K1" s="257"/>
      <c r="L1" s="257"/>
      <c r="M1" s="257"/>
      <c r="N1" s="73"/>
      <c r="O1" s="73"/>
      <c r="P1" s="73"/>
      <c r="Q1" s="73"/>
      <c r="R1" s="73"/>
      <c r="S1" s="73"/>
      <c r="T1" s="74" t="s">
        <v>334</v>
      </c>
      <c r="U1" s="73"/>
      <c r="V1" s="73"/>
      <c r="W1" s="73"/>
    </row>
    <row r="2" spans="1:24" ht="17" customHeight="1" thickBot="1" x14ac:dyDescent="0.25">
      <c r="A2" s="257"/>
      <c r="B2" s="275" t="s">
        <v>1976</v>
      </c>
      <c r="C2" s="276"/>
      <c r="D2" s="276"/>
      <c r="E2" s="716"/>
      <c r="F2" s="543" t="s">
        <v>1865</v>
      </c>
      <c r="G2" s="543"/>
      <c r="H2" s="544"/>
      <c r="I2" s="545"/>
      <c r="J2" s="543"/>
      <c r="K2" s="544"/>
      <c r="L2" s="545"/>
      <c r="M2" s="257"/>
      <c r="N2" s="73"/>
      <c r="O2" s="73"/>
      <c r="P2" s="73"/>
      <c r="Q2" s="73"/>
      <c r="R2" s="73"/>
      <c r="S2" s="73"/>
      <c r="T2" s="73"/>
      <c r="U2" s="73"/>
      <c r="V2" s="73"/>
      <c r="W2" s="73"/>
      <c r="X2" s="73"/>
    </row>
    <row r="3" spans="1:24" ht="14.25" customHeight="1" thickTop="1" thickBot="1" x14ac:dyDescent="0.25">
      <c r="A3" s="257"/>
      <c r="B3" s="259"/>
      <c r="C3" s="260"/>
      <c r="D3" s="260"/>
      <c r="E3" s="257"/>
      <c r="F3" s="654" t="s">
        <v>29</v>
      </c>
      <c r="G3" s="548" t="s">
        <v>1947</v>
      </c>
      <c r="H3" s="640" t="s">
        <v>30</v>
      </c>
      <c r="I3" s="640" t="str">
        <f>IF(B30=3,"EE+1","ES")</f>
        <v>ES</v>
      </c>
      <c r="J3" s="640" t="str">
        <f>IF(B30=3,"EE+2","EC")</f>
        <v>EC</v>
      </c>
      <c r="K3" s="640" t="str">
        <f>IF(K2=3,"N/A","EF")</f>
        <v>EF</v>
      </c>
      <c r="L3" s="17" t="s">
        <v>32</v>
      </c>
      <c r="M3" s="257"/>
      <c r="N3" s="73"/>
      <c r="O3" s="73"/>
      <c r="P3" s="73"/>
      <c r="Q3" s="73"/>
      <c r="R3" s="73"/>
      <c r="S3" s="73"/>
      <c r="T3" s="74" t="s">
        <v>337</v>
      </c>
      <c r="U3" s="73"/>
      <c r="V3" s="73"/>
      <c r="W3" s="73"/>
    </row>
    <row r="4" spans="1:24" s="73" customFormat="1" ht="14.25" customHeight="1" thickTop="1" x14ac:dyDescent="0.2">
      <c r="A4" s="257"/>
      <c r="B4" s="1495" t="s">
        <v>1715</v>
      </c>
      <c r="C4" s="1496"/>
      <c r="D4" s="598"/>
      <c r="E4" s="257"/>
      <c r="F4" s="1527" t="s">
        <v>1862</v>
      </c>
      <c r="G4" s="22" t="s">
        <v>1944</v>
      </c>
      <c r="H4" s="633">
        <v>15</v>
      </c>
      <c r="I4" s="633">
        <v>16</v>
      </c>
      <c r="J4" s="633">
        <v>17</v>
      </c>
      <c r="K4" s="633">
        <v>18</v>
      </c>
      <c r="L4" s="1523">
        <f>SUM(H5:K5)</f>
        <v>82</v>
      </c>
      <c r="M4" s="257"/>
      <c r="T4" s="74" t="s">
        <v>339</v>
      </c>
    </row>
    <row r="5" spans="1:24" s="73" customFormat="1" ht="14.25" customHeight="1" x14ac:dyDescent="0.2">
      <c r="A5" s="256"/>
      <c r="B5" s="269" t="s">
        <v>88</v>
      </c>
      <c r="C5" s="267" t="str">
        <f>INTAKE!E5</f>
        <v>Test Client</v>
      </c>
      <c r="D5" s="599"/>
      <c r="E5" s="542"/>
      <c r="F5" s="1528"/>
      <c r="G5" s="656" t="s">
        <v>1858</v>
      </c>
      <c r="H5" s="667">
        <v>19</v>
      </c>
      <c r="I5" s="667">
        <v>20</v>
      </c>
      <c r="J5" s="667">
        <v>21</v>
      </c>
      <c r="K5" s="667">
        <v>22</v>
      </c>
      <c r="L5" s="1524"/>
      <c r="M5" s="257"/>
      <c r="T5" s="74" t="s">
        <v>341</v>
      </c>
    </row>
    <row r="6" spans="1:24" s="73" customFormat="1" ht="14.25" customHeight="1" x14ac:dyDescent="0.2">
      <c r="A6" s="256"/>
      <c r="B6" s="269" t="s">
        <v>1703</v>
      </c>
      <c r="C6" s="268" t="str">
        <f>INTAKE!E8</f>
        <v>DEVSALE_FIRST_NAME DEVSALE_LAST_NAME</v>
      </c>
      <c r="D6" s="600"/>
      <c r="E6" s="542"/>
      <c r="F6" s="1529"/>
      <c r="G6" s="657" t="s">
        <v>1940</v>
      </c>
      <c r="H6" s="668"/>
      <c r="I6" s="668"/>
      <c r="J6" s="668"/>
      <c r="K6" s="668"/>
      <c r="L6" s="1525"/>
      <c r="M6" s="257"/>
      <c r="T6" s="74" t="s">
        <v>343</v>
      </c>
    </row>
    <row r="7" spans="1:24" s="73" customFormat="1" ht="14.25" customHeight="1" x14ac:dyDescent="0.2">
      <c r="A7" s="256"/>
      <c r="B7" s="269" t="s">
        <v>1701</v>
      </c>
      <c r="C7" s="267">
        <f>INTAKE!E10</f>
        <v>0</v>
      </c>
      <c r="D7" s="599"/>
      <c r="E7" s="542"/>
      <c r="F7" s="1527" t="s">
        <v>1863</v>
      </c>
      <c r="G7" s="22" t="s">
        <v>1944</v>
      </c>
      <c r="H7" s="633">
        <v>23</v>
      </c>
      <c r="I7" s="633">
        <v>24</v>
      </c>
      <c r="J7" s="633">
        <v>25</v>
      </c>
      <c r="K7" s="633">
        <v>26</v>
      </c>
      <c r="L7" s="1523">
        <f>SUM(H8:K8)</f>
        <v>114</v>
      </c>
      <c r="M7" s="257"/>
      <c r="T7" s="74" t="s">
        <v>344</v>
      </c>
    </row>
    <row r="8" spans="1:24" s="73" customFormat="1" ht="14.25" customHeight="1" x14ac:dyDescent="0.2">
      <c r="A8" s="256"/>
      <c r="B8" s="269" t="s">
        <v>1704</v>
      </c>
      <c r="C8" s="268">
        <f>INTAKE!J5</f>
        <v>1542</v>
      </c>
      <c r="D8" s="600"/>
      <c r="E8" s="542"/>
      <c r="F8" s="1528"/>
      <c r="G8" s="656" t="s">
        <v>1858</v>
      </c>
      <c r="H8" s="670">
        <v>27</v>
      </c>
      <c r="I8" s="670">
        <v>28</v>
      </c>
      <c r="J8" s="670">
        <v>29</v>
      </c>
      <c r="K8" s="670">
        <v>30</v>
      </c>
      <c r="L8" s="1524"/>
      <c r="M8" s="257"/>
      <c r="T8" s="74" t="s">
        <v>346</v>
      </c>
    </row>
    <row r="9" spans="1:24" s="73" customFormat="1" ht="14.25" customHeight="1" x14ac:dyDescent="0.2">
      <c r="A9" s="256"/>
      <c r="B9" s="269" t="s">
        <v>321</v>
      </c>
      <c r="C9" s="273">
        <f>INTAKE!N5</f>
        <v>26</v>
      </c>
      <c r="D9" s="601"/>
      <c r="E9" s="542"/>
      <c r="F9" s="1529"/>
      <c r="G9" s="657" t="s">
        <v>1940</v>
      </c>
      <c r="H9" s="668"/>
      <c r="I9" s="668"/>
      <c r="J9" s="668"/>
      <c r="K9" s="668"/>
      <c r="L9" s="1525"/>
      <c r="M9" s="257"/>
      <c r="T9" s="74" t="s">
        <v>348</v>
      </c>
    </row>
    <row r="10" spans="1:24" s="73" customFormat="1" ht="17.25" customHeight="1" x14ac:dyDescent="0.2">
      <c r="A10" s="256"/>
      <c r="B10" s="269" t="s">
        <v>1702</v>
      </c>
      <c r="C10" s="274">
        <f>INTAKE!E7</f>
        <v>43387</v>
      </c>
      <c r="D10" s="602"/>
      <c r="E10" s="257"/>
      <c r="F10" s="1527" t="s">
        <v>1864</v>
      </c>
      <c r="G10" s="22" t="s">
        <v>1944</v>
      </c>
      <c r="H10" s="633">
        <v>31</v>
      </c>
      <c r="I10" s="633">
        <v>32</v>
      </c>
      <c r="J10" s="633">
        <v>33</v>
      </c>
      <c r="K10" s="633">
        <v>34</v>
      </c>
      <c r="L10" s="1523">
        <f>SUM(H11:K11)</f>
        <v>146</v>
      </c>
      <c r="M10" s="257"/>
      <c r="T10" s="74" t="s">
        <v>350</v>
      </c>
    </row>
    <row r="11" spans="1:24" s="73" customFormat="1" ht="14.25" customHeight="1" x14ac:dyDescent="0.2">
      <c r="A11" s="256"/>
      <c r="B11" s="269" t="s">
        <v>326</v>
      </c>
      <c r="C11" s="549">
        <f>INTAKE!H54</f>
        <v>0.03</v>
      </c>
      <c r="D11" s="603"/>
      <c r="E11" s="257"/>
      <c r="F11" s="1528"/>
      <c r="G11" s="656" t="s">
        <v>1858</v>
      </c>
      <c r="H11" s="667">
        <v>35</v>
      </c>
      <c r="I11" s="667">
        <v>36</v>
      </c>
      <c r="J11" s="667">
        <v>37</v>
      </c>
      <c r="K11" s="667">
        <v>38</v>
      </c>
      <c r="L11" s="1524"/>
      <c r="M11" s="257"/>
      <c r="T11" s="74" t="s">
        <v>352</v>
      </c>
    </row>
    <row r="12" spans="1:24" s="73" customFormat="1" ht="14.25" customHeight="1" thickBot="1" x14ac:dyDescent="0.25">
      <c r="A12" s="256"/>
      <c r="B12" s="269" t="s">
        <v>7</v>
      </c>
      <c r="C12" s="274">
        <f>INTAKE!R5</f>
        <v>0</v>
      </c>
      <c r="D12" s="602"/>
      <c r="E12" s="542"/>
      <c r="F12" s="1530"/>
      <c r="G12" s="642" t="s">
        <v>1940</v>
      </c>
      <c r="H12" s="669"/>
      <c r="I12" s="669"/>
      <c r="J12" s="669"/>
      <c r="K12" s="669"/>
      <c r="L12" s="1526"/>
      <c r="M12" s="257"/>
      <c r="T12" s="74" t="s">
        <v>355</v>
      </c>
    </row>
    <row r="13" spans="1:24" s="73" customFormat="1" ht="14.25" customHeight="1" thickBot="1" x14ac:dyDescent="0.25">
      <c r="A13" s="256"/>
      <c r="B13" s="432" t="s">
        <v>323</v>
      </c>
      <c r="C13" s="562" t="s">
        <v>1860</v>
      </c>
      <c r="D13" s="604"/>
      <c r="E13" s="257"/>
      <c r="F13" s="257"/>
      <c r="G13" s="257"/>
      <c r="H13" s="257"/>
      <c r="I13" s="257"/>
      <c r="J13" s="257"/>
      <c r="K13" s="257"/>
      <c r="L13" s="257"/>
      <c r="M13" s="257"/>
      <c r="T13" s="74" t="s">
        <v>356</v>
      </c>
    </row>
    <row r="14" spans="1:24" s="73" customFormat="1" ht="14.25" customHeight="1" thickBot="1" x14ac:dyDescent="0.25">
      <c r="A14" s="256"/>
      <c r="B14" s="433"/>
      <c r="C14" s="433"/>
      <c r="D14" s="605"/>
      <c r="E14" s="542"/>
      <c r="F14" s="543" t="s">
        <v>1866</v>
      </c>
      <c r="G14" s="543"/>
      <c r="H14" s="544"/>
      <c r="I14" s="545"/>
      <c r="J14" s="543"/>
      <c r="K14" s="544"/>
      <c r="L14" s="545"/>
      <c r="M14" s="257"/>
    </row>
    <row r="15" spans="1:24" s="73" customFormat="1" ht="14.25" customHeight="1" x14ac:dyDescent="0.2">
      <c r="A15" s="256"/>
      <c r="B15" s="430" t="s">
        <v>322</v>
      </c>
      <c r="C15" s="431" t="s">
        <v>1997</v>
      </c>
      <c r="D15" s="606"/>
      <c r="E15" s="542"/>
      <c r="F15" s="654" t="s">
        <v>29</v>
      </c>
      <c r="G15" s="548" t="s">
        <v>1948</v>
      </c>
      <c r="H15" s="640" t="s">
        <v>30</v>
      </c>
      <c r="I15" s="640" t="str">
        <f>IF(B42=3,"EE+1","ES")</f>
        <v>ES</v>
      </c>
      <c r="J15" s="640" t="str">
        <f>IF(B42=3,"EE+2","EC")</f>
        <v>EC</v>
      </c>
      <c r="K15" s="640" t="str">
        <f>IF(K14=3,"N/A","EF")</f>
        <v>EF</v>
      </c>
      <c r="L15" s="17" t="s">
        <v>32</v>
      </c>
      <c r="M15" s="257"/>
    </row>
    <row r="16" spans="1:24" s="73" customFormat="1" ht="14.25" customHeight="1" x14ac:dyDescent="0.2">
      <c r="A16" s="256"/>
      <c r="B16" s="269" t="s">
        <v>324</v>
      </c>
      <c r="C16" s="263"/>
      <c r="D16" s="607"/>
      <c r="E16" s="542"/>
      <c r="F16" s="660" t="s">
        <v>1862</v>
      </c>
      <c r="G16" s="22" t="s">
        <v>1946</v>
      </c>
      <c r="H16" s="23"/>
      <c r="I16" s="23"/>
      <c r="J16" s="23"/>
      <c r="K16" s="23"/>
      <c r="L16" s="641">
        <f>SUM(H17:K17)</f>
        <v>0</v>
      </c>
      <c r="M16" s="257"/>
    </row>
    <row r="17" spans="1:13" s="73" customFormat="1" ht="14.25" customHeight="1" x14ac:dyDescent="0.2">
      <c r="A17" s="256"/>
      <c r="B17" s="269" t="s">
        <v>325</v>
      </c>
      <c r="C17" s="264" t="s">
        <v>1859</v>
      </c>
      <c r="D17" s="608"/>
      <c r="E17" s="257"/>
      <c r="F17" s="660" t="s">
        <v>1863</v>
      </c>
      <c r="G17" s="22" t="s">
        <v>1946</v>
      </c>
      <c r="H17" s="23"/>
      <c r="I17" s="23"/>
      <c r="J17" s="23"/>
      <c r="K17" s="23"/>
      <c r="L17" s="641">
        <f>SUM(H18:K18)</f>
        <v>0</v>
      </c>
      <c r="M17" s="257"/>
    </row>
    <row r="18" spans="1:13" s="73" customFormat="1" ht="14.25" customHeight="1" thickBot="1" x14ac:dyDescent="0.25">
      <c r="A18" s="256"/>
      <c r="B18" s="270" t="s">
        <v>1780</v>
      </c>
      <c r="C18" s="563">
        <v>1</v>
      </c>
      <c r="D18" s="609"/>
      <c r="E18" s="257"/>
      <c r="F18" s="661" t="s">
        <v>1864</v>
      </c>
      <c r="G18" s="655" t="s">
        <v>1946</v>
      </c>
      <c r="H18" s="659"/>
      <c r="I18" s="659"/>
      <c r="J18" s="659"/>
      <c r="K18" s="659"/>
      <c r="L18" s="658">
        <f>SUM(H19:K19)</f>
        <v>0</v>
      </c>
      <c r="M18" s="257"/>
    </row>
    <row r="19" spans="1:13" s="73" customFormat="1" ht="14.25" customHeight="1" thickBot="1" x14ac:dyDescent="0.25">
      <c r="A19" s="256"/>
      <c r="B19" s="271" t="s">
        <v>1779</v>
      </c>
      <c r="C19" s="564" t="s">
        <v>1872</v>
      </c>
      <c r="D19" s="610"/>
      <c r="E19" s="542"/>
      <c r="F19" s="257"/>
      <c r="G19" s="257"/>
      <c r="H19" s="257"/>
      <c r="I19" s="257"/>
      <c r="J19" s="257"/>
      <c r="K19" s="257"/>
      <c r="L19" s="257"/>
      <c r="M19" s="257"/>
    </row>
    <row r="20" spans="1:13" s="73" customFormat="1" ht="14.25" customHeight="1" thickTop="1" thickBot="1" x14ac:dyDescent="0.25">
      <c r="A20" s="256"/>
      <c r="B20" s="260"/>
      <c r="C20" s="260"/>
      <c r="D20" s="260"/>
      <c r="E20" s="542"/>
      <c r="F20" s="543" t="s">
        <v>1941</v>
      </c>
      <c r="G20" s="543"/>
      <c r="H20" s="544"/>
      <c r="I20" s="545"/>
      <c r="J20" s="543"/>
      <c r="K20" s="544"/>
      <c r="L20" s="545"/>
      <c r="M20" s="257"/>
    </row>
    <row r="21" spans="1:13" s="73" customFormat="1" ht="14.25" customHeight="1" thickTop="1" x14ac:dyDescent="0.2">
      <c r="A21" s="256"/>
      <c r="B21" s="403" t="s">
        <v>1781</v>
      </c>
      <c r="C21" s="404"/>
      <c r="D21" s="598"/>
      <c r="E21" s="542"/>
      <c r="F21" s="1519" t="s">
        <v>1942</v>
      </c>
      <c r="G21" s="1520"/>
      <c r="H21" s="1521" t="s">
        <v>2000</v>
      </c>
      <c r="I21" s="1521"/>
      <c r="J21" s="1521"/>
      <c r="K21" s="1521"/>
      <c r="L21" s="1522"/>
      <c r="M21" s="257"/>
    </row>
    <row r="22" spans="1:13" s="73" customFormat="1" ht="14.25" customHeight="1" x14ac:dyDescent="0.2">
      <c r="A22" s="256"/>
      <c r="B22" s="1497"/>
      <c r="C22" s="1498"/>
      <c r="D22" s="611"/>
      <c r="E22" s="542"/>
      <c r="F22" s="654" t="s">
        <v>29</v>
      </c>
      <c r="G22" s="548" t="s">
        <v>1947</v>
      </c>
      <c r="H22" s="640" t="s">
        <v>30</v>
      </c>
      <c r="I22" s="640" t="str">
        <f>IF(B49=3,"EE+1","ES")</f>
        <v>ES</v>
      </c>
      <c r="J22" s="640" t="str">
        <f>IF(B49=3,"EE+2","EC")</f>
        <v>EC</v>
      </c>
      <c r="K22" s="640" t="str">
        <f>IF(K21=3,"N/A","EF")</f>
        <v>EF</v>
      </c>
      <c r="L22" s="17" t="s">
        <v>32</v>
      </c>
      <c r="M22" s="257"/>
    </row>
    <row r="23" spans="1:13" s="73" customFormat="1" ht="14.25" customHeight="1" x14ac:dyDescent="0.2">
      <c r="A23" s="256"/>
      <c r="B23" s="1497"/>
      <c r="C23" s="1498"/>
      <c r="D23" s="611"/>
      <c r="E23" s="542"/>
      <c r="F23" s="1527" t="s">
        <v>1943</v>
      </c>
      <c r="G23" s="22" t="s">
        <v>1944</v>
      </c>
      <c r="H23" s="671">
        <v>7</v>
      </c>
      <c r="I23" s="671">
        <v>8</v>
      </c>
      <c r="J23" s="671">
        <v>9</v>
      </c>
      <c r="K23" s="671">
        <v>10</v>
      </c>
      <c r="L23" s="1523">
        <f>SUM(H24:K24)</f>
        <v>50</v>
      </c>
      <c r="M23" s="257"/>
    </row>
    <row r="24" spans="1:13" s="73" customFormat="1" ht="14.25" customHeight="1" x14ac:dyDescent="0.2">
      <c r="A24" s="256"/>
      <c r="B24" s="1497"/>
      <c r="C24" s="1498"/>
      <c r="D24" s="611"/>
      <c r="E24" s="257"/>
      <c r="F24" s="1528"/>
      <c r="G24" s="656" t="s">
        <v>1945</v>
      </c>
      <c r="H24" s="672">
        <v>11</v>
      </c>
      <c r="I24" s="672">
        <v>12</v>
      </c>
      <c r="J24" s="672">
        <v>13</v>
      </c>
      <c r="K24" s="672">
        <v>14</v>
      </c>
      <c r="L24" s="1524"/>
      <c r="M24" s="257"/>
    </row>
    <row r="25" spans="1:13" s="73" customFormat="1" ht="14.25" customHeight="1" thickBot="1" x14ac:dyDescent="0.25">
      <c r="A25" s="256"/>
      <c r="B25" s="1499"/>
      <c r="C25" s="1500"/>
      <c r="D25" s="611"/>
      <c r="E25" s="257"/>
      <c r="F25" s="1528"/>
      <c r="G25" s="666" t="s">
        <v>1940</v>
      </c>
      <c r="H25" s="673"/>
      <c r="I25" s="673"/>
      <c r="J25" s="673"/>
      <c r="K25" s="673"/>
      <c r="L25" s="1524"/>
      <c r="M25" s="257"/>
    </row>
    <row r="26" spans="1:13" s="73" customFormat="1" ht="14.25" customHeight="1" thickTop="1" thickBot="1" x14ac:dyDescent="0.25">
      <c r="A26" s="256"/>
      <c r="B26" s="260"/>
      <c r="C26" s="260"/>
      <c r="D26" s="260"/>
      <c r="E26" s="257"/>
      <c r="F26" s="1530"/>
      <c r="G26" s="642" t="s">
        <v>1946</v>
      </c>
      <c r="H26" s="674"/>
      <c r="I26" s="674"/>
      <c r="J26" s="674"/>
      <c r="K26" s="674"/>
      <c r="L26" s="1526"/>
      <c r="M26" s="257"/>
    </row>
    <row r="27" spans="1:13" s="73" customFormat="1" ht="14.25" customHeight="1" thickBot="1" x14ac:dyDescent="0.25">
      <c r="A27" s="257"/>
      <c r="B27" s="257"/>
      <c r="C27" s="257"/>
      <c r="D27" s="257"/>
      <c r="E27" s="257"/>
      <c r="F27" s="257"/>
      <c r="G27" s="257"/>
      <c r="H27" s="257"/>
      <c r="I27" s="257"/>
      <c r="J27" s="257"/>
      <c r="K27" s="257"/>
      <c r="L27" s="257"/>
      <c r="M27" s="257"/>
    </row>
    <row r="28" spans="1:13" s="73" customFormat="1" ht="25" thickTop="1" thickBot="1" x14ac:dyDescent="0.25">
      <c r="A28" s="256"/>
      <c r="B28" s="1489" t="s">
        <v>1716</v>
      </c>
      <c r="C28" s="1490"/>
      <c r="D28" s="1490"/>
      <c r="E28" s="1490"/>
      <c r="F28" s="1490"/>
      <c r="G28" s="1490"/>
      <c r="H28" s="1490"/>
      <c r="I28" s="1490"/>
      <c r="J28" s="1491"/>
      <c r="K28" s="257"/>
      <c r="L28" s="257"/>
      <c r="M28" s="257"/>
    </row>
    <row r="29" spans="1:13" s="73" customFormat="1" ht="14.25" customHeight="1" thickTop="1" x14ac:dyDescent="0.2">
      <c r="A29" s="256"/>
      <c r="B29" s="583" t="s">
        <v>1714</v>
      </c>
      <c r="C29" s="1516" t="s">
        <v>1974</v>
      </c>
      <c r="D29" s="1517"/>
      <c r="E29" s="1517"/>
      <c r="F29" s="1518"/>
      <c r="G29" s="1462"/>
      <c r="H29" s="1463"/>
      <c r="I29" s="1463"/>
      <c r="J29" s="1464"/>
      <c r="K29" s="257"/>
      <c r="L29" s="257"/>
      <c r="M29" s="257"/>
    </row>
    <row r="30" spans="1:13" s="73" customFormat="1" ht="14.25" customHeight="1" x14ac:dyDescent="0.2">
      <c r="A30" s="256"/>
      <c r="B30" s="569" t="s">
        <v>1707</v>
      </c>
      <c r="C30" s="833" t="s">
        <v>327</v>
      </c>
      <c r="D30" s="834"/>
      <c r="E30" s="834"/>
      <c r="F30" s="835"/>
      <c r="G30" s="1465"/>
      <c r="H30" s="834"/>
      <c r="I30" s="834"/>
      <c r="J30" s="1466"/>
      <c r="K30" s="257"/>
      <c r="L30" s="257"/>
      <c r="M30" s="257"/>
    </row>
    <row r="31" spans="1:13" s="73" customFormat="1" ht="14.25" customHeight="1" x14ac:dyDescent="0.2">
      <c r="A31" s="256"/>
      <c r="B31" s="569" t="s">
        <v>1708</v>
      </c>
      <c r="C31" s="833" t="s">
        <v>328</v>
      </c>
      <c r="D31" s="834"/>
      <c r="E31" s="834"/>
      <c r="F31" s="835"/>
      <c r="G31" s="1465"/>
      <c r="H31" s="834"/>
      <c r="I31" s="834"/>
      <c r="J31" s="1466"/>
      <c r="K31" s="257"/>
      <c r="L31" s="257"/>
      <c r="M31" s="257"/>
    </row>
    <row r="32" spans="1:13" s="73" customFormat="1" ht="14.25" customHeight="1" thickBot="1" x14ac:dyDescent="0.25">
      <c r="A32" s="256"/>
      <c r="B32" s="570" t="s">
        <v>329</v>
      </c>
      <c r="C32" s="1405" t="s">
        <v>1787</v>
      </c>
      <c r="D32" s="1406"/>
      <c r="E32" s="1406"/>
      <c r="F32" s="1407"/>
      <c r="G32" s="1467"/>
      <c r="H32" s="1406"/>
      <c r="I32" s="1406"/>
      <c r="J32" s="1468"/>
      <c r="K32" s="257"/>
      <c r="L32" s="257"/>
      <c r="M32" s="257"/>
    </row>
    <row r="33" spans="1:13" s="73" customFormat="1" ht="14.25" customHeight="1" thickBot="1" x14ac:dyDescent="0.25">
      <c r="A33" s="256"/>
      <c r="B33" s="584"/>
      <c r="C33" s="1492" t="s">
        <v>1711</v>
      </c>
      <c r="D33" s="1288"/>
      <c r="E33" s="1288"/>
      <c r="F33" s="1493"/>
      <c r="G33" s="1287" t="s">
        <v>1712</v>
      </c>
      <c r="H33" s="1288"/>
      <c r="I33" s="1288"/>
      <c r="J33" s="1289"/>
      <c r="K33" s="257"/>
      <c r="L33" s="257"/>
      <c r="M33" s="257"/>
    </row>
    <row r="34" spans="1:13" s="73" customFormat="1" ht="14.25" customHeight="1" thickTop="1" thickBot="1" x14ac:dyDescent="0.25">
      <c r="A34" s="256"/>
      <c r="B34" s="441"/>
      <c r="C34" s="1223" t="s">
        <v>330</v>
      </c>
      <c r="D34" s="1224"/>
      <c r="E34" s="1514" t="s">
        <v>1713</v>
      </c>
      <c r="F34" s="1515"/>
      <c r="G34" s="1494" t="s">
        <v>330</v>
      </c>
      <c r="H34" s="1224"/>
      <c r="I34" s="1223" t="s">
        <v>1713</v>
      </c>
      <c r="J34" s="1458"/>
      <c r="K34" s="257"/>
      <c r="L34" s="257"/>
      <c r="M34" s="257"/>
    </row>
    <row r="35" spans="1:13" s="73" customFormat="1" ht="14.25" customHeight="1" thickBot="1" x14ac:dyDescent="0.25">
      <c r="A35" s="256"/>
      <c r="B35" s="442" t="s">
        <v>331</v>
      </c>
      <c r="C35" s="1219">
        <v>1</v>
      </c>
      <c r="D35" s="1220"/>
      <c r="E35" s="1219">
        <v>1</v>
      </c>
      <c r="F35" s="1408"/>
      <c r="G35" s="1459"/>
      <c r="H35" s="1220"/>
      <c r="I35" s="1460"/>
      <c r="J35" s="1461"/>
      <c r="K35" s="257"/>
      <c r="L35" s="257"/>
      <c r="M35" s="257"/>
    </row>
    <row r="36" spans="1:13" s="73" customFormat="1" ht="14.25" customHeight="1" x14ac:dyDescent="0.2">
      <c r="A36" s="256"/>
      <c r="B36" s="396" t="s">
        <v>332</v>
      </c>
      <c r="C36" s="1217">
        <v>0.8</v>
      </c>
      <c r="D36" s="1218"/>
      <c r="E36" s="1217">
        <v>0.8</v>
      </c>
      <c r="F36" s="1409"/>
      <c r="G36" s="1480"/>
      <c r="H36" s="1218"/>
      <c r="I36" s="1481"/>
      <c r="J36" s="1482"/>
      <c r="K36" s="257"/>
      <c r="L36" s="257"/>
      <c r="M36" s="257"/>
    </row>
    <row r="37" spans="1:13" s="73" customFormat="1" ht="14.25" customHeight="1" x14ac:dyDescent="0.2">
      <c r="A37" s="256"/>
      <c r="B37" s="265" t="s">
        <v>333</v>
      </c>
      <c r="C37" s="1215">
        <v>0.8</v>
      </c>
      <c r="D37" s="1216"/>
      <c r="E37" s="1215">
        <v>0.8</v>
      </c>
      <c r="F37" s="1234"/>
      <c r="G37" s="1483"/>
      <c r="H37" s="1216"/>
      <c r="I37" s="1484"/>
      <c r="J37" s="1485"/>
      <c r="K37" s="257"/>
      <c r="L37" s="257"/>
      <c r="M37" s="257"/>
    </row>
    <row r="38" spans="1:13" s="73" customFormat="1" ht="14.25" customHeight="1" x14ac:dyDescent="0.2">
      <c r="A38" s="256"/>
      <c r="B38" s="265" t="s">
        <v>335</v>
      </c>
      <c r="C38" s="1215">
        <v>0.8</v>
      </c>
      <c r="D38" s="1216"/>
      <c r="E38" s="1215">
        <v>0.8</v>
      </c>
      <c r="F38" s="1234"/>
      <c r="G38" s="1483"/>
      <c r="H38" s="1216"/>
      <c r="I38" s="1484"/>
      <c r="J38" s="1485"/>
      <c r="K38" s="257"/>
      <c r="L38" s="257"/>
      <c r="M38" s="257"/>
    </row>
    <row r="39" spans="1:13" s="73" customFormat="1" ht="14.25" customHeight="1" thickBot="1" x14ac:dyDescent="0.25">
      <c r="A39" s="256"/>
      <c r="B39" s="436" t="s">
        <v>336</v>
      </c>
      <c r="C39" s="1213">
        <v>0.8</v>
      </c>
      <c r="D39" s="1214"/>
      <c r="E39" s="1213">
        <v>0.8</v>
      </c>
      <c r="F39" s="1235"/>
      <c r="G39" s="1471"/>
      <c r="H39" s="1214"/>
      <c r="I39" s="1472"/>
      <c r="J39" s="1473"/>
      <c r="K39" s="257"/>
      <c r="L39" s="257"/>
      <c r="M39" s="257"/>
    </row>
    <row r="40" spans="1:13" s="73" customFormat="1" ht="14.25" customHeight="1" x14ac:dyDescent="0.2">
      <c r="A40" s="256"/>
      <c r="B40" s="438" t="s">
        <v>338</v>
      </c>
      <c r="C40" s="1211">
        <v>0.5</v>
      </c>
      <c r="D40" s="1212"/>
      <c r="E40" s="1211">
        <v>0.5</v>
      </c>
      <c r="F40" s="1236"/>
      <c r="G40" s="1474"/>
      <c r="H40" s="1212"/>
      <c r="I40" s="1475"/>
      <c r="J40" s="1476"/>
      <c r="K40" s="257"/>
      <c r="L40" s="257"/>
      <c r="M40" s="257"/>
    </row>
    <row r="41" spans="1:13" s="73" customFormat="1" ht="14.25" customHeight="1" x14ac:dyDescent="0.2">
      <c r="A41" s="256"/>
      <c r="B41" s="272" t="s">
        <v>340</v>
      </c>
      <c r="C41" s="1209">
        <v>0.5</v>
      </c>
      <c r="D41" s="1210"/>
      <c r="E41" s="1209">
        <v>0.5</v>
      </c>
      <c r="F41" s="1237"/>
      <c r="G41" s="1477"/>
      <c r="H41" s="1210"/>
      <c r="I41" s="1478"/>
      <c r="J41" s="1479"/>
      <c r="K41" s="257"/>
      <c r="L41" s="257"/>
      <c r="M41" s="257"/>
    </row>
    <row r="42" spans="1:13" s="73" customFormat="1" ht="14.25" customHeight="1" thickBot="1" x14ac:dyDescent="0.25">
      <c r="A42" s="256"/>
      <c r="B42" s="435" t="s">
        <v>342</v>
      </c>
      <c r="C42" s="1240">
        <v>0.5</v>
      </c>
      <c r="D42" s="1241"/>
      <c r="E42" s="1240">
        <v>0.5</v>
      </c>
      <c r="F42" s="1404"/>
      <c r="G42" s="1486"/>
      <c r="H42" s="1241"/>
      <c r="I42" s="1487"/>
      <c r="J42" s="1488"/>
      <c r="K42" s="257"/>
      <c r="L42" s="257"/>
      <c r="M42" s="257"/>
    </row>
    <row r="43" spans="1:13" s="73" customFormat="1" ht="14.25" customHeight="1" x14ac:dyDescent="0.2">
      <c r="A43" s="256"/>
      <c r="B43" s="437" t="s">
        <v>345</v>
      </c>
      <c r="C43" s="1397" t="s">
        <v>334</v>
      </c>
      <c r="D43" s="1398"/>
      <c r="E43" s="1398"/>
      <c r="F43" s="1399"/>
      <c r="G43" s="1469"/>
      <c r="H43" s="1398"/>
      <c r="I43" s="1398"/>
      <c r="J43" s="1470"/>
      <c r="K43" s="257"/>
      <c r="L43" s="257"/>
      <c r="M43" s="257"/>
    </row>
    <row r="44" spans="1:13" s="73" customFormat="1" ht="14.25" customHeight="1" thickBot="1" x14ac:dyDescent="0.25">
      <c r="A44" s="256"/>
      <c r="B44" s="436" t="s">
        <v>347</v>
      </c>
      <c r="C44" s="1271" t="s">
        <v>1775</v>
      </c>
      <c r="D44" s="1272"/>
      <c r="E44" s="1272"/>
      <c r="F44" s="1273"/>
      <c r="G44" s="1437"/>
      <c r="H44" s="1272"/>
      <c r="I44" s="1272"/>
      <c r="J44" s="1438"/>
      <c r="K44" s="257"/>
      <c r="L44" s="257"/>
      <c r="M44" s="257"/>
    </row>
    <row r="45" spans="1:13" s="73" customFormat="1" ht="14.25" customHeight="1" x14ac:dyDescent="0.2">
      <c r="A45" s="256"/>
      <c r="B45" s="438" t="s">
        <v>349</v>
      </c>
      <c r="C45" s="1397" t="s">
        <v>1788</v>
      </c>
      <c r="D45" s="1398"/>
      <c r="E45" s="1398"/>
      <c r="F45" s="1399"/>
      <c r="G45" s="1469"/>
      <c r="H45" s="1398"/>
      <c r="I45" s="1398"/>
      <c r="J45" s="1470"/>
      <c r="K45" s="257"/>
      <c r="L45" s="257"/>
      <c r="M45" s="257"/>
    </row>
    <row r="46" spans="1:13" s="73" customFormat="1" ht="14.25" customHeight="1" x14ac:dyDescent="0.2">
      <c r="A46" s="256"/>
      <c r="B46" s="272" t="s">
        <v>351</v>
      </c>
      <c r="C46" s="1400">
        <v>0.5</v>
      </c>
      <c r="D46" s="1401"/>
      <c r="E46" s="1401"/>
      <c r="F46" s="1402"/>
      <c r="G46" s="1431"/>
      <c r="H46" s="1401"/>
      <c r="I46" s="1401"/>
      <c r="J46" s="1432"/>
      <c r="K46" s="257"/>
      <c r="L46" s="257"/>
      <c r="M46" s="257"/>
    </row>
    <row r="47" spans="1:13" s="73" customFormat="1" ht="14.25" customHeight="1" x14ac:dyDescent="0.2">
      <c r="A47" s="256"/>
      <c r="B47" s="272" t="s">
        <v>353</v>
      </c>
      <c r="C47" s="1238">
        <v>1500</v>
      </c>
      <c r="D47" s="1239"/>
      <c r="E47" s="1238">
        <v>1500</v>
      </c>
      <c r="F47" s="1403"/>
      <c r="G47" s="1433"/>
      <c r="H47" s="1239"/>
      <c r="I47" s="1238"/>
      <c r="J47" s="1434"/>
      <c r="K47" s="257"/>
      <c r="L47" s="257"/>
      <c r="M47" s="257"/>
    </row>
    <row r="48" spans="1:13" s="73" customFormat="1" ht="14.25" customHeight="1" x14ac:dyDescent="0.2">
      <c r="A48" s="262"/>
      <c r="B48" s="272" t="s">
        <v>354</v>
      </c>
      <c r="C48" s="1268" t="s">
        <v>334</v>
      </c>
      <c r="D48" s="1269"/>
      <c r="E48" s="1269"/>
      <c r="F48" s="1270"/>
      <c r="G48" s="1435"/>
      <c r="H48" s="1269"/>
      <c r="I48" s="1269"/>
      <c r="J48" s="1436"/>
      <c r="K48" s="257"/>
      <c r="L48" s="257"/>
      <c r="M48" s="257"/>
    </row>
    <row r="49" spans="1:13" s="73" customFormat="1" ht="14.25" customHeight="1" thickBot="1" x14ac:dyDescent="0.25">
      <c r="A49" s="262"/>
      <c r="B49" s="435" t="s">
        <v>347</v>
      </c>
      <c r="C49" s="1271" t="s">
        <v>1775</v>
      </c>
      <c r="D49" s="1272"/>
      <c r="E49" s="1272"/>
      <c r="F49" s="1273"/>
      <c r="G49" s="1437"/>
      <c r="H49" s="1272"/>
      <c r="I49" s="1272"/>
      <c r="J49" s="1438"/>
      <c r="K49" s="257"/>
      <c r="L49" s="257"/>
      <c r="M49" s="257"/>
    </row>
    <row r="50" spans="1:13" s="73" customFormat="1" ht="14.25" customHeight="1" x14ac:dyDescent="0.2">
      <c r="A50" s="262"/>
      <c r="B50" s="437" t="s">
        <v>357</v>
      </c>
      <c r="C50" s="1225">
        <v>50</v>
      </c>
      <c r="D50" s="1226"/>
      <c r="E50" s="1225">
        <v>50</v>
      </c>
      <c r="F50" s="1274"/>
      <c r="G50" s="1451"/>
      <c r="H50" s="1226"/>
      <c r="I50" s="1225"/>
      <c r="J50" s="1452"/>
      <c r="K50" s="257"/>
      <c r="L50" s="257"/>
      <c r="M50" s="257"/>
    </row>
    <row r="51" spans="1:13" s="73" customFormat="1" ht="14.25" customHeight="1" x14ac:dyDescent="0.2">
      <c r="A51" s="262"/>
      <c r="B51" s="265" t="s">
        <v>358</v>
      </c>
      <c r="C51" s="1242" t="s">
        <v>1776</v>
      </c>
      <c r="D51" s="1243"/>
      <c r="E51" s="1242" t="s">
        <v>1776</v>
      </c>
      <c r="F51" s="1275"/>
      <c r="G51" s="1453"/>
      <c r="H51" s="1243"/>
      <c r="I51" s="1242"/>
      <c r="J51" s="1454"/>
      <c r="K51" s="257"/>
      <c r="L51" s="257"/>
      <c r="M51" s="257"/>
    </row>
    <row r="52" spans="1:13" ht="14.25" customHeight="1" thickBot="1" x14ac:dyDescent="0.25">
      <c r="A52" s="262"/>
      <c r="B52" s="436" t="s">
        <v>359</v>
      </c>
      <c r="C52" s="1244" t="s">
        <v>51</v>
      </c>
      <c r="D52" s="1245"/>
      <c r="E52" s="1244" t="s">
        <v>51</v>
      </c>
      <c r="F52" s="1276"/>
      <c r="G52" s="1455"/>
      <c r="H52" s="1245"/>
      <c r="I52" s="1244"/>
      <c r="J52" s="1456"/>
      <c r="K52" s="257"/>
      <c r="L52" s="257"/>
      <c r="M52" s="257"/>
    </row>
    <row r="53" spans="1:13" ht="14.25" customHeight="1" x14ac:dyDescent="0.2">
      <c r="A53" s="262"/>
      <c r="B53" s="438" t="s">
        <v>360</v>
      </c>
      <c r="C53" s="1229">
        <v>1500</v>
      </c>
      <c r="D53" s="1246"/>
      <c r="E53" s="1229">
        <v>1500</v>
      </c>
      <c r="F53" s="1230"/>
      <c r="G53" s="1441"/>
      <c r="H53" s="1246"/>
      <c r="I53" s="1229"/>
      <c r="J53" s="1450"/>
      <c r="K53" s="257"/>
      <c r="L53" s="257"/>
      <c r="M53" s="257"/>
    </row>
    <row r="54" spans="1:13" ht="14.25" customHeight="1" thickBot="1" x14ac:dyDescent="0.25">
      <c r="A54" s="262"/>
      <c r="B54" s="435" t="s">
        <v>361</v>
      </c>
      <c r="C54" s="1231" t="s">
        <v>57</v>
      </c>
      <c r="D54" s="1232"/>
      <c r="E54" s="1232"/>
      <c r="F54" s="1233"/>
      <c r="G54" s="1442"/>
      <c r="H54" s="1232"/>
      <c r="I54" s="1232"/>
      <c r="J54" s="1443"/>
      <c r="K54" s="257"/>
      <c r="L54" s="257"/>
      <c r="M54" s="257"/>
    </row>
    <row r="55" spans="1:13" ht="14.25" customHeight="1" thickBot="1" x14ac:dyDescent="0.25">
      <c r="A55" s="262"/>
      <c r="B55" s="439" t="s">
        <v>362</v>
      </c>
      <c r="C55" s="1277" t="s">
        <v>1793</v>
      </c>
      <c r="D55" s="1278"/>
      <c r="E55" s="1278"/>
      <c r="F55" s="1279"/>
      <c r="G55" s="1444"/>
      <c r="H55" s="1278"/>
      <c r="I55" s="1278"/>
      <c r="J55" s="1445"/>
      <c r="K55" s="257"/>
      <c r="L55" s="257"/>
      <c r="M55" s="257"/>
    </row>
    <row r="56" spans="1:13" ht="14.25" customHeight="1" thickBot="1" x14ac:dyDescent="0.25">
      <c r="A56" s="262"/>
      <c r="B56" s="440" t="s">
        <v>363</v>
      </c>
      <c r="C56" s="1280" t="s">
        <v>1777</v>
      </c>
      <c r="D56" s="1281"/>
      <c r="E56" s="1281"/>
      <c r="F56" s="1282"/>
      <c r="G56" s="1446"/>
      <c r="H56" s="1281"/>
      <c r="I56" s="1281"/>
      <c r="J56" s="1447"/>
      <c r="K56" s="257"/>
      <c r="L56" s="257"/>
      <c r="M56" s="257"/>
    </row>
    <row r="57" spans="1:13" ht="14.25" customHeight="1" x14ac:dyDescent="0.2">
      <c r="A57" s="262"/>
      <c r="B57" s="437" t="s">
        <v>364</v>
      </c>
      <c r="C57" s="1283" t="s">
        <v>365</v>
      </c>
      <c r="D57" s="1284"/>
      <c r="E57" s="1284"/>
      <c r="F57" s="1285"/>
      <c r="G57" s="1448"/>
      <c r="H57" s="1284"/>
      <c r="I57" s="1284"/>
      <c r="J57" s="1449"/>
      <c r="K57" s="257"/>
      <c r="L57" s="257"/>
      <c r="M57" s="257"/>
    </row>
    <row r="58" spans="1:13" ht="14.25" customHeight="1" x14ac:dyDescent="0.2">
      <c r="A58" s="262"/>
      <c r="B58" s="265" t="s">
        <v>366</v>
      </c>
      <c r="C58" s="1394" t="s">
        <v>277</v>
      </c>
      <c r="D58" s="1395"/>
      <c r="E58" s="1395"/>
      <c r="F58" s="1396"/>
      <c r="G58" s="1439"/>
      <c r="H58" s="1395"/>
      <c r="I58" s="1395"/>
      <c r="J58" s="1440"/>
      <c r="K58" s="257"/>
      <c r="L58" s="257"/>
      <c r="M58" s="257"/>
    </row>
    <row r="59" spans="1:13" ht="14.25" customHeight="1" x14ac:dyDescent="0.2">
      <c r="A59" s="262"/>
      <c r="B59" s="265" t="s">
        <v>367</v>
      </c>
      <c r="C59" s="1394" t="s">
        <v>1778</v>
      </c>
      <c r="D59" s="1395"/>
      <c r="E59" s="1395"/>
      <c r="F59" s="1396"/>
      <c r="G59" s="1439"/>
      <c r="H59" s="1395"/>
      <c r="I59" s="1395"/>
      <c r="J59" s="1440"/>
      <c r="K59" s="257"/>
      <c r="L59" s="257"/>
      <c r="M59" s="257"/>
    </row>
    <row r="60" spans="1:13" ht="14.25" customHeight="1" x14ac:dyDescent="0.2">
      <c r="A60" s="262"/>
      <c r="B60" s="265" t="s">
        <v>368</v>
      </c>
      <c r="C60" s="1394" t="s">
        <v>1778</v>
      </c>
      <c r="D60" s="1395"/>
      <c r="E60" s="1395"/>
      <c r="F60" s="1396"/>
      <c r="G60" s="1439"/>
      <c r="H60" s="1395"/>
      <c r="I60" s="1395"/>
      <c r="J60" s="1440"/>
      <c r="K60" s="257"/>
      <c r="L60" s="257"/>
      <c r="M60" s="257"/>
    </row>
    <row r="61" spans="1:13" ht="14.25" customHeight="1" x14ac:dyDescent="0.2">
      <c r="A61" s="262"/>
      <c r="B61" s="265" t="s">
        <v>369</v>
      </c>
      <c r="C61" s="1419" t="s">
        <v>1710</v>
      </c>
      <c r="D61" s="1414"/>
      <c r="E61" s="1414"/>
      <c r="F61" s="1420"/>
      <c r="G61" s="1413"/>
      <c r="H61" s="1414"/>
      <c r="I61" s="1414"/>
      <c r="J61" s="1415"/>
      <c r="K61" s="257"/>
      <c r="L61" s="257"/>
      <c r="M61" s="257"/>
    </row>
    <row r="62" spans="1:13" ht="14.25" customHeight="1" x14ac:dyDescent="0.2">
      <c r="A62" s="262"/>
      <c r="B62" s="265" t="s">
        <v>370</v>
      </c>
      <c r="C62" s="1419" t="s">
        <v>371</v>
      </c>
      <c r="D62" s="1414"/>
      <c r="E62" s="1414"/>
      <c r="F62" s="1420"/>
      <c r="G62" s="1413"/>
      <c r="H62" s="1414"/>
      <c r="I62" s="1414"/>
      <c r="J62" s="1415"/>
      <c r="K62" s="257"/>
      <c r="L62" s="257"/>
      <c r="M62" s="257"/>
    </row>
    <row r="63" spans="1:13" ht="14.25" customHeight="1" x14ac:dyDescent="0.2">
      <c r="A63" s="262"/>
      <c r="B63" s="265" t="s">
        <v>372</v>
      </c>
      <c r="C63" s="1419" t="s">
        <v>1709</v>
      </c>
      <c r="D63" s="1414"/>
      <c r="E63" s="1414"/>
      <c r="F63" s="1420"/>
      <c r="G63" s="1413"/>
      <c r="H63" s="1414"/>
      <c r="I63" s="1414"/>
      <c r="J63" s="1415"/>
      <c r="K63" s="257"/>
      <c r="L63" s="257"/>
      <c r="M63" s="257"/>
    </row>
    <row r="64" spans="1:13" ht="14.25" customHeight="1" thickBot="1" x14ac:dyDescent="0.25">
      <c r="A64" s="262"/>
      <c r="B64" s="266" t="s">
        <v>373</v>
      </c>
      <c r="C64" s="1421" t="s">
        <v>374</v>
      </c>
      <c r="D64" s="1417"/>
      <c r="E64" s="1417"/>
      <c r="F64" s="1422"/>
      <c r="G64" s="1416"/>
      <c r="H64" s="1417"/>
      <c r="I64" s="1417"/>
      <c r="J64" s="1418"/>
      <c r="K64" s="257"/>
      <c r="L64" s="257"/>
      <c r="M64" s="257"/>
    </row>
    <row r="65" spans="1:13" ht="14.25" customHeight="1" thickTop="1" x14ac:dyDescent="0.2">
      <c r="A65" s="262"/>
      <c r="B65" s="262"/>
      <c r="C65" s="262"/>
      <c r="D65" s="262"/>
      <c r="E65" s="262"/>
      <c r="F65" s="262"/>
      <c r="G65" s="262"/>
      <c r="H65" s="262"/>
      <c r="I65" s="260"/>
      <c r="J65" s="260"/>
      <c r="K65" s="257"/>
      <c r="L65" s="257"/>
      <c r="M65" s="257"/>
    </row>
    <row r="66" spans="1:13" ht="28.25" hidden="1" customHeight="1" thickTop="1" x14ac:dyDescent="0.2">
      <c r="A66" s="262"/>
      <c r="B66" s="1424" t="s">
        <v>1718</v>
      </c>
      <c r="C66" s="1425"/>
      <c r="D66" s="1425"/>
      <c r="E66" s="1425"/>
      <c r="F66" s="1425"/>
      <c r="G66" s="1425"/>
      <c r="H66" s="1425"/>
      <c r="I66" s="1425"/>
      <c r="J66" s="1426"/>
      <c r="K66" s="257"/>
      <c r="L66" s="257"/>
      <c r="M66" s="257"/>
    </row>
    <row r="67" spans="1:13" ht="14.25" hidden="1" customHeight="1" x14ac:dyDescent="0.2">
      <c r="A67" s="262"/>
      <c r="B67" s="569" t="s">
        <v>1714</v>
      </c>
      <c r="C67" s="1314" t="s">
        <v>1792</v>
      </c>
      <c r="D67" s="1314"/>
      <c r="E67" s="1314"/>
      <c r="F67" s="1430"/>
      <c r="G67" s="1313"/>
      <c r="H67" s="1314"/>
      <c r="I67" s="1314"/>
      <c r="J67" s="1315"/>
      <c r="K67" s="257"/>
      <c r="L67" s="257"/>
      <c r="M67" s="257"/>
    </row>
    <row r="68" spans="1:13" ht="14.25" hidden="1" customHeight="1" x14ac:dyDescent="0.2">
      <c r="A68" s="262"/>
      <c r="B68" s="569" t="s">
        <v>1707</v>
      </c>
      <c r="C68" s="1221" t="s">
        <v>327</v>
      </c>
      <c r="D68" s="1221"/>
      <c r="E68" s="1221"/>
      <c r="F68" s="1222"/>
      <c r="G68" s="1381"/>
      <c r="H68" s="1221"/>
      <c r="I68" s="1221"/>
      <c r="J68" s="1382"/>
      <c r="K68" s="257"/>
      <c r="L68" s="257"/>
      <c r="M68" s="257"/>
    </row>
    <row r="69" spans="1:13" ht="14.25" hidden="1" customHeight="1" x14ac:dyDescent="0.2">
      <c r="A69" s="262"/>
      <c r="B69" s="569" t="s">
        <v>1708</v>
      </c>
      <c r="C69" s="1221" t="s">
        <v>328</v>
      </c>
      <c r="D69" s="1221"/>
      <c r="E69" s="1221"/>
      <c r="F69" s="1222"/>
      <c r="G69" s="1381"/>
      <c r="H69" s="1221"/>
      <c r="I69" s="1221"/>
      <c r="J69" s="1382"/>
      <c r="K69" s="257"/>
      <c r="L69" s="257"/>
      <c r="M69" s="257"/>
    </row>
    <row r="70" spans="1:13" ht="14.25" hidden="1" customHeight="1" thickBot="1" x14ac:dyDescent="0.25">
      <c r="A70" s="262"/>
      <c r="B70" s="570" t="s">
        <v>329</v>
      </c>
      <c r="C70" s="1221" t="s">
        <v>1787</v>
      </c>
      <c r="D70" s="1221"/>
      <c r="E70" s="1221"/>
      <c r="F70" s="1222"/>
      <c r="G70" s="1381"/>
      <c r="H70" s="1221"/>
      <c r="I70" s="1221"/>
      <c r="J70" s="1382"/>
      <c r="K70" s="257"/>
      <c r="L70" s="257"/>
      <c r="M70" s="257"/>
    </row>
    <row r="71" spans="1:13" ht="14.25" hidden="1" customHeight="1" thickBot="1" x14ac:dyDescent="0.25">
      <c r="A71" s="262"/>
      <c r="B71" s="571"/>
      <c r="C71" s="1427" t="s">
        <v>1711</v>
      </c>
      <c r="D71" s="1428"/>
      <c r="E71" s="1428"/>
      <c r="F71" s="1429"/>
      <c r="G71" s="1287" t="s">
        <v>1712</v>
      </c>
      <c r="H71" s="1288"/>
      <c r="I71" s="1288"/>
      <c r="J71" s="1289"/>
      <c r="K71" s="257"/>
      <c r="L71" s="257"/>
      <c r="M71" s="257"/>
    </row>
    <row r="72" spans="1:13" ht="14.25" hidden="1" customHeight="1" thickBot="1" x14ac:dyDescent="0.25">
      <c r="A72" s="262"/>
      <c r="B72" s="572"/>
      <c r="C72" s="1206" t="s">
        <v>330</v>
      </c>
      <c r="D72" s="1208"/>
      <c r="E72" s="1206" t="s">
        <v>1713</v>
      </c>
      <c r="F72" s="1207"/>
      <c r="G72" s="1206" t="s">
        <v>330</v>
      </c>
      <c r="H72" s="1208"/>
      <c r="I72" s="1206" t="s">
        <v>1713</v>
      </c>
      <c r="J72" s="1207"/>
      <c r="K72" s="257"/>
      <c r="L72" s="257"/>
      <c r="M72" s="257"/>
    </row>
    <row r="73" spans="1:13" ht="14.25" hidden="1" customHeight="1" thickBot="1" x14ac:dyDescent="0.25">
      <c r="A73" s="262"/>
      <c r="B73" s="573" t="s">
        <v>331</v>
      </c>
      <c r="C73" s="1219">
        <v>1</v>
      </c>
      <c r="D73" s="1220"/>
      <c r="E73" s="1219">
        <v>1</v>
      </c>
      <c r="F73" s="1408"/>
      <c r="G73" s="1457"/>
      <c r="H73" s="1383"/>
      <c r="I73" s="1383"/>
      <c r="J73" s="1384"/>
      <c r="K73" s="257"/>
      <c r="L73" s="257"/>
      <c r="M73" s="257"/>
    </row>
    <row r="74" spans="1:13" ht="14.25" hidden="1" customHeight="1" x14ac:dyDescent="0.2">
      <c r="A74" s="262"/>
      <c r="B74" s="574" t="s">
        <v>332</v>
      </c>
      <c r="C74" s="1217">
        <v>0.8</v>
      </c>
      <c r="D74" s="1218"/>
      <c r="E74" s="1217">
        <v>0.8</v>
      </c>
      <c r="F74" s="1409"/>
      <c r="G74" s="1218"/>
      <c r="H74" s="1286"/>
      <c r="I74" s="1286"/>
      <c r="J74" s="1385"/>
      <c r="K74" s="257"/>
      <c r="L74" s="257"/>
      <c r="M74" s="257"/>
    </row>
    <row r="75" spans="1:13" ht="14.25" hidden="1" customHeight="1" x14ac:dyDescent="0.2">
      <c r="A75" s="262"/>
      <c r="B75" s="575" t="s">
        <v>333</v>
      </c>
      <c r="C75" s="1215">
        <v>0.8</v>
      </c>
      <c r="D75" s="1216"/>
      <c r="E75" s="1215">
        <v>0.8</v>
      </c>
      <c r="F75" s="1234"/>
      <c r="G75" s="1216"/>
      <c r="H75" s="1386"/>
      <c r="I75" s="1386"/>
      <c r="J75" s="1387"/>
      <c r="K75" s="257"/>
      <c r="L75" s="257"/>
      <c r="M75" s="257"/>
    </row>
    <row r="76" spans="1:13" ht="14.25" hidden="1" customHeight="1" x14ac:dyDescent="0.2">
      <c r="A76" s="262"/>
      <c r="B76" s="575" t="s">
        <v>335</v>
      </c>
      <c r="C76" s="1215">
        <v>0.8</v>
      </c>
      <c r="D76" s="1216"/>
      <c r="E76" s="1215">
        <v>0.8</v>
      </c>
      <c r="F76" s="1234"/>
      <c r="G76" s="1216"/>
      <c r="H76" s="1386"/>
      <c r="I76" s="1386"/>
      <c r="J76" s="1387"/>
      <c r="K76" s="257"/>
      <c r="L76" s="257"/>
      <c r="M76" s="257"/>
    </row>
    <row r="77" spans="1:13" ht="14.25" hidden="1" customHeight="1" thickBot="1" x14ac:dyDescent="0.25">
      <c r="A77" s="262"/>
      <c r="B77" s="576" t="s">
        <v>336</v>
      </c>
      <c r="C77" s="1213">
        <v>0.8</v>
      </c>
      <c r="D77" s="1214"/>
      <c r="E77" s="1213">
        <v>0.8</v>
      </c>
      <c r="F77" s="1235"/>
      <c r="G77" s="1423"/>
      <c r="H77" s="1388"/>
      <c r="I77" s="1388"/>
      <c r="J77" s="1389"/>
      <c r="K77" s="257"/>
      <c r="L77" s="257"/>
      <c r="M77" s="257"/>
    </row>
    <row r="78" spans="1:13" ht="14.25" hidden="1" customHeight="1" x14ac:dyDescent="0.2">
      <c r="A78" s="262"/>
      <c r="B78" s="577" t="s">
        <v>338</v>
      </c>
      <c r="C78" s="1211">
        <v>0.5</v>
      </c>
      <c r="D78" s="1212"/>
      <c r="E78" s="1211">
        <v>0.5</v>
      </c>
      <c r="F78" s="1236"/>
      <c r="G78" s="1212"/>
      <c r="H78" s="1390"/>
      <c r="I78" s="1390"/>
      <c r="J78" s="1391"/>
      <c r="K78" s="257"/>
      <c r="L78" s="257"/>
      <c r="M78" s="257"/>
    </row>
    <row r="79" spans="1:13" ht="14.25" hidden="1" customHeight="1" x14ac:dyDescent="0.2">
      <c r="A79" s="262"/>
      <c r="B79" s="578" t="s">
        <v>340</v>
      </c>
      <c r="C79" s="1209">
        <v>0.5</v>
      </c>
      <c r="D79" s="1210"/>
      <c r="E79" s="1209">
        <v>0.5</v>
      </c>
      <c r="F79" s="1237"/>
      <c r="G79" s="1210"/>
      <c r="H79" s="1319"/>
      <c r="I79" s="1319"/>
      <c r="J79" s="1392"/>
      <c r="K79" s="257"/>
      <c r="L79" s="257"/>
      <c r="M79" s="257"/>
    </row>
    <row r="80" spans="1:13" ht="14.25" hidden="1" customHeight="1" thickBot="1" x14ac:dyDescent="0.25">
      <c r="A80" s="262"/>
      <c r="B80" s="579" t="s">
        <v>342</v>
      </c>
      <c r="C80" s="1240">
        <v>0.5</v>
      </c>
      <c r="D80" s="1241"/>
      <c r="E80" s="1240">
        <v>0.5</v>
      </c>
      <c r="F80" s="1404"/>
      <c r="G80" s="1320"/>
      <c r="H80" s="1321"/>
      <c r="I80" s="1321"/>
      <c r="J80" s="1393"/>
      <c r="K80" s="257"/>
      <c r="L80" s="257"/>
      <c r="M80" s="257"/>
    </row>
    <row r="81" spans="1:13" ht="14.25" hidden="1" customHeight="1" x14ac:dyDescent="0.2">
      <c r="A81" s="262"/>
      <c r="B81" s="580" t="s">
        <v>345</v>
      </c>
      <c r="C81" s="1397" t="s">
        <v>334</v>
      </c>
      <c r="D81" s="1398"/>
      <c r="E81" s="1398"/>
      <c r="F81" s="1399"/>
      <c r="G81" s="1254"/>
      <c r="H81" s="1255"/>
      <c r="I81" s="1255"/>
      <c r="J81" s="1256"/>
      <c r="K81" s="257"/>
      <c r="L81" s="257"/>
      <c r="M81" s="257"/>
    </row>
    <row r="82" spans="1:13" ht="14.25" hidden="1" customHeight="1" thickBot="1" x14ac:dyDescent="0.25">
      <c r="A82" s="262"/>
      <c r="B82" s="576" t="s">
        <v>347</v>
      </c>
      <c r="C82" s="1271" t="s">
        <v>1775</v>
      </c>
      <c r="D82" s="1272"/>
      <c r="E82" s="1272"/>
      <c r="F82" s="1273"/>
      <c r="G82" s="1251"/>
      <c r="H82" s="1252"/>
      <c r="I82" s="1252"/>
      <c r="J82" s="1253"/>
      <c r="K82" s="257"/>
      <c r="L82" s="257"/>
      <c r="M82" s="257"/>
    </row>
    <row r="83" spans="1:13" ht="14.25" hidden="1" customHeight="1" x14ac:dyDescent="0.2">
      <c r="A83" s="262"/>
      <c r="B83" s="577" t="s">
        <v>349</v>
      </c>
      <c r="C83" s="1397" t="s">
        <v>1788</v>
      </c>
      <c r="D83" s="1398"/>
      <c r="E83" s="1398"/>
      <c r="F83" s="1399"/>
      <c r="G83" s="1254"/>
      <c r="H83" s="1255"/>
      <c r="I83" s="1255"/>
      <c r="J83" s="1256"/>
      <c r="K83" s="257"/>
      <c r="L83" s="257"/>
      <c r="M83" s="257"/>
    </row>
    <row r="84" spans="1:13" ht="14.25" hidden="1" customHeight="1" x14ac:dyDescent="0.2">
      <c r="A84" s="262"/>
      <c r="B84" s="578" t="s">
        <v>351</v>
      </c>
      <c r="C84" s="1400">
        <v>0.5</v>
      </c>
      <c r="D84" s="1401"/>
      <c r="E84" s="1401"/>
      <c r="F84" s="1402"/>
      <c r="G84" s="1257"/>
      <c r="H84" s="1258"/>
      <c r="I84" s="1258"/>
      <c r="J84" s="1259"/>
      <c r="K84" s="257"/>
      <c r="L84" s="257"/>
      <c r="M84" s="257"/>
    </row>
    <row r="85" spans="1:13" ht="14.25" hidden="1" customHeight="1" x14ac:dyDescent="0.2">
      <c r="A85" s="262"/>
      <c r="B85" s="578" t="s">
        <v>353</v>
      </c>
      <c r="C85" s="1238">
        <v>1500</v>
      </c>
      <c r="D85" s="1239"/>
      <c r="E85" s="1238">
        <v>1500</v>
      </c>
      <c r="F85" s="1403"/>
      <c r="G85" s="1239"/>
      <c r="H85" s="1260"/>
      <c r="I85" s="1260"/>
      <c r="J85" s="1261"/>
      <c r="K85" s="257"/>
      <c r="L85" s="257"/>
      <c r="M85" s="257"/>
    </row>
    <row r="86" spans="1:13" ht="14.25" hidden="1" customHeight="1" x14ac:dyDescent="0.2">
      <c r="A86" s="262"/>
      <c r="B86" s="578" t="s">
        <v>354</v>
      </c>
      <c r="C86" s="1268" t="s">
        <v>334</v>
      </c>
      <c r="D86" s="1269"/>
      <c r="E86" s="1269"/>
      <c r="F86" s="1270"/>
      <c r="G86" s="1313"/>
      <c r="H86" s="1314"/>
      <c r="I86" s="1314"/>
      <c r="J86" s="1315"/>
      <c r="K86" s="257"/>
      <c r="L86" s="257"/>
      <c r="M86" s="257"/>
    </row>
    <row r="87" spans="1:13" ht="14.25" hidden="1" customHeight="1" thickBot="1" x14ac:dyDescent="0.25">
      <c r="A87" s="262"/>
      <c r="B87" s="579" t="s">
        <v>347</v>
      </c>
      <c r="C87" s="1271" t="s">
        <v>1775</v>
      </c>
      <c r="D87" s="1272"/>
      <c r="E87" s="1272"/>
      <c r="F87" s="1273"/>
      <c r="G87" s="1251"/>
      <c r="H87" s="1252"/>
      <c r="I87" s="1252"/>
      <c r="J87" s="1253"/>
      <c r="K87" s="257"/>
      <c r="L87" s="257"/>
      <c r="M87" s="257"/>
    </row>
    <row r="88" spans="1:13" ht="14.25" hidden="1" customHeight="1" x14ac:dyDescent="0.2">
      <c r="A88" s="262"/>
      <c r="B88" s="580" t="s">
        <v>357</v>
      </c>
      <c r="C88" s="1225">
        <v>50</v>
      </c>
      <c r="D88" s="1226"/>
      <c r="E88" s="1225">
        <v>50</v>
      </c>
      <c r="F88" s="1274"/>
      <c r="G88" s="1226"/>
      <c r="H88" s="1316"/>
      <c r="I88" s="1316"/>
      <c r="J88" s="1317"/>
      <c r="K88" s="257"/>
      <c r="L88" s="257"/>
      <c r="M88" s="257"/>
    </row>
    <row r="89" spans="1:13" ht="14.25" hidden="1" customHeight="1" x14ac:dyDescent="0.2">
      <c r="A89" s="262"/>
      <c r="B89" s="575" t="s">
        <v>358</v>
      </c>
      <c r="C89" s="1242" t="s">
        <v>1776</v>
      </c>
      <c r="D89" s="1243"/>
      <c r="E89" s="1242" t="s">
        <v>1776</v>
      </c>
      <c r="F89" s="1275"/>
      <c r="G89" s="1243"/>
      <c r="H89" s="1250"/>
      <c r="I89" s="1250"/>
      <c r="J89" s="1318"/>
      <c r="K89" s="257"/>
      <c r="L89" s="257"/>
      <c r="M89" s="257"/>
    </row>
    <row r="90" spans="1:13" ht="14.25" hidden="1" customHeight="1" thickBot="1" x14ac:dyDescent="0.25">
      <c r="A90" s="262"/>
      <c r="B90" s="576" t="s">
        <v>359</v>
      </c>
      <c r="C90" s="1244" t="s">
        <v>51</v>
      </c>
      <c r="D90" s="1245"/>
      <c r="E90" s="1244" t="s">
        <v>51</v>
      </c>
      <c r="F90" s="1276"/>
      <c r="G90" s="1305"/>
      <c r="H90" s="1306"/>
      <c r="I90" s="1306"/>
      <c r="J90" s="1307"/>
      <c r="K90" s="257"/>
      <c r="L90" s="257"/>
      <c r="M90" s="257"/>
    </row>
    <row r="91" spans="1:13" ht="14.25" hidden="1" customHeight="1" x14ac:dyDescent="0.2">
      <c r="A91" s="262"/>
      <c r="B91" s="577" t="s">
        <v>360</v>
      </c>
      <c r="C91" s="1229">
        <v>1500</v>
      </c>
      <c r="D91" s="1246"/>
      <c r="E91" s="1229">
        <v>1500</v>
      </c>
      <c r="F91" s="1230"/>
      <c r="G91" s="1246"/>
      <c r="H91" s="1308"/>
      <c r="I91" s="1308"/>
      <c r="J91" s="1309"/>
      <c r="K91" s="257"/>
      <c r="L91" s="257"/>
      <c r="M91" s="257"/>
    </row>
    <row r="92" spans="1:13" ht="14.25" hidden="1" customHeight="1" thickBot="1" x14ac:dyDescent="0.25">
      <c r="A92" s="262"/>
      <c r="B92" s="579" t="s">
        <v>361</v>
      </c>
      <c r="C92" s="1231" t="s">
        <v>57</v>
      </c>
      <c r="D92" s="1232"/>
      <c r="E92" s="1232"/>
      <c r="F92" s="1233"/>
      <c r="G92" s="1310"/>
      <c r="H92" s="1311"/>
      <c r="I92" s="1311"/>
      <c r="J92" s="1312"/>
      <c r="K92" s="257"/>
      <c r="L92" s="257"/>
      <c r="M92" s="257"/>
    </row>
    <row r="93" spans="1:13" ht="14.25" hidden="1" customHeight="1" thickBot="1" x14ac:dyDescent="0.25">
      <c r="A93" s="262"/>
      <c r="B93" s="571" t="s">
        <v>362</v>
      </c>
      <c r="C93" s="1277" t="s">
        <v>1793</v>
      </c>
      <c r="D93" s="1278"/>
      <c r="E93" s="1278"/>
      <c r="F93" s="1279"/>
      <c r="G93" s="1299"/>
      <c r="H93" s="1300"/>
      <c r="I93" s="1300"/>
      <c r="J93" s="1301"/>
      <c r="K93" s="257"/>
      <c r="L93" s="257"/>
      <c r="M93" s="257"/>
    </row>
    <row r="94" spans="1:13" ht="14.25" hidden="1" customHeight="1" thickBot="1" x14ac:dyDescent="0.25">
      <c r="A94" s="262"/>
      <c r="B94" s="581" t="s">
        <v>363</v>
      </c>
      <c r="C94" s="1280" t="s">
        <v>1777</v>
      </c>
      <c r="D94" s="1281"/>
      <c r="E94" s="1281"/>
      <c r="F94" s="1282"/>
      <c r="G94" s="1293"/>
      <c r="H94" s="1294"/>
      <c r="I94" s="1294"/>
      <c r="J94" s="1295"/>
      <c r="K94" s="257"/>
      <c r="L94" s="257"/>
      <c r="M94" s="257"/>
    </row>
    <row r="95" spans="1:13" ht="14.25" hidden="1" customHeight="1" x14ac:dyDescent="0.2">
      <c r="A95" s="262"/>
      <c r="B95" s="580" t="s">
        <v>364</v>
      </c>
      <c r="C95" s="1283" t="s">
        <v>365</v>
      </c>
      <c r="D95" s="1284"/>
      <c r="E95" s="1284"/>
      <c r="F95" s="1285"/>
      <c r="G95" s="1302"/>
      <c r="H95" s="1303"/>
      <c r="I95" s="1303"/>
      <c r="J95" s="1304"/>
      <c r="K95" s="257"/>
      <c r="L95" s="257"/>
      <c r="M95" s="257"/>
    </row>
    <row r="96" spans="1:13" ht="14.25" hidden="1" customHeight="1" x14ac:dyDescent="0.2">
      <c r="A96" s="262"/>
      <c r="B96" s="575" t="s">
        <v>366</v>
      </c>
      <c r="C96" s="1394" t="s">
        <v>277</v>
      </c>
      <c r="D96" s="1395"/>
      <c r="E96" s="1395"/>
      <c r="F96" s="1396"/>
      <c r="G96" s="1290"/>
      <c r="H96" s="1291"/>
      <c r="I96" s="1291"/>
      <c r="J96" s="1292"/>
      <c r="K96" s="257"/>
      <c r="L96" s="257"/>
      <c r="M96" s="257"/>
    </row>
    <row r="97" spans="1:13" ht="14.25" hidden="1" customHeight="1" x14ac:dyDescent="0.2">
      <c r="A97" s="262"/>
      <c r="B97" s="575" t="s">
        <v>367</v>
      </c>
      <c r="C97" s="1394" t="s">
        <v>1778</v>
      </c>
      <c r="D97" s="1395"/>
      <c r="E97" s="1395"/>
      <c r="F97" s="1396"/>
      <c r="G97" s="1290"/>
      <c r="H97" s="1291"/>
      <c r="I97" s="1291"/>
      <c r="J97" s="1292"/>
      <c r="K97" s="257"/>
      <c r="L97" s="257"/>
      <c r="M97" s="257"/>
    </row>
    <row r="98" spans="1:13" ht="14.25" hidden="1" customHeight="1" x14ac:dyDescent="0.2">
      <c r="A98" s="262"/>
      <c r="B98" s="575" t="s">
        <v>368</v>
      </c>
      <c r="C98" s="1394" t="s">
        <v>1778</v>
      </c>
      <c r="D98" s="1395"/>
      <c r="E98" s="1395"/>
      <c r="F98" s="1396"/>
      <c r="G98" s="1290"/>
      <c r="H98" s="1291"/>
      <c r="I98" s="1291"/>
      <c r="J98" s="1292"/>
      <c r="K98" s="257"/>
      <c r="L98" s="257"/>
      <c r="M98" s="257"/>
    </row>
    <row r="99" spans="1:13" ht="14.25" hidden="1" customHeight="1" x14ac:dyDescent="0.2">
      <c r="A99" s="262"/>
      <c r="B99" s="575" t="s">
        <v>369</v>
      </c>
      <c r="C99" s="1394" t="s">
        <v>1710</v>
      </c>
      <c r="D99" s="1395"/>
      <c r="E99" s="1395"/>
      <c r="F99" s="1396"/>
      <c r="G99" s="1290"/>
      <c r="H99" s="1291"/>
      <c r="I99" s="1291"/>
      <c r="J99" s="1292"/>
      <c r="K99" s="257"/>
      <c r="L99" s="257"/>
      <c r="M99" s="257"/>
    </row>
    <row r="100" spans="1:13" ht="14.25" hidden="1" customHeight="1" x14ac:dyDescent="0.2">
      <c r="A100" s="262"/>
      <c r="B100" s="575" t="s">
        <v>370</v>
      </c>
      <c r="C100" s="1394" t="s">
        <v>371</v>
      </c>
      <c r="D100" s="1395"/>
      <c r="E100" s="1395"/>
      <c r="F100" s="1396"/>
      <c r="G100" s="1290"/>
      <c r="H100" s="1291"/>
      <c r="I100" s="1291"/>
      <c r="J100" s="1292"/>
      <c r="K100" s="257"/>
      <c r="L100" s="257"/>
      <c r="M100" s="257"/>
    </row>
    <row r="101" spans="1:13" ht="14.25" hidden="1" customHeight="1" x14ac:dyDescent="0.2">
      <c r="A101" s="262"/>
      <c r="B101" s="575" t="s">
        <v>372</v>
      </c>
      <c r="C101" s="1262" t="s">
        <v>1709</v>
      </c>
      <c r="D101" s="1263"/>
      <c r="E101" s="1263"/>
      <c r="F101" s="1264"/>
      <c r="G101" s="1296"/>
      <c r="H101" s="1297"/>
      <c r="I101" s="1297"/>
      <c r="J101" s="1298"/>
      <c r="K101" s="257"/>
      <c r="L101" s="257"/>
      <c r="M101" s="257"/>
    </row>
    <row r="102" spans="1:13" ht="14.25" hidden="1" customHeight="1" thickBot="1" x14ac:dyDescent="0.25">
      <c r="A102" s="262"/>
      <c r="B102" s="582" t="s">
        <v>373</v>
      </c>
      <c r="C102" s="1265" t="s">
        <v>374</v>
      </c>
      <c r="D102" s="1266"/>
      <c r="E102" s="1266"/>
      <c r="F102" s="1267"/>
      <c r="G102" s="1247"/>
      <c r="H102" s="1248"/>
      <c r="I102" s="1248"/>
      <c r="J102" s="1249"/>
      <c r="K102" s="257"/>
      <c r="L102" s="257"/>
      <c r="M102" s="257"/>
    </row>
    <row r="103" spans="1:13" ht="14.25" hidden="1" customHeight="1" thickTop="1" thickBot="1" x14ac:dyDescent="0.25">
      <c r="A103" s="262"/>
      <c r="B103" s="262"/>
      <c r="C103" s="262"/>
      <c r="D103" s="262"/>
      <c r="E103" s="262"/>
      <c r="F103" s="262"/>
      <c r="G103" s="262"/>
      <c r="H103" s="262"/>
      <c r="I103" s="260"/>
      <c r="J103" s="260"/>
      <c r="K103" s="257"/>
      <c r="L103" s="257"/>
      <c r="M103" s="257"/>
    </row>
    <row r="104" spans="1:13" ht="18.5" hidden="1" customHeight="1" thickTop="1" thickBot="1" x14ac:dyDescent="0.25">
      <c r="A104" s="262"/>
      <c r="B104" s="1356" t="s">
        <v>1717</v>
      </c>
      <c r="C104" s="1357"/>
      <c r="D104" s="1357"/>
      <c r="E104" s="1357"/>
      <c r="F104" s="1357"/>
      <c r="G104" s="1357"/>
      <c r="H104" s="1357"/>
      <c r="I104" s="1357"/>
      <c r="J104" s="1358"/>
      <c r="K104" s="257"/>
      <c r="L104" s="257"/>
      <c r="M104" s="257"/>
    </row>
    <row r="105" spans="1:13" ht="14.25" hidden="1" customHeight="1" x14ac:dyDescent="0.2">
      <c r="A105" s="262"/>
      <c r="B105" s="569" t="s">
        <v>1714</v>
      </c>
      <c r="C105" s="1397" t="s">
        <v>1792</v>
      </c>
      <c r="D105" s="1398"/>
      <c r="E105" s="1398"/>
      <c r="F105" s="1399"/>
      <c r="G105" s="1359"/>
      <c r="H105" s="1359"/>
      <c r="I105" s="1359"/>
      <c r="J105" s="1360"/>
      <c r="K105" s="257"/>
      <c r="L105" s="257"/>
      <c r="M105" s="257"/>
    </row>
    <row r="106" spans="1:13" ht="14.25" hidden="1" customHeight="1" x14ac:dyDescent="0.2">
      <c r="A106" s="262"/>
      <c r="B106" s="569" t="s">
        <v>1707</v>
      </c>
      <c r="C106" s="833" t="s">
        <v>327</v>
      </c>
      <c r="D106" s="834"/>
      <c r="E106" s="834"/>
      <c r="F106" s="835"/>
      <c r="G106" s="1344"/>
      <c r="H106" s="1344"/>
      <c r="I106" s="1344"/>
      <c r="J106" s="1345"/>
      <c r="K106" s="257"/>
      <c r="L106" s="257"/>
      <c r="M106" s="257"/>
    </row>
    <row r="107" spans="1:13" ht="14.25" hidden="1" customHeight="1" x14ac:dyDescent="0.2">
      <c r="A107" s="262"/>
      <c r="B107" s="569" t="s">
        <v>1708</v>
      </c>
      <c r="C107" s="833" t="s">
        <v>328</v>
      </c>
      <c r="D107" s="834"/>
      <c r="E107" s="834"/>
      <c r="F107" s="835"/>
      <c r="G107" s="1344"/>
      <c r="H107" s="1344"/>
      <c r="I107" s="1344"/>
      <c r="J107" s="1345"/>
      <c r="K107" s="257"/>
      <c r="L107" s="257"/>
      <c r="M107" s="257"/>
    </row>
    <row r="108" spans="1:13" ht="14.25" hidden="1" customHeight="1" thickBot="1" x14ac:dyDescent="0.25">
      <c r="A108" s="262"/>
      <c r="B108" s="569" t="s">
        <v>329</v>
      </c>
      <c r="C108" s="1405" t="s">
        <v>1795</v>
      </c>
      <c r="D108" s="1406"/>
      <c r="E108" s="1406"/>
      <c r="F108" s="1407"/>
      <c r="G108" s="1346"/>
      <c r="H108" s="1346"/>
      <c r="I108" s="1346"/>
      <c r="J108" s="1347"/>
      <c r="K108" s="257"/>
      <c r="L108" s="257"/>
      <c r="M108" s="257"/>
    </row>
    <row r="109" spans="1:13" ht="14.25" hidden="1" customHeight="1" thickBot="1" x14ac:dyDescent="0.25">
      <c r="A109" s="262"/>
      <c r="B109" s="571"/>
      <c r="C109" s="1410" t="s">
        <v>1711</v>
      </c>
      <c r="D109" s="1411"/>
      <c r="E109" s="1411"/>
      <c r="F109" s="1412"/>
      <c r="G109" s="1287" t="s">
        <v>1712</v>
      </c>
      <c r="H109" s="1288"/>
      <c r="I109" s="1288"/>
      <c r="J109" s="1289"/>
      <c r="K109" s="257"/>
      <c r="L109" s="257"/>
      <c r="M109" s="257"/>
    </row>
    <row r="110" spans="1:13" ht="14.25" hidden="1" customHeight="1" thickBot="1" x14ac:dyDescent="0.25">
      <c r="A110" s="262"/>
      <c r="B110" s="572"/>
      <c r="C110" s="1206" t="s">
        <v>330</v>
      </c>
      <c r="D110" s="1208"/>
      <c r="E110" s="1206" t="s">
        <v>1713</v>
      </c>
      <c r="F110" s="1207"/>
      <c r="G110" s="1206" t="s">
        <v>330</v>
      </c>
      <c r="H110" s="1208"/>
      <c r="I110" s="1206" t="s">
        <v>1713</v>
      </c>
      <c r="J110" s="1207"/>
      <c r="K110" s="257"/>
      <c r="L110" s="257"/>
      <c r="M110" s="257"/>
    </row>
    <row r="111" spans="1:13" ht="14.25" hidden="1" customHeight="1" thickBot="1" x14ac:dyDescent="0.25">
      <c r="A111" s="262"/>
      <c r="B111" s="573" t="s">
        <v>331</v>
      </c>
      <c r="C111" s="1219">
        <v>1</v>
      </c>
      <c r="D111" s="1220"/>
      <c r="E111" s="1219">
        <v>1</v>
      </c>
      <c r="F111" s="1408"/>
      <c r="G111" s="1336"/>
      <c r="H111" s="1337"/>
      <c r="I111" s="1334"/>
      <c r="J111" s="1335"/>
      <c r="K111" s="257"/>
      <c r="L111" s="257"/>
      <c r="M111" s="257"/>
    </row>
    <row r="112" spans="1:13" ht="14.25" hidden="1" customHeight="1" x14ac:dyDescent="0.2">
      <c r="A112" s="262"/>
      <c r="B112" s="574" t="s">
        <v>332</v>
      </c>
      <c r="C112" s="1217">
        <v>0.9</v>
      </c>
      <c r="D112" s="1218"/>
      <c r="E112" s="1217">
        <v>0.8</v>
      </c>
      <c r="F112" s="1409"/>
      <c r="G112" s="1338"/>
      <c r="H112" s="1339"/>
      <c r="I112" s="1332"/>
      <c r="J112" s="1333"/>
      <c r="K112" s="257"/>
      <c r="L112" s="257"/>
      <c r="M112" s="257"/>
    </row>
    <row r="113" spans="1:13" ht="14.25" hidden="1" customHeight="1" x14ac:dyDescent="0.2">
      <c r="A113" s="262"/>
      <c r="B113" s="575" t="s">
        <v>333</v>
      </c>
      <c r="C113" s="1215">
        <v>0.9</v>
      </c>
      <c r="D113" s="1216"/>
      <c r="E113" s="1215">
        <v>0.8</v>
      </c>
      <c r="F113" s="1234"/>
      <c r="G113" s="1340"/>
      <c r="H113" s="1341"/>
      <c r="I113" s="1330"/>
      <c r="J113" s="1331"/>
      <c r="K113" s="257"/>
      <c r="L113" s="257"/>
      <c r="M113" s="257"/>
    </row>
    <row r="114" spans="1:13" ht="14.25" hidden="1" customHeight="1" x14ac:dyDescent="0.2">
      <c r="A114" s="262"/>
      <c r="B114" s="575" t="s">
        <v>335</v>
      </c>
      <c r="C114" s="1215">
        <v>0.9</v>
      </c>
      <c r="D114" s="1216"/>
      <c r="E114" s="1215">
        <v>0.8</v>
      </c>
      <c r="F114" s="1234"/>
      <c r="G114" s="1340"/>
      <c r="H114" s="1341"/>
      <c r="I114" s="1330"/>
      <c r="J114" s="1331"/>
      <c r="K114" s="257"/>
      <c r="L114" s="257"/>
      <c r="M114" s="257"/>
    </row>
    <row r="115" spans="1:13" ht="14.25" hidden="1" customHeight="1" thickBot="1" x14ac:dyDescent="0.25">
      <c r="A115" s="262"/>
      <c r="B115" s="576" t="s">
        <v>336</v>
      </c>
      <c r="C115" s="1213">
        <v>0.9</v>
      </c>
      <c r="D115" s="1214"/>
      <c r="E115" s="1213">
        <v>0.8</v>
      </c>
      <c r="F115" s="1235"/>
      <c r="G115" s="1342"/>
      <c r="H115" s="1343"/>
      <c r="I115" s="1328"/>
      <c r="J115" s="1329"/>
      <c r="K115" s="257"/>
      <c r="L115" s="257"/>
      <c r="M115" s="257"/>
    </row>
    <row r="116" spans="1:13" ht="14.25" hidden="1" customHeight="1" x14ac:dyDescent="0.2">
      <c r="A116" s="262"/>
      <c r="B116" s="577" t="s">
        <v>338</v>
      </c>
      <c r="C116" s="1211">
        <v>0.6</v>
      </c>
      <c r="D116" s="1212"/>
      <c r="E116" s="1211">
        <v>0.5</v>
      </c>
      <c r="F116" s="1236"/>
      <c r="G116" s="1348"/>
      <c r="H116" s="1349"/>
      <c r="I116" s="1227"/>
      <c r="J116" s="1228"/>
      <c r="K116" s="257"/>
      <c r="L116" s="257"/>
      <c r="M116" s="257"/>
    </row>
    <row r="117" spans="1:13" ht="14.25" hidden="1" customHeight="1" x14ac:dyDescent="0.2">
      <c r="A117" s="262"/>
      <c r="B117" s="578" t="s">
        <v>340</v>
      </c>
      <c r="C117" s="1209">
        <v>0.6</v>
      </c>
      <c r="D117" s="1210"/>
      <c r="E117" s="1209">
        <v>0.5</v>
      </c>
      <c r="F117" s="1237"/>
      <c r="G117" s="1350"/>
      <c r="H117" s="1351"/>
      <c r="I117" s="1326"/>
      <c r="J117" s="1327"/>
      <c r="K117" s="257"/>
      <c r="L117" s="257"/>
      <c r="M117" s="257"/>
    </row>
    <row r="118" spans="1:13" ht="14.25" hidden="1" customHeight="1" thickBot="1" x14ac:dyDescent="0.25">
      <c r="A118" s="262"/>
      <c r="B118" s="579" t="s">
        <v>342</v>
      </c>
      <c r="C118" s="1240">
        <v>0.6</v>
      </c>
      <c r="D118" s="1241"/>
      <c r="E118" s="1240">
        <v>0.5</v>
      </c>
      <c r="F118" s="1404"/>
      <c r="G118" s="1352"/>
      <c r="H118" s="1353"/>
      <c r="I118" s="1324"/>
      <c r="J118" s="1325"/>
      <c r="K118" s="257"/>
      <c r="L118" s="257"/>
      <c r="M118" s="257"/>
    </row>
    <row r="119" spans="1:13" ht="14.25" hidden="1" customHeight="1" x14ac:dyDescent="0.2">
      <c r="A119" s="262"/>
      <c r="B119" s="580" t="s">
        <v>345</v>
      </c>
      <c r="C119" s="1397" t="s">
        <v>334</v>
      </c>
      <c r="D119" s="1398"/>
      <c r="E119" s="1398"/>
      <c r="F119" s="1399"/>
      <c r="G119" s="1354"/>
      <c r="H119" s="1354"/>
      <c r="I119" s="1354"/>
      <c r="J119" s="1355"/>
      <c r="K119" s="257"/>
      <c r="L119" s="257"/>
      <c r="M119" s="257"/>
    </row>
    <row r="120" spans="1:13" ht="14.25" hidden="1" customHeight="1" thickBot="1" x14ac:dyDescent="0.25">
      <c r="A120" s="262"/>
      <c r="B120" s="576" t="s">
        <v>347</v>
      </c>
      <c r="C120" s="1271" t="s">
        <v>1775</v>
      </c>
      <c r="D120" s="1272"/>
      <c r="E120" s="1272"/>
      <c r="F120" s="1273"/>
      <c r="G120" s="1322"/>
      <c r="H120" s="1322"/>
      <c r="I120" s="1322"/>
      <c r="J120" s="1323"/>
      <c r="K120" s="257"/>
      <c r="L120" s="257"/>
      <c r="M120" s="257"/>
    </row>
    <row r="121" spans="1:13" ht="14.25" hidden="1" customHeight="1" x14ac:dyDescent="0.2">
      <c r="A121" s="262"/>
      <c r="B121" s="577" t="s">
        <v>349</v>
      </c>
      <c r="C121" s="1397" t="s">
        <v>1788</v>
      </c>
      <c r="D121" s="1398"/>
      <c r="E121" s="1398"/>
      <c r="F121" s="1399"/>
      <c r="G121" s="1354"/>
      <c r="H121" s="1354"/>
      <c r="I121" s="1354"/>
      <c r="J121" s="1355"/>
      <c r="K121" s="257"/>
      <c r="L121" s="257"/>
      <c r="M121" s="257"/>
    </row>
    <row r="122" spans="1:13" ht="14.25" hidden="1" customHeight="1" x14ac:dyDescent="0.2">
      <c r="A122" s="262"/>
      <c r="B122" s="578" t="s">
        <v>351</v>
      </c>
      <c r="C122" s="1400">
        <v>0.5</v>
      </c>
      <c r="D122" s="1401"/>
      <c r="E122" s="1401"/>
      <c r="F122" s="1402"/>
      <c r="G122" s="1506"/>
      <c r="H122" s="1506"/>
      <c r="I122" s="1506"/>
      <c r="J122" s="1507"/>
      <c r="K122" s="257"/>
      <c r="L122" s="257"/>
      <c r="M122" s="257"/>
    </row>
    <row r="123" spans="1:13" ht="14.25" hidden="1" customHeight="1" x14ac:dyDescent="0.2">
      <c r="A123" s="262"/>
      <c r="B123" s="578" t="s">
        <v>353</v>
      </c>
      <c r="C123" s="1238">
        <v>1500</v>
      </c>
      <c r="D123" s="1239"/>
      <c r="E123" s="1238">
        <v>1500</v>
      </c>
      <c r="F123" s="1403"/>
      <c r="G123" s="1508"/>
      <c r="H123" s="1509"/>
      <c r="I123" s="1510"/>
      <c r="J123" s="1511"/>
      <c r="K123" s="257"/>
      <c r="L123" s="257"/>
      <c r="M123" s="257"/>
    </row>
    <row r="124" spans="1:13" ht="14.25" hidden="1" customHeight="1" x14ac:dyDescent="0.2">
      <c r="A124" s="262"/>
      <c r="B124" s="578" t="s">
        <v>354</v>
      </c>
      <c r="C124" s="1268" t="s">
        <v>334</v>
      </c>
      <c r="D124" s="1269"/>
      <c r="E124" s="1269"/>
      <c r="F124" s="1270"/>
      <c r="G124" s="1512"/>
      <c r="H124" s="1512"/>
      <c r="I124" s="1512"/>
      <c r="J124" s="1513"/>
      <c r="K124" s="257"/>
      <c r="L124" s="257"/>
      <c r="M124" s="257"/>
    </row>
    <row r="125" spans="1:13" ht="14.25" hidden="1" customHeight="1" thickBot="1" x14ac:dyDescent="0.25">
      <c r="A125" s="262"/>
      <c r="B125" s="579" t="s">
        <v>347</v>
      </c>
      <c r="C125" s="1271" t="s">
        <v>1775</v>
      </c>
      <c r="D125" s="1272"/>
      <c r="E125" s="1272"/>
      <c r="F125" s="1273"/>
      <c r="G125" s="1322"/>
      <c r="H125" s="1322"/>
      <c r="I125" s="1322"/>
      <c r="J125" s="1323"/>
      <c r="K125" s="257"/>
      <c r="L125" s="257"/>
      <c r="M125" s="257"/>
    </row>
    <row r="126" spans="1:13" ht="14.25" hidden="1" customHeight="1" x14ac:dyDescent="0.2">
      <c r="A126" s="262"/>
      <c r="B126" s="580" t="s">
        <v>357</v>
      </c>
      <c r="C126" s="1225">
        <v>50</v>
      </c>
      <c r="D126" s="1226"/>
      <c r="E126" s="1225">
        <v>50</v>
      </c>
      <c r="F126" s="1274"/>
      <c r="G126" s="1373"/>
      <c r="H126" s="1373"/>
      <c r="I126" s="1373"/>
      <c r="J126" s="1374"/>
      <c r="K126" s="257"/>
      <c r="L126" s="257"/>
      <c r="M126" s="257"/>
    </row>
    <row r="127" spans="1:13" ht="14.25" hidden="1" customHeight="1" x14ac:dyDescent="0.2">
      <c r="A127" s="262"/>
      <c r="B127" s="575" t="s">
        <v>358</v>
      </c>
      <c r="C127" s="1242" t="s">
        <v>1776</v>
      </c>
      <c r="D127" s="1243"/>
      <c r="E127" s="1242" t="s">
        <v>1776</v>
      </c>
      <c r="F127" s="1275"/>
      <c r="G127" s="1375"/>
      <c r="H127" s="1375"/>
      <c r="I127" s="1375"/>
      <c r="J127" s="1376"/>
      <c r="K127" s="257"/>
      <c r="L127" s="257"/>
      <c r="M127" s="257"/>
    </row>
    <row r="128" spans="1:13" ht="14.25" hidden="1" customHeight="1" thickBot="1" x14ac:dyDescent="0.25">
      <c r="A128" s="262"/>
      <c r="B128" s="576" t="s">
        <v>359</v>
      </c>
      <c r="C128" s="1244" t="s">
        <v>51</v>
      </c>
      <c r="D128" s="1245"/>
      <c r="E128" s="1244" t="s">
        <v>51</v>
      </c>
      <c r="F128" s="1276"/>
      <c r="G128" s="1377"/>
      <c r="H128" s="1377"/>
      <c r="I128" s="1377"/>
      <c r="J128" s="1378"/>
      <c r="K128" s="257"/>
      <c r="L128" s="257"/>
      <c r="M128" s="257"/>
    </row>
    <row r="129" spans="1:13" ht="14.25" hidden="1" customHeight="1" x14ac:dyDescent="0.2">
      <c r="A129" s="262"/>
      <c r="B129" s="577" t="s">
        <v>360</v>
      </c>
      <c r="C129" s="1229">
        <v>1500</v>
      </c>
      <c r="D129" s="1246"/>
      <c r="E129" s="1229">
        <v>1500</v>
      </c>
      <c r="F129" s="1230"/>
      <c r="G129" s="1363"/>
      <c r="H129" s="1364"/>
      <c r="I129" s="1365"/>
      <c r="J129" s="1366"/>
      <c r="K129" s="257"/>
      <c r="L129" s="257"/>
      <c r="M129" s="257"/>
    </row>
    <row r="130" spans="1:13" ht="14.25" hidden="1" customHeight="1" thickBot="1" x14ac:dyDescent="0.25">
      <c r="A130" s="262"/>
      <c r="B130" s="579" t="s">
        <v>361</v>
      </c>
      <c r="C130" s="1231" t="s">
        <v>57</v>
      </c>
      <c r="D130" s="1232"/>
      <c r="E130" s="1232"/>
      <c r="F130" s="1233"/>
      <c r="G130" s="1367"/>
      <c r="H130" s="1367"/>
      <c r="I130" s="1367"/>
      <c r="J130" s="1368"/>
      <c r="K130" s="257"/>
      <c r="L130" s="257"/>
      <c r="M130" s="257"/>
    </row>
    <row r="131" spans="1:13" ht="14.25" hidden="1" customHeight="1" thickBot="1" x14ac:dyDescent="0.25">
      <c r="A131" s="262"/>
      <c r="B131" s="571" t="s">
        <v>362</v>
      </c>
      <c r="C131" s="1277" t="s">
        <v>1793</v>
      </c>
      <c r="D131" s="1278"/>
      <c r="E131" s="1278"/>
      <c r="F131" s="1279"/>
      <c r="G131" s="1369"/>
      <c r="H131" s="1369"/>
      <c r="I131" s="1369"/>
      <c r="J131" s="1370"/>
      <c r="K131" s="257"/>
      <c r="L131" s="257"/>
      <c r="M131" s="257"/>
    </row>
    <row r="132" spans="1:13" ht="14.25" hidden="1" customHeight="1" thickBot="1" x14ac:dyDescent="0.25">
      <c r="A132" s="262"/>
      <c r="B132" s="581" t="s">
        <v>363</v>
      </c>
      <c r="C132" s="1280" t="s">
        <v>1777</v>
      </c>
      <c r="D132" s="1281"/>
      <c r="E132" s="1281"/>
      <c r="F132" s="1282"/>
      <c r="G132" s="1371"/>
      <c r="H132" s="1371"/>
      <c r="I132" s="1371"/>
      <c r="J132" s="1372"/>
      <c r="K132" s="257"/>
      <c r="L132" s="257"/>
      <c r="M132" s="257"/>
    </row>
    <row r="133" spans="1:13" ht="14.25" hidden="1" customHeight="1" x14ac:dyDescent="0.2">
      <c r="A133" s="262"/>
      <c r="B133" s="580" t="s">
        <v>364</v>
      </c>
      <c r="C133" s="1283" t="s">
        <v>365</v>
      </c>
      <c r="D133" s="1284"/>
      <c r="E133" s="1284"/>
      <c r="F133" s="1285"/>
      <c r="G133" s="1379"/>
      <c r="H133" s="1379"/>
      <c r="I133" s="1379"/>
      <c r="J133" s="1380"/>
      <c r="K133" s="257"/>
      <c r="L133" s="257"/>
      <c r="M133" s="257"/>
    </row>
    <row r="134" spans="1:13" ht="14.25" hidden="1" customHeight="1" x14ac:dyDescent="0.2">
      <c r="A134" s="262"/>
      <c r="B134" s="575" t="s">
        <v>366</v>
      </c>
      <c r="C134" s="1394" t="s">
        <v>277</v>
      </c>
      <c r="D134" s="1395"/>
      <c r="E134" s="1395"/>
      <c r="F134" s="1396"/>
      <c r="G134" s="1361"/>
      <c r="H134" s="1361"/>
      <c r="I134" s="1361"/>
      <c r="J134" s="1362"/>
      <c r="K134" s="257"/>
      <c r="L134" s="257"/>
      <c r="M134" s="257"/>
    </row>
    <row r="135" spans="1:13" ht="14.25" hidden="1" customHeight="1" x14ac:dyDescent="0.2">
      <c r="A135" s="262"/>
      <c r="B135" s="575" t="s">
        <v>367</v>
      </c>
      <c r="C135" s="1394" t="s">
        <v>1778</v>
      </c>
      <c r="D135" s="1395"/>
      <c r="E135" s="1395"/>
      <c r="F135" s="1396"/>
      <c r="G135" s="1361"/>
      <c r="H135" s="1361"/>
      <c r="I135" s="1361"/>
      <c r="J135" s="1362"/>
      <c r="K135" s="257"/>
      <c r="L135" s="257"/>
      <c r="M135" s="257"/>
    </row>
    <row r="136" spans="1:13" ht="14.25" hidden="1" customHeight="1" x14ac:dyDescent="0.2">
      <c r="A136" s="262"/>
      <c r="B136" s="575" t="s">
        <v>368</v>
      </c>
      <c r="C136" s="1394" t="s">
        <v>1778</v>
      </c>
      <c r="D136" s="1395"/>
      <c r="E136" s="1395"/>
      <c r="F136" s="1396"/>
      <c r="G136" s="1361"/>
      <c r="H136" s="1361"/>
      <c r="I136" s="1361"/>
      <c r="J136" s="1362"/>
      <c r="K136" s="257"/>
      <c r="L136" s="257"/>
      <c r="M136" s="257"/>
    </row>
    <row r="137" spans="1:13" ht="14.25" hidden="1" customHeight="1" x14ac:dyDescent="0.2">
      <c r="A137" s="262"/>
      <c r="B137" s="575" t="s">
        <v>369</v>
      </c>
      <c r="C137" s="1394" t="s">
        <v>1710</v>
      </c>
      <c r="D137" s="1395"/>
      <c r="E137" s="1395"/>
      <c r="F137" s="1396"/>
      <c r="G137" s="1361"/>
      <c r="H137" s="1361"/>
      <c r="I137" s="1361"/>
      <c r="J137" s="1362"/>
      <c r="K137" s="257"/>
      <c r="L137" s="257"/>
      <c r="M137" s="257"/>
    </row>
    <row r="138" spans="1:13" ht="14.25" hidden="1" customHeight="1" x14ac:dyDescent="0.2">
      <c r="A138" s="262"/>
      <c r="B138" s="575" t="s">
        <v>370</v>
      </c>
      <c r="C138" s="1394" t="s">
        <v>371</v>
      </c>
      <c r="D138" s="1395"/>
      <c r="E138" s="1395"/>
      <c r="F138" s="1396"/>
      <c r="G138" s="1361"/>
      <c r="H138" s="1361"/>
      <c r="I138" s="1361"/>
      <c r="J138" s="1362"/>
      <c r="K138" s="257"/>
      <c r="L138" s="257"/>
      <c r="M138" s="257"/>
    </row>
    <row r="139" spans="1:13" ht="14.25" hidden="1" customHeight="1" x14ac:dyDescent="0.2">
      <c r="A139" s="262"/>
      <c r="B139" s="575" t="s">
        <v>372</v>
      </c>
      <c r="C139" s="1262" t="s">
        <v>1709</v>
      </c>
      <c r="D139" s="1263"/>
      <c r="E139" s="1263"/>
      <c r="F139" s="1264"/>
      <c r="G139" s="1501"/>
      <c r="H139" s="1501"/>
      <c r="I139" s="1501"/>
      <c r="J139" s="1502"/>
      <c r="K139" s="257"/>
      <c r="L139" s="257"/>
      <c r="M139" s="257"/>
    </row>
    <row r="140" spans="1:13" ht="14.25" hidden="1" customHeight="1" thickBot="1" x14ac:dyDescent="0.25">
      <c r="A140" s="262"/>
      <c r="B140" s="582" t="s">
        <v>373</v>
      </c>
      <c r="C140" s="1265" t="s">
        <v>374</v>
      </c>
      <c r="D140" s="1266"/>
      <c r="E140" s="1266"/>
      <c r="F140" s="1267"/>
      <c r="G140" s="1503"/>
      <c r="H140" s="1504"/>
      <c r="I140" s="1504"/>
      <c r="J140" s="1505"/>
      <c r="K140" s="257"/>
      <c r="L140" s="257"/>
      <c r="M140" s="257"/>
    </row>
    <row r="141" spans="1:13" ht="14.25" hidden="1" customHeight="1" thickTop="1" x14ac:dyDescent="0.2">
      <c r="A141" s="262"/>
      <c r="B141" s="262"/>
      <c r="C141" s="262"/>
      <c r="D141" s="262"/>
      <c r="E141" s="262"/>
      <c r="F141" s="262"/>
      <c r="G141" s="262"/>
      <c r="H141" s="262"/>
      <c r="I141" s="260"/>
      <c r="J141" s="260"/>
      <c r="K141" s="260"/>
      <c r="L141" s="257"/>
      <c r="M141" s="257"/>
    </row>
    <row r="142" spans="1:13" ht="14.25" customHeight="1" x14ac:dyDescent="0.2">
      <c r="J142" s="261"/>
    </row>
    <row r="143" spans="1:13" ht="14.25" customHeight="1" x14ac:dyDescent="0.2">
      <c r="J143" s="261"/>
    </row>
    <row r="144" spans="1:13" ht="14.25" customHeight="1" x14ac:dyDescent="0.2">
      <c r="J144" s="261"/>
    </row>
  </sheetData>
  <mergeCells count="315">
    <mergeCell ref="F21:G21"/>
    <mergeCell ref="H21:L21"/>
    <mergeCell ref="L4:L6"/>
    <mergeCell ref="L7:L9"/>
    <mergeCell ref="L10:L12"/>
    <mergeCell ref="F4:F6"/>
    <mergeCell ref="F7:F9"/>
    <mergeCell ref="F10:F12"/>
    <mergeCell ref="L23:L26"/>
    <mergeCell ref="F23:F26"/>
    <mergeCell ref="B4:C4"/>
    <mergeCell ref="B22:C25"/>
    <mergeCell ref="G138:J138"/>
    <mergeCell ref="G139:J139"/>
    <mergeCell ref="G140:J140"/>
    <mergeCell ref="G121:J121"/>
    <mergeCell ref="G122:J122"/>
    <mergeCell ref="G123:H123"/>
    <mergeCell ref="I123:J123"/>
    <mergeCell ref="G124:J124"/>
    <mergeCell ref="G125:J125"/>
    <mergeCell ref="E40:F40"/>
    <mergeCell ref="E41:F41"/>
    <mergeCell ref="E42:F42"/>
    <mergeCell ref="C43:F43"/>
    <mergeCell ref="C44:F44"/>
    <mergeCell ref="E35:F35"/>
    <mergeCell ref="E36:F36"/>
    <mergeCell ref="E37:F37"/>
    <mergeCell ref="E38:F38"/>
    <mergeCell ref="E39:F39"/>
    <mergeCell ref="E34:F34"/>
    <mergeCell ref="C29:F29"/>
    <mergeCell ref="C30:F30"/>
    <mergeCell ref="B28:J28"/>
    <mergeCell ref="C31:F31"/>
    <mergeCell ref="C32:F32"/>
    <mergeCell ref="C33:F33"/>
    <mergeCell ref="C60:F60"/>
    <mergeCell ref="C61:F61"/>
    <mergeCell ref="C62:F62"/>
    <mergeCell ref="C55:F55"/>
    <mergeCell ref="C56:F56"/>
    <mergeCell ref="C57:F57"/>
    <mergeCell ref="C58:F58"/>
    <mergeCell ref="C59:F59"/>
    <mergeCell ref="E50:F50"/>
    <mergeCell ref="E51:F51"/>
    <mergeCell ref="E52:F52"/>
    <mergeCell ref="E53:F53"/>
    <mergeCell ref="C54:F54"/>
    <mergeCell ref="C45:F45"/>
    <mergeCell ref="C46:F46"/>
    <mergeCell ref="E47:F47"/>
    <mergeCell ref="C48:F48"/>
    <mergeCell ref="C49:F49"/>
    <mergeCell ref="G33:J33"/>
    <mergeCell ref="G34:H34"/>
    <mergeCell ref="I34:J34"/>
    <mergeCell ref="G35:H35"/>
    <mergeCell ref="I35:J35"/>
    <mergeCell ref="G29:J29"/>
    <mergeCell ref="G30:J30"/>
    <mergeCell ref="G31:J31"/>
    <mergeCell ref="G32:J32"/>
    <mergeCell ref="G44:J44"/>
    <mergeCell ref="G45:J45"/>
    <mergeCell ref="G39:H39"/>
    <mergeCell ref="I39:J39"/>
    <mergeCell ref="G40:H40"/>
    <mergeCell ref="I40:J40"/>
    <mergeCell ref="G41:H41"/>
    <mergeCell ref="I41:J41"/>
    <mergeCell ref="G36:H36"/>
    <mergeCell ref="I36:J36"/>
    <mergeCell ref="G37:H37"/>
    <mergeCell ref="I37:J37"/>
    <mergeCell ref="G38:H38"/>
    <mergeCell ref="I38:J38"/>
    <mergeCell ref="G42:H42"/>
    <mergeCell ref="I42:J42"/>
    <mergeCell ref="G43:J43"/>
    <mergeCell ref="E77:F77"/>
    <mergeCell ref="E78:F78"/>
    <mergeCell ref="G46:J46"/>
    <mergeCell ref="G47:H47"/>
    <mergeCell ref="I47:J47"/>
    <mergeCell ref="G48:J48"/>
    <mergeCell ref="G49:J49"/>
    <mergeCell ref="G58:J58"/>
    <mergeCell ref="G59:J59"/>
    <mergeCell ref="G60:J60"/>
    <mergeCell ref="G61:J61"/>
    <mergeCell ref="G53:H53"/>
    <mergeCell ref="G54:J54"/>
    <mergeCell ref="G55:J55"/>
    <mergeCell ref="G56:J56"/>
    <mergeCell ref="G57:J57"/>
    <mergeCell ref="I53:J53"/>
    <mergeCell ref="G50:H50"/>
    <mergeCell ref="I50:J50"/>
    <mergeCell ref="G51:H51"/>
    <mergeCell ref="I51:J51"/>
    <mergeCell ref="G52:H52"/>
    <mergeCell ref="I52:J52"/>
    <mergeCell ref="G73:H73"/>
    <mergeCell ref="C81:F81"/>
    <mergeCell ref="C82:F82"/>
    <mergeCell ref="C83:F83"/>
    <mergeCell ref="C84:F84"/>
    <mergeCell ref="E85:F85"/>
    <mergeCell ref="E79:F79"/>
    <mergeCell ref="E80:F80"/>
    <mergeCell ref="G75:H75"/>
    <mergeCell ref="G62:J62"/>
    <mergeCell ref="G63:J63"/>
    <mergeCell ref="G64:J64"/>
    <mergeCell ref="E76:F76"/>
    <mergeCell ref="C63:F63"/>
    <mergeCell ref="C64:F64"/>
    <mergeCell ref="E73:F73"/>
    <mergeCell ref="E74:F74"/>
    <mergeCell ref="E75:F75"/>
    <mergeCell ref="G78:H78"/>
    <mergeCell ref="G76:H76"/>
    <mergeCell ref="G77:H77"/>
    <mergeCell ref="B66:J66"/>
    <mergeCell ref="C71:F71"/>
    <mergeCell ref="E72:F72"/>
    <mergeCell ref="C67:F67"/>
    <mergeCell ref="E118:F118"/>
    <mergeCell ref="C108:F108"/>
    <mergeCell ref="E110:F110"/>
    <mergeCell ref="E111:F111"/>
    <mergeCell ref="E112:F112"/>
    <mergeCell ref="E113:F113"/>
    <mergeCell ref="C96:F96"/>
    <mergeCell ref="C97:F97"/>
    <mergeCell ref="C98:F98"/>
    <mergeCell ref="C99:F99"/>
    <mergeCell ref="C100:F100"/>
    <mergeCell ref="C109:F109"/>
    <mergeCell ref="C106:F106"/>
    <mergeCell ref="C107:F107"/>
    <mergeCell ref="C105:F105"/>
    <mergeCell ref="C110:D110"/>
    <mergeCell ref="C111:D111"/>
    <mergeCell ref="C112:D112"/>
    <mergeCell ref="C113:D113"/>
    <mergeCell ref="C114:D114"/>
    <mergeCell ref="C115:D115"/>
    <mergeCell ref="C116:D116"/>
    <mergeCell ref="C117:D117"/>
    <mergeCell ref="C118:D118"/>
    <mergeCell ref="C132:F132"/>
    <mergeCell ref="C133:F133"/>
    <mergeCell ref="C124:F124"/>
    <mergeCell ref="C125:F125"/>
    <mergeCell ref="E126:F126"/>
    <mergeCell ref="E127:F127"/>
    <mergeCell ref="E128:F128"/>
    <mergeCell ref="C119:F119"/>
    <mergeCell ref="C120:F120"/>
    <mergeCell ref="C121:F121"/>
    <mergeCell ref="C122:F122"/>
    <mergeCell ref="E123:F123"/>
    <mergeCell ref="C123:D123"/>
    <mergeCell ref="C126:D126"/>
    <mergeCell ref="C127:D127"/>
    <mergeCell ref="C128:D128"/>
    <mergeCell ref="C129:D129"/>
    <mergeCell ref="C139:F139"/>
    <mergeCell ref="C140:F140"/>
    <mergeCell ref="G67:J67"/>
    <mergeCell ref="G68:J68"/>
    <mergeCell ref="G69:J69"/>
    <mergeCell ref="G70:J70"/>
    <mergeCell ref="G71:J71"/>
    <mergeCell ref="I73:J73"/>
    <mergeCell ref="I74:J74"/>
    <mergeCell ref="I75:J75"/>
    <mergeCell ref="I76:J76"/>
    <mergeCell ref="I77:J77"/>
    <mergeCell ref="I78:J78"/>
    <mergeCell ref="I79:J79"/>
    <mergeCell ref="I80:J80"/>
    <mergeCell ref="G81:J81"/>
    <mergeCell ref="C134:F134"/>
    <mergeCell ref="C135:F135"/>
    <mergeCell ref="C136:F136"/>
    <mergeCell ref="C137:F137"/>
    <mergeCell ref="C138:F138"/>
    <mergeCell ref="E129:F129"/>
    <mergeCell ref="C130:F130"/>
    <mergeCell ref="C131:F131"/>
    <mergeCell ref="G137:J137"/>
    <mergeCell ref="G129:H129"/>
    <mergeCell ref="I129:J129"/>
    <mergeCell ref="G130:J130"/>
    <mergeCell ref="G131:J131"/>
    <mergeCell ref="G132:J132"/>
    <mergeCell ref="G126:H126"/>
    <mergeCell ref="I126:J126"/>
    <mergeCell ref="G127:H127"/>
    <mergeCell ref="I127:J127"/>
    <mergeCell ref="G128:H128"/>
    <mergeCell ref="I128:J128"/>
    <mergeCell ref="G135:J135"/>
    <mergeCell ref="G136:J136"/>
    <mergeCell ref="G133:J133"/>
    <mergeCell ref="G134:J134"/>
    <mergeCell ref="G120:J120"/>
    <mergeCell ref="I118:J118"/>
    <mergeCell ref="I117:J117"/>
    <mergeCell ref="G98:J98"/>
    <mergeCell ref="G99:J99"/>
    <mergeCell ref="I115:J115"/>
    <mergeCell ref="I114:J114"/>
    <mergeCell ref="I113:J113"/>
    <mergeCell ref="I112:J112"/>
    <mergeCell ref="I111:J111"/>
    <mergeCell ref="G111:H111"/>
    <mergeCell ref="G112:H112"/>
    <mergeCell ref="G113:H113"/>
    <mergeCell ref="G114:H114"/>
    <mergeCell ref="G115:H115"/>
    <mergeCell ref="G107:J107"/>
    <mergeCell ref="G108:J108"/>
    <mergeCell ref="G116:H116"/>
    <mergeCell ref="G117:H117"/>
    <mergeCell ref="G118:H118"/>
    <mergeCell ref="G119:J119"/>
    <mergeCell ref="B104:J104"/>
    <mergeCell ref="G106:J106"/>
    <mergeCell ref="G105:J105"/>
    <mergeCell ref="G74:H74"/>
    <mergeCell ref="G109:J109"/>
    <mergeCell ref="G110:H110"/>
    <mergeCell ref="I110:J110"/>
    <mergeCell ref="G100:J100"/>
    <mergeCell ref="G94:J94"/>
    <mergeCell ref="G101:J101"/>
    <mergeCell ref="G93:J93"/>
    <mergeCell ref="G95:J95"/>
    <mergeCell ref="G96:J96"/>
    <mergeCell ref="G97:J97"/>
    <mergeCell ref="G90:H90"/>
    <mergeCell ref="I90:J90"/>
    <mergeCell ref="G91:H91"/>
    <mergeCell ref="I91:J91"/>
    <mergeCell ref="G92:J92"/>
    <mergeCell ref="G86:J86"/>
    <mergeCell ref="G87:J87"/>
    <mergeCell ref="G88:H88"/>
    <mergeCell ref="I88:J88"/>
    <mergeCell ref="I89:J89"/>
    <mergeCell ref="G79:H79"/>
    <mergeCell ref="G80:H80"/>
    <mergeCell ref="C88:D88"/>
    <mergeCell ref="C89:D89"/>
    <mergeCell ref="G102:J102"/>
    <mergeCell ref="G89:H89"/>
    <mergeCell ref="G82:J82"/>
    <mergeCell ref="G83:J83"/>
    <mergeCell ref="G84:J84"/>
    <mergeCell ref="G85:H85"/>
    <mergeCell ref="I85:J85"/>
    <mergeCell ref="C101:F101"/>
    <mergeCell ref="C102:F102"/>
    <mergeCell ref="C90:D90"/>
    <mergeCell ref="C91:D91"/>
    <mergeCell ref="C86:F86"/>
    <mergeCell ref="C87:F87"/>
    <mergeCell ref="E88:F88"/>
    <mergeCell ref="E89:F89"/>
    <mergeCell ref="E90:F90"/>
    <mergeCell ref="C93:F93"/>
    <mergeCell ref="C94:F94"/>
    <mergeCell ref="C95:F95"/>
    <mergeCell ref="C34:D34"/>
    <mergeCell ref="C50:D50"/>
    <mergeCell ref="I116:J116"/>
    <mergeCell ref="E91:F91"/>
    <mergeCell ref="C92:F92"/>
    <mergeCell ref="E114:F114"/>
    <mergeCell ref="E115:F115"/>
    <mergeCell ref="E116:F116"/>
    <mergeCell ref="E117:F117"/>
    <mergeCell ref="C47:D47"/>
    <mergeCell ref="C42:D42"/>
    <mergeCell ref="C51:D51"/>
    <mergeCell ref="C52:D52"/>
    <mergeCell ref="C53:D53"/>
    <mergeCell ref="C72:D72"/>
    <mergeCell ref="C73:D73"/>
    <mergeCell ref="C74:D74"/>
    <mergeCell ref="C75:D75"/>
    <mergeCell ref="C76:D76"/>
    <mergeCell ref="C77:D77"/>
    <mergeCell ref="C78:D78"/>
    <mergeCell ref="C79:D79"/>
    <mergeCell ref="C80:D80"/>
    <mergeCell ref="C85:D85"/>
    <mergeCell ref="I72:J72"/>
    <mergeCell ref="G72:H72"/>
    <mergeCell ref="C41:D41"/>
    <mergeCell ref="C40:D40"/>
    <mergeCell ref="C39:D39"/>
    <mergeCell ref="C38:D38"/>
    <mergeCell ref="C37:D37"/>
    <mergeCell ref="C36:D36"/>
    <mergeCell ref="C35:D35"/>
    <mergeCell ref="C68:F68"/>
    <mergeCell ref="C69:F69"/>
    <mergeCell ref="C70:F70"/>
  </mergeCells>
  <conditionalFormatting sqref="K3:K12 K14:K18 K22:K26">
    <cfRule type="expression" dxfId="0" priority="150">
      <formula>#REF!="N/A"</formula>
    </cfRule>
  </conditionalFormatting>
  <dataValidations disablePrompts="1" count="29">
    <dataValidation type="list" allowBlank="1" showInputMessage="1" showErrorMessage="1" sqref="C16:D16">
      <formula1>"2,3,4"</formula1>
    </dataValidation>
    <dataValidation type="list" allowBlank="1" showInputMessage="1" showErrorMessage="1" sqref="C13:D13">
      <formula1>"Fully Insured"</formula1>
    </dataValidation>
    <dataValidation type="list" allowBlank="1" showInputMessage="1" showErrorMessage="1" sqref="C30:D30 C68:D68 G68 C106:D106 G106 G30">
      <formula1>"Complete, Prime"</formula1>
    </dataValidation>
    <dataValidation type="list" allowBlank="1" showInputMessage="1" showErrorMessage="1" sqref="C69:D69 C31:D31 G69 C107:D107 G107 G31">
      <formula1>"Calendar Year-Std,Contract Year"</formula1>
    </dataValidation>
    <dataValidation type="list" allowBlank="1" showInputMessage="1" showErrorMessage="1" sqref="C17:D17">
      <formula1>"12 months, 24 months, 12 &amp; 24 months"</formula1>
    </dataValidation>
    <dataValidation type="list" allowBlank="1" showInputMessage="1" showErrorMessage="1" sqref="C18:D18">
      <formula1>"1,2,3"</formula1>
    </dataValidation>
    <dataValidation type="list" allowBlank="1" showInputMessage="1" showErrorMessage="1" sqref="G105 C67:D67 G67 C105:D105">
      <formula1>"Select Option Type,Single Option PPO,Dual Option PPO, Dual Option with Dental Net, Voluntary"</formula1>
    </dataValidation>
    <dataValidation type="list" allowBlank="1" showInputMessage="1" showErrorMessage="1" sqref="C19:D19">
      <formula1>"None,ALL PLANS,2000A,2000B,2000C,VOL 2000A,VOL 2000B,VOL 2000C"</formula1>
    </dataValidation>
    <dataValidation type="list" allowBlank="1" showInputMessage="1" showErrorMessage="1" sqref="C46:D46 G46 C84:D84 C122:D122 G84:H84 G122:H122">
      <formula1>"100%,95%,90%,85%,80%,75%,70%,65%,60%,55%,50%,40%,0%"</formula1>
    </dataValidation>
    <dataValidation type="list" allowBlank="1" showInputMessage="1" showErrorMessage="1" sqref="C45:D45 G45 C83:D83 C121:D121 G83:H83 G121:H121">
      <formula1>"None, Dependent Children Only, Adult &amp; Dependent Children"</formula1>
    </dataValidation>
    <dataValidation type="list" allowBlank="1" showInputMessage="1" showErrorMessage="1" sqref="I52 I128 I90 G128 G52 C87:D87 E52 C125:D125 E90 G87:H87 G125:H125 G90 C52 C90 C128 E128">
      <formula1>"Yes, No"</formula1>
    </dataValidation>
    <dataValidation type="list" allowBlank="1" showInputMessage="1" showErrorMessage="1" sqref="I53 I129 E47 I47 G47 G53 E53 E85 E91 E123 I85 G85 G91 I91 I123 G123 G129 C47 C53 C85 C91 C123 C129 E129">
      <formula1>"$500,$750,$1000,$1250,$1500,$1750,$2000,$2250,$2500"</formula1>
    </dataValidation>
    <dataValidation type="list" allowBlank="1" showInputMessage="1" showErrorMessage="1" sqref="I50 I126 G50 E50 E88 G88 I88 G126 C50 C88 C126 E126">
      <formula1>"$0,$15,$20,$25,$30,$35,$40,$45,$50,$55,$60,$65,$70,$75,$80,$85,$90,$95,$100,$100 lifetime per person"</formula1>
    </dataValidation>
    <dataValidation type="list" allowBlank="1" showInputMessage="1" showErrorMessage="1" sqref="I51 I127 G51 E51 E89 G89 I89 G127 C51 C89 C127 E127">
      <formula1>"2x Individual,3x Individual,No Limit"</formula1>
    </dataValidation>
    <dataValidation type="list" allowBlank="1" showInputMessage="1" showErrorMessage="1" sqref="G92 G54 C54:D54 G44 C82:D82 C92:D92 C120:D120 C130:D130 G82:H82 G120:H120 G130:H130">
      <formula1>"No,Yes"</formula1>
    </dataValidation>
    <dataValidation type="list" allowBlank="1" showInputMessage="1" showErrorMessage="1" sqref="G55 C55:D55 C93:D93 C131:D131 G93 G131">
      <formula1>"50th percentile,60th percentile,70th percentile,80th percentile,90th percentile,Prime (MAC)"</formula1>
    </dataValidation>
    <dataValidation type="list" allowBlank="1" showInputMessage="1" showErrorMessage="1" sqref="G56 C56:D56 C94:D94 C132:D132 G94:H94 G132:H132">
      <formula1>"Children to Age 19/23 if FT Student,Children to Age 26,Children to Age 28,Children to Age 30"</formula1>
    </dataValidation>
    <dataValidation type="list" allowBlank="1" showInputMessage="1" showErrorMessage="1" sqref="G57 C57:D57 C95:D95 C133:D133 G95:H95 G133:H133">
      <formula1>"Standard-Covered as Composites,Alternated to Amalgam Benefit"</formula1>
    </dataValidation>
    <dataValidation type="list" allowBlank="1" showInputMessage="1" showErrorMessage="1" sqref="G58:G60 C58:D60 C96:D98 C134:D136 G96:H98 G134:H136">
      <formula1>"Standard-Covered,Not Covered"</formula1>
    </dataValidation>
    <dataValidation type="list" allowBlank="1" showInputMessage="1" showErrorMessage="1" sqref="G61 C61:D61 C99:D99 C137:D137 G99:H99 G137:H137">
      <formula1>"Standard-Covered as Diagnostic &amp; Preventive,Covered as Basic Service"</formula1>
    </dataValidation>
    <dataValidation type="list" allowBlank="1" showInputMessage="1" showErrorMessage="1" sqref="G62 C62:D62 C100:D100 C138:D138 G100:H100 G138:H138">
      <formula1>"Standard-Coverage Every 5 Years,Coverage Every 3 Years"</formula1>
    </dataValidation>
    <dataValidation type="list" allowBlank="1" showInputMessage="1" showErrorMessage="1" sqref="G63 C63:D63 C101:D101 C139:D139 G101:H101 G139:H139">
      <formula1>"Standard-1x per 12 mnths &lt;18Y/O;1X per 24mnths &gt;=18Y/O,1x per 12mnths for all ages,1x per calendar year for all ages,2x every 12 months for all ages"</formula1>
    </dataValidation>
    <dataValidation type="list" allowBlank="1" showInputMessage="1" showErrorMessage="1" sqref="G64 C64:D64 C102:D102 C140:D140 G102:H102 G140:H140">
      <formula1>"Standard- 24 Month Waiting Period applies"</formula1>
    </dataValidation>
    <dataValidation type="list" allowBlank="1" showInputMessage="1" showErrorMessage="1" sqref="I35:I42 I111:I118 G35:G42 E35:E42 E73:E80 G73:G80 I73:I80 G111:G118 C35:C42 C73:C80 C111:C118 E111:E118">
      <formula1>"100%,95%,90%,85%,80%,75%,70%,65%,60%,55%,50%,45%,40%,35%,30%,25%,20%,15%,10%,5%,0%"</formula1>
    </dataValidation>
    <dataValidation type="list" allowBlank="1" showInputMessage="1" showErrorMessage="1" sqref="C32:D32 G32 C70:D70 C108:D108 G70:H70 G108">
      <formula1>"Select One,Active,Passive"</formula1>
    </dataValidation>
    <dataValidation type="list" allowBlank="1" showInputMessage="1" showErrorMessage="1" sqref="C43:D43 G43 C81:D81 C119:D119 G81:H81 G119:H119">
      <formula1>WaitingPeriods</formula1>
    </dataValidation>
    <dataValidation type="list" allowBlank="1" showInputMessage="1" showErrorMessage="1" sqref="C48:D48 G48 C86:D86 C124:D124 G86:H86 G124:H124">
      <formula1>"No Waiting Periods,12 Months"</formula1>
    </dataValidation>
    <dataValidation type="list" allowBlank="1" showInputMessage="1" showErrorMessage="1" sqref="C29:E29 G29">
      <formula1>"Select Option Type, DPPO Only, DPPO/DPPO, DHMO/DPPO, CUSTOM OPTION SEE COMMENTS"</formula1>
    </dataValidation>
    <dataValidation type="list" allowBlank="1" showInputMessage="1" showErrorMessage="1" sqref="C44:F44 C49:J49">
      <formula1>"N/A,No,Yes"</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I34"/>
  <sheetViews>
    <sheetView showGridLines="0" workbookViewId="0">
      <selection activeCell="D16" sqref="D16"/>
    </sheetView>
  </sheetViews>
  <sheetFormatPr baseColWidth="10" defaultColWidth="9.1640625" defaultRowHeight="13" x14ac:dyDescent="0.15"/>
  <cols>
    <col min="1" max="1" width="6.5" style="310" customWidth="1"/>
    <col min="2" max="2" width="40.5" style="310" customWidth="1"/>
    <col min="3" max="3" width="5.5" style="310" customWidth="1"/>
    <col min="4" max="5" width="12" style="310" customWidth="1"/>
    <col min="6" max="6" width="37.5" style="310" customWidth="1"/>
    <col min="7" max="16384" width="9.1640625" style="310"/>
  </cols>
  <sheetData>
    <row r="1" spans="1:9" ht="12.75" customHeight="1" x14ac:dyDescent="0.2">
      <c r="A1" s="1531"/>
      <c r="B1" s="1531"/>
      <c r="C1" s="1531"/>
      <c r="D1" s="1531"/>
    </row>
    <row r="2" spans="1:9" ht="15.75" customHeight="1" x14ac:dyDescent="0.2">
      <c r="B2" s="311" t="s">
        <v>568</v>
      </c>
    </row>
    <row r="3" spans="1:9" ht="9" customHeight="1" thickBot="1" x14ac:dyDescent="0.25">
      <c r="E3" s="312"/>
    </row>
    <row r="4" spans="1:9" ht="14" thickBot="1" x14ac:dyDescent="0.2">
      <c r="B4" s="313" t="s">
        <v>88</v>
      </c>
      <c r="C4" s="1532">
        <v>0</v>
      </c>
      <c r="D4" s="1533"/>
      <c r="E4" s="1533"/>
      <c r="F4" s="1534"/>
    </row>
    <row r="5" spans="1:9" ht="9.75" customHeight="1" x14ac:dyDescent="0.2">
      <c r="B5" s="314"/>
      <c r="C5" s="315"/>
      <c r="D5" s="315"/>
    </row>
    <row r="6" spans="1:9" x14ac:dyDescent="0.15">
      <c r="C6" s="316"/>
      <c r="F6" s="317" t="s">
        <v>571</v>
      </c>
    </row>
    <row r="7" spans="1:9" x14ac:dyDescent="0.15">
      <c r="B7" s="318" t="s">
        <v>1721</v>
      </c>
      <c r="C7" s="319"/>
      <c r="D7" s="320"/>
      <c r="F7" s="310" t="s">
        <v>1722</v>
      </c>
      <c r="G7" s="321">
        <v>0</v>
      </c>
    </row>
    <row r="8" spans="1:9" x14ac:dyDescent="0.15">
      <c r="B8" s="320" t="s">
        <v>569</v>
      </c>
      <c r="C8" s="319"/>
      <c r="D8" s="388">
        <f>INTAKE!N5</f>
        <v>26</v>
      </c>
      <c r="F8" s="310" t="s">
        <v>1723</v>
      </c>
      <c r="G8" s="321"/>
    </row>
    <row r="9" spans="1:9" x14ac:dyDescent="0.15">
      <c r="F9" s="310" t="s">
        <v>1724</v>
      </c>
      <c r="G9" s="321"/>
    </row>
    <row r="10" spans="1:9" x14ac:dyDescent="0.15">
      <c r="B10" s="320" t="s">
        <v>571</v>
      </c>
      <c r="C10" s="319"/>
      <c r="D10" s="322">
        <f>INTAKE!N7</f>
        <v>0</v>
      </c>
      <c r="F10" s="310" t="s">
        <v>1725</v>
      </c>
      <c r="G10" s="321"/>
    </row>
    <row r="11" spans="1:9" x14ac:dyDescent="0.15">
      <c r="B11" s="323" t="s">
        <v>573</v>
      </c>
      <c r="C11" s="319"/>
      <c r="D11" s="324">
        <f>+D8-D10</f>
        <v>26</v>
      </c>
      <c r="F11" s="310" t="s">
        <v>1726</v>
      </c>
      <c r="G11" s="321"/>
    </row>
    <row r="12" spans="1:9" x14ac:dyDescent="0.15">
      <c r="F12" s="310" t="s">
        <v>1727</v>
      </c>
      <c r="G12" s="321"/>
    </row>
    <row r="13" spans="1:9" x14ac:dyDescent="0.15">
      <c r="B13" s="164" t="s">
        <v>575</v>
      </c>
      <c r="D13" s="325">
        <v>50</v>
      </c>
      <c r="F13" s="310" t="s">
        <v>1728</v>
      </c>
      <c r="G13" s="321"/>
    </row>
    <row r="14" spans="1:9" x14ac:dyDescent="0.15">
      <c r="F14" s="310" t="s">
        <v>1729</v>
      </c>
      <c r="G14" s="326">
        <f>+G7+G8+G9+G10+G11+G12+G13</f>
        <v>0</v>
      </c>
    </row>
    <row r="15" spans="1:9" x14ac:dyDescent="0.15">
      <c r="B15" s="310" t="s">
        <v>577</v>
      </c>
      <c r="D15" s="325">
        <v>40</v>
      </c>
    </row>
    <row r="16" spans="1:9" x14ac:dyDescent="0.15">
      <c r="G16" s="326">
        <f>D11-D17</f>
        <v>-64</v>
      </c>
      <c r="I16" s="310" t="s">
        <v>1730</v>
      </c>
    </row>
    <row r="17" spans="2:9" x14ac:dyDescent="0.15">
      <c r="B17" s="323" t="s">
        <v>579</v>
      </c>
      <c r="C17" s="319"/>
      <c r="D17" s="324">
        <f>+D15+D13</f>
        <v>90</v>
      </c>
      <c r="F17" s="327" t="str">
        <f>IF(D17&gt;D11,"Total enrolled can not exceed total net eligible employees","")</f>
        <v>Total enrolled can not exceed total net eligible employees</v>
      </c>
      <c r="I17" s="310" t="s">
        <v>1731</v>
      </c>
    </row>
    <row r="18" spans="2:9" x14ac:dyDescent="0.15">
      <c r="D18" s="310" t="s">
        <v>1732</v>
      </c>
    </row>
    <row r="19" spans="2:9" x14ac:dyDescent="0.15">
      <c r="B19" s="320" t="s">
        <v>580</v>
      </c>
      <c r="C19" s="319"/>
      <c r="D19" s="328">
        <f>ROUND(IF(D17=0,0,+D15/D17),2)</f>
        <v>0.44</v>
      </c>
      <c r="F19" s="327"/>
    </row>
    <row r="20" spans="2:9" x14ac:dyDescent="0.15">
      <c r="B20" s="320"/>
      <c r="C20" s="319"/>
      <c r="D20" s="320"/>
    </row>
    <row r="21" spans="2:9" ht="12.75" customHeight="1" x14ac:dyDescent="0.15">
      <c r="B21" s="320" t="s">
        <v>582</v>
      </c>
      <c r="C21" s="319"/>
      <c r="D21" s="328">
        <f>ROUND(IF(D17=0,0,D17/D8),2)</f>
        <v>3.46</v>
      </c>
      <c r="F21" s="327" t="str">
        <f>IF(D17=0,"",IF(D21&lt;0.495,"Participation based on total eligibles is less than 50%",""))</f>
        <v/>
      </c>
    </row>
    <row r="23" spans="2:9" ht="12.75" customHeight="1" x14ac:dyDescent="0.15">
      <c r="B23" s="320" t="s">
        <v>583</v>
      </c>
      <c r="C23" s="319"/>
      <c r="D23" s="328">
        <f>ROUND(IF(D17=0,0,D17/D11),2)</f>
        <v>3.46</v>
      </c>
    </row>
    <row r="24" spans="2:9" ht="15" x14ac:dyDescent="0.2">
      <c r="B24" s="320"/>
      <c r="C24" s="329"/>
      <c r="D24" s="330"/>
    </row>
    <row r="25" spans="2:9" x14ac:dyDescent="0.15">
      <c r="B25" s="331" t="s">
        <v>584</v>
      </c>
      <c r="C25" s="319"/>
      <c r="D25" s="332" t="s">
        <v>57</v>
      </c>
    </row>
    <row r="26" spans="2:9" x14ac:dyDescent="0.15">
      <c r="B26" s="320"/>
      <c r="C26" s="319"/>
      <c r="D26" s="320"/>
    </row>
    <row r="27" spans="2:9" ht="16" x14ac:dyDescent="0.2">
      <c r="B27" s="333" t="str">
        <f>IF(D25="Yes","Quote using Total Census (combined Kaiser and Non-Kaiser lives) and apply below adjustments","Quote using Non-Kaiser Census and apply below adjustments")</f>
        <v>Quote using Non-Kaiser Census and apply below adjustments</v>
      </c>
      <c r="C27" s="329"/>
      <c r="D27" s="334"/>
      <c r="F27" s="327"/>
    </row>
    <row r="28" spans="2:9" ht="14" thickBot="1" x14ac:dyDescent="0.2">
      <c r="B28" s="335"/>
      <c r="C28" s="329"/>
      <c r="D28" s="336" t="s">
        <v>570</v>
      </c>
      <c r="E28" s="337" t="s">
        <v>545</v>
      </c>
      <c r="F28" s="327"/>
    </row>
    <row r="29" spans="2:9" x14ac:dyDescent="0.15">
      <c r="B29" s="335" t="s">
        <v>572</v>
      </c>
      <c r="C29" s="329"/>
      <c r="D29" s="338">
        <f>IF($D$8=0,"",'PART ADJ 2'!$C$5)</f>
        <v>1</v>
      </c>
      <c r="E29" s="339">
        <f>D29</f>
        <v>1</v>
      </c>
      <c r="F29" s="340" t="str">
        <f>IF(D19&gt;0.5000001,"Kaiser enrollment exceeds 50% of total enrolled",IF(D21&lt;0.495,"Participation is less than 50% of total eligibles",IF(D23&lt;0.745,"Participation is less than 75% of net-eligibles","")))</f>
        <v/>
      </c>
    </row>
    <row r="30" spans="2:9" x14ac:dyDescent="0.15">
      <c r="B30" s="341" t="s">
        <v>574</v>
      </c>
      <c r="C30" s="342"/>
      <c r="D30" s="343">
        <f>IF($D$8=0,"",IF($D$25="Yes",'PART ADJ 2'!$D$9,'PART ADJ 2'!$C$9))</f>
        <v>1</v>
      </c>
      <c r="E30" s="344">
        <f>IF($D$8=0,"",IF($D$25="Yes",'PART ADJ 2'!$D$10,'PART ADJ 2'!$C$10))</f>
        <v>1</v>
      </c>
      <c r="F30" s="327"/>
    </row>
    <row r="31" spans="2:9" x14ac:dyDescent="0.15">
      <c r="B31" s="345" t="s">
        <v>576</v>
      </c>
      <c r="C31" s="346"/>
      <c r="D31" s="347">
        <f>IF($D$8=0,"",ROUND(D29*D30,2))</f>
        <v>1</v>
      </c>
      <c r="E31" s="348">
        <f>IF($D$8=0,"",ROUND(E29*E30,2))</f>
        <v>1</v>
      </c>
      <c r="F31" s="327"/>
    </row>
    <row r="32" spans="2:9" ht="14" thickBot="1" x14ac:dyDescent="0.2">
      <c r="B32" s="340" t="s">
        <v>578</v>
      </c>
      <c r="D32" s="349">
        <f>IF(D31="","",D31-1)</f>
        <v>0</v>
      </c>
      <c r="E32" s="350">
        <f>IF(E31="","",E31-1)</f>
        <v>0</v>
      </c>
    </row>
    <row r="34" spans="2:2" x14ac:dyDescent="0.15">
      <c r="B34" s="340" t="s">
        <v>581</v>
      </c>
    </row>
  </sheetData>
  <mergeCells count="2">
    <mergeCell ref="A1:D1"/>
    <mergeCell ref="C4:F4"/>
  </mergeCells>
  <dataValidations count="1">
    <dataValidation type="list" allowBlank="1" showInputMessage="1" showErrorMessage="1" sqref="D25">
      <formula1>"Yes,No"</formula1>
    </dataValidation>
  </dataValidations>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P618"/>
  <sheetViews>
    <sheetView workbookViewId="0">
      <selection activeCell="F6" sqref="F6"/>
    </sheetView>
  </sheetViews>
  <sheetFormatPr baseColWidth="10" defaultColWidth="9.1640625" defaultRowHeight="15" x14ac:dyDescent="0.2"/>
  <cols>
    <col min="1" max="2" width="9.1640625" style="351"/>
    <col min="3" max="3" width="21" style="351" customWidth="1"/>
    <col min="4" max="5" width="9.1640625" style="351"/>
    <col min="6" max="8" width="19.1640625" style="351" customWidth="1"/>
    <col min="9" max="16384" width="9.1640625" style="351"/>
  </cols>
  <sheetData>
    <row r="1" spans="1:16" s="176" customFormat="1" ht="21" x14ac:dyDescent="0.15">
      <c r="A1" s="277" t="s">
        <v>1770</v>
      </c>
    </row>
    <row r="2" spans="1:16" x14ac:dyDescent="0.2">
      <c r="F2" s="351" t="s">
        <v>1733</v>
      </c>
    </row>
    <row r="3" spans="1:16" x14ac:dyDescent="0.2">
      <c r="F3" s="351" t="s">
        <v>1734</v>
      </c>
      <c r="G3" s="351" t="s">
        <v>1735</v>
      </c>
    </row>
    <row r="5" spans="1:16" x14ac:dyDescent="0.2">
      <c r="B5" s="351" t="s">
        <v>1736</v>
      </c>
      <c r="C5" s="351" t="s">
        <v>1737</v>
      </c>
      <c r="F5" s="352">
        <v>0.85</v>
      </c>
      <c r="G5" s="351" t="s">
        <v>1738</v>
      </c>
      <c r="J5" s="351">
        <v>0.92</v>
      </c>
      <c r="K5" s="351">
        <v>1.02</v>
      </c>
    </row>
    <row r="6" spans="1:16" x14ac:dyDescent="0.2">
      <c r="B6" s="351" t="s">
        <v>1739</v>
      </c>
      <c r="C6" s="351" t="s">
        <v>545</v>
      </c>
      <c r="F6" s="353">
        <v>0.93</v>
      </c>
      <c r="G6" s="351">
        <v>1</v>
      </c>
      <c r="J6" s="351">
        <v>0.96</v>
      </c>
      <c r="K6" s="351">
        <v>1</v>
      </c>
    </row>
    <row r="7" spans="1:16" x14ac:dyDescent="0.2">
      <c r="B7" s="351" t="s">
        <v>1740</v>
      </c>
      <c r="C7" s="351" t="s">
        <v>1741</v>
      </c>
      <c r="F7" s="351">
        <v>0.89</v>
      </c>
      <c r="J7" s="351">
        <v>0.94</v>
      </c>
      <c r="K7" s="351">
        <v>1.01</v>
      </c>
    </row>
    <row r="11" spans="1:16" x14ac:dyDescent="0.2">
      <c r="F11" s="1535" t="s">
        <v>1742</v>
      </c>
      <c r="G11" s="1535"/>
      <c r="H11" s="1535"/>
      <c r="J11" s="1535" t="s">
        <v>1743</v>
      </c>
      <c r="K11" s="1535"/>
      <c r="L11" s="1535"/>
      <c r="N11" s="1535" t="s">
        <v>1744</v>
      </c>
      <c r="O11" s="1535"/>
      <c r="P11" s="1535"/>
    </row>
    <row r="12" spans="1:16" x14ac:dyDescent="0.2">
      <c r="A12" s="351" t="s">
        <v>1745</v>
      </c>
      <c r="B12" s="351" t="s">
        <v>1746</v>
      </c>
      <c r="C12" s="351" t="s">
        <v>1747</v>
      </c>
      <c r="D12" s="351" t="s">
        <v>1748</v>
      </c>
      <c r="E12" s="351" t="s">
        <v>1749</v>
      </c>
      <c r="F12" s="351" t="s">
        <v>1750</v>
      </c>
      <c r="G12" s="351" t="s">
        <v>1751</v>
      </c>
      <c r="H12" s="351" t="s">
        <v>1752</v>
      </c>
      <c r="J12" s="351" t="s">
        <v>1750</v>
      </c>
      <c r="K12" s="351" t="s">
        <v>1751</v>
      </c>
      <c r="L12" s="351" t="s">
        <v>1752</v>
      </c>
      <c r="N12" s="351" t="s">
        <v>1750</v>
      </c>
      <c r="O12" s="351" t="s">
        <v>1751</v>
      </c>
      <c r="P12" s="351" t="s">
        <v>1752</v>
      </c>
    </row>
    <row r="13" spans="1:16" x14ac:dyDescent="0.2">
      <c r="B13" s="351" t="s">
        <v>1736</v>
      </c>
      <c r="C13" s="351" t="s">
        <v>1753</v>
      </c>
      <c r="D13" s="351" t="s">
        <v>1754</v>
      </c>
      <c r="E13" s="351">
        <v>0</v>
      </c>
      <c r="F13" s="351">
        <v>0.85</v>
      </c>
      <c r="G13" s="351">
        <v>1.02</v>
      </c>
      <c r="H13" s="351">
        <v>2.5</v>
      </c>
      <c r="I13" s="354"/>
      <c r="J13" s="351">
        <v>0.92</v>
      </c>
      <c r="K13" s="351">
        <v>1.02</v>
      </c>
      <c r="L13" s="351">
        <v>2.5</v>
      </c>
      <c r="N13" s="355">
        <f t="shared" ref="N13:P76" si="0">F13/J13-1</f>
        <v>-7.6086956521739246E-2</v>
      </c>
      <c r="O13" s="355">
        <f t="shared" si="0"/>
        <v>0</v>
      </c>
      <c r="P13" s="355">
        <f t="shared" si="0"/>
        <v>0</v>
      </c>
    </row>
    <row r="14" spans="1:16" x14ac:dyDescent="0.2">
      <c r="B14" s="351" t="s">
        <v>1736</v>
      </c>
      <c r="C14" s="351" t="s">
        <v>1753</v>
      </c>
      <c r="D14" s="351" t="s">
        <v>1754</v>
      </c>
      <c r="E14" s="351">
        <v>1</v>
      </c>
      <c r="F14" s="351">
        <v>0.85</v>
      </c>
      <c r="G14" s="351">
        <v>1.02</v>
      </c>
      <c r="H14" s="351">
        <v>2.4</v>
      </c>
      <c r="I14" s="354"/>
      <c r="J14" s="351">
        <v>0.92</v>
      </c>
      <c r="K14" s="351">
        <v>1.02</v>
      </c>
      <c r="L14" s="351">
        <v>2.5</v>
      </c>
      <c r="N14" s="355">
        <f t="shared" si="0"/>
        <v>-7.6086956521739246E-2</v>
      </c>
      <c r="O14" s="355">
        <f t="shared" si="0"/>
        <v>0</v>
      </c>
      <c r="P14" s="355">
        <f t="shared" si="0"/>
        <v>-4.0000000000000036E-2</v>
      </c>
    </row>
    <row r="15" spans="1:16" x14ac:dyDescent="0.2">
      <c r="B15" s="351" t="s">
        <v>1736</v>
      </c>
      <c r="C15" s="351" t="s">
        <v>1753</v>
      </c>
      <c r="D15" s="351" t="s">
        <v>1754</v>
      </c>
      <c r="E15" s="351">
        <v>2</v>
      </c>
      <c r="F15" s="351">
        <v>0.85</v>
      </c>
      <c r="G15" s="351">
        <v>1.02</v>
      </c>
      <c r="H15" s="351">
        <v>2.2999999999999998</v>
      </c>
      <c r="I15" s="354"/>
      <c r="J15" s="351">
        <v>0.92</v>
      </c>
      <c r="K15" s="351">
        <v>1.02</v>
      </c>
      <c r="L15" s="351">
        <v>2.5</v>
      </c>
      <c r="N15" s="355">
        <f t="shared" si="0"/>
        <v>-7.6086956521739246E-2</v>
      </c>
      <c r="O15" s="355">
        <f t="shared" si="0"/>
        <v>0</v>
      </c>
      <c r="P15" s="355">
        <f t="shared" si="0"/>
        <v>-8.0000000000000071E-2</v>
      </c>
    </row>
    <row r="16" spans="1:16" x14ac:dyDescent="0.2">
      <c r="B16" s="351" t="s">
        <v>1736</v>
      </c>
      <c r="C16" s="351" t="s">
        <v>1753</v>
      </c>
      <c r="D16" s="351" t="s">
        <v>1754</v>
      </c>
      <c r="E16" s="351">
        <v>3</v>
      </c>
      <c r="F16" s="351">
        <v>0.85</v>
      </c>
      <c r="G16" s="351">
        <v>1.02</v>
      </c>
      <c r="H16" s="351">
        <v>2.2000000000000002</v>
      </c>
      <c r="I16" s="354"/>
      <c r="J16" s="351">
        <v>0.92</v>
      </c>
      <c r="K16" s="351">
        <v>1.02</v>
      </c>
      <c r="L16" s="351">
        <v>2.5</v>
      </c>
      <c r="N16" s="355">
        <f t="shared" si="0"/>
        <v>-7.6086956521739246E-2</v>
      </c>
      <c r="O16" s="355">
        <f t="shared" si="0"/>
        <v>0</v>
      </c>
      <c r="P16" s="355">
        <f t="shared" si="0"/>
        <v>-0.11999999999999988</v>
      </c>
    </row>
    <row r="17" spans="2:16" x14ac:dyDescent="0.2">
      <c r="B17" s="351" t="s">
        <v>1736</v>
      </c>
      <c r="C17" s="351" t="s">
        <v>1753</v>
      </c>
      <c r="D17" s="351" t="s">
        <v>1754</v>
      </c>
      <c r="E17" s="351">
        <v>4</v>
      </c>
      <c r="F17" s="351">
        <v>0.85</v>
      </c>
      <c r="G17" s="351">
        <v>1.02</v>
      </c>
      <c r="H17" s="351">
        <v>2.15</v>
      </c>
      <c r="I17" s="354"/>
      <c r="J17" s="351">
        <v>0.92</v>
      </c>
      <c r="K17" s="351">
        <v>1.02</v>
      </c>
      <c r="L17" s="351">
        <v>2.4</v>
      </c>
      <c r="N17" s="355">
        <f t="shared" si="0"/>
        <v>-7.6086956521739246E-2</v>
      </c>
      <c r="O17" s="355">
        <f t="shared" si="0"/>
        <v>0</v>
      </c>
      <c r="P17" s="355">
        <f t="shared" si="0"/>
        <v>-0.10416666666666663</v>
      </c>
    </row>
    <row r="18" spans="2:16" x14ac:dyDescent="0.2">
      <c r="B18" s="351" t="s">
        <v>1736</v>
      </c>
      <c r="C18" s="351" t="s">
        <v>1753</v>
      </c>
      <c r="D18" s="351" t="s">
        <v>1754</v>
      </c>
      <c r="E18" s="351">
        <v>5</v>
      </c>
      <c r="F18" s="351">
        <v>0.85</v>
      </c>
      <c r="G18" s="351">
        <v>1.02</v>
      </c>
      <c r="H18" s="351">
        <v>2.1</v>
      </c>
      <c r="I18" s="354"/>
      <c r="J18" s="351">
        <v>0.92</v>
      </c>
      <c r="K18" s="351">
        <v>1.02</v>
      </c>
      <c r="L18" s="351">
        <v>2.2999999999999998</v>
      </c>
      <c r="N18" s="355">
        <f t="shared" si="0"/>
        <v>-7.6086956521739246E-2</v>
      </c>
      <c r="O18" s="355">
        <f t="shared" si="0"/>
        <v>0</v>
      </c>
      <c r="P18" s="355">
        <f t="shared" si="0"/>
        <v>-8.6956521739130377E-2</v>
      </c>
    </row>
    <row r="19" spans="2:16" x14ac:dyDescent="0.2">
      <c r="B19" s="351" t="s">
        <v>1736</v>
      </c>
      <c r="C19" s="351" t="s">
        <v>1753</v>
      </c>
      <c r="D19" s="351" t="s">
        <v>1754</v>
      </c>
      <c r="E19" s="351">
        <v>6</v>
      </c>
      <c r="F19" s="351">
        <v>0.85</v>
      </c>
      <c r="G19" s="351">
        <v>1.02</v>
      </c>
      <c r="H19" s="351">
        <v>2.0499999999999998</v>
      </c>
      <c r="I19" s="354"/>
      <c r="J19" s="351">
        <v>0.92</v>
      </c>
      <c r="K19" s="351">
        <v>1.02</v>
      </c>
      <c r="L19" s="351">
        <v>2.2000000000000002</v>
      </c>
      <c r="N19" s="355">
        <f t="shared" si="0"/>
        <v>-7.6086956521739246E-2</v>
      </c>
      <c r="O19" s="355">
        <f t="shared" si="0"/>
        <v>0</v>
      </c>
      <c r="P19" s="355">
        <f t="shared" si="0"/>
        <v>-6.8181818181818343E-2</v>
      </c>
    </row>
    <row r="20" spans="2:16" x14ac:dyDescent="0.2">
      <c r="B20" s="351" t="s">
        <v>1736</v>
      </c>
      <c r="C20" s="351" t="s">
        <v>1753</v>
      </c>
      <c r="D20" s="351" t="s">
        <v>1754</v>
      </c>
      <c r="E20" s="351">
        <v>7</v>
      </c>
      <c r="F20" s="351">
        <v>0.85</v>
      </c>
      <c r="G20" s="351">
        <v>1.02</v>
      </c>
      <c r="H20" s="351">
        <v>2</v>
      </c>
      <c r="I20" s="354"/>
      <c r="J20" s="351">
        <v>0.92</v>
      </c>
      <c r="K20" s="351">
        <v>1.02</v>
      </c>
      <c r="L20" s="351">
        <v>2.1</v>
      </c>
      <c r="N20" s="355">
        <f t="shared" si="0"/>
        <v>-7.6086956521739246E-2</v>
      </c>
      <c r="O20" s="355">
        <f t="shared" si="0"/>
        <v>0</v>
      </c>
      <c r="P20" s="355">
        <f t="shared" si="0"/>
        <v>-4.7619047619047672E-2</v>
      </c>
    </row>
    <row r="21" spans="2:16" x14ac:dyDescent="0.2">
      <c r="B21" s="351" t="s">
        <v>1736</v>
      </c>
      <c r="C21" s="351" t="s">
        <v>1753</v>
      </c>
      <c r="D21" s="351" t="s">
        <v>1754</v>
      </c>
      <c r="E21" s="351">
        <v>8</v>
      </c>
      <c r="F21" s="351">
        <v>0.85</v>
      </c>
      <c r="G21" s="351">
        <v>1.02</v>
      </c>
      <c r="H21" s="351">
        <v>1.95</v>
      </c>
      <c r="I21" s="354"/>
      <c r="J21" s="351">
        <v>0.92</v>
      </c>
      <c r="K21" s="351">
        <v>1.02</v>
      </c>
      <c r="L21" s="351">
        <v>2.0499999999999998</v>
      </c>
      <c r="N21" s="355">
        <f t="shared" si="0"/>
        <v>-7.6086956521739246E-2</v>
      </c>
      <c r="O21" s="355">
        <f t="shared" si="0"/>
        <v>0</v>
      </c>
      <c r="P21" s="355">
        <f t="shared" si="0"/>
        <v>-4.8780487804877981E-2</v>
      </c>
    </row>
    <row r="22" spans="2:16" x14ac:dyDescent="0.2">
      <c r="B22" s="351" t="s">
        <v>1736</v>
      </c>
      <c r="C22" s="351" t="s">
        <v>1753</v>
      </c>
      <c r="D22" s="351" t="s">
        <v>1754</v>
      </c>
      <c r="E22" s="351">
        <v>9</v>
      </c>
      <c r="F22" s="351">
        <v>0.85</v>
      </c>
      <c r="G22" s="351">
        <v>1.02</v>
      </c>
      <c r="H22" s="351">
        <v>1.9</v>
      </c>
      <c r="I22" s="354"/>
      <c r="J22" s="351">
        <v>0.92</v>
      </c>
      <c r="K22" s="351">
        <v>1.02</v>
      </c>
      <c r="L22" s="351">
        <v>2</v>
      </c>
      <c r="N22" s="355">
        <f t="shared" si="0"/>
        <v>-7.6086956521739246E-2</v>
      </c>
      <c r="O22" s="355">
        <f t="shared" si="0"/>
        <v>0</v>
      </c>
      <c r="P22" s="355">
        <f t="shared" si="0"/>
        <v>-5.0000000000000044E-2</v>
      </c>
    </row>
    <row r="23" spans="2:16" x14ac:dyDescent="0.2">
      <c r="B23" s="351" t="s">
        <v>1736</v>
      </c>
      <c r="C23" s="351" t="s">
        <v>1753</v>
      </c>
      <c r="D23" s="351" t="s">
        <v>1754</v>
      </c>
      <c r="E23" s="351">
        <v>10</v>
      </c>
      <c r="F23" s="351">
        <v>0.85</v>
      </c>
      <c r="G23" s="351">
        <v>1.02</v>
      </c>
      <c r="H23" s="351">
        <v>1.85</v>
      </c>
      <c r="I23" s="354"/>
      <c r="J23" s="351">
        <v>0.92</v>
      </c>
      <c r="K23" s="351">
        <v>1.02</v>
      </c>
      <c r="L23" s="351">
        <v>1.9</v>
      </c>
      <c r="N23" s="355">
        <f t="shared" si="0"/>
        <v>-7.6086956521739246E-2</v>
      </c>
      <c r="O23" s="355">
        <f t="shared" si="0"/>
        <v>0</v>
      </c>
      <c r="P23" s="355">
        <f t="shared" si="0"/>
        <v>-2.631578947368407E-2</v>
      </c>
    </row>
    <row r="24" spans="2:16" x14ac:dyDescent="0.2">
      <c r="B24" s="351" t="s">
        <v>1736</v>
      </c>
      <c r="C24" s="351" t="s">
        <v>1753</v>
      </c>
      <c r="D24" s="351" t="s">
        <v>1754</v>
      </c>
      <c r="E24" s="351">
        <v>11</v>
      </c>
      <c r="F24" s="351">
        <v>0.85</v>
      </c>
      <c r="G24" s="351">
        <v>1.02</v>
      </c>
      <c r="H24" s="351">
        <v>1.8</v>
      </c>
      <c r="I24" s="354"/>
      <c r="J24" s="351">
        <v>0.92</v>
      </c>
      <c r="K24" s="351">
        <v>1.02</v>
      </c>
      <c r="L24" s="351">
        <v>1.85</v>
      </c>
      <c r="N24" s="355">
        <f t="shared" si="0"/>
        <v>-7.6086956521739246E-2</v>
      </c>
      <c r="O24" s="355">
        <f t="shared" si="0"/>
        <v>0</v>
      </c>
      <c r="P24" s="355">
        <f t="shared" si="0"/>
        <v>-2.7027027027027084E-2</v>
      </c>
    </row>
    <row r="25" spans="2:16" x14ac:dyDescent="0.2">
      <c r="B25" s="351" t="s">
        <v>1736</v>
      </c>
      <c r="C25" s="351" t="s">
        <v>1753</v>
      </c>
      <c r="D25" s="351" t="s">
        <v>1754</v>
      </c>
      <c r="E25" s="351">
        <v>12</v>
      </c>
      <c r="F25" s="351">
        <v>0.85</v>
      </c>
      <c r="G25" s="351">
        <v>1.02</v>
      </c>
      <c r="H25" s="351">
        <v>1.76</v>
      </c>
      <c r="I25" s="354"/>
      <c r="J25" s="351">
        <v>0.92</v>
      </c>
      <c r="K25" s="351">
        <v>1.02</v>
      </c>
      <c r="L25" s="351">
        <v>1.8</v>
      </c>
      <c r="N25" s="355">
        <f t="shared" si="0"/>
        <v>-7.6086956521739246E-2</v>
      </c>
      <c r="O25" s="355">
        <f t="shared" si="0"/>
        <v>0</v>
      </c>
      <c r="P25" s="355">
        <f t="shared" si="0"/>
        <v>-2.2222222222222254E-2</v>
      </c>
    </row>
    <row r="26" spans="2:16" x14ac:dyDescent="0.2">
      <c r="B26" s="351" t="s">
        <v>1736</v>
      </c>
      <c r="C26" s="351" t="s">
        <v>1753</v>
      </c>
      <c r="D26" s="351" t="s">
        <v>1754</v>
      </c>
      <c r="E26" s="351">
        <v>13</v>
      </c>
      <c r="F26" s="351">
        <v>0.85</v>
      </c>
      <c r="G26" s="351">
        <v>1.02</v>
      </c>
      <c r="H26" s="351">
        <v>1.72</v>
      </c>
      <c r="I26" s="354"/>
      <c r="J26" s="351">
        <v>0.92</v>
      </c>
      <c r="K26" s="351">
        <v>1.02</v>
      </c>
      <c r="L26" s="351">
        <v>1.76</v>
      </c>
      <c r="N26" s="355">
        <f t="shared" si="0"/>
        <v>-7.6086956521739246E-2</v>
      </c>
      <c r="O26" s="355">
        <f t="shared" si="0"/>
        <v>0</v>
      </c>
      <c r="P26" s="355">
        <f t="shared" si="0"/>
        <v>-2.2727272727272707E-2</v>
      </c>
    </row>
    <row r="27" spans="2:16" x14ac:dyDescent="0.2">
      <c r="B27" s="351" t="s">
        <v>1736</v>
      </c>
      <c r="C27" s="351" t="s">
        <v>1753</v>
      </c>
      <c r="D27" s="351" t="s">
        <v>1754</v>
      </c>
      <c r="E27" s="351">
        <v>14</v>
      </c>
      <c r="F27" s="351">
        <v>0.85</v>
      </c>
      <c r="G27" s="351">
        <v>1.02</v>
      </c>
      <c r="H27" s="351">
        <v>1.68</v>
      </c>
      <c r="I27" s="354"/>
      <c r="J27" s="351">
        <v>0.92</v>
      </c>
      <c r="K27" s="351">
        <v>1.02</v>
      </c>
      <c r="L27" s="351">
        <v>1.72</v>
      </c>
      <c r="N27" s="355">
        <f t="shared" si="0"/>
        <v>-7.6086956521739246E-2</v>
      </c>
      <c r="O27" s="355">
        <f t="shared" si="0"/>
        <v>0</v>
      </c>
      <c r="P27" s="355">
        <f t="shared" si="0"/>
        <v>-2.3255813953488413E-2</v>
      </c>
    </row>
    <row r="28" spans="2:16" x14ac:dyDescent="0.2">
      <c r="B28" s="351" t="s">
        <v>1736</v>
      </c>
      <c r="C28" s="351" t="s">
        <v>1753</v>
      </c>
      <c r="D28" s="351" t="s">
        <v>1754</v>
      </c>
      <c r="E28" s="351">
        <v>15</v>
      </c>
      <c r="F28" s="351">
        <v>0.85</v>
      </c>
      <c r="G28" s="351">
        <v>1.02</v>
      </c>
      <c r="H28" s="351">
        <v>1.64</v>
      </c>
      <c r="I28" s="354"/>
      <c r="J28" s="351">
        <v>0.92</v>
      </c>
      <c r="K28" s="351">
        <v>1.02</v>
      </c>
      <c r="L28" s="351">
        <v>1.68</v>
      </c>
      <c r="N28" s="355">
        <f t="shared" si="0"/>
        <v>-7.6086956521739246E-2</v>
      </c>
      <c r="O28" s="355">
        <f t="shared" si="0"/>
        <v>0</v>
      </c>
      <c r="P28" s="355">
        <f t="shared" si="0"/>
        <v>-2.3809523809523836E-2</v>
      </c>
    </row>
    <row r="29" spans="2:16" x14ac:dyDescent="0.2">
      <c r="B29" s="351" t="s">
        <v>1736</v>
      </c>
      <c r="C29" s="351" t="s">
        <v>1753</v>
      </c>
      <c r="D29" s="351" t="s">
        <v>1754</v>
      </c>
      <c r="E29" s="351">
        <v>16</v>
      </c>
      <c r="F29" s="351">
        <v>0.85</v>
      </c>
      <c r="G29" s="351">
        <v>1.02</v>
      </c>
      <c r="H29" s="351">
        <v>1.61</v>
      </c>
      <c r="I29" s="354"/>
      <c r="J29" s="351">
        <v>0.92</v>
      </c>
      <c r="K29" s="351">
        <v>1.02</v>
      </c>
      <c r="L29" s="351">
        <v>1.64</v>
      </c>
      <c r="N29" s="355">
        <f t="shared" si="0"/>
        <v>-7.6086956521739246E-2</v>
      </c>
      <c r="O29" s="355">
        <f t="shared" si="0"/>
        <v>0</v>
      </c>
      <c r="P29" s="355">
        <f t="shared" si="0"/>
        <v>-1.8292682926829174E-2</v>
      </c>
    </row>
    <row r="30" spans="2:16" x14ac:dyDescent="0.2">
      <c r="B30" s="351" t="s">
        <v>1736</v>
      </c>
      <c r="C30" s="351" t="s">
        <v>1753</v>
      </c>
      <c r="D30" s="351" t="s">
        <v>1754</v>
      </c>
      <c r="E30" s="351">
        <v>17</v>
      </c>
      <c r="F30" s="351">
        <v>0.85</v>
      </c>
      <c r="G30" s="351">
        <v>1.02</v>
      </c>
      <c r="H30" s="351">
        <v>1.58</v>
      </c>
      <c r="I30" s="354"/>
      <c r="J30" s="351">
        <v>0.92</v>
      </c>
      <c r="K30" s="351">
        <v>1.02</v>
      </c>
      <c r="L30" s="351">
        <v>1.61</v>
      </c>
      <c r="N30" s="355">
        <f t="shared" si="0"/>
        <v>-7.6086956521739246E-2</v>
      </c>
      <c r="O30" s="355">
        <f t="shared" si="0"/>
        <v>0</v>
      </c>
      <c r="P30" s="355">
        <f t="shared" si="0"/>
        <v>-1.8633540372670843E-2</v>
      </c>
    </row>
    <row r="31" spans="2:16" x14ac:dyDescent="0.2">
      <c r="B31" s="351" t="s">
        <v>1736</v>
      </c>
      <c r="C31" s="351" t="s">
        <v>1753</v>
      </c>
      <c r="D31" s="351" t="s">
        <v>1754</v>
      </c>
      <c r="E31" s="351">
        <v>18</v>
      </c>
      <c r="F31" s="351">
        <v>0.85</v>
      </c>
      <c r="G31" s="351">
        <v>1.02</v>
      </c>
      <c r="H31" s="351">
        <v>1.55</v>
      </c>
      <c r="I31" s="354"/>
      <c r="J31" s="351">
        <v>0.92</v>
      </c>
      <c r="K31" s="351">
        <v>1.02</v>
      </c>
      <c r="L31" s="351">
        <v>1.58</v>
      </c>
      <c r="N31" s="355">
        <f t="shared" si="0"/>
        <v>-7.6086956521739246E-2</v>
      </c>
      <c r="O31" s="355">
        <f t="shared" si="0"/>
        <v>0</v>
      </c>
      <c r="P31" s="355">
        <f t="shared" si="0"/>
        <v>-1.8987341772151889E-2</v>
      </c>
    </row>
    <row r="32" spans="2:16" x14ac:dyDescent="0.2">
      <c r="B32" s="351" t="s">
        <v>1736</v>
      </c>
      <c r="C32" s="351" t="s">
        <v>1753</v>
      </c>
      <c r="D32" s="351" t="s">
        <v>1754</v>
      </c>
      <c r="E32" s="351">
        <v>19</v>
      </c>
      <c r="F32" s="351">
        <v>0.85</v>
      </c>
      <c r="G32" s="351">
        <v>1.02</v>
      </c>
      <c r="H32" s="351">
        <v>1.52</v>
      </c>
      <c r="I32" s="354"/>
      <c r="J32" s="351">
        <v>0.92</v>
      </c>
      <c r="K32" s="351">
        <v>1.02</v>
      </c>
      <c r="L32" s="351">
        <v>1.55</v>
      </c>
      <c r="N32" s="355">
        <f t="shared" si="0"/>
        <v>-7.6086956521739246E-2</v>
      </c>
      <c r="O32" s="355">
        <f t="shared" si="0"/>
        <v>0</v>
      </c>
      <c r="P32" s="355">
        <f t="shared" si="0"/>
        <v>-1.9354838709677469E-2</v>
      </c>
    </row>
    <row r="33" spans="2:16" x14ac:dyDescent="0.2">
      <c r="B33" s="351" t="s">
        <v>1736</v>
      </c>
      <c r="C33" s="351" t="s">
        <v>1753</v>
      </c>
      <c r="D33" s="351" t="s">
        <v>1754</v>
      </c>
      <c r="E33" s="351">
        <v>20</v>
      </c>
      <c r="F33" s="351">
        <v>0.85</v>
      </c>
      <c r="G33" s="351">
        <v>1.02</v>
      </c>
      <c r="H33" s="351">
        <v>1.49</v>
      </c>
      <c r="I33" s="354"/>
      <c r="J33" s="351">
        <v>0.92</v>
      </c>
      <c r="K33" s="351">
        <v>1.02</v>
      </c>
      <c r="L33" s="351">
        <v>1.52</v>
      </c>
      <c r="N33" s="355">
        <f t="shared" si="0"/>
        <v>-7.6086956521739246E-2</v>
      </c>
      <c r="O33" s="355">
        <f t="shared" si="0"/>
        <v>0</v>
      </c>
      <c r="P33" s="355">
        <f t="shared" si="0"/>
        <v>-1.9736842105263164E-2</v>
      </c>
    </row>
    <row r="34" spans="2:16" x14ac:dyDescent="0.2">
      <c r="B34" s="351" t="s">
        <v>1736</v>
      </c>
      <c r="C34" s="351" t="s">
        <v>1753</v>
      </c>
      <c r="D34" s="351" t="s">
        <v>1754</v>
      </c>
      <c r="E34" s="351">
        <v>21</v>
      </c>
      <c r="F34" s="351">
        <v>0.85</v>
      </c>
      <c r="G34" s="351">
        <v>1.02</v>
      </c>
      <c r="H34" s="351">
        <v>1.46</v>
      </c>
      <c r="I34" s="354"/>
      <c r="J34" s="351">
        <v>0.92</v>
      </c>
      <c r="K34" s="351">
        <v>1.02</v>
      </c>
      <c r="L34" s="351">
        <v>1.49</v>
      </c>
      <c r="N34" s="355">
        <f t="shared" si="0"/>
        <v>-7.6086956521739246E-2</v>
      </c>
      <c r="O34" s="355">
        <f t="shared" si="0"/>
        <v>0</v>
      </c>
      <c r="P34" s="355">
        <f t="shared" si="0"/>
        <v>-2.0134228187919434E-2</v>
      </c>
    </row>
    <row r="35" spans="2:16" x14ac:dyDescent="0.2">
      <c r="B35" s="351" t="s">
        <v>1736</v>
      </c>
      <c r="C35" s="351" t="s">
        <v>1753</v>
      </c>
      <c r="D35" s="351" t="s">
        <v>1754</v>
      </c>
      <c r="E35" s="351">
        <v>22</v>
      </c>
      <c r="F35" s="351">
        <v>0.85</v>
      </c>
      <c r="G35" s="351">
        <v>1.02</v>
      </c>
      <c r="H35" s="351">
        <v>1.43</v>
      </c>
      <c r="I35" s="354"/>
      <c r="J35" s="351">
        <v>0.92</v>
      </c>
      <c r="K35" s="351">
        <v>1.02</v>
      </c>
      <c r="L35" s="351">
        <v>1.46</v>
      </c>
      <c r="N35" s="355">
        <f t="shared" si="0"/>
        <v>-7.6086956521739246E-2</v>
      </c>
      <c r="O35" s="355">
        <f t="shared" si="0"/>
        <v>0</v>
      </c>
      <c r="P35" s="355">
        <f t="shared" si="0"/>
        <v>-2.0547945205479423E-2</v>
      </c>
    </row>
    <row r="36" spans="2:16" x14ac:dyDescent="0.2">
      <c r="B36" s="351" t="s">
        <v>1736</v>
      </c>
      <c r="C36" s="351" t="s">
        <v>1753</v>
      </c>
      <c r="D36" s="351" t="s">
        <v>1754</v>
      </c>
      <c r="E36" s="351">
        <v>23</v>
      </c>
      <c r="F36" s="351">
        <v>0.85</v>
      </c>
      <c r="G36" s="351">
        <v>1.02</v>
      </c>
      <c r="H36" s="351">
        <v>1.4</v>
      </c>
      <c r="I36" s="354"/>
      <c r="J36" s="351">
        <v>0.92</v>
      </c>
      <c r="K36" s="351">
        <v>1.02</v>
      </c>
      <c r="L36" s="351">
        <v>1.43</v>
      </c>
      <c r="N36" s="355">
        <f t="shared" si="0"/>
        <v>-7.6086956521739246E-2</v>
      </c>
      <c r="O36" s="355">
        <f t="shared" si="0"/>
        <v>0</v>
      </c>
      <c r="P36" s="355">
        <f t="shared" si="0"/>
        <v>-2.0979020979021046E-2</v>
      </c>
    </row>
    <row r="37" spans="2:16" x14ac:dyDescent="0.2">
      <c r="B37" s="351" t="s">
        <v>1736</v>
      </c>
      <c r="C37" s="351" t="s">
        <v>1753</v>
      </c>
      <c r="D37" s="351" t="s">
        <v>1754</v>
      </c>
      <c r="E37" s="351">
        <v>24</v>
      </c>
      <c r="F37" s="351">
        <v>0.85</v>
      </c>
      <c r="G37" s="351">
        <v>1.02</v>
      </c>
      <c r="H37" s="351">
        <v>1.38</v>
      </c>
      <c r="I37" s="354"/>
      <c r="J37" s="351">
        <v>0.92</v>
      </c>
      <c r="K37" s="351">
        <v>1.02</v>
      </c>
      <c r="L37" s="351">
        <v>1.4</v>
      </c>
      <c r="N37" s="355">
        <f t="shared" si="0"/>
        <v>-7.6086956521739246E-2</v>
      </c>
      <c r="O37" s="355">
        <f t="shared" si="0"/>
        <v>0</v>
      </c>
      <c r="P37" s="355">
        <f t="shared" si="0"/>
        <v>-1.4285714285714346E-2</v>
      </c>
    </row>
    <row r="38" spans="2:16" x14ac:dyDescent="0.2">
      <c r="B38" s="351" t="s">
        <v>1736</v>
      </c>
      <c r="C38" s="351" t="s">
        <v>1753</v>
      </c>
      <c r="D38" s="351" t="s">
        <v>1754</v>
      </c>
      <c r="E38" s="351">
        <v>25</v>
      </c>
      <c r="F38" s="351">
        <v>0.85</v>
      </c>
      <c r="G38" s="351">
        <v>1.02</v>
      </c>
      <c r="H38" s="351">
        <v>1.36</v>
      </c>
      <c r="I38" s="354"/>
      <c r="J38" s="351">
        <v>0.92</v>
      </c>
      <c r="K38" s="351">
        <v>1.02</v>
      </c>
      <c r="L38" s="351">
        <v>1.38</v>
      </c>
      <c r="N38" s="355">
        <f t="shared" si="0"/>
        <v>-7.6086956521739246E-2</v>
      </c>
      <c r="O38" s="355">
        <f t="shared" si="0"/>
        <v>0</v>
      </c>
      <c r="P38" s="355">
        <f t="shared" si="0"/>
        <v>-1.4492753623188248E-2</v>
      </c>
    </row>
    <row r="39" spans="2:16" x14ac:dyDescent="0.2">
      <c r="B39" s="351" t="s">
        <v>1736</v>
      </c>
      <c r="C39" s="351" t="s">
        <v>1753</v>
      </c>
      <c r="D39" s="351" t="s">
        <v>1754</v>
      </c>
      <c r="E39" s="351">
        <v>26</v>
      </c>
      <c r="F39" s="351">
        <v>0.85</v>
      </c>
      <c r="G39" s="351">
        <v>1.02</v>
      </c>
      <c r="H39" s="351">
        <v>1.34</v>
      </c>
      <c r="I39" s="354"/>
      <c r="J39" s="351">
        <v>0.92</v>
      </c>
      <c r="K39" s="351">
        <v>1.02</v>
      </c>
      <c r="L39" s="351">
        <v>1.36</v>
      </c>
      <c r="N39" s="355">
        <f t="shared" si="0"/>
        <v>-7.6086956521739246E-2</v>
      </c>
      <c r="O39" s="355">
        <f t="shared" si="0"/>
        <v>0</v>
      </c>
      <c r="P39" s="355">
        <f t="shared" si="0"/>
        <v>-1.4705882352941235E-2</v>
      </c>
    </row>
    <row r="40" spans="2:16" x14ac:dyDescent="0.2">
      <c r="B40" s="351" t="s">
        <v>1736</v>
      </c>
      <c r="C40" s="351" t="s">
        <v>1753</v>
      </c>
      <c r="D40" s="351" t="s">
        <v>1754</v>
      </c>
      <c r="E40" s="351">
        <v>27</v>
      </c>
      <c r="F40" s="351">
        <v>0.85</v>
      </c>
      <c r="G40" s="351">
        <v>1.02</v>
      </c>
      <c r="H40" s="351">
        <v>1.32</v>
      </c>
      <c r="I40" s="354"/>
      <c r="J40" s="351">
        <v>0.92</v>
      </c>
      <c r="K40" s="351">
        <v>1.02</v>
      </c>
      <c r="L40" s="351">
        <v>1.34</v>
      </c>
      <c r="N40" s="355">
        <f t="shared" si="0"/>
        <v>-7.6086956521739246E-2</v>
      </c>
      <c r="O40" s="355">
        <f t="shared" si="0"/>
        <v>0</v>
      </c>
      <c r="P40" s="355">
        <f t="shared" si="0"/>
        <v>-1.4925373134328401E-2</v>
      </c>
    </row>
    <row r="41" spans="2:16" x14ac:dyDescent="0.2">
      <c r="B41" s="351" t="s">
        <v>1736</v>
      </c>
      <c r="C41" s="351" t="s">
        <v>1753</v>
      </c>
      <c r="D41" s="351" t="s">
        <v>1754</v>
      </c>
      <c r="E41" s="351">
        <v>28</v>
      </c>
      <c r="F41" s="351">
        <v>0.85</v>
      </c>
      <c r="G41" s="351">
        <v>1.02</v>
      </c>
      <c r="H41" s="351">
        <v>1.3</v>
      </c>
      <c r="I41" s="354"/>
      <c r="J41" s="351">
        <v>0.92</v>
      </c>
      <c r="K41" s="351">
        <v>1.02</v>
      </c>
      <c r="L41" s="351">
        <v>1.32</v>
      </c>
      <c r="N41" s="355">
        <f t="shared" si="0"/>
        <v>-7.6086956521739246E-2</v>
      </c>
      <c r="O41" s="355">
        <f t="shared" si="0"/>
        <v>0</v>
      </c>
      <c r="P41" s="355">
        <f t="shared" si="0"/>
        <v>-1.5151515151515138E-2</v>
      </c>
    </row>
    <row r="42" spans="2:16" x14ac:dyDescent="0.2">
      <c r="B42" s="351" t="s">
        <v>1736</v>
      </c>
      <c r="C42" s="351" t="s">
        <v>1753</v>
      </c>
      <c r="D42" s="351" t="s">
        <v>1754</v>
      </c>
      <c r="E42" s="351">
        <v>29</v>
      </c>
      <c r="F42" s="351">
        <v>0.85</v>
      </c>
      <c r="G42" s="351">
        <v>1.02</v>
      </c>
      <c r="H42" s="351">
        <v>1.28</v>
      </c>
      <c r="I42" s="354"/>
      <c r="J42" s="351">
        <v>0.92</v>
      </c>
      <c r="K42" s="351">
        <v>1.02</v>
      </c>
      <c r="L42" s="351">
        <v>1.3</v>
      </c>
      <c r="N42" s="355">
        <f t="shared" si="0"/>
        <v>-7.6086956521739246E-2</v>
      </c>
      <c r="O42" s="355">
        <f t="shared" si="0"/>
        <v>0</v>
      </c>
      <c r="P42" s="355">
        <f t="shared" si="0"/>
        <v>-1.5384615384615441E-2</v>
      </c>
    </row>
    <row r="43" spans="2:16" x14ac:dyDescent="0.2">
      <c r="B43" s="351" t="s">
        <v>1736</v>
      </c>
      <c r="C43" s="351" t="s">
        <v>1753</v>
      </c>
      <c r="D43" s="351" t="s">
        <v>1754</v>
      </c>
      <c r="E43" s="351">
        <v>30</v>
      </c>
      <c r="F43" s="351">
        <v>0.85</v>
      </c>
      <c r="G43" s="351">
        <v>1.02</v>
      </c>
      <c r="H43" s="351">
        <v>1.27</v>
      </c>
      <c r="I43" s="354"/>
      <c r="J43" s="351">
        <v>0.92</v>
      </c>
      <c r="K43" s="351">
        <v>1.02</v>
      </c>
      <c r="L43" s="351">
        <v>1.28</v>
      </c>
      <c r="N43" s="355">
        <f t="shared" si="0"/>
        <v>-7.6086956521739246E-2</v>
      </c>
      <c r="O43" s="355">
        <f t="shared" si="0"/>
        <v>0</v>
      </c>
      <c r="P43" s="355">
        <f t="shared" si="0"/>
        <v>-7.8125E-3</v>
      </c>
    </row>
    <row r="44" spans="2:16" x14ac:dyDescent="0.2">
      <c r="B44" s="351" t="s">
        <v>1736</v>
      </c>
      <c r="C44" s="351" t="s">
        <v>1753</v>
      </c>
      <c r="D44" s="351" t="s">
        <v>1754</v>
      </c>
      <c r="E44" s="351">
        <v>31</v>
      </c>
      <c r="F44" s="351">
        <v>0.85</v>
      </c>
      <c r="G44" s="351">
        <v>1.02</v>
      </c>
      <c r="H44" s="351">
        <v>1.26</v>
      </c>
      <c r="I44" s="354"/>
      <c r="J44" s="351">
        <v>0.92</v>
      </c>
      <c r="K44" s="351">
        <v>1.02</v>
      </c>
      <c r="L44" s="351">
        <v>1.27</v>
      </c>
      <c r="N44" s="355">
        <f t="shared" si="0"/>
        <v>-7.6086956521739246E-2</v>
      </c>
      <c r="O44" s="355">
        <f t="shared" si="0"/>
        <v>0</v>
      </c>
      <c r="P44" s="355">
        <f t="shared" si="0"/>
        <v>-7.8740157480314821E-3</v>
      </c>
    </row>
    <row r="45" spans="2:16" x14ac:dyDescent="0.2">
      <c r="B45" s="351" t="s">
        <v>1736</v>
      </c>
      <c r="C45" s="351" t="s">
        <v>1753</v>
      </c>
      <c r="D45" s="351" t="s">
        <v>1754</v>
      </c>
      <c r="E45" s="351">
        <v>32</v>
      </c>
      <c r="F45" s="351">
        <v>0.85</v>
      </c>
      <c r="G45" s="351">
        <v>1.02</v>
      </c>
      <c r="H45" s="351">
        <v>1.25</v>
      </c>
      <c r="I45" s="354"/>
      <c r="J45" s="351">
        <v>0.92</v>
      </c>
      <c r="K45" s="351">
        <v>1.02</v>
      </c>
      <c r="L45" s="351">
        <v>1.26</v>
      </c>
      <c r="N45" s="355">
        <f t="shared" si="0"/>
        <v>-7.6086956521739246E-2</v>
      </c>
      <c r="O45" s="355">
        <f t="shared" si="0"/>
        <v>0</v>
      </c>
      <c r="P45" s="355">
        <f t="shared" si="0"/>
        <v>-7.9365079365079083E-3</v>
      </c>
    </row>
    <row r="46" spans="2:16" x14ac:dyDescent="0.2">
      <c r="B46" s="351" t="s">
        <v>1736</v>
      </c>
      <c r="C46" s="351" t="s">
        <v>1753</v>
      </c>
      <c r="D46" s="351" t="s">
        <v>1754</v>
      </c>
      <c r="E46" s="351">
        <v>33</v>
      </c>
      <c r="F46" s="351">
        <v>0.85</v>
      </c>
      <c r="G46" s="351">
        <v>1.02</v>
      </c>
      <c r="H46" s="351">
        <v>1.24</v>
      </c>
      <c r="I46" s="354"/>
      <c r="J46" s="351">
        <v>0.92</v>
      </c>
      <c r="K46" s="351">
        <v>1.02</v>
      </c>
      <c r="L46" s="351">
        <v>1.25</v>
      </c>
      <c r="N46" s="355">
        <f t="shared" si="0"/>
        <v>-7.6086956521739246E-2</v>
      </c>
      <c r="O46" s="355">
        <f t="shared" si="0"/>
        <v>0</v>
      </c>
      <c r="P46" s="355">
        <f t="shared" si="0"/>
        <v>-8.0000000000000071E-3</v>
      </c>
    </row>
    <row r="47" spans="2:16" x14ac:dyDescent="0.2">
      <c r="B47" s="351" t="s">
        <v>1736</v>
      </c>
      <c r="C47" s="351" t="s">
        <v>1753</v>
      </c>
      <c r="D47" s="351" t="s">
        <v>1754</v>
      </c>
      <c r="E47" s="351">
        <v>34</v>
      </c>
      <c r="F47" s="351">
        <v>0.85</v>
      </c>
      <c r="G47" s="351">
        <v>1.02</v>
      </c>
      <c r="H47" s="351">
        <v>1.23</v>
      </c>
      <c r="I47" s="354"/>
      <c r="J47" s="351">
        <v>0.92</v>
      </c>
      <c r="K47" s="351">
        <v>1.02</v>
      </c>
      <c r="L47" s="351">
        <v>1.24</v>
      </c>
      <c r="N47" s="355">
        <f t="shared" si="0"/>
        <v>-7.6086956521739246E-2</v>
      </c>
      <c r="O47" s="355">
        <f t="shared" si="0"/>
        <v>0</v>
      </c>
      <c r="P47" s="355">
        <f t="shared" si="0"/>
        <v>-8.0645161290322509E-3</v>
      </c>
    </row>
    <row r="48" spans="2:16" x14ac:dyDescent="0.2">
      <c r="B48" s="351" t="s">
        <v>1736</v>
      </c>
      <c r="C48" s="351" t="s">
        <v>1753</v>
      </c>
      <c r="D48" s="351" t="s">
        <v>1754</v>
      </c>
      <c r="E48" s="351">
        <v>35</v>
      </c>
      <c r="F48" s="351">
        <v>0.85</v>
      </c>
      <c r="G48" s="351">
        <v>1.02</v>
      </c>
      <c r="H48" s="351">
        <v>1.22</v>
      </c>
      <c r="I48" s="354"/>
      <c r="J48" s="351">
        <v>0.92</v>
      </c>
      <c r="K48" s="351">
        <v>1.02</v>
      </c>
      <c r="L48" s="351">
        <v>1.23</v>
      </c>
      <c r="N48" s="355">
        <f t="shared" si="0"/>
        <v>-7.6086956521739246E-2</v>
      </c>
      <c r="O48" s="355">
        <f t="shared" si="0"/>
        <v>0</v>
      </c>
      <c r="P48" s="355">
        <f t="shared" si="0"/>
        <v>-8.1300813008130524E-3</v>
      </c>
    </row>
    <row r="49" spans="2:16" x14ac:dyDescent="0.2">
      <c r="B49" s="351" t="s">
        <v>1736</v>
      </c>
      <c r="C49" s="351" t="s">
        <v>1753</v>
      </c>
      <c r="D49" s="351" t="s">
        <v>1754</v>
      </c>
      <c r="E49" s="351">
        <v>36</v>
      </c>
      <c r="F49" s="351">
        <v>0.85</v>
      </c>
      <c r="G49" s="351">
        <v>1.02</v>
      </c>
      <c r="H49" s="351">
        <v>1.21</v>
      </c>
      <c r="I49" s="354"/>
      <c r="J49" s="351">
        <v>0.92</v>
      </c>
      <c r="K49" s="351">
        <v>1.02</v>
      </c>
      <c r="L49" s="351">
        <v>1.22</v>
      </c>
      <c r="N49" s="355">
        <f t="shared" si="0"/>
        <v>-7.6086956521739246E-2</v>
      </c>
      <c r="O49" s="355">
        <f t="shared" si="0"/>
        <v>0</v>
      </c>
      <c r="P49" s="355">
        <f t="shared" si="0"/>
        <v>-8.1967213114754189E-3</v>
      </c>
    </row>
    <row r="50" spans="2:16" x14ac:dyDescent="0.2">
      <c r="B50" s="351" t="s">
        <v>1736</v>
      </c>
      <c r="C50" s="351" t="s">
        <v>1753</v>
      </c>
      <c r="D50" s="351" t="s">
        <v>1754</v>
      </c>
      <c r="E50" s="351">
        <v>37</v>
      </c>
      <c r="F50" s="351">
        <v>0.85</v>
      </c>
      <c r="G50" s="351">
        <v>1.02</v>
      </c>
      <c r="H50" s="351">
        <v>1.2</v>
      </c>
      <c r="I50" s="354"/>
      <c r="J50" s="351">
        <v>0.92</v>
      </c>
      <c r="K50" s="351">
        <v>1.02</v>
      </c>
      <c r="L50" s="351">
        <v>1.21</v>
      </c>
      <c r="N50" s="355">
        <f t="shared" si="0"/>
        <v>-7.6086956521739246E-2</v>
      </c>
      <c r="O50" s="355">
        <f t="shared" si="0"/>
        <v>0</v>
      </c>
      <c r="P50" s="355">
        <f t="shared" si="0"/>
        <v>-8.2644628099173278E-3</v>
      </c>
    </row>
    <row r="51" spans="2:16" x14ac:dyDescent="0.2">
      <c r="B51" s="351" t="s">
        <v>1736</v>
      </c>
      <c r="C51" s="351" t="s">
        <v>1753</v>
      </c>
      <c r="D51" s="351" t="s">
        <v>1754</v>
      </c>
      <c r="E51" s="351">
        <v>38</v>
      </c>
      <c r="F51" s="351">
        <v>0.85</v>
      </c>
      <c r="G51" s="351">
        <v>1.02</v>
      </c>
      <c r="H51" s="351">
        <v>1.19</v>
      </c>
      <c r="I51" s="354"/>
      <c r="J51" s="351">
        <v>0.92</v>
      </c>
      <c r="K51" s="351">
        <v>1.02</v>
      </c>
      <c r="L51" s="351">
        <v>1.2</v>
      </c>
      <c r="N51" s="355">
        <f t="shared" si="0"/>
        <v>-7.6086956521739246E-2</v>
      </c>
      <c r="O51" s="355">
        <f t="shared" si="0"/>
        <v>0</v>
      </c>
      <c r="P51" s="355">
        <f t="shared" si="0"/>
        <v>-8.3333333333333037E-3</v>
      </c>
    </row>
    <row r="52" spans="2:16" x14ac:dyDescent="0.2">
      <c r="B52" s="351" t="s">
        <v>1736</v>
      </c>
      <c r="C52" s="351" t="s">
        <v>1753</v>
      </c>
      <c r="D52" s="351" t="s">
        <v>1754</v>
      </c>
      <c r="E52" s="351">
        <v>39</v>
      </c>
      <c r="F52" s="351">
        <v>0.85</v>
      </c>
      <c r="G52" s="351">
        <v>1.02</v>
      </c>
      <c r="H52" s="351">
        <v>1.18</v>
      </c>
      <c r="I52" s="354"/>
      <c r="J52" s="351">
        <v>0.92</v>
      </c>
      <c r="K52" s="351">
        <v>1.02</v>
      </c>
      <c r="L52" s="351">
        <v>1.19</v>
      </c>
      <c r="N52" s="355">
        <f t="shared" si="0"/>
        <v>-7.6086956521739246E-2</v>
      </c>
      <c r="O52" s="355">
        <f t="shared" si="0"/>
        <v>0</v>
      </c>
      <c r="P52" s="355">
        <f t="shared" si="0"/>
        <v>-8.4033613445377853E-3</v>
      </c>
    </row>
    <row r="53" spans="2:16" x14ac:dyDescent="0.2">
      <c r="B53" s="351" t="s">
        <v>1736</v>
      </c>
      <c r="C53" s="351" t="s">
        <v>1753</v>
      </c>
      <c r="D53" s="351" t="s">
        <v>1754</v>
      </c>
      <c r="E53" s="351">
        <v>40</v>
      </c>
      <c r="F53" s="351">
        <v>0.85</v>
      </c>
      <c r="G53" s="351">
        <v>1.02</v>
      </c>
      <c r="H53" s="351">
        <v>1.17</v>
      </c>
      <c r="I53" s="354"/>
      <c r="J53" s="351">
        <v>0.92</v>
      </c>
      <c r="K53" s="351">
        <v>1.02</v>
      </c>
      <c r="L53" s="351">
        <v>1.18</v>
      </c>
      <c r="N53" s="355">
        <f t="shared" si="0"/>
        <v>-7.6086956521739246E-2</v>
      </c>
      <c r="O53" s="355">
        <f t="shared" si="0"/>
        <v>0</v>
      </c>
      <c r="P53" s="355">
        <f t="shared" si="0"/>
        <v>-8.4745762711864181E-3</v>
      </c>
    </row>
    <row r="54" spans="2:16" x14ac:dyDescent="0.2">
      <c r="B54" s="351" t="s">
        <v>1736</v>
      </c>
      <c r="C54" s="351" t="s">
        <v>1753</v>
      </c>
      <c r="D54" s="351" t="s">
        <v>1754</v>
      </c>
      <c r="E54" s="351">
        <v>41</v>
      </c>
      <c r="F54" s="351">
        <v>0.85</v>
      </c>
      <c r="G54" s="351">
        <v>1.02</v>
      </c>
      <c r="H54" s="351">
        <v>1.1599999999999999</v>
      </c>
      <c r="I54" s="354"/>
      <c r="J54" s="351">
        <v>0.92</v>
      </c>
      <c r="K54" s="351">
        <v>1.02</v>
      </c>
      <c r="L54" s="351">
        <v>1.17</v>
      </c>
      <c r="N54" s="355">
        <f t="shared" si="0"/>
        <v>-7.6086956521739246E-2</v>
      </c>
      <c r="O54" s="355">
        <f t="shared" si="0"/>
        <v>0</v>
      </c>
      <c r="P54" s="355">
        <f t="shared" si="0"/>
        <v>-8.5470085470085166E-3</v>
      </c>
    </row>
    <row r="55" spans="2:16" x14ac:dyDescent="0.2">
      <c r="B55" s="351" t="s">
        <v>1736</v>
      </c>
      <c r="C55" s="351" t="s">
        <v>1753</v>
      </c>
      <c r="D55" s="351" t="s">
        <v>1754</v>
      </c>
      <c r="E55" s="351">
        <v>42</v>
      </c>
      <c r="F55" s="351">
        <v>0.85</v>
      </c>
      <c r="G55" s="351">
        <v>1.02</v>
      </c>
      <c r="H55" s="351">
        <v>1.1499999999999999</v>
      </c>
      <c r="I55" s="354"/>
      <c r="J55" s="351">
        <v>0.92</v>
      </c>
      <c r="K55" s="351">
        <v>1.02</v>
      </c>
      <c r="L55" s="351">
        <v>1.1599999999999999</v>
      </c>
      <c r="N55" s="355">
        <f t="shared" si="0"/>
        <v>-7.6086956521739246E-2</v>
      </c>
      <c r="O55" s="355">
        <f t="shared" si="0"/>
        <v>0</v>
      </c>
      <c r="P55" s="355">
        <f t="shared" si="0"/>
        <v>-8.6206896551723755E-3</v>
      </c>
    </row>
    <row r="56" spans="2:16" x14ac:dyDescent="0.2">
      <c r="B56" s="351" t="s">
        <v>1736</v>
      </c>
      <c r="C56" s="351" t="s">
        <v>1753</v>
      </c>
      <c r="D56" s="351" t="s">
        <v>1754</v>
      </c>
      <c r="E56" s="351">
        <v>43</v>
      </c>
      <c r="F56" s="351">
        <v>0.85</v>
      </c>
      <c r="G56" s="351">
        <v>1.02</v>
      </c>
      <c r="H56" s="351">
        <v>1.1399999999999999</v>
      </c>
      <c r="I56" s="354"/>
      <c r="J56" s="351">
        <v>0.92</v>
      </c>
      <c r="K56" s="351">
        <v>1.02</v>
      </c>
      <c r="L56" s="351">
        <v>1.1499999999999999</v>
      </c>
      <c r="N56" s="355">
        <f t="shared" si="0"/>
        <v>-7.6086956521739246E-2</v>
      </c>
      <c r="O56" s="355">
        <f t="shared" si="0"/>
        <v>0</v>
      </c>
      <c r="P56" s="355">
        <f t="shared" si="0"/>
        <v>-8.6956521739131043E-3</v>
      </c>
    </row>
    <row r="57" spans="2:16" x14ac:dyDescent="0.2">
      <c r="B57" s="351" t="s">
        <v>1736</v>
      </c>
      <c r="C57" s="351" t="s">
        <v>1753</v>
      </c>
      <c r="D57" s="351" t="s">
        <v>1754</v>
      </c>
      <c r="E57" s="351">
        <v>44</v>
      </c>
      <c r="F57" s="351">
        <v>0.85</v>
      </c>
      <c r="G57" s="351">
        <v>1.02</v>
      </c>
      <c r="H57" s="351">
        <v>1.1299999999999999</v>
      </c>
      <c r="I57" s="354"/>
      <c r="J57" s="351">
        <v>0.92</v>
      </c>
      <c r="K57" s="351">
        <v>1.02</v>
      </c>
      <c r="L57" s="351">
        <v>1.1399999999999999</v>
      </c>
      <c r="N57" s="355">
        <f t="shared" si="0"/>
        <v>-7.6086956521739246E-2</v>
      </c>
      <c r="O57" s="355">
        <f t="shared" si="0"/>
        <v>0</v>
      </c>
      <c r="P57" s="355">
        <f t="shared" si="0"/>
        <v>-8.7719298245614308E-3</v>
      </c>
    </row>
    <row r="58" spans="2:16" x14ac:dyDescent="0.2">
      <c r="B58" s="351" t="s">
        <v>1736</v>
      </c>
      <c r="C58" s="351" t="s">
        <v>1753</v>
      </c>
      <c r="D58" s="351" t="s">
        <v>1754</v>
      </c>
      <c r="E58" s="351">
        <v>45</v>
      </c>
      <c r="F58" s="351">
        <v>0.85</v>
      </c>
      <c r="G58" s="351">
        <v>1.02</v>
      </c>
      <c r="H58" s="351">
        <v>1.1200000000000001</v>
      </c>
      <c r="I58" s="354"/>
      <c r="J58" s="351">
        <v>0.92</v>
      </c>
      <c r="K58" s="351">
        <v>1.02</v>
      </c>
      <c r="L58" s="351">
        <v>1.1299999999999999</v>
      </c>
      <c r="N58" s="355">
        <f t="shared" si="0"/>
        <v>-7.6086956521739246E-2</v>
      </c>
      <c r="O58" s="355">
        <f t="shared" si="0"/>
        <v>0</v>
      </c>
      <c r="P58" s="355">
        <f t="shared" si="0"/>
        <v>-8.8495575221236855E-3</v>
      </c>
    </row>
    <row r="59" spans="2:16" x14ac:dyDescent="0.2">
      <c r="B59" s="351" t="s">
        <v>1736</v>
      </c>
      <c r="C59" s="351" t="s">
        <v>1753</v>
      </c>
      <c r="D59" s="351" t="s">
        <v>1754</v>
      </c>
      <c r="E59" s="351">
        <v>46</v>
      </c>
      <c r="F59" s="351">
        <v>0.85</v>
      </c>
      <c r="G59" s="351">
        <v>1.02</v>
      </c>
      <c r="H59" s="351">
        <v>1.1100000000000001</v>
      </c>
      <c r="I59" s="354"/>
      <c r="J59" s="351">
        <v>0.92</v>
      </c>
      <c r="K59" s="351">
        <v>1.02</v>
      </c>
      <c r="L59" s="351">
        <v>1.1200000000000001</v>
      </c>
      <c r="N59" s="355">
        <f t="shared" si="0"/>
        <v>-7.6086956521739246E-2</v>
      </c>
      <c r="O59" s="355">
        <f t="shared" si="0"/>
        <v>0</v>
      </c>
      <c r="P59" s="355">
        <f t="shared" si="0"/>
        <v>-8.9285714285713969E-3</v>
      </c>
    </row>
    <row r="60" spans="2:16" x14ac:dyDescent="0.2">
      <c r="B60" s="351" t="s">
        <v>1736</v>
      </c>
      <c r="C60" s="351" t="s">
        <v>1753</v>
      </c>
      <c r="D60" s="351" t="s">
        <v>1754</v>
      </c>
      <c r="E60" s="351">
        <v>47</v>
      </c>
      <c r="F60" s="351">
        <v>0.85</v>
      </c>
      <c r="G60" s="351">
        <v>1.02</v>
      </c>
      <c r="H60" s="351">
        <v>1.1000000000000001</v>
      </c>
      <c r="I60" s="354"/>
      <c r="J60" s="351">
        <v>0.92</v>
      </c>
      <c r="K60" s="351">
        <v>1.02</v>
      </c>
      <c r="L60" s="351">
        <v>1.1100000000000001</v>
      </c>
      <c r="N60" s="355">
        <f t="shared" si="0"/>
        <v>-7.6086956521739246E-2</v>
      </c>
      <c r="O60" s="355">
        <f t="shared" si="0"/>
        <v>0</v>
      </c>
      <c r="P60" s="355">
        <f t="shared" si="0"/>
        <v>-9.009009009009028E-3</v>
      </c>
    </row>
    <row r="61" spans="2:16" x14ac:dyDescent="0.2">
      <c r="B61" s="351" t="s">
        <v>1736</v>
      </c>
      <c r="C61" s="351" t="s">
        <v>1753</v>
      </c>
      <c r="D61" s="351" t="s">
        <v>1754</v>
      </c>
      <c r="E61" s="351">
        <v>48</v>
      </c>
      <c r="F61" s="351">
        <v>0.85</v>
      </c>
      <c r="G61" s="351">
        <v>1.02</v>
      </c>
      <c r="H61" s="351">
        <v>1.0900000000000001</v>
      </c>
      <c r="I61" s="354"/>
      <c r="J61" s="351">
        <v>0.92</v>
      </c>
      <c r="K61" s="351">
        <v>1.02</v>
      </c>
      <c r="L61" s="351">
        <v>1.1000000000000001</v>
      </c>
      <c r="N61" s="355">
        <f t="shared" si="0"/>
        <v>-7.6086956521739246E-2</v>
      </c>
      <c r="O61" s="355">
        <f t="shared" si="0"/>
        <v>0</v>
      </c>
      <c r="P61" s="355">
        <f t="shared" si="0"/>
        <v>-9.0909090909091494E-3</v>
      </c>
    </row>
    <row r="62" spans="2:16" x14ac:dyDescent="0.2">
      <c r="B62" s="351" t="s">
        <v>1736</v>
      </c>
      <c r="C62" s="351" t="s">
        <v>1753</v>
      </c>
      <c r="D62" s="351" t="s">
        <v>1754</v>
      </c>
      <c r="E62" s="351">
        <v>49</v>
      </c>
      <c r="F62" s="351">
        <v>0.85</v>
      </c>
      <c r="G62" s="351">
        <v>1.02</v>
      </c>
      <c r="H62" s="351">
        <v>1.0900000000000001</v>
      </c>
      <c r="I62" s="354"/>
      <c r="J62" s="351">
        <v>0.92</v>
      </c>
      <c r="K62" s="351">
        <v>1.02</v>
      </c>
      <c r="L62" s="351">
        <v>1.1000000000000001</v>
      </c>
      <c r="N62" s="355">
        <f t="shared" si="0"/>
        <v>-7.6086956521739246E-2</v>
      </c>
      <c r="O62" s="355">
        <f t="shared" si="0"/>
        <v>0</v>
      </c>
      <c r="P62" s="355">
        <f t="shared" si="0"/>
        <v>-9.0909090909091494E-3</v>
      </c>
    </row>
    <row r="63" spans="2:16" x14ac:dyDescent="0.2">
      <c r="B63" s="351" t="s">
        <v>1736</v>
      </c>
      <c r="C63" s="351" t="s">
        <v>1753</v>
      </c>
      <c r="D63" s="351" t="s">
        <v>1754</v>
      </c>
      <c r="E63" s="351">
        <v>50</v>
      </c>
      <c r="F63" s="351">
        <v>0.85</v>
      </c>
      <c r="G63" s="351">
        <v>1.02</v>
      </c>
      <c r="H63" s="351">
        <v>1.08</v>
      </c>
      <c r="I63" s="354"/>
      <c r="J63" s="351">
        <v>0.92</v>
      </c>
      <c r="K63" s="351">
        <v>1.02</v>
      </c>
      <c r="L63" s="351">
        <v>1.0900000000000001</v>
      </c>
      <c r="N63" s="355">
        <f t="shared" si="0"/>
        <v>-7.6086956521739246E-2</v>
      </c>
      <c r="O63" s="355">
        <f t="shared" si="0"/>
        <v>0</v>
      </c>
      <c r="P63" s="355">
        <f t="shared" si="0"/>
        <v>-9.1743119266055606E-3</v>
      </c>
    </row>
    <row r="64" spans="2:16" x14ac:dyDescent="0.2">
      <c r="B64" s="351" t="s">
        <v>1736</v>
      </c>
      <c r="C64" s="351" t="s">
        <v>1753</v>
      </c>
      <c r="D64" s="351" t="s">
        <v>1754</v>
      </c>
      <c r="E64" s="351">
        <v>51</v>
      </c>
      <c r="F64" s="351">
        <v>0.85</v>
      </c>
      <c r="G64" s="351">
        <v>1.02</v>
      </c>
      <c r="H64" s="351">
        <v>1.08</v>
      </c>
      <c r="I64" s="354"/>
      <c r="J64" s="351">
        <v>0.92</v>
      </c>
      <c r="K64" s="351">
        <v>1.02</v>
      </c>
      <c r="L64" s="351">
        <v>1.0900000000000001</v>
      </c>
      <c r="N64" s="355">
        <f t="shared" si="0"/>
        <v>-7.6086956521739246E-2</v>
      </c>
      <c r="O64" s="355">
        <f t="shared" si="0"/>
        <v>0</v>
      </c>
      <c r="P64" s="355">
        <f t="shared" si="0"/>
        <v>-9.1743119266055606E-3</v>
      </c>
    </row>
    <row r="65" spans="2:16" x14ac:dyDescent="0.2">
      <c r="B65" s="351" t="s">
        <v>1736</v>
      </c>
      <c r="C65" s="351" t="s">
        <v>1753</v>
      </c>
      <c r="D65" s="351" t="s">
        <v>1754</v>
      </c>
      <c r="E65" s="351">
        <v>52</v>
      </c>
      <c r="F65" s="351">
        <v>0.85</v>
      </c>
      <c r="G65" s="351">
        <v>1.02</v>
      </c>
      <c r="H65" s="351">
        <v>1.07</v>
      </c>
      <c r="I65" s="354"/>
      <c r="J65" s="351">
        <v>0.92</v>
      </c>
      <c r="K65" s="351">
        <v>1.02</v>
      </c>
      <c r="L65" s="351">
        <v>1.08</v>
      </c>
      <c r="N65" s="355">
        <f t="shared" si="0"/>
        <v>-7.6086956521739246E-2</v>
      </c>
      <c r="O65" s="355">
        <f t="shared" si="0"/>
        <v>0</v>
      </c>
      <c r="P65" s="355">
        <f t="shared" si="0"/>
        <v>-9.2592592592593004E-3</v>
      </c>
    </row>
    <row r="66" spans="2:16" x14ac:dyDescent="0.2">
      <c r="B66" s="351" t="s">
        <v>1736</v>
      </c>
      <c r="C66" s="351" t="s">
        <v>1753</v>
      </c>
      <c r="D66" s="351" t="s">
        <v>1754</v>
      </c>
      <c r="E66" s="351">
        <v>53</v>
      </c>
      <c r="F66" s="351">
        <v>0.85</v>
      </c>
      <c r="G66" s="351">
        <v>1.02</v>
      </c>
      <c r="H66" s="351">
        <v>1.07</v>
      </c>
      <c r="I66" s="354"/>
      <c r="J66" s="351">
        <v>0.92</v>
      </c>
      <c r="K66" s="351">
        <v>1.02</v>
      </c>
      <c r="L66" s="351">
        <v>1.08</v>
      </c>
      <c r="N66" s="355">
        <f t="shared" si="0"/>
        <v>-7.6086956521739246E-2</v>
      </c>
      <c r="O66" s="355">
        <f t="shared" si="0"/>
        <v>0</v>
      </c>
      <c r="P66" s="355">
        <f t="shared" si="0"/>
        <v>-9.2592592592593004E-3</v>
      </c>
    </row>
    <row r="67" spans="2:16" x14ac:dyDescent="0.2">
      <c r="B67" s="351" t="s">
        <v>1736</v>
      </c>
      <c r="C67" s="351" t="s">
        <v>1753</v>
      </c>
      <c r="D67" s="351" t="s">
        <v>1754</v>
      </c>
      <c r="E67" s="351">
        <v>54</v>
      </c>
      <c r="F67" s="351">
        <v>0.85</v>
      </c>
      <c r="G67" s="351">
        <v>1.02</v>
      </c>
      <c r="H67" s="351">
        <v>1.06</v>
      </c>
      <c r="I67" s="354"/>
      <c r="J67" s="351">
        <v>0.92</v>
      </c>
      <c r="K67" s="351">
        <v>1.02</v>
      </c>
      <c r="L67" s="351">
        <v>1.07</v>
      </c>
      <c r="N67" s="355">
        <f t="shared" si="0"/>
        <v>-7.6086956521739246E-2</v>
      </c>
      <c r="O67" s="355">
        <f t="shared" si="0"/>
        <v>0</v>
      </c>
      <c r="P67" s="355">
        <f t="shared" si="0"/>
        <v>-9.3457943925233655E-3</v>
      </c>
    </row>
    <row r="68" spans="2:16" x14ac:dyDescent="0.2">
      <c r="B68" s="351" t="s">
        <v>1736</v>
      </c>
      <c r="C68" s="351" t="s">
        <v>1753</v>
      </c>
      <c r="D68" s="351" t="s">
        <v>1754</v>
      </c>
      <c r="E68" s="351">
        <v>55</v>
      </c>
      <c r="F68" s="351">
        <v>0.85</v>
      </c>
      <c r="G68" s="351">
        <v>1.02</v>
      </c>
      <c r="H68" s="351">
        <v>1.06</v>
      </c>
      <c r="I68" s="354"/>
      <c r="J68" s="351">
        <v>0.92</v>
      </c>
      <c r="K68" s="351">
        <v>1.02</v>
      </c>
      <c r="L68" s="351">
        <v>1.07</v>
      </c>
      <c r="N68" s="355">
        <f t="shared" si="0"/>
        <v>-7.6086956521739246E-2</v>
      </c>
      <c r="O68" s="355">
        <f t="shared" si="0"/>
        <v>0</v>
      </c>
      <c r="P68" s="355">
        <f t="shared" si="0"/>
        <v>-9.3457943925233655E-3</v>
      </c>
    </row>
    <row r="69" spans="2:16" x14ac:dyDescent="0.2">
      <c r="B69" s="351" t="s">
        <v>1736</v>
      </c>
      <c r="C69" s="351" t="s">
        <v>1753</v>
      </c>
      <c r="D69" s="351" t="s">
        <v>1754</v>
      </c>
      <c r="E69" s="351">
        <v>56</v>
      </c>
      <c r="F69" s="351">
        <v>0.85</v>
      </c>
      <c r="G69" s="351">
        <v>1.02</v>
      </c>
      <c r="H69" s="351">
        <v>1.05</v>
      </c>
      <c r="I69" s="354"/>
      <c r="J69" s="351">
        <v>0.92</v>
      </c>
      <c r="K69" s="351">
        <v>1.02</v>
      </c>
      <c r="L69" s="351">
        <v>1.06</v>
      </c>
      <c r="N69" s="355">
        <f t="shared" si="0"/>
        <v>-7.6086956521739246E-2</v>
      </c>
      <c r="O69" s="355">
        <f t="shared" si="0"/>
        <v>0</v>
      </c>
      <c r="P69" s="355">
        <f t="shared" si="0"/>
        <v>-9.4339622641509413E-3</v>
      </c>
    </row>
    <row r="70" spans="2:16" x14ac:dyDescent="0.2">
      <c r="B70" s="351" t="s">
        <v>1736</v>
      </c>
      <c r="C70" s="351" t="s">
        <v>1753</v>
      </c>
      <c r="D70" s="351" t="s">
        <v>1754</v>
      </c>
      <c r="E70" s="351">
        <v>57</v>
      </c>
      <c r="F70" s="351">
        <v>0.85</v>
      </c>
      <c r="G70" s="351">
        <v>1.02</v>
      </c>
      <c r="H70" s="351">
        <v>1.05</v>
      </c>
      <c r="I70" s="354"/>
      <c r="J70" s="351">
        <v>0.92</v>
      </c>
      <c r="K70" s="351">
        <v>1.02</v>
      </c>
      <c r="L70" s="351">
        <v>1.06</v>
      </c>
      <c r="N70" s="355">
        <f t="shared" si="0"/>
        <v>-7.6086956521739246E-2</v>
      </c>
      <c r="O70" s="355">
        <f t="shared" si="0"/>
        <v>0</v>
      </c>
      <c r="P70" s="355">
        <f t="shared" si="0"/>
        <v>-9.4339622641509413E-3</v>
      </c>
    </row>
    <row r="71" spans="2:16" x14ac:dyDescent="0.2">
      <c r="B71" s="351" t="s">
        <v>1736</v>
      </c>
      <c r="C71" s="351" t="s">
        <v>1753</v>
      </c>
      <c r="D71" s="351" t="s">
        <v>1754</v>
      </c>
      <c r="E71" s="351">
        <v>58</v>
      </c>
      <c r="F71" s="351">
        <v>0.85</v>
      </c>
      <c r="G71" s="351">
        <v>1.02</v>
      </c>
      <c r="H71" s="351">
        <v>1.05</v>
      </c>
      <c r="I71" s="354"/>
      <c r="J71" s="351">
        <v>0.92</v>
      </c>
      <c r="K71" s="351">
        <v>1.02</v>
      </c>
      <c r="L71" s="351">
        <v>1.05</v>
      </c>
      <c r="N71" s="355">
        <f t="shared" si="0"/>
        <v>-7.6086956521739246E-2</v>
      </c>
      <c r="O71" s="355">
        <f t="shared" si="0"/>
        <v>0</v>
      </c>
      <c r="P71" s="355">
        <f t="shared" si="0"/>
        <v>0</v>
      </c>
    </row>
    <row r="72" spans="2:16" x14ac:dyDescent="0.2">
      <c r="B72" s="351" t="s">
        <v>1736</v>
      </c>
      <c r="C72" s="351" t="s">
        <v>1753</v>
      </c>
      <c r="D72" s="351" t="s">
        <v>1754</v>
      </c>
      <c r="E72" s="351">
        <v>59</v>
      </c>
      <c r="F72" s="351">
        <v>0.85</v>
      </c>
      <c r="G72" s="351">
        <v>1.02</v>
      </c>
      <c r="H72" s="351">
        <v>1.04</v>
      </c>
      <c r="I72" s="354"/>
      <c r="J72" s="351">
        <v>0.92</v>
      </c>
      <c r="K72" s="351">
        <v>1.02</v>
      </c>
      <c r="L72" s="351">
        <v>1.05</v>
      </c>
      <c r="N72" s="355">
        <f t="shared" si="0"/>
        <v>-7.6086956521739246E-2</v>
      </c>
      <c r="O72" s="355">
        <f t="shared" si="0"/>
        <v>0</v>
      </c>
      <c r="P72" s="355">
        <f t="shared" si="0"/>
        <v>-9.52380952380949E-3</v>
      </c>
    </row>
    <row r="73" spans="2:16" x14ac:dyDescent="0.2">
      <c r="B73" s="351" t="s">
        <v>1736</v>
      </c>
      <c r="C73" s="351" t="s">
        <v>1753</v>
      </c>
      <c r="D73" s="351" t="s">
        <v>1754</v>
      </c>
      <c r="E73" s="351">
        <v>60</v>
      </c>
      <c r="F73" s="351">
        <v>0.85</v>
      </c>
      <c r="G73" s="351">
        <v>1.02</v>
      </c>
      <c r="H73" s="351">
        <v>1.04</v>
      </c>
      <c r="I73" s="354"/>
      <c r="J73" s="351">
        <v>0.92</v>
      </c>
      <c r="K73" s="351">
        <v>1.02</v>
      </c>
      <c r="L73" s="351">
        <v>1.05</v>
      </c>
      <c r="N73" s="355">
        <f t="shared" si="0"/>
        <v>-7.6086956521739246E-2</v>
      </c>
      <c r="O73" s="355">
        <f t="shared" si="0"/>
        <v>0</v>
      </c>
      <c r="P73" s="355">
        <f t="shared" si="0"/>
        <v>-9.52380952380949E-3</v>
      </c>
    </row>
    <row r="74" spans="2:16" x14ac:dyDescent="0.2">
      <c r="B74" s="351" t="s">
        <v>1736</v>
      </c>
      <c r="C74" s="351" t="s">
        <v>1753</v>
      </c>
      <c r="D74" s="351" t="s">
        <v>1754</v>
      </c>
      <c r="E74" s="351">
        <v>61</v>
      </c>
      <c r="F74" s="351">
        <v>0.85</v>
      </c>
      <c r="G74" s="351">
        <v>1.02</v>
      </c>
      <c r="H74" s="351">
        <v>1.04</v>
      </c>
      <c r="I74" s="354"/>
      <c r="J74" s="351">
        <v>0.92</v>
      </c>
      <c r="K74" s="351">
        <v>1.02</v>
      </c>
      <c r="L74" s="351">
        <v>1.04</v>
      </c>
      <c r="N74" s="355">
        <f t="shared" si="0"/>
        <v>-7.6086956521739246E-2</v>
      </c>
      <c r="O74" s="355">
        <f t="shared" si="0"/>
        <v>0</v>
      </c>
      <c r="P74" s="355">
        <f t="shared" si="0"/>
        <v>0</v>
      </c>
    </row>
    <row r="75" spans="2:16" x14ac:dyDescent="0.2">
      <c r="B75" s="351" t="s">
        <v>1736</v>
      </c>
      <c r="C75" s="351" t="s">
        <v>1753</v>
      </c>
      <c r="D75" s="351" t="s">
        <v>1754</v>
      </c>
      <c r="E75" s="351">
        <v>62</v>
      </c>
      <c r="F75" s="351">
        <v>0.85</v>
      </c>
      <c r="G75" s="351">
        <v>1.02</v>
      </c>
      <c r="H75" s="351">
        <v>1.03</v>
      </c>
      <c r="I75" s="354"/>
      <c r="J75" s="351">
        <v>0.92</v>
      </c>
      <c r="K75" s="351">
        <v>1.02</v>
      </c>
      <c r="L75" s="351">
        <v>1.04</v>
      </c>
      <c r="N75" s="355">
        <f t="shared" si="0"/>
        <v>-7.6086956521739246E-2</v>
      </c>
      <c r="O75" s="355">
        <f t="shared" si="0"/>
        <v>0</v>
      </c>
      <c r="P75" s="355">
        <f t="shared" si="0"/>
        <v>-9.6153846153845812E-3</v>
      </c>
    </row>
    <row r="76" spans="2:16" x14ac:dyDescent="0.2">
      <c r="B76" s="351" t="s">
        <v>1736</v>
      </c>
      <c r="C76" s="351" t="s">
        <v>1753</v>
      </c>
      <c r="D76" s="351" t="s">
        <v>1754</v>
      </c>
      <c r="E76" s="351">
        <v>63</v>
      </c>
      <c r="F76" s="351">
        <v>0.85</v>
      </c>
      <c r="G76" s="351">
        <v>1.02</v>
      </c>
      <c r="H76" s="351">
        <v>1.03</v>
      </c>
      <c r="I76" s="354"/>
      <c r="J76" s="351">
        <v>0.92</v>
      </c>
      <c r="K76" s="351">
        <v>1.02</v>
      </c>
      <c r="L76" s="351">
        <v>1.04</v>
      </c>
      <c r="N76" s="355">
        <f t="shared" si="0"/>
        <v>-7.6086956521739246E-2</v>
      </c>
      <c r="O76" s="355">
        <f t="shared" si="0"/>
        <v>0</v>
      </c>
      <c r="P76" s="355">
        <f t="shared" si="0"/>
        <v>-9.6153846153845812E-3</v>
      </c>
    </row>
    <row r="77" spans="2:16" x14ac:dyDescent="0.2">
      <c r="B77" s="351" t="s">
        <v>1736</v>
      </c>
      <c r="C77" s="351" t="s">
        <v>1753</v>
      </c>
      <c r="D77" s="351" t="s">
        <v>1754</v>
      </c>
      <c r="E77" s="351">
        <v>64</v>
      </c>
      <c r="F77" s="351">
        <v>0.85</v>
      </c>
      <c r="G77" s="351">
        <v>1.02</v>
      </c>
      <c r="H77" s="351">
        <v>1.03</v>
      </c>
      <c r="I77" s="354"/>
      <c r="J77" s="351">
        <v>0.92</v>
      </c>
      <c r="K77" s="351">
        <v>1.02</v>
      </c>
      <c r="L77" s="351">
        <v>1.03</v>
      </c>
      <c r="N77" s="355">
        <f t="shared" ref="N77:P140" si="1">F77/J77-1</f>
        <v>-7.6086956521739246E-2</v>
      </c>
      <c r="O77" s="355">
        <f t="shared" si="1"/>
        <v>0</v>
      </c>
      <c r="P77" s="355">
        <f t="shared" si="1"/>
        <v>0</v>
      </c>
    </row>
    <row r="78" spans="2:16" x14ac:dyDescent="0.2">
      <c r="B78" s="351" t="s">
        <v>1736</v>
      </c>
      <c r="C78" s="351" t="s">
        <v>1753</v>
      </c>
      <c r="D78" s="351" t="s">
        <v>1754</v>
      </c>
      <c r="E78" s="351">
        <v>65</v>
      </c>
      <c r="F78" s="351">
        <v>0.85</v>
      </c>
      <c r="G78" s="351">
        <v>1.02</v>
      </c>
      <c r="H78" s="351">
        <v>1.02</v>
      </c>
      <c r="I78" s="354"/>
      <c r="J78" s="351">
        <v>0.92</v>
      </c>
      <c r="K78" s="351">
        <v>1.02</v>
      </c>
      <c r="L78" s="351">
        <v>1.03</v>
      </c>
      <c r="N78" s="355">
        <f t="shared" si="1"/>
        <v>-7.6086956521739246E-2</v>
      </c>
      <c r="O78" s="355">
        <f t="shared" si="1"/>
        <v>0</v>
      </c>
      <c r="P78" s="355">
        <f t="shared" si="1"/>
        <v>-9.7087378640776656E-3</v>
      </c>
    </row>
    <row r="79" spans="2:16" x14ac:dyDescent="0.2">
      <c r="B79" s="351" t="s">
        <v>1736</v>
      </c>
      <c r="C79" s="351" t="s">
        <v>1753</v>
      </c>
      <c r="D79" s="351" t="s">
        <v>1754</v>
      </c>
      <c r="E79" s="351">
        <v>66</v>
      </c>
      <c r="F79" s="351">
        <v>0.85</v>
      </c>
      <c r="G79" s="351">
        <v>1.02</v>
      </c>
      <c r="H79" s="351">
        <v>1.02</v>
      </c>
      <c r="I79" s="354"/>
      <c r="J79" s="351">
        <v>0.92</v>
      </c>
      <c r="K79" s="351">
        <v>1.02</v>
      </c>
      <c r="L79" s="351">
        <v>1.03</v>
      </c>
      <c r="N79" s="355">
        <f t="shared" si="1"/>
        <v>-7.6086956521739246E-2</v>
      </c>
      <c r="O79" s="355">
        <f t="shared" si="1"/>
        <v>0</v>
      </c>
      <c r="P79" s="355">
        <f t="shared" si="1"/>
        <v>-9.7087378640776656E-3</v>
      </c>
    </row>
    <row r="80" spans="2:16" x14ac:dyDescent="0.2">
      <c r="B80" s="351" t="s">
        <v>1736</v>
      </c>
      <c r="C80" s="351" t="s">
        <v>1753</v>
      </c>
      <c r="D80" s="351" t="s">
        <v>1754</v>
      </c>
      <c r="E80" s="351">
        <v>67</v>
      </c>
      <c r="F80" s="351">
        <v>0.85</v>
      </c>
      <c r="G80" s="351">
        <v>1.02</v>
      </c>
      <c r="H80" s="351">
        <v>1.02</v>
      </c>
      <c r="I80" s="354"/>
      <c r="J80" s="351">
        <v>0.92</v>
      </c>
      <c r="K80" s="351">
        <v>1.02</v>
      </c>
      <c r="L80" s="351">
        <v>1.02</v>
      </c>
      <c r="N80" s="355">
        <f t="shared" si="1"/>
        <v>-7.6086956521739246E-2</v>
      </c>
      <c r="O80" s="355">
        <f t="shared" si="1"/>
        <v>0</v>
      </c>
      <c r="P80" s="355">
        <f t="shared" si="1"/>
        <v>0</v>
      </c>
    </row>
    <row r="81" spans="2:16" x14ac:dyDescent="0.2">
      <c r="B81" s="351" t="s">
        <v>1736</v>
      </c>
      <c r="C81" s="351" t="s">
        <v>1753</v>
      </c>
      <c r="D81" s="351" t="s">
        <v>1754</v>
      </c>
      <c r="E81" s="351">
        <v>68</v>
      </c>
      <c r="F81" s="351">
        <v>0.85</v>
      </c>
      <c r="G81" s="351">
        <v>1.02</v>
      </c>
      <c r="H81" s="351">
        <v>1.02</v>
      </c>
      <c r="I81" s="354"/>
      <c r="J81" s="351">
        <v>0.92</v>
      </c>
      <c r="K81" s="351">
        <v>1.02</v>
      </c>
      <c r="L81" s="351">
        <v>1.02</v>
      </c>
      <c r="N81" s="355">
        <f t="shared" si="1"/>
        <v>-7.6086956521739246E-2</v>
      </c>
      <c r="O81" s="355">
        <f t="shared" si="1"/>
        <v>0</v>
      </c>
      <c r="P81" s="355">
        <f t="shared" si="1"/>
        <v>0</v>
      </c>
    </row>
    <row r="82" spans="2:16" x14ac:dyDescent="0.2">
      <c r="B82" s="351" t="s">
        <v>1736</v>
      </c>
      <c r="C82" s="351" t="s">
        <v>1753</v>
      </c>
      <c r="D82" s="351" t="s">
        <v>1754</v>
      </c>
      <c r="E82" s="351">
        <v>69</v>
      </c>
      <c r="F82" s="351">
        <v>0.85</v>
      </c>
      <c r="G82" s="351">
        <v>1.01</v>
      </c>
      <c r="H82" s="351">
        <v>1.01</v>
      </c>
      <c r="I82" s="354"/>
      <c r="J82" s="351">
        <v>0.92</v>
      </c>
      <c r="K82" s="351">
        <v>1.02</v>
      </c>
      <c r="L82" s="351">
        <v>1.02</v>
      </c>
      <c r="N82" s="355">
        <f t="shared" si="1"/>
        <v>-7.6086956521739246E-2</v>
      </c>
      <c r="O82" s="355">
        <f t="shared" si="1"/>
        <v>-9.8039215686274161E-3</v>
      </c>
      <c r="P82" s="355">
        <f t="shared" si="1"/>
        <v>-9.8039215686274161E-3</v>
      </c>
    </row>
    <row r="83" spans="2:16" x14ac:dyDescent="0.2">
      <c r="B83" s="351" t="s">
        <v>1736</v>
      </c>
      <c r="C83" s="351" t="s">
        <v>1753</v>
      </c>
      <c r="D83" s="351" t="s">
        <v>1754</v>
      </c>
      <c r="E83" s="351">
        <v>70</v>
      </c>
      <c r="F83" s="351">
        <v>0.85</v>
      </c>
      <c r="G83" s="351">
        <v>1.01</v>
      </c>
      <c r="H83" s="351">
        <v>1.01</v>
      </c>
      <c r="I83" s="354"/>
      <c r="J83" s="351">
        <v>0.92</v>
      </c>
      <c r="K83" s="351">
        <v>1.02</v>
      </c>
      <c r="L83" s="351">
        <v>1.01</v>
      </c>
      <c r="N83" s="355">
        <f t="shared" si="1"/>
        <v>-7.6086956521739246E-2</v>
      </c>
      <c r="O83" s="355">
        <f t="shared" si="1"/>
        <v>-9.8039215686274161E-3</v>
      </c>
      <c r="P83" s="355">
        <f t="shared" si="1"/>
        <v>0</v>
      </c>
    </row>
    <row r="84" spans="2:16" x14ac:dyDescent="0.2">
      <c r="B84" s="351" t="s">
        <v>1736</v>
      </c>
      <c r="C84" s="351" t="s">
        <v>1753</v>
      </c>
      <c r="D84" s="351" t="s">
        <v>1754</v>
      </c>
      <c r="E84" s="351">
        <v>71</v>
      </c>
      <c r="F84" s="351">
        <v>0.85</v>
      </c>
      <c r="G84" s="351">
        <v>1.01</v>
      </c>
      <c r="H84" s="351">
        <v>1.01</v>
      </c>
      <c r="I84" s="354"/>
      <c r="J84" s="351">
        <v>0.92</v>
      </c>
      <c r="K84" s="351">
        <v>1.02</v>
      </c>
      <c r="L84" s="351">
        <v>1.01</v>
      </c>
      <c r="N84" s="355">
        <f t="shared" si="1"/>
        <v>-7.6086956521739246E-2</v>
      </c>
      <c r="O84" s="355">
        <f t="shared" si="1"/>
        <v>-9.8039215686274161E-3</v>
      </c>
      <c r="P84" s="355">
        <f t="shared" si="1"/>
        <v>0</v>
      </c>
    </row>
    <row r="85" spans="2:16" x14ac:dyDescent="0.2">
      <c r="B85" s="351" t="s">
        <v>1736</v>
      </c>
      <c r="C85" s="351" t="s">
        <v>1753</v>
      </c>
      <c r="D85" s="351" t="s">
        <v>1754</v>
      </c>
      <c r="E85" s="351">
        <v>72</v>
      </c>
      <c r="F85" s="351">
        <v>0.85</v>
      </c>
      <c r="G85" s="351">
        <v>1.01</v>
      </c>
      <c r="H85" s="351">
        <v>1.01</v>
      </c>
      <c r="I85" s="354"/>
      <c r="J85" s="351">
        <v>0.92</v>
      </c>
      <c r="K85" s="351">
        <v>1.02</v>
      </c>
      <c r="L85" s="351">
        <v>1.01</v>
      </c>
      <c r="N85" s="355">
        <f t="shared" si="1"/>
        <v>-7.6086956521739246E-2</v>
      </c>
      <c r="O85" s="355">
        <f t="shared" si="1"/>
        <v>-9.8039215686274161E-3</v>
      </c>
      <c r="P85" s="355">
        <f t="shared" si="1"/>
        <v>0</v>
      </c>
    </row>
    <row r="86" spans="2:16" x14ac:dyDescent="0.2">
      <c r="B86" s="351" t="s">
        <v>1736</v>
      </c>
      <c r="C86" s="351" t="s">
        <v>1753</v>
      </c>
      <c r="D86" s="351" t="s">
        <v>1754</v>
      </c>
      <c r="E86" s="351">
        <v>73</v>
      </c>
      <c r="F86" s="351">
        <v>0.85</v>
      </c>
      <c r="G86" s="351">
        <v>1.01</v>
      </c>
      <c r="H86" s="351">
        <v>1.01</v>
      </c>
      <c r="I86" s="354"/>
      <c r="J86" s="351">
        <v>0.92</v>
      </c>
      <c r="K86" s="351">
        <v>1.02</v>
      </c>
      <c r="L86" s="351">
        <v>1.01</v>
      </c>
      <c r="N86" s="355">
        <f t="shared" si="1"/>
        <v>-7.6086956521739246E-2</v>
      </c>
      <c r="O86" s="355">
        <f t="shared" si="1"/>
        <v>-9.8039215686274161E-3</v>
      </c>
      <c r="P86" s="355">
        <f t="shared" si="1"/>
        <v>0</v>
      </c>
    </row>
    <row r="87" spans="2:16" x14ac:dyDescent="0.2">
      <c r="B87" s="351" t="s">
        <v>1736</v>
      </c>
      <c r="C87" s="351" t="s">
        <v>1753</v>
      </c>
      <c r="D87" s="351" t="s">
        <v>1754</v>
      </c>
      <c r="E87" s="351">
        <v>74</v>
      </c>
      <c r="F87" s="351">
        <v>0.85</v>
      </c>
      <c r="G87" s="354">
        <v>1</v>
      </c>
      <c r="H87" s="354">
        <v>1</v>
      </c>
      <c r="I87" s="354"/>
      <c r="J87" s="351">
        <v>0.92</v>
      </c>
      <c r="K87" s="351">
        <v>1.02</v>
      </c>
      <c r="L87" s="351">
        <v>1.01</v>
      </c>
      <c r="N87" s="355">
        <f t="shared" si="1"/>
        <v>-7.6086956521739246E-2</v>
      </c>
      <c r="O87" s="355">
        <f t="shared" si="1"/>
        <v>-1.9607843137254943E-2</v>
      </c>
      <c r="P87" s="355">
        <f t="shared" si="1"/>
        <v>-9.9009900990099098E-3</v>
      </c>
    </row>
    <row r="88" spans="2:16" x14ac:dyDescent="0.2">
      <c r="B88" s="351" t="s">
        <v>1736</v>
      </c>
      <c r="C88" s="351" t="s">
        <v>1753</v>
      </c>
      <c r="D88" s="351" t="s">
        <v>1754</v>
      </c>
      <c r="E88" s="351">
        <v>75</v>
      </c>
      <c r="F88" s="351">
        <v>0.85</v>
      </c>
      <c r="G88" s="354">
        <v>1</v>
      </c>
      <c r="H88" s="354">
        <v>1</v>
      </c>
      <c r="I88" s="354"/>
      <c r="J88" s="351">
        <v>0.92</v>
      </c>
      <c r="K88" s="351">
        <v>1.02</v>
      </c>
      <c r="L88" s="354">
        <v>1</v>
      </c>
      <c r="N88" s="355">
        <f t="shared" si="1"/>
        <v>-7.6086956521739246E-2</v>
      </c>
      <c r="O88" s="355">
        <f t="shared" si="1"/>
        <v>-1.9607843137254943E-2</v>
      </c>
      <c r="P88" s="355">
        <f t="shared" si="1"/>
        <v>0</v>
      </c>
    </row>
    <row r="89" spans="2:16" x14ac:dyDescent="0.2">
      <c r="B89" s="351" t="s">
        <v>1736</v>
      </c>
      <c r="C89" s="351" t="s">
        <v>1753</v>
      </c>
      <c r="D89" s="351" t="s">
        <v>1754</v>
      </c>
      <c r="E89" s="351">
        <v>76</v>
      </c>
      <c r="F89" s="351">
        <v>0.85</v>
      </c>
      <c r="G89" s="354">
        <v>1</v>
      </c>
      <c r="H89" s="354">
        <v>1</v>
      </c>
      <c r="I89" s="354"/>
      <c r="J89" s="351">
        <v>0.92</v>
      </c>
      <c r="K89" s="351">
        <v>1.02</v>
      </c>
      <c r="L89" s="354">
        <v>1</v>
      </c>
      <c r="N89" s="355">
        <f t="shared" si="1"/>
        <v>-7.6086956521739246E-2</v>
      </c>
      <c r="O89" s="355">
        <f t="shared" si="1"/>
        <v>-1.9607843137254943E-2</v>
      </c>
      <c r="P89" s="355">
        <f t="shared" si="1"/>
        <v>0</v>
      </c>
    </row>
    <row r="90" spans="2:16" x14ac:dyDescent="0.2">
      <c r="B90" s="351" t="s">
        <v>1736</v>
      </c>
      <c r="C90" s="351" t="s">
        <v>1753</v>
      </c>
      <c r="D90" s="351" t="s">
        <v>1754</v>
      </c>
      <c r="E90" s="351">
        <v>77</v>
      </c>
      <c r="F90" s="351">
        <v>0.85</v>
      </c>
      <c r="G90" s="354">
        <v>1</v>
      </c>
      <c r="H90" s="354">
        <v>1</v>
      </c>
      <c r="I90" s="354"/>
      <c r="J90" s="351">
        <v>0.92</v>
      </c>
      <c r="K90" s="351">
        <v>1.02</v>
      </c>
      <c r="L90" s="354">
        <v>1</v>
      </c>
      <c r="N90" s="355">
        <f t="shared" si="1"/>
        <v>-7.6086956521739246E-2</v>
      </c>
      <c r="O90" s="355">
        <f t="shared" si="1"/>
        <v>-1.9607843137254943E-2</v>
      </c>
      <c r="P90" s="355">
        <f t="shared" si="1"/>
        <v>0</v>
      </c>
    </row>
    <row r="91" spans="2:16" x14ac:dyDescent="0.2">
      <c r="B91" s="351" t="s">
        <v>1736</v>
      </c>
      <c r="C91" s="351" t="s">
        <v>1753</v>
      </c>
      <c r="D91" s="351" t="s">
        <v>1754</v>
      </c>
      <c r="E91" s="351">
        <v>78</v>
      </c>
      <c r="F91" s="351">
        <v>0.85</v>
      </c>
      <c r="G91" s="354">
        <v>1</v>
      </c>
      <c r="H91" s="354">
        <v>1</v>
      </c>
      <c r="I91" s="354"/>
      <c r="J91" s="351">
        <v>0.92</v>
      </c>
      <c r="K91" s="351">
        <v>1.02</v>
      </c>
      <c r="L91" s="354">
        <v>1</v>
      </c>
      <c r="N91" s="355">
        <f t="shared" si="1"/>
        <v>-7.6086956521739246E-2</v>
      </c>
      <c r="O91" s="355">
        <f t="shared" si="1"/>
        <v>-1.9607843137254943E-2</v>
      </c>
      <c r="P91" s="355">
        <f t="shared" si="1"/>
        <v>0</v>
      </c>
    </row>
    <row r="92" spans="2:16" x14ac:dyDescent="0.2">
      <c r="B92" s="351" t="s">
        <v>1736</v>
      </c>
      <c r="C92" s="351" t="s">
        <v>1753</v>
      </c>
      <c r="D92" s="351" t="s">
        <v>1754</v>
      </c>
      <c r="E92" s="351">
        <v>79</v>
      </c>
      <c r="F92" s="351">
        <v>0.85</v>
      </c>
      <c r="G92" s="354">
        <v>1</v>
      </c>
      <c r="H92" s="354">
        <v>1</v>
      </c>
      <c r="I92" s="354"/>
      <c r="J92" s="351">
        <v>0.92</v>
      </c>
      <c r="K92" s="351">
        <v>1.02</v>
      </c>
      <c r="L92" s="354">
        <v>1</v>
      </c>
      <c r="N92" s="355">
        <f t="shared" si="1"/>
        <v>-7.6086956521739246E-2</v>
      </c>
      <c r="O92" s="355">
        <f t="shared" si="1"/>
        <v>-1.9607843137254943E-2</v>
      </c>
      <c r="P92" s="355">
        <f t="shared" si="1"/>
        <v>0</v>
      </c>
    </row>
    <row r="93" spans="2:16" x14ac:dyDescent="0.2">
      <c r="B93" s="351" t="s">
        <v>1736</v>
      </c>
      <c r="C93" s="351" t="s">
        <v>1753</v>
      </c>
      <c r="D93" s="351" t="s">
        <v>1754</v>
      </c>
      <c r="E93" s="351">
        <v>80</v>
      </c>
      <c r="F93" s="351">
        <v>0.85</v>
      </c>
      <c r="G93" s="354">
        <v>1</v>
      </c>
      <c r="H93" s="354">
        <v>1</v>
      </c>
      <c r="I93" s="354"/>
      <c r="J93" s="351">
        <v>0.92</v>
      </c>
      <c r="K93" s="351">
        <v>1.02</v>
      </c>
      <c r="L93" s="354">
        <v>1</v>
      </c>
      <c r="N93" s="355">
        <f t="shared" si="1"/>
        <v>-7.6086956521739246E-2</v>
      </c>
      <c r="O93" s="355">
        <f t="shared" si="1"/>
        <v>-1.9607843137254943E-2</v>
      </c>
      <c r="P93" s="355">
        <f t="shared" si="1"/>
        <v>0</v>
      </c>
    </row>
    <row r="94" spans="2:16" x14ac:dyDescent="0.2">
      <c r="B94" s="351" t="s">
        <v>1736</v>
      </c>
      <c r="C94" s="351" t="s">
        <v>1753</v>
      </c>
      <c r="D94" s="351" t="s">
        <v>1754</v>
      </c>
      <c r="E94" s="351">
        <v>81</v>
      </c>
      <c r="F94" s="351">
        <v>0.85</v>
      </c>
      <c r="G94" s="354">
        <v>1</v>
      </c>
      <c r="H94" s="354">
        <v>1</v>
      </c>
      <c r="I94" s="354"/>
      <c r="J94" s="351">
        <v>0.92</v>
      </c>
      <c r="K94" s="351">
        <v>1.02</v>
      </c>
      <c r="L94" s="354">
        <v>1</v>
      </c>
      <c r="N94" s="355">
        <f t="shared" si="1"/>
        <v>-7.6086956521739246E-2</v>
      </c>
      <c r="O94" s="355">
        <f t="shared" si="1"/>
        <v>-1.9607843137254943E-2</v>
      </c>
      <c r="P94" s="355">
        <f t="shared" si="1"/>
        <v>0</v>
      </c>
    </row>
    <row r="95" spans="2:16" x14ac:dyDescent="0.2">
      <c r="B95" s="351" t="s">
        <v>1736</v>
      </c>
      <c r="C95" s="351" t="s">
        <v>1753</v>
      </c>
      <c r="D95" s="351" t="s">
        <v>1754</v>
      </c>
      <c r="E95" s="351">
        <v>82</v>
      </c>
      <c r="F95" s="351">
        <v>0.85</v>
      </c>
      <c r="G95" s="354">
        <v>1</v>
      </c>
      <c r="H95" s="354">
        <v>1</v>
      </c>
      <c r="I95" s="354"/>
      <c r="J95" s="351">
        <v>0.92</v>
      </c>
      <c r="K95" s="351">
        <v>1.02</v>
      </c>
      <c r="L95" s="354">
        <v>1</v>
      </c>
      <c r="N95" s="355">
        <f t="shared" si="1"/>
        <v>-7.6086956521739246E-2</v>
      </c>
      <c r="O95" s="355">
        <f t="shared" si="1"/>
        <v>-1.9607843137254943E-2</v>
      </c>
      <c r="P95" s="355">
        <f t="shared" si="1"/>
        <v>0</v>
      </c>
    </row>
    <row r="96" spans="2:16" x14ac:dyDescent="0.2">
      <c r="B96" s="351" t="s">
        <v>1736</v>
      </c>
      <c r="C96" s="351" t="s">
        <v>1753</v>
      </c>
      <c r="D96" s="351" t="s">
        <v>1754</v>
      </c>
      <c r="E96" s="351">
        <v>83</v>
      </c>
      <c r="F96" s="351">
        <v>0.85</v>
      </c>
      <c r="G96" s="354">
        <v>1</v>
      </c>
      <c r="H96" s="354">
        <v>1</v>
      </c>
      <c r="I96" s="354"/>
      <c r="J96" s="351">
        <v>0.92</v>
      </c>
      <c r="K96" s="351">
        <v>1.02</v>
      </c>
      <c r="L96" s="354">
        <v>1</v>
      </c>
      <c r="N96" s="355">
        <f t="shared" si="1"/>
        <v>-7.6086956521739246E-2</v>
      </c>
      <c r="O96" s="355">
        <f t="shared" si="1"/>
        <v>-1.9607843137254943E-2</v>
      </c>
      <c r="P96" s="355">
        <f t="shared" si="1"/>
        <v>0</v>
      </c>
    </row>
    <row r="97" spans="2:16" x14ac:dyDescent="0.2">
      <c r="B97" s="351" t="s">
        <v>1736</v>
      </c>
      <c r="C97" s="351" t="s">
        <v>1753</v>
      </c>
      <c r="D97" s="351" t="s">
        <v>1754</v>
      </c>
      <c r="E97" s="351">
        <v>84</v>
      </c>
      <c r="F97" s="351">
        <v>0.85</v>
      </c>
      <c r="G97" s="354">
        <v>1</v>
      </c>
      <c r="H97" s="354">
        <v>1</v>
      </c>
      <c r="I97" s="354"/>
      <c r="J97" s="351">
        <v>0.92</v>
      </c>
      <c r="K97" s="351">
        <v>1.02</v>
      </c>
      <c r="L97" s="354">
        <v>1</v>
      </c>
      <c r="N97" s="355">
        <f t="shared" si="1"/>
        <v>-7.6086956521739246E-2</v>
      </c>
      <c r="O97" s="355">
        <f t="shared" si="1"/>
        <v>-1.9607843137254943E-2</v>
      </c>
      <c r="P97" s="355">
        <f t="shared" si="1"/>
        <v>0</v>
      </c>
    </row>
    <row r="98" spans="2:16" x14ac:dyDescent="0.2">
      <c r="B98" s="351" t="s">
        <v>1736</v>
      </c>
      <c r="C98" s="351" t="s">
        <v>1753</v>
      </c>
      <c r="D98" s="351" t="s">
        <v>1754</v>
      </c>
      <c r="E98" s="351">
        <v>85</v>
      </c>
      <c r="F98" s="351">
        <v>0.85</v>
      </c>
      <c r="G98" s="354">
        <v>1</v>
      </c>
      <c r="H98" s="354">
        <v>1</v>
      </c>
      <c r="I98" s="354"/>
      <c r="J98" s="351">
        <v>0.92</v>
      </c>
      <c r="K98" s="351">
        <v>1.02</v>
      </c>
      <c r="L98" s="354">
        <v>1</v>
      </c>
      <c r="N98" s="355">
        <f t="shared" si="1"/>
        <v>-7.6086956521739246E-2</v>
      </c>
      <c r="O98" s="355">
        <f t="shared" si="1"/>
        <v>-1.9607843137254943E-2</v>
      </c>
      <c r="P98" s="355">
        <f t="shared" si="1"/>
        <v>0</v>
      </c>
    </row>
    <row r="99" spans="2:16" x14ac:dyDescent="0.2">
      <c r="B99" s="351" t="s">
        <v>1736</v>
      </c>
      <c r="C99" s="351" t="s">
        <v>1753</v>
      </c>
      <c r="D99" s="351" t="s">
        <v>1754</v>
      </c>
      <c r="E99" s="351">
        <v>86</v>
      </c>
      <c r="F99" s="351">
        <v>0.85</v>
      </c>
      <c r="G99" s="354">
        <v>1</v>
      </c>
      <c r="H99" s="354">
        <v>1</v>
      </c>
      <c r="I99" s="354"/>
      <c r="J99" s="351">
        <v>0.92</v>
      </c>
      <c r="K99" s="351">
        <v>1.02</v>
      </c>
      <c r="L99" s="354">
        <v>1</v>
      </c>
      <c r="N99" s="355">
        <f t="shared" si="1"/>
        <v>-7.6086956521739246E-2</v>
      </c>
      <c r="O99" s="355">
        <f t="shared" si="1"/>
        <v>-1.9607843137254943E-2</v>
      </c>
      <c r="P99" s="355">
        <f t="shared" si="1"/>
        <v>0</v>
      </c>
    </row>
    <row r="100" spans="2:16" x14ac:dyDescent="0.2">
      <c r="B100" s="351" t="s">
        <v>1736</v>
      </c>
      <c r="C100" s="351" t="s">
        <v>1753</v>
      </c>
      <c r="D100" s="351" t="s">
        <v>1754</v>
      </c>
      <c r="E100" s="351">
        <v>87</v>
      </c>
      <c r="F100" s="351">
        <v>0.85</v>
      </c>
      <c r="G100" s="354">
        <v>1</v>
      </c>
      <c r="H100" s="354">
        <v>1</v>
      </c>
      <c r="I100" s="354"/>
      <c r="J100" s="351">
        <v>0.92</v>
      </c>
      <c r="K100" s="351">
        <v>1.02</v>
      </c>
      <c r="L100" s="354">
        <v>1</v>
      </c>
      <c r="N100" s="355">
        <f t="shared" si="1"/>
        <v>-7.6086956521739246E-2</v>
      </c>
      <c r="O100" s="355">
        <f t="shared" si="1"/>
        <v>-1.9607843137254943E-2</v>
      </c>
      <c r="P100" s="355">
        <f t="shared" si="1"/>
        <v>0</v>
      </c>
    </row>
    <row r="101" spans="2:16" x14ac:dyDescent="0.2">
      <c r="B101" s="351" t="s">
        <v>1736</v>
      </c>
      <c r="C101" s="351" t="s">
        <v>1753</v>
      </c>
      <c r="D101" s="351" t="s">
        <v>1754</v>
      </c>
      <c r="E101" s="351">
        <v>88</v>
      </c>
      <c r="F101" s="351">
        <v>0.85</v>
      </c>
      <c r="G101" s="354">
        <v>1</v>
      </c>
      <c r="H101" s="354">
        <v>1</v>
      </c>
      <c r="I101" s="354"/>
      <c r="J101" s="351">
        <v>0.92</v>
      </c>
      <c r="K101" s="351">
        <v>1.02</v>
      </c>
      <c r="L101" s="354">
        <v>1</v>
      </c>
      <c r="N101" s="355">
        <f t="shared" si="1"/>
        <v>-7.6086956521739246E-2</v>
      </c>
      <c r="O101" s="355">
        <f t="shared" si="1"/>
        <v>-1.9607843137254943E-2</v>
      </c>
      <c r="P101" s="355">
        <f t="shared" si="1"/>
        <v>0</v>
      </c>
    </row>
    <row r="102" spans="2:16" x14ac:dyDescent="0.2">
      <c r="B102" s="351" t="s">
        <v>1736</v>
      </c>
      <c r="C102" s="351" t="s">
        <v>1753</v>
      </c>
      <c r="D102" s="351" t="s">
        <v>1754</v>
      </c>
      <c r="E102" s="351">
        <v>89</v>
      </c>
      <c r="F102" s="351">
        <v>0.85</v>
      </c>
      <c r="G102" s="354">
        <v>1</v>
      </c>
      <c r="H102" s="354">
        <v>1</v>
      </c>
      <c r="I102" s="354"/>
      <c r="J102" s="351">
        <v>0.92</v>
      </c>
      <c r="K102" s="351">
        <v>1.02</v>
      </c>
      <c r="L102" s="354">
        <v>1</v>
      </c>
      <c r="N102" s="355">
        <f t="shared" si="1"/>
        <v>-7.6086956521739246E-2</v>
      </c>
      <c r="O102" s="355">
        <f t="shared" si="1"/>
        <v>-1.9607843137254943E-2</v>
      </c>
      <c r="P102" s="355">
        <f t="shared" si="1"/>
        <v>0</v>
      </c>
    </row>
    <row r="103" spans="2:16" x14ac:dyDescent="0.2">
      <c r="B103" s="351" t="s">
        <v>1736</v>
      </c>
      <c r="C103" s="351" t="s">
        <v>1753</v>
      </c>
      <c r="D103" s="351" t="s">
        <v>1754</v>
      </c>
      <c r="E103" s="351">
        <v>90</v>
      </c>
      <c r="F103" s="351">
        <v>0.85</v>
      </c>
      <c r="G103" s="354">
        <v>1</v>
      </c>
      <c r="H103" s="354">
        <v>1</v>
      </c>
      <c r="I103" s="354"/>
      <c r="J103" s="351">
        <v>0.92</v>
      </c>
      <c r="K103" s="351">
        <v>1.02</v>
      </c>
      <c r="L103" s="354">
        <v>1</v>
      </c>
      <c r="N103" s="355">
        <f t="shared" si="1"/>
        <v>-7.6086956521739246E-2</v>
      </c>
      <c r="O103" s="355">
        <f t="shared" si="1"/>
        <v>-1.9607843137254943E-2</v>
      </c>
      <c r="P103" s="355">
        <f t="shared" si="1"/>
        <v>0</v>
      </c>
    </row>
    <row r="104" spans="2:16" x14ac:dyDescent="0.2">
      <c r="B104" s="351" t="s">
        <v>1736</v>
      </c>
      <c r="C104" s="351" t="s">
        <v>1753</v>
      </c>
      <c r="D104" s="351" t="s">
        <v>1754</v>
      </c>
      <c r="E104" s="351">
        <v>91</v>
      </c>
      <c r="F104" s="351">
        <v>0.85</v>
      </c>
      <c r="G104" s="354">
        <v>1</v>
      </c>
      <c r="H104" s="354">
        <v>1</v>
      </c>
      <c r="I104" s="354"/>
      <c r="J104" s="351">
        <v>0.92</v>
      </c>
      <c r="K104" s="351">
        <v>1.02</v>
      </c>
      <c r="L104" s="354">
        <v>1</v>
      </c>
      <c r="N104" s="355">
        <f t="shared" si="1"/>
        <v>-7.6086956521739246E-2</v>
      </c>
      <c r="O104" s="355">
        <f t="shared" si="1"/>
        <v>-1.9607843137254943E-2</v>
      </c>
      <c r="P104" s="355">
        <f t="shared" si="1"/>
        <v>0</v>
      </c>
    </row>
    <row r="105" spans="2:16" x14ac:dyDescent="0.2">
      <c r="B105" s="351" t="s">
        <v>1736</v>
      </c>
      <c r="C105" s="351" t="s">
        <v>1753</v>
      </c>
      <c r="D105" s="351" t="s">
        <v>1754</v>
      </c>
      <c r="E105" s="351">
        <v>92</v>
      </c>
      <c r="F105" s="351">
        <v>0.85</v>
      </c>
      <c r="G105" s="354">
        <v>1</v>
      </c>
      <c r="H105" s="354">
        <v>1</v>
      </c>
      <c r="I105" s="354"/>
      <c r="J105" s="351">
        <v>0.92</v>
      </c>
      <c r="K105" s="351">
        <v>1.02</v>
      </c>
      <c r="L105" s="354">
        <v>1</v>
      </c>
      <c r="N105" s="355">
        <f t="shared" si="1"/>
        <v>-7.6086956521739246E-2</v>
      </c>
      <c r="O105" s="355">
        <f t="shared" si="1"/>
        <v>-1.9607843137254943E-2</v>
      </c>
      <c r="P105" s="355">
        <f t="shared" si="1"/>
        <v>0</v>
      </c>
    </row>
    <row r="106" spans="2:16" x14ac:dyDescent="0.2">
      <c r="B106" s="351" t="s">
        <v>1736</v>
      </c>
      <c r="C106" s="351" t="s">
        <v>1753</v>
      </c>
      <c r="D106" s="351" t="s">
        <v>1754</v>
      </c>
      <c r="E106" s="351">
        <v>93</v>
      </c>
      <c r="F106" s="351">
        <v>0.85</v>
      </c>
      <c r="G106" s="354">
        <v>1</v>
      </c>
      <c r="H106" s="354">
        <v>1</v>
      </c>
      <c r="I106" s="354"/>
      <c r="J106" s="351">
        <v>0.92</v>
      </c>
      <c r="K106" s="351">
        <v>1.02</v>
      </c>
      <c r="L106" s="354">
        <v>1</v>
      </c>
      <c r="N106" s="355">
        <f t="shared" si="1"/>
        <v>-7.6086956521739246E-2</v>
      </c>
      <c r="O106" s="355">
        <f t="shared" si="1"/>
        <v>-1.9607843137254943E-2</v>
      </c>
      <c r="P106" s="355">
        <f t="shared" si="1"/>
        <v>0</v>
      </c>
    </row>
    <row r="107" spans="2:16" x14ac:dyDescent="0.2">
      <c r="B107" s="351" t="s">
        <v>1736</v>
      </c>
      <c r="C107" s="351" t="s">
        <v>1753</v>
      </c>
      <c r="D107" s="351" t="s">
        <v>1754</v>
      </c>
      <c r="E107" s="351">
        <v>94</v>
      </c>
      <c r="F107" s="351">
        <v>0.85</v>
      </c>
      <c r="G107" s="354">
        <v>1</v>
      </c>
      <c r="H107" s="354">
        <v>1</v>
      </c>
      <c r="I107" s="354"/>
      <c r="J107" s="351">
        <v>0.92</v>
      </c>
      <c r="K107" s="351">
        <v>1.02</v>
      </c>
      <c r="L107" s="354">
        <v>1</v>
      </c>
      <c r="N107" s="355">
        <f t="shared" si="1"/>
        <v>-7.6086956521739246E-2</v>
      </c>
      <c r="O107" s="355">
        <f t="shared" si="1"/>
        <v>-1.9607843137254943E-2</v>
      </c>
      <c r="P107" s="355">
        <f t="shared" si="1"/>
        <v>0</v>
      </c>
    </row>
    <row r="108" spans="2:16" x14ac:dyDescent="0.2">
      <c r="B108" s="351" t="s">
        <v>1736</v>
      </c>
      <c r="C108" s="351" t="s">
        <v>1753</v>
      </c>
      <c r="D108" s="351" t="s">
        <v>1754</v>
      </c>
      <c r="E108" s="351">
        <v>95</v>
      </c>
      <c r="F108" s="351">
        <v>0.85</v>
      </c>
      <c r="G108" s="354">
        <v>1</v>
      </c>
      <c r="H108" s="354">
        <v>1</v>
      </c>
      <c r="I108" s="354"/>
      <c r="J108" s="351">
        <v>0.92</v>
      </c>
      <c r="K108" s="351">
        <v>1.02</v>
      </c>
      <c r="L108" s="354">
        <v>1</v>
      </c>
      <c r="N108" s="355">
        <f t="shared" si="1"/>
        <v>-7.6086956521739246E-2</v>
      </c>
      <c r="O108" s="355">
        <f t="shared" si="1"/>
        <v>-1.9607843137254943E-2</v>
      </c>
      <c r="P108" s="355">
        <f t="shared" si="1"/>
        <v>0</v>
      </c>
    </row>
    <row r="109" spans="2:16" x14ac:dyDescent="0.2">
      <c r="B109" s="351" t="s">
        <v>1736</v>
      </c>
      <c r="C109" s="351" t="s">
        <v>1753</v>
      </c>
      <c r="D109" s="351" t="s">
        <v>1754</v>
      </c>
      <c r="E109" s="351">
        <v>96</v>
      </c>
      <c r="F109" s="351">
        <v>0.85</v>
      </c>
      <c r="G109" s="354">
        <v>1</v>
      </c>
      <c r="H109" s="354">
        <v>1</v>
      </c>
      <c r="I109" s="354"/>
      <c r="J109" s="351">
        <v>0.92</v>
      </c>
      <c r="K109" s="351">
        <v>1.02</v>
      </c>
      <c r="L109" s="354">
        <v>1</v>
      </c>
      <c r="N109" s="355">
        <f t="shared" si="1"/>
        <v>-7.6086956521739246E-2</v>
      </c>
      <c r="O109" s="355">
        <f t="shared" si="1"/>
        <v>-1.9607843137254943E-2</v>
      </c>
      <c r="P109" s="355">
        <f t="shared" si="1"/>
        <v>0</v>
      </c>
    </row>
    <row r="110" spans="2:16" x14ac:dyDescent="0.2">
      <c r="B110" s="351" t="s">
        <v>1736</v>
      </c>
      <c r="C110" s="351" t="s">
        <v>1753</v>
      </c>
      <c r="D110" s="351" t="s">
        <v>1754</v>
      </c>
      <c r="E110" s="351">
        <v>97</v>
      </c>
      <c r="F110" s="351">
        <v>0.85</v>
      </c>
      <c r="G110" s="354">
        <v>1</v>
      </c>
      <c r="H110" s="354">
        <v>1</v>
      </c>
      <c r="I110" s="354"/>
      <c r="J110" s="351">
        <v>0.92</v>
      </c>
      <c r="K110" s="351">
        <v>1.02</v>
      </c>
      <c r="L110" s="354">
        <v>1</v>
      </c>
      <c r="N110" s="355">
        <f t="shared" si="1"/>
        <v>-7.6086956521739246E-2</v>
      </c>
      <c r="O110" s="355">
        <f t="shared" si="1"/>
        <v>-1.9607843137254943E-2</v>
      </c>
      <c r="P110" s="355">
        <f t="shared" si="1"/>
        <v>0</v>
      </c>
    </row>
    <row r="111" spans="2:16" x14ac:dyDescent="0.2">
      <c r="B111" s="351" t="s">
        <v>1736</v>
      </c>
      <c r="C111" s="351" t="s">
        <v>1753</v>
      </c>
      <c r="D111" s="351" t="s">
        <v>1754</v>
      </c>
      <c r="E111" s="351">
        <v>98</v>
      </c>
      <c r="F111" s="351">
        <v>0.85</v>
      </c>
      <c r="G111" s="354">
        <v>1</v>
      </c>
      <c r="H111" s="354">
        <v>1</v>
      </c>
      <c r="I111" s="354"/>
      <c r="J111" s="351">
        <v>0.92</v>
      </c>
      <c r="K111" s="351">
        <v>1.02</v>
      </c>
      <c r="L111" s="354">
        <v>1</v>
      </c>
      <c r="N111" s="355">
        <f t="shared" si="1"/>
        <v>-7.6086956521739246E-2</v>
      </c>
      <c r="O111" s="355">
        <f t="shared" si="1"/>
        <v>-1.9607843137254943E-2</v>
      </c>
      <c r="P111" s="355">
        <f t="shared" si="1"/>
        <v>0</v>
      </c>
    </row>
    <row r="112" spans="2:16" x14ac:dyDescent="0.2">
      <c r="B112" s="351" t="s">
        <v>1736</v>
      </c>
      <c r="C112" s="351" t="s">
        <v>1753</v>
      </c>
      <c r="D112" s="351" t="s">
        <v>1754</v>
      </c>
      <c r="E112" s="351">
        <v>99</v>
      </c>
      <c r="F112" s="351">
        <v>0.85</v>
      </c>
      <c r="G112" s="354">
        <v>1</v>
      </c>
      <c r="H112" s="354">
        <v>1</v>
      </c>
      <c r="I112" s="354"/>
      <c r="J112" s="351">
        <v>0.92</v>
      </c>
      <c r="K112" s="351">
        <v>1.02</v>
      </c>
      <c r="L112" s="354">
        <v>1</v>
      </c>
      <c r="N112" s="355">
        <f t="shared" si="1"/>
        <v>-7.6086956521739246E-2</v>
      </c>
      <c r="O112" s="355">
        <f t="shared" si="1"/>
        <v>-1.9607843137254943E-2</v>
      </c>
      <c r="P112" s="355">
        <f t="shared" si="1"/>
        <v>0</v>
      </c>
    </row>
    <row r="113" spans="2:16" x14ac:dyDescent="0.2">
      <c r="B113" s="351" t="s">
        <v>1736</v>
      </c>
      <c r="C113" s="351" t="s">
        <v>1753</v>
      </c>
      <c r="D113" s="351" t="s">
        <v>1754</v>
      </c>
      <c r="E113" s="351">
        <v>100</v>
      </c>
      <c r="F113" s="351">
        <v>0.85</v>
      </c>
      <c r="G113" s="354">
        <v>1</v>
      </c>
      <c r="H113" s="354">
        <v>1</v>
      </c>
      <c r="I113" s="354"/>
      <c r="J113" s="351">
        <v>0.92</v>
      </c>
      <c r="K113" s="351">
        <v>1.02</v>
      </c>
      <c r="L113" s="354">
        <v>1</v>
      </c>
      <c r="N113" s="355">
        <f t="shared" si="1"/>
        <v>-7.6086956521739246E-2</v>
      </c>
      <c r="O113" s="355">
        <f t="shared" si="1"/>
        <v>-1.9607843137254943E-2</v>
      </c>
      <c r="P113" s="355">
        <f t="shared" si="1"/>
        <v>0</v>
      </c>
    </row>
    <row r="114" spans="2:16" x14ac:dyDescent="0.2">
      <c r="B114" s="351" t="s">
        <v>1736</v>
      </c>
      <c r="C114" s="351" t="s">
        <v>1753</v>
      </c>
      <c r="D114" s="351" t="s">
        <v>1755</v>
      </c>
      <c r="E114" s="351">
        <v>0</v>
      </c>
      <c r="F114" s="351">
        <v>0.85</v>
      </c>
      <c r="G114" s="354">
        <v>1.02</v>
      </c>
      <c r="H114" s="354">
        <v>2.5</v>
      </c>
      <c r="I114" s="354"/>
      <c r="J114" s="351">
        <v>0.92</v>
      </c>
      <c r="K114" s="351">
        <v>1.02</v>
      </c>
      <c r="L114" s="354">
        <v>2.5</v>
      </c>
      <c r="N114" s="355">
        <f t="shared" si="1"/>
        <v>-7.6086956521739246E-2</v>
      </c>
      <c r="O114" s="355">
        <f t="shared" si="1"/>
        <v>0</v>
      </c>
      <c r="P114" s="355">
        <f t="shared" si="1"/>
        <v>0</v>
      </c>
    </row>
    <row r="115" spans="2:16" x14ac:dyDescent="0.2">
      <c r="B115" s="351" t="s">
        <v>1736</v>
      </c>
      <c r="C115" s="351" t="s">
        <v>1753</v>
      </c>
      <c r="D115" s="351" t="s">
        <v>1755</v>
      </c>
      <c r="E115" s="351">
        <v>1</v>
      </c>
      <c r="F115" s="351">
        <v>0.85</v>
      </c>
      <c r="G115" s="354">
        <v>1.02</v>
      </c>
      <c r="H115" s="354">
        <v>2.4</v>
      </c>
      <c r="I115" s="354"/>
      <c r="J115" s="351">
        <v>0.92</v>
      </c>
      <c r="K115" s="351">
        <v>1.02</v>
      </c>
      <c r="L115" s="354">
        <v>2.5</v>
      </c>
      <c r="N115" s="355">
        <f t="shared" si="1"/>
        <v>-7.6086956521739246E-2</v>
      </c>
      <c r="O115" s="355">
        <f t="shared" si="1"/>
        <v>0</v>
      </c>
      <c r="P115" s="355">
        <f t="shared" si="1"/>
        <v>-4.0000000000000036E-2</v>
      </c>
    </row>
    <row r="116" spans="2:16" x14ac:dyDescent="0.2">
      <c r="B116" s="351" t="s">
        <v>1736</v>
      </c>
      <c r="C116" s="351" t="s">
        <v>1753</v>
      </c>
      <c r="D116" s="351" t="s">
        <v>1755</v>
      </c>
      <c r="E116" s="351">
        <v>2</v>
      </c>
      <c r="F116" s="351">
        <v>0.85</v>
      </c>
      <c r="G116" s="354">
        <v>1.02</v>
      </c>
      <c r="H116" s="354">
        <v>2.2999999999999998</v>
      </c>
      <c r="I116" s="354"/>
      <c r="J116" s="351">
        <v>0.92</v>
      </c>
      <c r="K116" s="351">
        <v>1.02</v>
      </c>
      <c r="L116" s="354">
        <v>2.5</v>
      </c>
      <c r="N116" s="355">
        <f t="shared" si="1"/>
        <v>-7.6086956521739246E-2</v>
      </c>
      <c r="O116" s="355">
        <f t="shared" si="1"/>
        <v>0</v>
      </c>
      <c r="P116" s="355">
        <f t="shared" si="1"/>
        <v>-8.0000000000000071E-2</v>
      </c>
    </row>
    <row r="117" spans="2:16" x14ac:dyDescent="0.2">
      <c r="B117" s="351" t="s">
        <v>1736</v>
      </c>
      <c r="C117" s="351" t="s">
        <v>1753</v>
      </c>
      <c r="D117" s="351" t="s">
        <v>1755</v>
      </c>
      <c r="E117" s="351">
        <v>3</v>
      </c>
      <c r="F117" s="351">
        <v>0.85</v>
      </c>
      <c r="G117" s="354">
        <v>1.02</v>
      </c>
      <c r="H117" s="354">
        <v>2.2000000000000002</v>
      </c>
      <c r="I117" s="354"/>
      <c r="J117" s="351">
        <v>0.92</v>
      </c>
      <c r="K117" s="351">
        <v>1.02</v>
      </c>
      <c r="L117" s="354">
        <v>2.5</v>
      </c>
      <c r="N117" s="355">
        <f t="shared" si="1"/>
        <v>-7.6086956521739246E-2</v>
      </c>
      <c r="O117" s="355">
        <f t="shared" si="1"/>
        <v>0</v>
      </c>
      <c r="P117" s="355">
        <f t="shared" si="1"/>
        <v>-0.11999999999999988</v>
      </c>
    </row>
    <row r="118" spans="2:16" x14ac:dyDescent="0.2">
      <c r="B118" s="351" t="s">
        <v>1736</v>
      </c>
      <c r="C118" s="351" t="s">
        <v>1753</v>
      </c>
      <c r="D118" s="351" t="s">
        <v>1755</v>
      </c>
      <c r="E118" s="351">
        <v>4</v>
      </c>
      <c r="F118" s="351">
        <v>0.85</v>
      </c>
      <c r="G118" s="354">
        <v>1.02</v>
      </c>
      <c r="H118" s="354">
        <v>2.15</v>
      </c>
      <c r="I118" s="354"/>
      <c r="J118" s="351">
        <v>0.92</v>
      </c>
      <c r="K118" s="351">
        <v>1.02</v>
      </c>
      <c r="L118" s="354">
        <v>2.4</v>
      </c>
      <c r="N118" s="355">
        <f t="shared" si="1"/>
        <v>-7.6086956521739246E-2</v>
      </c>
      <c r="O118" s="355">
        <f t="shared" si="1"/>
        <v>0</v>
      </c>
      <c r="P118" s="355">
        <f t="shared" si="1"/>
        <v>-0.10416666666666663</v>
      </c>
    </row>
    <row r="119" spans="2:16" x14ac:dyDescent="0.2">
      <c r="B119" s="351" t="s">
        <v>1736</v>
      </c>
      <c r="C119" s="351" t="s">
        <v>1753</v>
      </c>
      <c r="D119" s="351" t="s">
        <v>1755</v>
      </c>
      <c r="E119" s="351">
        <v>5</v>
      </c>
      <c r="F119" s="351">
        <v>0.85</v>
      </c>
      <c r="G119" s="354">
        <v>1.02</v>
      </c>
      <c r="H119" s="354">
        <v>2.1</v>
      </c>
      <c r="I119" s="354"/>
      <c r="J119" s="351">
        <v>0.92</v>
      </c>
      <c r="K119" s="351">
        <v>1.02</v>
      </c>
      <c r="L119" s="354">
        <v>2.2999999999999998</v>
      </c>
      <c r="N119" s="355">
        <f t="shared" si="1"/>
        <v>-7.6086956521739246E-2</v>
      </c>
      <c r="O119" s="355">
        <f t="shared" si="1"/>
        <v>0</v>
      </c>
      <c r="P119" s="355">
        <f t="shared" si="1"/>
        <v>-8.6956521739130377E-2</v>
      </c>
    </row>
    <row r="120" spans="2:16" x14ac:dyDescent="0.2">
      <c r="B120" s="351" t="s">
        <v>1736</v>
      </c>
      <c r="C120" s="351" t="s">
        <v>1753</v>
      </c>
      <c r="D120" s="351" t="s">
        <v>1755</v>
      </c>
      <c r="E120" s="351">
        <v>6</v>
      </c>
      <c r="F120" s="351">
        <v>0.85</v>
      </c>
      <c r="G120" s="354">
        <v>1.02</v>
      </c>
      <c r="H120" s="354">
        <v>2.0499999999999998</v>
      </c>
      <c r="I120" s="354"/>
      <c r="J120" s="351">
        <v>0.92</v>
      </c>
      <c r="K120" s="351">
        <v>1.02</v>
      </c>
      <c r="L120" s="354">
        <v>2.2000000000000002</v>
      </c>
      <c r="N120" s="355">
        <f t="shared" si="1"/>
        <v>-7.6086956521739246E-2</v>
      </c>
      <c r="O120" s="355">
        <f t="shared" si="1"/>
        <v>0</v>
      </c>
      <c r="P120" s="355">
        <f t="shared" si="1"/>
        <v>-6.8181818181818343E-2</v>
      </c>
    </row>
    <row r="121" spans="2:16" x14ac:dyDescent="0.2">
      <c r="B121" s="351" t="s">
        <v>1736</v>
      </c>
      <c r="C121" s="351" t="s">
        <v>1753</v>
      </c>
      <c r="D121" s="351" t="s">
        <v>1755</v>
      </c>
      <c r="E121" s="351">
        <v>7</v>
      </c>
      <c r="F121" s="351">
        <v>0.85</v>
      </c>
      <c r="G121" s="354">
        <v>1.02</v>
      </c>
      <c r="H121" s="354">
        <v>2</v>
      </c>
      <c r="I121" s="354"/>
      <c r="J121" s="351">
        <v>0.92</v>
      </c>
      <c r="K121" s="351">
        <v>1.02</v>
      </c>
      <c r="L121" s="354">
        <v>2.1</v>
      </c>
      <c r="N121" s="355">
        <f t="shared" si="1"/>
        <v>-7.6086956521739246E-2</v>
      </c>
      <c r="O121" s="355">
        <f t="shared" si="1"/>
        <v>0</v>
      </c>
      <c r="P121" s="355">
        <f t="shared" si="1"/>
        <v>-4.7619047619047672E-2</v>
      </c>
    </row>
    <row r="122" spans="2:16" x14ac:dyDescent="0.2">
      <c r="B122" s="351" t="s">
        <v>1736</v>
      </c>
      <c r="C122" s="351" t="s">
        <v>1753</v>
      </c>
      <c r="D122" s="351" t="s">
        <v>1755</v>
      </c>
      <c r="E122" s="351">
        <v>8</v>
      </c>
      <c r="F122" s="351">
        <v>0.85</v>
      </c>
      <c r="G122" s="354">
        <v>1.02</v>
      </c>
      <c r="H122" s="354">
        <v>1.95</v>
      </c>
      <c r="I122" s="354"/>
      <c r="J122" s="351">
        <v>0.92</v>
      </c>
      <c r="K122" s="351">
        <v>1.02</v>
      </c>
      <c r="L122" s="354">
        <v>2.0499999999999998</v>
      </c>
      <c r="N122" s="355">
        <f t="shared" si="1"/>
        <v>-7.6086956521739246E-2</v>
      </c>
      <c r="O122" s="355">
        <f t="shared" si="1"/>
        <v>0</v>
      </c>
      <c r="P122" s="355">
        <f t="shared" si="1"/>
        <v>-4.8780487804877981E-2</v>
      </c>
    </row>
    <row r="123" spans="2:16" x14ac:dyDescent="0.2">
      <c r="B123" s="351" t="s">
        <v>1736</v>
      </c>
      <c r="C123" s="351" t="s">
        <v>1753</v>
      </c>
      <c r="D123" s="351" t="s">
        <v>1755</v>
      </c>
      <c r="E123" s="351">
        <v>9</v>
      </c>
      <c r="F123" s="351">
        <v>0.85</v>
      </c>
      <c r="G123" s="354">
        <v>1.02</v>
      </c>
      <c r="H123" s="354">
        <v>1.9</v>
      </c>
      <c r="I123" s="354"/>
      <c r="J123" s="351">
        <v>0.92</v>
      </c>
      <c r="K123" s="351">
        <v>1.02</v>
      </c>
      <c r="L123" s="354">
        <v>2</v>
      </c>
      <c r="N123" s="355">
        <f t="shared" si="1"/>
        <v>-7.6086956521739246E-2</v>
      </c>
      <c r="O123" s="355">
        <f t="shared" si="1"/>
        <v>0</v>
      </c>
      <c r="P123" s="355">
        <f t="shared" si="1"/>
        <v>-5.0000000000000044E-2</v>
      </c>
    </row>
    <row r="124" spans="2:16" x14ac:dyDescent="0.2">
      <c r="B124" s="351" t="s">
        <v>1736</v>
      </c>
      <c r="C124" s="351" t="s">
        <v>1753</v>
      </c>
      <c r="D124" s="351" t="s">
        <v>1755</v>
      </c>
      <c r="E124" s="351">
        <v>10</v>
      </c>
      <c r="F124" s="351">
        <v>0.85</v>
      </c>
      <c r="G124" s="354">
        <v>1.02</v>
      </c>
      <c r="H124" s="354">
        <v>1.85</v>
      </c>
      <c r="I124" s="354"/>
      <c r="J124" s="351">
        <v>0.92</v>
      </c>
      <c r="K124" s="351">
        <v>1.02</v>
      </c>
      <c r="L124" s="354">
        <v>1.9</v>
      </c>
      <c r="N124" s="355">
        <f t="shared" si="1"/>
        <v>-7.6086956521739246E-2</v>
      </c>
      <c r="O124" s="355">
        <f t="shared" si="1"/>
        <v>0</v>
      </c>
      <c r="P124" s="355">
        <f t="shared" si="1"/>
        <v>-2.631578947368407E-2</v>
      </c>
    </row>
    <row r="125" spans="2:16" x14ac:dyDescent="0.2">
      <c r="B125" s="351" t="s">
        <v>1736</v>
      </c>
      <c r="C125" s="351" t="s">
        <v>1753</v>
      </c>
      <c r="D125" s="351" t="s">
        <v>1755</v>
      </c>
      <c r="E125" s="351">
        <v>11</v>
      </c>
      <c r="F125" s="351">
        <v>0.85</v>
      </c>
      <c r="G125" s="354">
        <v>1.02</v>
      </c>
      <c r="H125" s="354">
        <v>1.8</v>
      </c>
      <c r="I125" s="354"/>
      <c r="J125" s="351">
        <v>0.92</v>
      </c>
      <c r="K125" s="351">
        <v>1.02</v>
      </c>
      <c r="L125" s="354">
        <v>1.85</v>
      </c>
      <c r="N125" s="355">
        <f t="shared" si="1"/>
        <v>-7.6086956521739246E-2</v>
      </c>
      <c r="O125" s="355">
        <f t="shared" si="1"/>
        <v>0</v>
      </c>
      <c r="P125" s="355">
        <f t="shared" si="1"/>
        <v>-2.7027027027027084E-2</v>
      </c>
    </row>
    <row r="126" spans="2:16" x14ac:dyDescent="0.2">
      <c r="B126" s="351" t="s">
        <v>1736</v>
      </c>
      <c r="C126" s="351" t="s">
        <v>1753</v>
      </c>
      <c r="D126" s="351" t="s">
        <v>1755</v>
      </c>
      <c r="E126" s="351">
        <v>12</v>
      </c>
      <c r="F126" s="351">
        <v>0.85</v>
      </c>
      <c r="G126" s="354">
        <v>1.02</v>
      </c>
      <c r="H126" s="354">
        <v>1.76</v>
      </c>
      <c r="I126" s="354"/>
      <c r="J126" s="351">
        <v>0.92</v>
      </c>
      <c r="K126" s="351">
        <v>1.02</v>
      </c>
      <c r="L126" s="354">
        <v>1.8</v>
      </c>
      <c r="N126" s="355">
        <f t="shared" si="1"/>
        <v>-7.6086956521739246E-2</v>
      </c>
      <c r="O126" s="355">
        <f t="shared" si="1"/>
        <v>0</v>
      </c>
      <c r="P126" s="355">
        <f t="shared" si="1"/>
        <v>-2.2222222222222254E-2</v>
      </c>
    </row>
    <row r="127" spans="2:16" x14ac:dyDescent="0.2">
      <c r="B127" s="351" t="s">
        <v>1736</v>
      </c>
      <c r="C127" s="351" t="s">
        <v>1753</v>
      </c>
      <c r="D127" s="351" t="s">
        <v>1755</v>
      </c>
      <c r="E127" s="351">
        <v>13</v>
      </c>
      <c r="F127" s="351">
        <v>0.85</v>
      </c>
      <c r="G127" s="354">
        <v>1.02</v>
      </c>
      <c r="H127" s="354">
        <v>1.72</v>
      </c>
      <c r="I127" s="354"/>
      <c r="J127" s="351">
        <v>0.92</v>
      </c>
      <c r="K127" s="351">
        <v>1.02</v>
      </c>
      <c r="L127" s="354">
        <v>1.76</v>
      </c>
      <c r="N127" s="355">
        <f t="shared" si="1"/>
        <v>-7.6086956521739246E-2</v>
      </c>
      <c r="O127" s="355">
        <f t="shared" si="1"/>
        <v>0</v>
      </c>
      <c r="P127" s="355">
        <f t="shared" si="1"/>
        <v>-2.2727272727272707E-2</v>
      </c>
    </row>
    <row r="128" spans="2:16" x14ac:dyDescent="0.2">
      <c r="B128" s="351" t="s">
        <v>1736</v>
      </c>
      <c r="C128" s="351" t="s">
        <v>1753</v>
      </c>
      <c r="D128" s="351" t="s">
        <v>1755</v>
      </c>
      <c r="E128" s="351">
        <v>14</v>
      </c>
      <c r="F128" s="351">
        <v>0.85</v>
      </c>
      <c r="G128" s="354">
        <v>1.02</v>
      </c>
      <c r="H128" s="354">
        <v>1.68</v>
      </c>
      <c r="I128" s="354"/>
      <c r="J128" s="351">
        <v>0.92</v>
      </c>
      <c r="K128" s="351">
        <v>1.02</v>
      </c>
      <c r="L128" s="354">
        <v>1.72</v>
      </c>
      <c r="N128" s="355">
        <f t="shared" si="1"/>
        <v>-7.6086956521739246E-2</v>
      </c>
      <c r="O128" s="355">
        <f t="shared" si="1"/>
        <v>0</v>
      </c>
      <c r="P128" s="355">
        <f t="shared" si="1"/>
        <v>-2.3255813953488413E-2</v>
      </c>
    </row>
    <row r="129" spans="2:16" x14ac:dyDescent="0.2">
      <c r="B129" s="351" t="s">
        <v>1736</v>
      </c>
      <c r="C129" s="351" t="s">
        <v>1753</v>
      </c>
      <c r="D129" s="351" t="s">
        <v>1755</v>
      </c>
      <c r="E129" s="351">
        <v>15</v>
      </c>
      <c r="F129" s="351">
        <v>0.85</v>
      </c>
      <c r="G129" s="354">
        <v>1.02</v>
      </c>
      <c r="H129" s="354">
        <v>1.64</v>
      </c>
      <c r="I129" s="354"/>
      <c r="J129" s="351">
        <v>0.92</v>
      </c>
      <c r="K129" s="351">
        <v>1.02</v>
      </c>
      <c r="L129" s="354">
        <v>1.68</v>
      </c>
      <c r="N129" s="355">
        <f t="shared" si="1"/>
        <v>-7.6086956521739246E-2</v>
      </c>
      <c r="O129" s="355">
        <f t="shared" si="1"/>
        <v>0</v>
      </c>
      <c r="P129" s="355">
        <f t="shared" si="1"/>
        <v>-2.3809523809523836E-2</v>
      </c>
    </row>
    <row r="130" spans="2:16" x14ac:dyDescent="0.2">
      <c r="B130" s="351" t="s">
        <v>1736</v>
      </c>
      <c r="C130" s="351" t="s">
        <v>1753</v>
      </c>
      <c r="D130" s="351" t="s">
        <v>1755</v>
      </c>
      <c r="E130" s="351">
        <v>16</v>
      </c>
      <c r="F130" s="351">
        <v>0.85</v>
      </c>
      <c r="G130" s="354">
        <v>1.02</v>
      </c>
      <c r="H130" s="354">
        <v>1.61</v>
      </c>
      <c r="I130" s="354"/>
      <c r="J130" s="351">
        <v>0.92</v>
      </c>
      <c r="K130" s="351">
        <v>1.02</v>
      </c>
      <c r="L130" s="354">
        <v>1.64</v>
      </c>
      <c r="N130" s="355">
        <f t="shared" si="1"/>
        <v>-7.6086956521739246E-2</v>
      </c>
      <c r="O130" s="355">
        <f t="shared" si="1"/>
        <v>0</v>
      </c>
      <c r="P130" s="355">
        <f t="shared" si="1"/>
        <v>-1.8292682926829174E-2</v>
      </c>
    </row>
    <row r="131" spans="2:16" x14ac:dyDescent="0.2">
      <c r="B131" s="351" t="s">
        <v>1736</v>
      </c>
      <c r="C131" s="351" t="s">
        <v>1753</v>
      </c>
      <c r="D131" s="351" t="s">
        <v>1755</v>
      </c>
      <c r="E131" s="351">
        <v>17</v>
      </c>
      <c r="F131" s="351">
        <v>0.85</v>
      </c>
      <c r="G131" s="354">
        <v>1.02</v>
      </c>
      <c r="H131" s="354">
        <v>1.58</v>
      </c>
      <c r="I131" s="354"/>
      <c r="J131" s="351">
        <v>0.92</v>
      </c>
      <c r="K131" s="351">
        <v>1.02</v>
      </c>
      <c r="L131" s="354">
        <v>1.61</v>
      </c>
      <c r="N131" s="355">
        <f t="shared" si="1"/>
        <v>-7.6086956521739246E-2</v>
      </c>
      <c r="O131" s="355">
        <f t="shared" si="1"/>
        <v>0</v>
      </c>
      <c r="P131" s="355">
        <f t="shared" si="1"/>
        <v>-1.8633540372670843E-2</v>
      </c>
    </row>
    <row r="132" spans="2:16" x14ac:dyDescent="0.2">
      <c r="B132" s="351" t="s">
        <v>1736</v>
      </c>
      <c r="C132" s="351" t="s">
        <v>1753</v>
      </c>
      <c r="D132" s="351" t="s">
        <v>1755</v>
      </c>
      <c r="E132" s="351">
        <v>18</v>
      </c>
      <c r="F132" s="351">
        <v>0.85</v>
      </c>
      <c r="G132" s="354">
        <v>1.02</v>
      </c>
      <c r="H132" s="354">
        <v>1.55</v>
      </c>
      <c r="I132" s="354"/>
      <c r="J132" s="351">
        <v>0.92</v>
      </c>
      <c r="K132" s="351">
        <v>1.02</v>
      </c>
      <c r="L132" s="354">
        <v>1.58</v>
      </c>
      <c r="N132" s="355">
        <f t="shared" si="1"/>
        <v>-7.6086956521739246E-2</v>
      </c>
      <c r="O132" s="355">
        <f t="shared" si="1"/>
        <v>0</v>
      </c>
      <c r="P132" s="355">
        <f t="shared" si="1"/>
        <v>-1.8987341772151889E-2</v>
      </c>
    </row>
    <row r="133" spans="2:16" x14ac:dyDescent="0.2">
      <c r="B133" s="351" t="s">
        <v>1736</v>
      </c>
      <c r="C133" s="351" t="s">
        <v>1753</v>
      </c>
      <c r="D133" s="351" t="s">
        <v>1755</v>
      </c>
      <c r="E133" s="351">
        <v>19</v>
      </c>
      <c r="F133" s="351">
        <v>0.85</v>
      </c>
      <c r="G133" s="354">
        <v>1.02</v>
      </c>
      <c r="H133" s="354">
        <v>1.52</v>
      </c>
      <c r="I133" s="354"/>
      <c r="J133" s="351">
        <v>0.92</v>
      </c>
      <c r="K133" s="351">
        <v>1.02</v>
      </c>
      <c r="L133" s="354">
        <v>1.55</v>
      </c>
      <c r="N133" s="355">
        <f t="shared" si="1"/>
        <v>-7.6086956521739246E-2</v>
      </c>
      <c r="O133" s="355">
        <f t="shared" si="1"/>
        <v>0</v>
      </c>
      <c r="P133" s="355">
        <f t="shared" si="1"/>
        <v>-1.9354838709677469E-2</v>
      </c>
    </row>
    <row r="134" spans="2:16" x14ac:dyDescent="0.2">
      <c r="B134" s="351" t="s">
        <v>1736</v>
      </c>
      <c r="C134" s="351" t="s">
        <v>1753</v>
      </c>
      <c r="D134" s="351" t="s">
        <v>1755</v>
      </c>
      <c r="E134" s="351">
        <v>20</v>
      </c>
      <c r="F134" s="351">
        <v>0.85</v>
      </c>
      <c r="G134" s="354">
        <v>1.02</v>
      </c>
      <c r="H134" s="354">
        <v>1.49</v>
      </c>
      <c r="I134" s="354"/>
      <c r="J134" s="351">
        <v>0.92</v>
      </c>
      <c r="K134" s="351">
        <v>1.02</v>
      </c>
      <c r="L134" s="354">
        <v>1.52</v>
      </c>
      <c r="N134" s="355">
        <f t="shared" si="1"/>
        <v>-7.6086956521739246E-2</v>
      </c>
      <c r="O134" s="355">
        <f t="shared" si="1"/>
        <v>0</v>
      </c>
      <c r="P134" s="355">
        <f t="shared" si="1"/>
        <v>-1.9736842105263164E-2</v>
      </c>
    </row>
    <row r="135" spans="2:16" x14ac:dyDescent="0.2">
      <c r="B135" s="351" t="s">
        <v>1736</v>
      </c>
      <c r="C135" s="351" t="s">
        <v>1753</v>
      </c>
      <c r="D135" s="351" t="s">
        <v>1755</v>
      </c>
      <c r="E135" s="351">
        <v>21</v>
      </c>
      <c r="F135" s="351">
        <v>0.85</v>
      </c>
      <c r="G135" s="354">
        <v>1.02</v>
      </c>
      <c r="H135" s="354">
        <v>1.46</v>
      </c>
      <c r="I135" s="354"/>
      <c r="J135" s="351">
        <v>0.92</v>
      </c>
      <c r="K135" s="351">
        <v>1.02</v>
      </c>
      <c r="L135" s="354">
        <v>1.49</v>
      </c>
      <c r="N135" s="355">
        <f t="shared" si="1"/>
        <v>-7.6086956521739246E-2</v>
      </c>
      <c r="O135" s="355">
        <f t="shared" si="1"/>
        <v>0</v>
      </c>
      <c r="P135" s="355">
        <f t="shared" si="1"/>
        <v>-2.0134228187919434E-2</v>
      </c>
    </row>
    <row r="136" spans="2:16" x14ac:dyDescent="0.2">
      <c r="B136" s="351" t="s">
        <v>1736</v>
      </c>
      <c r="C136" s="351" t="s">
        <v>1753</v>
      </c>
      <c r="D136" s="351" t="s">
        <v>1755</v>
      </c>
      <c r="E136" s="351">
        <v>22</v>
      </c>
      <c r="F136" s="351">
        <v>0.85</v>
      </c>
      <c r="G136" s="354">
        <v>1.02</v>
      </c>
      <c r="H136" s="354">
        <v>1.43</v>
      </c>
      <c r="I136" s="354"/>
      <c r="J136" s="351">
        <v>0.92</v>
      </c>
      <c r="K136" s="351">
        <v>1.02</v>
      </c>
      <c r="L136" s="354">
        <v>1.46</v>
      </c>
      <c r="N136" s="355">
        <f t="shared" si="1"/>
        <v>-7.6086956521739246E-2</v>
      </c>
      <c r="O136" s="355">
        <f t="shared" si="1"/>
        <v>0</v>
      </c>
      <c r="P136" s="355">
        <f t="shared" si="1"/>
        <v>-2.0547945205479423E-2</v>
      </c>
    </row>
    <row r="137" spans="2:16" x14ac:dyDescent="0.2">
      <c r="B137" s="351" t="s">
        <v>1736</v>
      </c>
      <c r="C137" s="351" t="s">
        <v>1753</v>
      </c>
      <c r="D137" s="351" t="s">
        <v>1755</v>
      </c>
      <c r="E137" s="351">
        <v>23</v>
      </c>
      <c r="F137" s="351">
        <v>0.85</v>
      </c>
      <c r="G137" s="354">
        <v>1.02</v>
      </c>
      <c r="H137" s="354">
        <v>1.4</v>
      </c>
      <c r="I137" s="354"/>
      <c r="J137" s="351">
        <v>0.92</v>
      </c>
      <c r="K137" s="351">
        <v>1.02</v>
      </c>
      <c r="L137" s="354">
        <v>1.43</v>
      </c>
      <c r="N137" s="355">
        <f t="shared" si="1"/>
        <v>-7.6086956521739246E-2</v>
      </c>
      <c r="O137" s="355">
        <f t="shared" si="1"/>
        <v>0</v>
      </c>
      <c r="P137" s="355">
        <f t="shared" si="1"/>
        <v>-2.0979020979021046E-2</v>
      </c>
    </row>
    <row r="138" spans="2:16" x14ac:dyDescent="0.2">
      <c r="B138" s="351" t="s">
        <v>1736</v>
      </c>
      <c r="C138" s="351" t="s">
        <v>1753</v>
      </c>
      <c r="D138" s="351" t="s">
        <v>1755</v>
      </c>
      <c r="E138" s="351">
        <v>24</v>
      </c>
      <c r="F138" s="351">
        <v>0.85</v>
      </c>
      <c r="G138" s="354">
        <v>1.02</v>
      </c>
      <c r="H138" s="354">
        <v>1.38</v>
      </c>
      <c r="I138" s="354"/>
      <c r="J138" s="351">
        <v>0.92</v>
      </c>
      <c r="K138" s="351">
        <v>1.02</v>
      </c>
      <c r="L138" s="354">
        <v>1.4</v>
      </c>
      <c r="N138" s="355">
        <f t="shared" si="1"/>
        <v>-7.6086956521739246E-2</v>
      </c>
      <c r="O138" s="355">
        <f t="shared" si="1"/>
        <v>0</v>
      </c>
      <c r="P138" s="355">
        <f t="shared" si="1"/>
        <v>-1.4285714285714346E-2</v>
      </c>
    </row>
    <row r="139" spans="2:16" x14ac:dyDescent="0.2">
      <c r="B139" s="351" t="s">
        <v>1736</v>
      </c>
      <c r="C139" s="351" t="s">
        <v>1753</v>
      </c>
      <c r="D139" s="351" t="s">
        <v>1755</v>
      </c>
      <c r="E139" s="351">
        <v>25</v>
      </c>
      <c r="F139" s="351">
        <v>0.85</v>
      </c>
      <c r="G139" s="354">
        <v>1.02</v>
      </c>
      <c r="H139" s="354">
        <v>1.36</v>
      </c>
      <c r="I139" s="354"/>
      <c r="J139" s="351">
        <v>0.92</v>
      </c>
      <c r="K139" s="351">
        <v>1.02</v>
      </c>
      <c r="L139" s="354">
        <v>1.38</v>
      </c>
      <c r="N139" s="355">
        <f t="shared" si="1"/>
        <v>-7.6086956521739246E-2</v>
      </c>
      <c r="O139" s="355">
        <f t="shared" si="1"/>
        <v>0</v>
      </c>
      <c r="P139" s="355">
        <f t="shared" si="1"/>
        <v>-1.4492753623188248E-2</v>
      </c>
    </row>
    <row r="140" spans="2:16" x14ac:dyDescent="0.2">
      <c r="B140" s="351" t="s">
        <v>1736</v>
      </c>
      <c r="C140" s="351" t="s">
        <v>1753</v>
      </c>
      <c r="D140" s="351" t="s">
        <v>1755</v>
      </c>
      <c r="E140" s="351">
        <v>26</v>
      </c>
      <c r="F140" s="351">
        <v>0.85</v>
      </c>
      <c r="G140" s="354">
        <v>1.02</v>
      </c>
      <c r="H140" s="354">
        <v>1.34</v>
      </c>
      <c r="I140" s="354"/>
      <c r="J140" s="351">
        <v>0.92</v>
      </c>
      <c r="K140" s="351">
        <v>1.02</v>
      </c>
      <c r="L140" s="354">
        <v>1.36</v>
      </c>
      <c r="N140" s="355">
        <f t="shared" si="1"/>
        <v>-7.6086956521739246E-2</v>
      </c>
      <c r="O140" s="355">
        <f t="shared" si="1"/>
        <v>0</v>
      </c>
      <c r="P140" s="355">
        <f t="shared" si="1"/>
        <v>-1.4705882352941235E-2</v>
      </c>
    </row>
    <row r="141" spans="2:16" x14ac:dyDescent="0.2">
      <c r="B141" s="351" t="s">
        <v>1736</v>
      </c>
      <c r="C141" s="351" t="s">
        <v>1753</v>
      </c>
      <c r="D141" s="351" t="s">
        <v>1755</v>
      </c>
      <c r="E141" s="351">
        <v>27</v>
      </c>
      <c r="F141" s="351">
        <v>0.85</v>
      </c>
      <c r="G141" s="354">
        <v>1.02</v>
      </c>
      <c r="H141" s="354">
        <v>1.32</v>
      </c>
      <c r="I141" s="354"/>
      <c r="J141" s="351">
        <v>0.92</v>
      </c>
      <c r="K141" s="351">
        <v>1.02</v>
      </c>
      <c r="L141" s="354">
        <v>1.34</v>
      </c>
      <c r="N141" s="355">
        <f t="shared" ref="N141:P204" si="2">F141/J141-1</f>
        <v>-7.6086956521739246E-2</v>
      </c>
      <c r="O141" s="355">
        <f t="shared" si="2"/>
        <v>0</v>
      </c>
      <c r="P141" s="355">
        <f t="shared" si="2"/>
        <v>-1.4925373134328401E-2</v>
      </c>
    </row>
    <row r="142" spans="2:16" x14ac:dyDescent="0.2">
      <c r="B142" s="351" t="s">
        <v>1736</v>
      </c>
      <c r="C142" s="351" t="s">
        <v>1753</v>
      </c>
      <c r="D142" s="351" t="s">
        <v>1755</v>
      </c>
      <c r="E142" s="351">
        <v>28</v>
      </c>
      <c r="F142" s="351">
        <v>0.85</v>
      </c>
      <c r="G142" s="354">
        <v>1.02</v>
      </c>
      <c r="H142" s="354">
        <v>1.3</v>
      </c>
      <c r="I142" s="354"/>
      <c r="J142" s="351">
        <v>0.92</v>
      </c>
      <c r="K142" s="351">
        <v>1.02</v>
      </c>
      <c r="L142" s="354">
        <v>1.32</v>
      </c>
      <c r="N142" s="355">
        <f t="shared" si="2"/>
        <v>-7.6086956521739246E-2</v>
      </c>
      <c r="O142" s="355">
        <f t="shared" si="2"/>
        <v>0</v>
      </c>
      <c r="P142" s="355">
        <f t="shared" si="2"/>
        <v>-1.5151515151515138E-2</v>
      </c>
    </row>
    <row r="143" spans="2:16" x14ac:dyDescent="0.2">
      <c r="B143" s="351" t="s">
        <v>1736</v>
      </c>
      <c r="C143" s="351" t="s">
        <v>1753</v>
      </c>
      <c r="D143" s="351" t="s">
        <v>1755</v>
      </c>
      <c r="E143" s="351">
        <v>29</v>
      </c>
      <c r="F143" s="351">
        <v>0.85</v>
      </c>
      <c r="G143" s="354">
        <v>1.02</v>
      </c>
      <c r="H143" s="354">
        <v>1.28</v>
      </c>
      <c r="I143" s="354"/>
      <c r="J143" s="351">
        <v>0.92</v>
      </c>
      <c r="K143" s="351">
        <v>1.02</v>
      </c>
      <c r="L143" s="354">
        <v>1.3</v>
      </c>
      <c r="N143" s="355">
        <f t="shared" si="2"/>
        <v>-7.6086956521739246E-2</v>
      </c>
      <c r="O143" s="355">
        <f t="shared" si="2"/>
        <v>0</v>
      </c>
      <c r="P143" s="355">
        <f t="shared" si="2"/>
        <v>-1.5384615384615441E-2</v>
      </c>
    </row>
    <row r="144" spans="2:16" x14ac:dyDescent="0.2">
      <c r="B144" s="351" t="s">
        <v>1736</v>
      </c>
      <c r="C144" s="351" t="s">
        <v>1753</v>
      </c>
      <c r="D144" s="351" t="s">
        <v>1755</v>
      </c>
      <c r="E144" s="351">
        <v>30</v>
      </c>
      <c r="F144" s="351">
        <v>0.85</v>
      </c>
      <c r="G144" s="354">
        <v>1.02</v>
      </c>
      <c r="H144" s="354">
        <v>1.27</v>
      </c>
      <c r="I144" s="354"/>
      <c r="J144" s="351">
        <v>0.92</v>
      </c>
      <c r="K144" s="351">
        <v>1.02</v>
      </c>
      <c r="L144" s="354">
        <v>1.28</v>
      </c>
      <c r="N144" s="355">
        <f t="shared" si="2"/>
        <v>-7.6086956521739246E-2</v>
      </c>
      <c r="O144" s="355">
        <f t="shared" si="2"/>
        <v>0</v>
      </c>
      <c r="P144" s="355">
        <f t="shared" si="2"/>
        <v>-7.8125E-3</v>
      </c>
    </row>
    <row r="145" spans="2:16" x14ac:dyDescent="0.2">
      <c r="B145" s="351" t="s">
        <v>1736</v>
      </c>
      <c r="C145" s="351" t="s">
        <v>1753</v>
      </c>
      <c r="D145" s="351" t="s">
        <v>1755</v>
      </c>
      <c r="E145" s="351">
        <v>31</v>
      </c>
      <c r="F145" s="351">
        <v>0.85</v>
      </c>
      <c r="G145" s="354">
        <v>1.02</v>
      </c>
      <c r="H145" s="354">
        <v>1.26</v>
      </c>
      <c r="I145" s="354"/>
      <c r="J145" s="351">
        <v>0.92</v>
      </c>
      <c r="K145" s="351">
        <v>1.02</v>
      </c>
      <c r="L145" s="354">
        <v>1.27</v>
      </c>
      <c r="N145" s="355">
        <f t="shared" si="2"/>
        <v>-7.6086956521739246E-2</v>
      </c>
      <c r="O145" s="355">
        <f t="shared" si="2"/>
        <v>0</v>
      </c>
      <c r="P145" s="355">
        <f t="shared" si="2"/>
        <v>-7.8740157480314821E-3</v>
      </c>
    </row>
    <row r="146" spans="2:16" x14ac:dyDescent="0.2">
      <c r="B146" s="351" t="s">
        <v>1736</v>
      </c>
      <c r="C146" s="351" t="s">
        <v>1753</v>
      </c>
      <c r="D146" s="351" t="s">
        <v>1755</v>
      </c>
      <c r="E146" s="351">
        <v>32</v>
      </c>
      <c r="F146" s="351">
        <v>0.85</v>
      </c>
      <c r="G146" s="354">
        <v>1.02</v>
      </c>
      <c r="H146" s="354">
        <v>1.25</v>
      </c>
      <c r="I146" s="354"/>
      <c r="J146" s="351">
        <v>0.92</v>
      </c>
      <c r="K146" s="351">
        <v>1.02</v>
      </c>
      <c r="L146" s="354">
        <v>1.26</v>
      </c>
      <c r="N146" s="355">
        <f t="shared" si="2"/>
        <v>-7.6086956521739246E-2</v>
      </c>
      <c r="O146" s="355">
        <f t="shared" si="2"/>
        <v>0</v>
      </c>
      <c r="P146" s="355">
        <f t="shared" si="2"/>
        <v>-7.9365079365079083E-3</v>
      </c>
    </row>
    <row r="147" spans="2:16" x14ac:dyDescent="0.2">
      <c r="B147" s="351" t="s">
        <v>1736</v>
      </c>
      <c r="C147" s="351" t="s">
        <v>1753</v>
      </c>
      <c r="D147" s="351" t="s">
        <v>1755</v>
      </c>
      <c r="E147" s="351">
        <v>33</v>
      </c>
      <c r="F147" s="351">
        <v>0.85</v>
      </c>
      <c r="G147" s="354">
        <v>1.02</v>
      </c>
      <c r="H147" s="354">
        <v>1.24</v>
      </c>
      <c r="I147" s="354"/>
      <c r="J147" s="351">
        <v>0.92</v>
      </c>
      <c r="K147" s="351">
        <v>1.02</v>
      </c>
      <c r="L147" s="354">
        <v>1.25</v>
      </c>
      <c r="N147" s="355">
        <f t="shared" si="2"/>
        <v>-7.6086956521739246E-2</v>
      </c>
      <c r="O147" s="355">
        <f t="shared" si="2"/>
        <v>0</v>
      </c>
      <c r="P147" s="355">
        <f t="shared" si="2"/>
        <v>-8.0000000000000071E-3</v>
      </c>
    </row>
    <row r="148" spans="2:16" x14ac:dyDescent="0.2">
      <c r="B148" s="351" t="s">
        <v>1736</v>
      </c>
      <c r="C148" s="351" t="s">
        <v>1753</v>
      </c>
      <c r="D148" s="351" t="s">
        <v>1755</v>
      </c>
      <c r="E148" s="351">
        <v>34</v>
      </c>
      <c r="F148" s="351">
        <v>0.85</v>
      </c>
      <c r="G148" s="354">
        <v>1.02</v>
      </c>
      <c r="H148" s="354">
        <v>1.23</v>
      </c>
      <c r="I148" s="354"/>
      <c r="J148" s="351">
        <v>0.92</v>
      </c>
      <c r="K148" s="351">
        <v>1.02</v>
      </c>
      <c r="L148" s="354">
        <v>1.24</v>
      </c>
      <c r="N148" s="355">
        <f t="shared" si="2"/>
        <v>-7.6086956521739246E-2</v>
      </c>
      <c r="O148" s="355">
        <f t="shared" si="2"/>
        <v>0</v>
      </c>
      <c r="P148" s="355">
        <f t="shared" si="2"/>
        <v>-8.0645161290322509E-3</v>
      </c>
    </row>
    <row r="149" spans="2:16" x14ac:dyDescent="0.2">
      <c r="B149" s="351" t="s">
        <v>1736</v>
      </c>
      <c r="C149" s="351" t="s">
        <v>1753</v>
      </c>
      <c r="D149" s="351" t="s">
        <v>1755</v>
      </c>
      <c r="E149" s="351">
        <v>35</v>
      </c>
      <c r="F149" s="351">
        <v>0.85</v>
      </c>
      <c r="G149" s="354">
        <v>1.02</v>
      </c>
      <c r="H149" s="354">
        <v>1.22</v>
      </c>
      <c r="I149" s="354"/>
      <c r="J149" s="351">
        <v>0.92</v>
      </c>
      <c r="K149" s="351">
        <v>1.02</v>
      </c>
      <c r="L149" s="354">
        <v>1.23</v>
      </c>
      <c r="N149" s="355">
        <f t="shared" si="2"/>
        <v>-7.6086956521739246E-2</v>
      </c>
      <c r="O149" s="355">
        <f t="shared" si="2"/>
        <v>0</v>
      </c>
      <c r="P149" s="355">
        <f t="shared" si="2"/>
        <v>-8.1300813008130524E-3</v>
      </c>
    </row>
    <row r="150" spans="2:16" x14ac:dyDescent="0.2">
      <c r="B150" s="351" t="s">
        <v>1736</v>
      </c>
      <c r="C150" s="351" t="s">
        <v>1753</v>
      </c>
      <c r="D150" s="351" t="s">
        <v>1755</v>
      </c>
      <c r="E150" s="351">
        <v>36</v>
      </c>
      <c r="F150" s="351">
        <v>0.85</v>
      </c>
      <c r="G150" s="354">
        <v>1.02</v>
      </c>
      <c r="H150" s="354">
        <v>1.21</v>
      </c>
      <c r="I150" s="354"/>
      <c r="J150" s="351">
        <v>0.92</v>
      </c>
      <c r="K150" s="351">
        <v>1.02</v>
      </c>
      <c r="L150" s="354">
        <v>1.22</v>
      </c>
      <c r="N150" s="355">
        <f t="shared" si="2"/>
        <v>-7.6086956521739246E-2</v>
      </c>
      <c r="O150" s="355">
        <f t="shared" si="2"/>
        <v>0</v>
      </c>
      <c r="P150" s="355">
        <f t="shared" si="2"/>
        <v>-8.1967213114754189E-3</v>
      </c>
    </row>
    <row r="151" spans="2:16" x14ac:dyDescent="0.2">
      <c r="B151" s="351" t="s">
        <v>1736</v>
      </c>
      <c r="C151" s="351" t="s">
        <v>1753</v>
      </c>
      <c r="D151" s="351" t="s">
        <v>1755</v>
      </c>
      <c r="E151" s="351">
        <v>37</v>
      </c>
      <c r="F151" s="351">
        <v>0.85</v>
      </c>
      <c r="G151" s="354">
        <v>1.02</v>
      </c>
      <c r="H151" s="354">
        <v>1.2</v>
      </c>
      <c r="I151" s="354"/>
      <c r="J151" s="351">
        <v>0.92</v>
      </c>
      <c r="K151" s="351">
        <v>1.02</v>
      </c>
      <c r="L151" s="354">
        <v>1.21</v>
      </c>
      <c r="N151" s="355">
        <f t="shared" si="2"/>
        <v>-7.6086956521739246E-2</v>
      </c>
      <c r="O151" s="355">
        <f t="shared" si="2"/>
        <v>0</v>
      </c>
      <c r="P151" s="355">
        <f t="shared" si="2"/>
        <v>-8.2644628099173278E-3</v>
      </c>
    </row>
    <row r="152" spans="2:16" x14ac:dyDescent="0.2">
      <c r="B152" s="351" t="s">
        <v>1736</v>
      </c>
      <c r="C152" s="351" t="s">
        <v>1753</v>
      </c>
      <c r="D152" s="351" t="s">
        <v>1755</v>
      </c>
      <c r="E152" s="351">
        <v>38</v>
      </c>
      <c r="F152" s="351">
        <v>0.85</v>
      </c>
      <c r="G152" s="354">
        <v>1.02</v>
      </c>
      <c r="H152" s="354">
        <v>1.19</v>
      </c>
      <c r="I152" s="354"/>
      <c r="J152" s="351">
        <v>0.92</v>
      </c>
      <c r="K152" s="351">
        <v>1.02</v>
      </c>
      <c r="L152" s="354">
        <v>1.2</v>
      </c>
      <c r="N152" s="355">
        <f t="shared" si="2"/>
        <v>-7.6086956521739246E-2</v>
      </c>
      <c r="O152" s="355">
        <f t="shared" si="2"/>
        <v>0</v>
      </c>
      <c r="P152" s="355">
        <f t="shared" si="2"/>
        <v>-8.3333333333333037E-3</v>
      </c>
    </row>
    <row r="153" spans="2:16" x14ac:dyDescent="0.2">
      <c r="B153" s="351" t="s">
        <v>1736</v>
      </c>
      <c r="C153" s="351" t="s">
        <v>1753</v>
      </c>
      <c r="D153" s="351" t="s">
        <v>1755</v>
      </c>
      <c r="E153" s="351">
        <v>39</v>
      </c>
      <c r="F153" s="351">
        <v>0.85</v>
      </c>
      <c r="G153" s="354">
        <v>1.02</v>
      </c>
      <c r="H153" s="354">
        <v>1.18</v>
      </c>
      <c r="I153" s="354"/>
      <c r="J153" s="351">
        <v>0.92</v>
      </c>
      <c r="K153" s="351">
        <v>1.02</v>
      </c>
      <c r="L153" s="354">
        <v>1.19</v>
      </c>
      <c r="N153" s="355">
        <f t="shared" si="2"/>
        <v>-7.6086956521739246E-2</v>
      </c>
      <c r="O153" s="355">
        <f t="shared" si="2"/>
        <v>0</v>
      </c>
      <c r="P153" s="355">
        <f t="shared" si="2"/>
        <v>-8.4033613445377853E-3</v>
      </c>
    </row>
    <row r="154" spans="2:16" x14ac:dyDescent="0.2">
      <c r="B154" s="351" t="s">
        <v>1736</v>
      </c>
      <c r="C154" s="351" t="s">
        <v>1753</v>
      </c>
      <c r="D154" s="351" t="s">
        <v>1755</v>
      </c>
      <c r="E154" s="351">
        <v>40</v>
      </c>
      <c r="F154" s="351">
        <v>0.85</v>
      </c>
      <c r="G154" s="354">
        <v>1.02</v>
      </c>
      <c r="H154" s="354">
        <v>1.17</v>
      </c>
      <c r="I154" s="354"/>
      <c r="J154" s="351">
        <v>0.92</v>
      </c>
      <c r="K154" s="351">
        <v>1.02</v>
      </c>
      <c r="L154" s="354">
        <v>1.18</v>
      </c>
      <c r="N154" s="355">
        <f t="shared" si="2"/>
        <v>-7.6086956521739246E-2</v>
      </c>
      <c r="O154" s="355">
        <f t="shared" si="2"/>
        <v>0</v>
      </c>
      <c r="P154" s="355">
        <f t="shared" si="2"/>
        <v>-8.4745762711864181E-3</v>
      </c>
    </row>
    <row r="155" spans="2:16" x14ac:dyDescent="0.2">
      <c r="B155" s="351" t="s">
        <v>1736</v>
      </c>
      <c r="C155" s="351" t="s">
        <v>1753</v>
      </c>
      <c r="D155" s="351" t="s">
        <v>1755</v>
      </c>
      <c r="E155" s="351">
        <v>41</v>
      </c>
      <c r="F155" s="351">
        <v>0.85</v>
      </c>
      <c r="G155" s="354">
        <v>1.02</v>
      </c>
      <c r="H155" s="354">
        <v>1.1599999999999999</v>
      </c>
      <c r="I155" s="354"/>
      <c r="J155" s="351">
        <v>0.92</v>
      </c>
      <c r="K155" s="351">
        <v>1.02</v>
      </c>
      <c r="L155" s="354">
        <v>1.17</v>
      </c>
      <c r="N155" s="355">
        <f t="shared" si="2"/>
        <v>-7.6086956521739246E-2</v>
      </c>
      <c r="O155" s="355">
        <f t="shared" si="2"/>
        <v>0</v>
      </c>
      <c r="P155" s="355">
        <f t="shared" si="2"/>
        <v>-8.5470085470085166E-3</v>
      </c>
    </row>
    <row r="156" spans="2:16" x14ac:dyDescent="0.2">
      <c r="B156" s="351" t="s">
        <v>1736</v>
      </c>
      <c r="C156" s="351" t="s">
        <v>1753</v>
      </c>
      <c r="D156" s="351" t="s">
        <v>1755</v>
      </c>
      <c r="E156" s="351">
        <v>42</v>
      </c>
      <c r="F156" s="351">
        <v>0.85</v>
      </c>
      <c r="G156" s="354">
        <v>1.02</v>
      </c>
      <c r="H156" s="354">
        <v>1.1499999999999999</v>
      </c>
      <c r="I156" s="354"/>
      <c r="J156" s="351">
        <v>0.92</v>
      </c>
      <c r="K156" s="351">
        <v>1.02</v>
      </c>
      <c r="L156" s="354">
        <v>1.1599999999999999</v>
      </c>
      <c r="N156" s="355">
        <f t="shared" si="2"/>
        <v>-7.6086956521739246E-2</v>
      </c>
      <c r="O156" s="355">
        <f t="shared" si="2"/>
        <v>0</v>
      </c>
      <c r="P156" s="355">
        <f t="shared" si="2"/>
        <v>-8.6206896551723755E-3</v>
      </c>
    </row>
    <row r="157" spans="2:16" x14ac:dyDescent="0.2">
      <c r="B157" s="351" t="s">
        <v>1736</v>
      </c>
      <c r="C157" s="351" t="s">
        <v>1753</v>
      </c>
      <c r="D157" s="351" t="s">
        <v>1755</v>
      </c>
      <c r="E157" s="351">
        <v>43</v>
      </c>
      <c r="F157" s="351">
        <v>0.85</v>
      </c>
      <c r="G157" s="354">
        <v>1.02</v>
      </c>
      <c r="H157" s="354">
        <v>1.1399999999999999</v>
      </c>
      <c r="I157" s="354"/>
      <c r="J157" s="351">
        <v>0.92</v>
      </c>
      <c r="K157" s="351">
        <v>1.02</v>
      </c>
      <c r="L157" s="354">
        <v>1.1499999999999999</v>
      </c>
      <c r="N157" s="355">
        <f t="shared" si="2"/>
        <v>-7.6086956521739246E-2</v>
      </c>
      <c r="O157" s="355">
        <f t="shared" si="2"/>
        <v>0</v>
      </c>
      <c r="P157" s="355">
        <f t="shared" si="2"/>
        <v>-8.6956521739131043E-3</v>
      </c>
    </row>
    <row r="158" spans="2:16" x14ac:dyDescent="0.2">
      <c r="B158" s="351" t="s">
        <v>1736</v>
      </c>
      <c r="C158" s="351" t="s">
        <v>1753</v>
      </c>
      <c r="D158" s="351" t="s">
        <v>1755</v>
      </c>
      <c r="E158" s="351">
        <v>44</v>
      </c>
      <c r="F158" s="351">
        <v>0.85</v>
      </c>
      <c r="G158" s="354">
        <v>1.02</v>
      </c>
      <c r="H158" s="354">
        <v>1.1299999999999999</v>
      </c>
      <c r="I158" s="354"/>
      <c r="J158" s="351">
        <v>0.92</v>
      </c>
      <c r="K158" s="351">
        <v>1.02</v>
      </c>
      <c r="L158" s="354">
        <v>1.1399999999999999</v>
      </c>
      <c r="N158" s="355">
        <f t="shared" si="2"/>
        <v>-7.6086956521739246E-2</v>
      </c>
      <c r="O158" s="355">
        <f t="shared" si="2"/>
        <v>0</v>
      </c>
      <c r="P158" s="355">
        <f t="shared" si="2"/>
        <v>-8.7719298245614308E-3</v>
      </c>
    </row>
    <row r="159" spans="2:16" x14ac:dyDescent="0.2">
      <c r="B159" s="351" t="s">
        <v>1736</v>
      </c>
      <c r="C159" s="351" t="s">
        <v>1753</v>
      </c>
      <c r="D159" s="351" t="s">
        <v>1755</v>
      </c>
      <c r="E159" s="351">
        <v>45</v>
      </c>
      <c r="F159" s="351">
        <v>0.85</v>
      </c>
      <c r="G159" s="354">
        <v>1.02</v>
      </c>
      <c r="H159" s="354">
        <v>1.1200000000000001</v>
      </c>
      <c r="I159" s="354"/>
      <c r="J159" s="351">
        <v>0.92</v>
      </c>
      <c r="K159" s="351">
        <v>1.02</v>
      </c>
      <c r="L159" s="354">
        <v>1.1299999999999999</v>
      </c>
      <c r="N159" s="355">
        <f t="shared" si="2"/>
        <v>-7.6086956521739246E-2</v>
      </c>
      <c r="O159" s="355">
        <f t="shared" si="2"/>
        <v>0</v>
      </c>
      <c r="P159" s="355">
        <f t="shared" si="2"/>
        <v>-8.8495575221236855E-3</v>
      </c>
    </row>
    <row r="160" spans="2:16" x14ac:dyDescent="0.2">
      <c r="B160" s="351" t="s">
        <v>1736</v>
      </c>
      <c r="C160" s="351" t="s">
        <v>1753</v>
      </c>
      <c r="D160" s="351" t="s">
        <v>1755</v>
      </c>
      <c r="E160" s="351">
        <v>46</v>
      </c>
      <c r="F160" s="351">
        <v>0.85</v>
      </c>
      <c r="G160" s="354">
        <v>1.02</v>
      </c>
      <c r="H160" s="354">
        <v>1.1100000000000001</v>
      </c>
      <c r="I160" s="354"/>
      <c r="J160" s="351">
        <v>0.92</v>
      </c>
      <c r="K160" s="351">
        <v>1.02</v>
      </c>
      <c r="L160" s="354">
        <v>1.1200000000000001</v>
      </c>
      <c r="N160" s="355">
        <f t="shared" si="2"/>
        <v>-7.6086956521739246E-2</v>
      </c>
      <c r="O160" s="355">
        <f t="shared" si="2"/>
        <v>0</v>
      </c>
      <c r="P160" s="355">
        <f t="shared" si="2"/>
        <v>-8.9285714285713969E-3</v>
      </c>
    </row>
    <row r="161" spans="2:16" x14ac:dyDescent="0.2">
      <c r="B161" s="351" t="s">
        <v>1736</v>
      </c>
      <c r="C161" s="351" t="s">
        <v>1753</v>
      </c>
      <c r="D161" s="351" t="s">
        <v>1755</v>
      </c>
      <c r="E161" s="351">
        <v>47</v>
      </c>
      <c r="F161" s="351">
        <v>0.85</v>
      </c>
      <c r="G161" s="354">
        <v>1.02</v>
      </c>
      <c r="H161" s="354">
        <v>1.1000000000000001</v>
      </c>
      <c r="I161" s="354"/>
      <c r="J161" s="351">
        <v>0.92</v>
      </c>
      <c r="K161" s="351">
        <v>1.02</v>
      </c>
      <c r="L161" s="354">
        <v>1.1100000000000001</v>
      </c>
      <c r="N161" s="355">
        <f t="shared" si="2"/>
        <v>-7.6086956521739246E-2</v>
      </c>
      <c r="O161" s="355">
        <f t="shared" si="2"/>
        <v>0</v>
      </c>
      <c r="P161" s="355">
        <f t="shared" si="2"/>
        <v>-9.009009009009028E-3</v>
      </c>
    </row>
    <row r="162" spans="2:16" x14ac:dyDescent="0.2">
      <c r="B162" s="351" t="s">
        <v>1736</v>
      </c>
      <c r="C162" s="351" t="s">
        <v>1753</v>
      </c>
      <c r="D162" s="351" t="s">
        <v>1755</v>
      </c>
      <c r="E162" s="351">
        <v>48</v>
      </c>
      <c r="F162" s="351">
        <v>0.85</v>
      </c>
      <c r="G162" s="354">
        <v>1.02</v>
      </c>
      <c r="H162" s="354">
        <v>1.0900000000000001</v>
      </c>
      <c r="I162" s="354"/>
      <c r="J162" s="351">
        <v>0.92</v>
      </c>
      <c r="K162" s="351">
        <v>1.02</v>
      </c>
      <c r="L162" s="354">
        <v>1.1000000000000001</v>
      </c>
      <c r="N162" s="355">
        <f t="shared" si="2"/>
        <v>-7.6086956521739246E-2</v>
      </c>
      <c r="O162" s="355">
        <f t="shared" si="2"/>
        <v>0</v>
      </c>
      <c r="P162" s="355">
        <f t="shared" si="2"/>
        <v>-9.0909090909091494E-3</v>
      </c>
    </row>
    <row r="163" spans="2:16" x14ac:dyDescent="0.2">
      <c r="B163" s="351" t="s">
        <v>1736</v>
      </c>
      <c r="C163" s="351" t="s">
        <v>1753</v>
      </c>
      <c r="D163" s="351" t="s">
        <v>1755</v>
      </c>
      <c r="E163" s="351">
        <v>49</v>
      </c>
      <c r="F163" s="351">
        <v>0.85</v>
      </c>
      <c r="G163" s="354">
        <v>1.02</v>
      </c>
      <c r="H163" s="354">
        <v>1.0900000000000001</v>
      </c>
      <c r="I163" s="354"/>
      <c r="J163" s="351">
        <v>0.92</v>
      </c>
      <c r="K163" s="351">
        <v>1.02</v>
      </c>
      <c r="L163" s="354">
        <v>1.1000000000000001</v>
      </c>
      <c r="N163" s="355">
        <f t="shared" si="2"/>
        <v>-7.6086956521739246E-2</v>
      </c>
      <c r="O163" s="355">
        <f t="shared" si="2"/>
        <v>0</v>
      </c>
      <c r="P163" s="355">
        <f t="shared" si="2"/>
        <v>-9.0909090909091494E-3</v>
      </c>
    </row>
    <row r="164" spans="2:16" x14ac:dyDescent="0.2">
      <c r="B164" s="351" t="s">
        <v>1736</v>
      </c>
      <c r="C164" s="351" t="s">
        <v>1753</v>
      </c>
      <c r="D164" s="351" t="s">
        <v>1755</v>
      </c>
      <c r="E164" s="351">
        <v>50</v>
      </c>
      <c r="F164" s="351">
        <v>0.85</v>
      </c>
      <c r="G164" s="354">
        <v>1.02</v>
      </c>
      <c r="H164" s="354">
        <v>1.08</v>
      </c>
      <c r="I164" s="354"/>
      <c r="J164" s="351">
        <v>0.92</v>
      </c>
      <c r="K164" s="351">
        <v>1.02</v>
      </c>
      <c r="L164" s="354">
        <v>1.0900000000000001</v>
      </c>
      <c r="N164" s="355">
        <f t="shared" si="2"/>
        <v>-7.6086956521739246E-2</v>
      </c>
      <c r="O164" s="355">
        <f t="shared" si="2"/>
        <v>0</v>
      </c>
      <c r="P164" s="355">
        <f t="shared" si="2"/>
        <v>-9.1743119266055606E-3</v>
      </c>
    </row>
    <row r="165" spans="2:16" x14ac:dyDescent="0.2">
      <c r="B165" s="351" t="s">
        <v>1736</v>
      </c>
      <c r="C165" s="351" t="s">
        <v>1753</v>
      </c>
      <c r="D165" s="351" t="s">
        <v>1755</v>
      </c>
      <c r="E165" s="351">
        <v>51</v>
      </c>
      <c r="F165" s="351">
        <v>0.85</v>
      </c>
      <c r="G165" s="354">
        <v>1.02</v>
      </c>
      <c r="H165" s="354">
        <v>1.08</v>
      </c>
      <c r="I165" s="354"/>
      <c r="J165" s="351">
        <v>0.92</v>
      </c>
      <c r="K165" s="351">
        <v>1.02</v>
      </c>
      <c r="L165" s="354">
        <v>1.0900000000000001</v>
      </c>
      <c r="N165" s="355">
        <f t="shared" si="2"/>
        <v>-7.6086956521739246E-2</v>
      </c>
      <c r="O165" s="355">
        <f t="shared" si="2"/>
        <v>0</v>
      </c>
      <c r="P165" s="355">
        <f t="shared" si="2"/>
        <v>-9.1743119266055606E-3</v>
      </c>
    </row>
    <row r="166" spans="2:16" x14ac:dyDescent="0.2">
      <c r="B166" s="351" t="s">
        <v>1736</v>
      </c>
      <c r="C166" s="351" t="s">
        <v>1753</v>
      </c>
      <c r="D166" s="351" t="s">
        <v>1755</v>
      </c>
      <c r="E166" s="351">
        <v>52</v>
      </c>
      <c r="F166" s="351">
        <v>0.85</v>
      </c>
      <c r="G166" s="354">
        <v>1.02</v>
      </c>
      <c r="H166" s="354">
        <v>1.07</v>
      </c>
      <c r="I166" s="354"/>
      <c r="J166" s="351">
        <v>0.92</v>
      </c>
      <c r="K166" s="351">
        <v>1.02</v>
      </c>
      <c r="L166" s="354">
        <v>1.08</v>
      </c>
      <c r="N166" s="355">
        <f t="shared" si="2"/>
        <v>-7.6086956521739246E-2</v>
      </c>
      <c r="O166" s="355">
        <f t="shared" si="2"/>
        <v>0</v>
      </c>
      <c r="P166" s="355">
        <f t="shared" si="2"/>
        <v>-9.2592592592593004E-3</v>
      </c>
    </row>
    <row r="167" spans="2:16" x14ac:dyDescent="0.2">
      <c r="B167" s="351" t="s">
        <v>1736</v>
      </c>
      <c r="C167" s="351" t="s">
        <v>1753</v>
      </c>
      <c r="D167" s="351" t="s">
        <v>1755</v>
      </c>
      <c r="E167" s="351">
        <v>53</v>
      </c>
      <c r="F167" s="351">
        <v>0.85</v>
      </c>
      <c r="G167" s="354">
        <v>1.02</v>
      </c>
      <c r="H167" s="354">
        <v>1.07</v>
      </c>
      <c r="I167" s="354"/>
      <c r="J167" s="351">
        <v>0.92</v>
      </c>
      <c r="K167" s="351">
        <v>1.02</v>
      </c>
      <c r="L167" s="354">
        <v>1.08</v>
      </c>
      <c r="N167" s="355">
        <f t="shared" si="2"/>
        <v>-7.6086956521739246E-2</v>
      </c>
      <c r="O167" s="355">
        <f t="shared" si="2"/>
        <v>0</v>
      </c>
      <c r="P167" s="355">
        <f t="shared" si="2"/>
        <v>-9.2592592592593004E-3</v>
      </c>
    </row>
    <row r="168" spans="2:16" x14ac:dyDescent="0.2">
      <c r="B168" s="351" t="s">
        <v>1736</v>
      </c>
      <c r="C168" s="351" t="s">
        <v>1753</v>
      </c>
      <c r="D168" s="351" t="s">
        <v>1755</v>
      </c>
      <c r="E168" s="351">
        <v>54</v>
      </c>
      <c r="F168" s="351">
        <v>0.85</v>
      </c>
      <c r="G168" s="354">
        <v>1.02</v>
      </c>
      <c r="H168" s="354">
        <v>1.06</v>
      </c>
      <c r="I168" s="354"/>
      <c r="J168" s="351">
        <v>0.92</v>
      </c>
      <c r="K168" s="351">
        <v>1.02</v>
      </c>
      <c r="L168" s="354">
        <v>1.07</v>
      </c>
      <c r="N168" s="355">
        <f t="shared" si="2"/>
        <v>-7.6086956521739246E-2</v>
      </c>
      <c r="O168" s="355">
        <f t="shared" si="2"/>
        <v>0</v>
      </c>
      <c r="P168" s="355">
        <f t="shared" si="2"/>
        <v>-9.3457943925233655E-3</v>
      </c>
    </row>
    <row r="169" spans="2:16" x14ac:dyDescent="0.2">
      <c r="B169" s="351" t="s">
        <v>1736</v>
      </c>
      <c r="C169" s="351" t="s">
        <v>1753</v>
      </c>
      <c r="D169" s="351" t="s">
        <v>1755</v>
      </c>
      <c r="E169" s="351">
        <v>55</v>
      </c>
      <c r="F169" s="351">
        <v>0.85</v>
      </c>
      <c r="G169" s="354">
        <v>1.02</v>
      </c>
      <c r="H169" s="354">
        <v>1.06</v>
      </c>
      <c r="I169" s="354"/>
      <c r="J169" s="351">
        <v>0.92</v>
      </c>
      <c r="K169" s="351">
        <v>1.02</v>
      </c>
      <c r="L169" s="354">
        <v>1.07</v>
      </c>
      <c r="N169" s="355">
        <f t="shared" si="2"/>
        <v>-7.6086956521739246E-2</v>
      </c>
      <c r="O169" s="355">
        <f t="shared" si="2"/>
        <v>0</v>
      </c>
      <c r="P169" s="355">
        <f t="shared" si="2"/>
        <v>-9.3457943925233655E-3</v>
      </c>
    </row>
    <row r="170" spans="2:16" x14ac:dyDescent="0.2">
      <c r="B170" s="351" t="s">
        <v>1736</v>
      </c>
      <c r="C170" s="351" t="s">
        <v>1753</v>
      </c>
      <c r="D170" s="351" t="s">
        <v>1755</v>
      </c>
      <c r="E170" s="351">
        <v>56</v>
      </c>
      <c r="F170" s="351">
        <v>0.85</v>
      </c>
      <c r="G170" s="354">
        <v>1.02</v>
      </c>
      <c r="H170" s="354">
        <v>1.05</v>
      </c>
      <c r="I170" s="354"/>
      <c r="J170" s="351">
        <v>0.92</v>
      </c>
      <c r="K170" s="351">
        <v>1.02</v>
      </c>
      <c r="L170" s="354">
        <v>1.06</v>
      </c>
      <c r="N170" s="355">
        <f t="shared" si="2"/>
        <v>-7.6086956521739246E-2</v>
      </c>
      <c r="O170" s="355">
        <f t="shared" si="2"/>
        <v>0</v>
      </c>
      <c r="P170" s="355">
        <f t="shared" si="2"/>
        <v>-9.4339622641509413E-3</v>
      </c>
    </row>
    <row r="171" spans="2:16" x14ac:dyDescent="0.2">
      <c r="B171" s="351" t="s">
        <v>1736</v>
      </c>
      <c r="C171" s="351" t="s">
        <v>1753</v>
      </c>
      <c r="D171" s="351" t="s">
        <v>1755</v>
      </c>
      <c r="E171" s="351">
        <v>57</v>
      </c>
      <c r="F171" s="351">
        <v>0.85</v>
      </c>
      <c r="G171" s="354">
        <v>1.02</v>
      </c>
      <c r="H171" s="354">
        <v>1.05</v>
      </c>
      <c r="I171" s="354"/>
      <c r="J171" s="351">
        <v>0.92</v>
      </c>
      <c r="K171" s="351">
        <v>1.02</v>
      </c>
      <c r="L171" s="354">
        <v>1.06</v>
      </c>
      <c r="N171" s="355">
        <f t="shared" si="2"/>
        <v>-7.6086956521739246E-2</v>
      </c>
      <c r="O171" s="355">
        <f t="shared" si="2"/>
        <v>0</v>
      </c>
      <c r="P171" s="355">
        <f t="shared" si="2"/>
        <v>-9.4339622641509413E-3</v>
      </c>
    </row>
    <row r="172" spans="2:16" x14ac:dyDescent="0.2">
      <c r="B172" s="351" t="s">
        <v>1736</v>
      </c>
      <c r="C172" s="351" t="s">
        <v>1753</v>
      </c>
      <c r="D172" s="351" t="s">
        <v>1755</v>
      </c>
      <c r="E172" s="351">
        <v>58</v>
      </c>
      <c r="F172" s="351">
        <v>0.85</v>
      </c>
      <c r="G172" s="354">
        <v>1.02</v>
      </c>
      <c r="H172" s="354">
        <v>1.05</v>
      </c>
      <c r="I172" s="354"/>
      <c r="J172" s="351">
        <v>0.92</v>
      </c>
      <c r="K172" s="351">
        <v>1.02</v>
      </c>
      <c r="L172" s="354">
        <v>1.05</v>
      </c>
      <c r="N172" s="355">
        <f t="shared" si="2"/>
        <v>-7.6086956521739246E-2</v>
      </c>
      <c r="O172" s="355">
        <f t="shared" si="2"/>
        <v>0</v>
      </c>
      <c r="P172" s="355">
        <f t="shared" si="2"/>
        <v>0</v>
      </c>
    </row>
    <row r="173" spans="2:16" x14ac:dyDescent="0.2">
      <c r="B173" s="351" t="s">
        <v>1736</v>
      </c>
      <c r="C173" s="351" t="s">
        <v>1753</v>
      </c>
      <c r="D173" s="351" t="s">
        <v>1755</v>
      </c>
      <c r="E173" s="351">
        <v>59</v>
      </c>
      <c r="F173" s="351">
        <v>0.85</v>
      </c>
      <c r="G173" s="354">
        <v>1.02</v>
      </c>
      <c r="H173" s="354">
        <v>1.04</v>
      </c>
      <c r="I173" s="354"/>
      <c r="J173" s="351">
        <v>0.92</v>
      </c>
      <c r="K173" s="351">
        <v>1.02</v>
      </c>
      <c r="L173" s="354">
        <v>1.05</v>
      </c>
      <c r="N173" s="355">
        <f t="shared" si="2"/>
        <v>-7.6086956521739246E-2</v>
      </c>
      <c r="O173" s="355">
        <f t="shared" si="2"/>
        <v>0</v>
      </c>
      <c r="P173" s="355">
        <f t="shared" si="2"/>
        <v>-9.52380952380949E-3</v>
      </c>
    </row>
    <row r="174" spans="2:16" x14ac:dyDescent="0.2">
      <c r="B174" s="351" t="s">
        <v>1736</v>
      </c>
      <c r="C174" s="351" t="s">
        <v>1753</v>
      </c>
      <c r="D174" s="351" t="s">
        <v>1755</v>
      </c>
      <c r="E174" s="351">
        <v>60</v>
      </c>
      <c r="F174" s="351">
        <v>0.85</v>
      </c>
      <c r="G174" s="354">
        <v>1.02</v>
      </c>
      <c r="H174" s="354">
        <v>1.04</v>
      </c>
      <c r="I174" s="354"/>
      <c r="J174" s="351">
        <v>0.92</v>
      </c>
      <c r="K174" s="351">
        <v>1.02</v>
      </c>
      <c r="L174" s="354">
        <v>1.05</v>
      </c>
      <c r="N174" s="355">
        <f t="shared" si="2"/>
        <v>-7.6086956521739246E-2</v>
      </c>
      <c r="O174" s="355">
        <f t="shared" si="2"/>
        <v>0</v>
      </c>
      <c r="P174" s="355">
        <f t="shared" si="2"/>
        <v>-9.52380952380949E-3</v>
      </c>
    </row>
    <row r="175" spans="2:16" x14ac:dyDescent="0.2">
      <c r="B175" s="351" t="s">
        <v>1736</v>
      </c>
      <c r="C175" s="351" t="s">
        <v>1753</v>
      </c>
      <c r="D175" s="351" t="s">
        <v>1755</v>
      </c>
      <c r="E175" s="351">
        <v>61</v>
      </c>
      <c r="F175" s="351">
        <v>0.85</v>
      </c>
      <c r="G175" s="354">
        <v>1.02</v>
      </c>
      <c r="H175" s="354">
        <v>1.04</v>
      </c>
      <c r="I175" s="354"/>
      <c r="J175" s="351">
        <v>0.92</v>
      </c>
      <c r="K175" s="351">
        <v>1.02</v>
      </c>
      <c r="L175" s="354">
        <v>1.04</v>
      </c>
      <c r="N175" s="355">
        <f t="shared" si="2"/>
        <v>-7.6086956521739246E-2</v>
      </c>
      <c r="O175" s="355">
        <f t="shared" si="2"/>
        <v>0</v>
      </c>
      <c r="P175" s="355">
        <f t="shared" si="2"/>
        <v>0</v>
      </c>
    </row>
    <row r="176" spans="2:16" x14ac:dyDescent="0.2">
      <c r="B176" s="351" t="s">
        <v>1736</v>
      </c>
      <c r="C176" s="351" t="s">
        <v>1753</v>
      </c>
      <c r="D176" s="351" t="s">
        <v>1755</v>
      </c>
      <c r="E176" s="351">
        <v>62</v>
      </c>
      <c r="F176" s="351">
        <v>0.85</v>
      </c>
      <c r="G176" s="354">
        <v>1.02</v>
      </c>
      <c r="H176" s="354">
        <v>1.03</v>
      </c>
      <c r="I176" s="354"/>
      <c r="J176" s="351">
        <v>0.92</v>
      </c>
      <c r="K176" s="351">
        <v>1.02</v>
      </c>
      <c r="L176" s="354">
        <v>1.04</v>
      </c>
      <c r="N176" s="355">
        <f t="shared" si="2"/>
        <v>-7.6086956521739246E-2</v>
      </c>
      <c r="O176" s="355">
        <f t="shared" si="2"/>
        <v>0</v>
      </c>
      <c r="P176" s="355">
        <f t="shared" si="2"/>
        <v>-9.6153846153845812E-3</v>
      </c>
    </row>
    <row r="177" spans="2:16" x14ac:dyDescent="0.2">
      <c r="B177" s="351" t="s">
        <v>1736</v>
      </c>
      <c r="C177" s="351" t="s">
        <v>1753</v>
      </c>
      <c r="D177" s="351" t="s">
        <v>1755</v>
      </c>
      <c r="E177" s="351">
        <v>63</v>
      </c>
      <c r="F177" s="351">
        <v>0.85</v>
      </c>
      <c r="G177" s="354">
        <v>1.02</v>
      </c>
      <c r="H177" s="354">
        <v>1.03</v>
      </c>
      <c r="I177" s="354"/>
      <c r="J177" s="351">
        <v>0.92</v>
      </c>
      <c r="K177" s="351">
        <v>1.02</v>
      </c>
      <c r="L177" s="354">
        <v>1.04</v>
      </c>
      <c r="N177" s="355">
        <f t="shared" si="2"/>
        <v>-7.6086956521739246E-2</v>
      </c>
      <c r="O177" s="355">
        <f t="shared" si="2"/>
        <v>0</v>
      </c>
      <c r="P177" s="355">
        <f t="shared" si="2"/>
        <v>-9.6153846153845812E-3</v>
      </c>
    </row>
    <row r="178" spans="2:16" x14ac:dyDescent="0.2">
      <c r="B178" s="351" t="s">
        <v>1736</v>
      </c>
      <c r="C178" s="351" t="s">
        <v>1753</v>
      </c>
      <c r="D178" s="351" t="s">
        <v>1755</v>
      </c>
      <c r="E178" s="351">
        <v>64</v>
      </c>
      <c r="F178" s="351">
        <v>0.85</v>
      </c>
      <c r="G178" s="354">
        <v>1.02</v>
      </c>
      <c r="H178" s="354">
        <v>1.03</v>
      </c>
      <c r="I178" s="354"/>
      <c r="J178" s="351">
        <v>0.92</v>
      </c>
      <c r="K178" s="351">
        <v>1.02</v>
      </c>
      <c r="L178" s="354">
        <v>1.03</v>
      </c>
      <c r="N178" s="355">
        <f t="shared" si="2"/>
        <v>-7.6086956521739246E-2</v>
      </c>
      <c r="O178" s="355">
        <f t="shared" si="2"/>
        <v>0</v>
      </c>
      <c r="P178" s="355">
        <f t="shared" si="2"/>
        <v>0</v>
      </c>
    </row>
    <row r="179" spans="2:16" x14ac:dyDescent="0.2">
      <c r="B179" s="351" t="s">
        <v>1736</v>
      </c>
      <c r="C179" s="351" t="s">
        <v>1753</v>
      </c>
      <c r="D179" s="351" t="s">
        <v>1755</v>
      </c>
      <c r="E179" s="351">
        <v>65</v>
      </c>
      <c r="F179" s="351">
        <v>0.85</v>
      </c>
      <c r="G179" s="354">
        <v>1.02</v>
      </c>
      <c r="H179" s="354">
        <v>1.02</v>
      </c>
      <c r="I179" s="354"/>
      <c r="J179" s="351">
        <v>0.92</v>
      </c>
      <c r="K179" s="351">
        <v>1.02</v>
      </c>
      <c r="L179" s="354">
        <v>1.03</v>
      </c>
      <c r="N179" s="355">
        <f t="shared" si="2"/>
        <v>-7.6086956521739246E-2</v>
      </c>
      <c r="O179" s="355">
        <f t="shared" si="2"/>
        <v>0</v>
      </c>
      <c r="P179" s="355">
        <f t="shared" si="2"/>
        <v>-9.7087378640776656E-3</v>
      </c>
    </row>
    <row r="180" spans="2:16" x14ac:dyDescent="0.2">
      <c r="B180" s="351" t="s">
        <v>1736</v>
      </c>
      <c r="C180" s="351" t="s">
        <v>1753</v>
      </c>
      <c r="D180" s="351" t="s">
        <v>1755</v>
      </c>
      <c r="E180" s="351">
        <v>66</v>
      </c>
      <c r="F180" s="351">
        <v>0.85</v>
      </c>
      <c r="G180" s="354">
        <v>1.02</v>
      </c>
      <c r="H180" s="354">
        <v>1.02</v>
      </c>
      <c r="I180" s="354"/>
      <c r="J180" s="351">
        <v>0.92</v>
      </c>
      <c r="K180" s="351">
        <v>1.02</v>
      </c>
      <c r="L180" s="354">
        <v>1.03</v>
      </c>
      <c r="N180" s="355">
        <f t="shared" si="2"/>
        <v>-7.6086956521739246E-2</v>
      </c>
      <c r="O180" s="355">
        <f t="shared" si="2"/>
        <v>0</v>
      </c>
      <c r="P180" s="355">
        <f t="shared" si="2"/>
        <v>-9.7087378640776656E-3</v>
      </c>
    </row>
    <row r="181" spans="2:16" x14ac:dyDescent="0.2">
      <c r="B181" s="351" t="s">
        <v>1736</v>
      </c>
      <c r="C181" s="351" t="s">
        <v>1753</v>
      </c>
      <c r="D181" s="351" t="s">
        <v>1755</v>
      </c>
      <c r="E181" s="351">
        <v>67</v>
      </c>
      <c r="F181" s="351">
        <v>0.85</v>
      </c>
      <c r="G181" s="354">
        <v>1.02</v>
      </c>
      <c r="H181" s="354">
        <v>1.02</v>
      </c>
      <c r="I181" s="354"/>
      <c r="J181" s="351">
        <v>0.92</v>
      </c>
      <c r="K181" s="351">
        <v>1.02</v>
      </c>
      <c r="L181" s="354">
        <v>1.02</v>
      </c>
      <c r="N181" s="355">
        <f t="shared" si="2"/>
        <v>-7.6086956521739246E-2</v>
      </c>
      <c r="O181" s="355">
        <f t="shared" si="2"/>
        <v>0</v>
      </c>
      <c r="P181" s="355">
        <f t="shared" si="2"/>
        <v>0</v>
      </c>
    </row>
    <row r="182" spans="2:16" x14ac:dyDescent="0.2">
      <c r="B182" s="351" t="s">
        <v>1736</v>
      </c>
      <c r="C182" s="351" t="s">
        <v>1753</v>
      </c>
      <c r="D182" s="351" t="s">
        <v>1755</v>
      </c>
      <c r="E182" s="351">
        <v>68</v>
      </c>
      <c r="F182" s="351">
        <v>0.85</v>
      </c>
      <c r="G182" s="354">
        <v>1.02</v>
      </c>
      <c r="H182" s="354">
        <v>1.02</v>
      </c>
      <c r="I182" s="354"/>
      <c r="J182" s="351">
        <v>0.92</v>
      </c>
      <c r="K182" s="351">
        <v>1.02</v>
      </c>
      <c r="L182" s="354">
        <v>1.02</v>
      </c>
      <c r="N182" s="355">
        <f t="shared" si="2"/>
        <v>-7.6086956521739246E-2</v>
      </c>
      <c r="O182" s="355">
        <f t="shared" si="2"/>
        <v>0</v>
      </c>
      <c r="P182" s="355">
        <f t="shared" si="2"/>
        <v>0</v>
      </c>
    </row>
    <row r="183" spans="2:16" x14ac:dyDescent="0.2">
      <c r="B183" s="351" t="s">
        <v>1736</v>
      </c>
      <c r="C183" s="351" t="s">
        <v>1753</v>
      </c>
      <c r="D183" s="351" t="s">
        <v>1755</v>
      </c>
      <c r="E183" s="351">
        <v>69</v>
      </c>
      <c r="F183" s="351">
        <v>0.85</v>
      </c>
      <c r="G183" s="354">
        <v>1.01</v>
      </c>
      <c r="H183" s="354">
        <v>1.01</v>
      </c>
      <c r="I183" s="354"/>
      <c r="J183" s="351">
        <v>0.92</v>
      </c>
      <c r="K183" s="351">
        <v>1.02</v>
      </c>
      <c r="L183" s="354">
        <v>1.02</v>
      </c>
      <c r="N183" s="355">
        <f t="shared" si="2"/>
        <v>-7.6086956521739246E-2</v>
      </c>
      <c r="O183" s="355">
        <f t="shared" si="2"/>
        <v>-9.8039215686274161E-3</v>
      </c>
      <c r="P183" s="355">
        <f t="shared" si="2"/>
        <v>-9.8039215686274161E-3</v>
      </c>
    </row>
    <row r="184" spans="2:16" x14ac:dyDescent="0.2">
      <c r="B184" s="351" t="s">
        <v>1736</v>
      </c>
      <c r="C184" s="351" t="s">
        <v>1753</v>
      </c>
      <c r="D184" s="351" t="s">
        <v>1755</v>
      </c>
      <c r="E184" s="351">
        <v>70</v>
      </c>
      <c r="F184" s="351">
        <v>0.85</v>
      </c>
      <c r="G184" s="354">
        <v>1.01</v>
      </c>
      <c r="H184" s="354">
        <v>1.01</v>
      </c>
      <c r="I184" s="354"/>
      <c r="J184" s="351">
        <v>0.92</v>
      </c>
      <c r="K184" s="351">
        <v>1.02</v>
      </c>
      <c r="L184" s="354">
        <v>1.01</v>
      </c>
      <c r="N184" s="355">
        <f t="shared" si="2"/>
        <v>-7.6086956521739246E-2</v>
      </c>
      <c r="O184" s="355">
        <f t="shared" si="2"/>
        <v>-9.8039215686274161E-3</v>
      </c>
      <c r="P184" s="355">
        <f t="shared" si="2"/>
        <v>0</v>
      </c>
    </row>
    <row r="185" spans="2:16" x14ac:dyDescent="0.2">
      <c r="B185" s="351" t="s">
        <v>1736</v>
      </c>
      <c r="C185" s="351" t="s">
        <v>1753</v>
      </c>
      <c r="D185" s="351" t="s">
        <v>1755</v>
      </c>
      <c r="E185" s="351">
        <v>71</v>
      </c>
      <c r="F185" s="351">
        <v>0.85</v>
      </c>
      <c r="G185" s="354">
        <v>1.01</v>
      </c>
      <c r="H185" s="354">
        <v>1.01</v>
      </c>
      <c r="I185" s="354"/>
      <c r="J185" s="351">
        <v>0.92</v>
      </c>
      <c r="K185" s="351">
        <v>1.02</v>
      </c>
      <c r="L185" s="354">
        <v>1.01</v>
      </c>
      <c r="N185" s="355">
        <f t="shared" si="2"/>
        <v>-7.6086956521739246E-2</v>
      </c>
      <c r="O185" s="355">
        <f t="shared" si="2"/>
        <v>-9.8039215686274161E-3</v>
      </c>
      <c r="P185" s="355">
        <f t="shared" si="2"/>
        <v>0</v>
      </c>
    </row>
    <row r="186" spans="2:16" x14ac:dyDescent="0.2">
      <c r="B186" s="351" t="s">
        <v>1736</v>
      </c>
      <c r="C186" s="351" t="s">
        <v>1753</v>
      </c>
      <c r="D186" s="351" t="s">
        <v>1755</v>
      </c>
      <c r="E186" s="351">
        <v>72</v>
      </c>
      <c r="F186" s="351">
        <v>0.85</v>
      </c>
      <c r="G186" s="354">
        <v>1.01</v>
      </c>
      <c r="H186" s="354">
        <v>1.01</v>
      </c>
      <c r="I186" s="354"/>
      <c r="J186" s="351">
        <v>0.92</v>
      </c>
      <c r="K186" s="351">
        <v>1.02</v>
      </c>
      <c r="L186" s="354">
        <v>1.01</v>
      </c>
      <c r="N186" s="355">
        <f t="shared" si="2"/>
        <v>-7.6086956521739246E-2</v>
      </c>
      <c r="O186" s="355">
        <f t="shared" si="2"/>
        <v>-9.8039215686274161E-3</v>
      </c>
      <c r="P186" s="355">
        <f t="shared" si="2"/>
        <v>0</v>
      </c>
    </row>
    <row r="187" spans="2:16" x14ac:dyDescent="0.2">
      <c r="B187" s="351" t="s">
        <v>1736</v>
      </c>
      <c r="C187" s="351" t="s">
        <v>1753</v>
      </c>
      <c r="D187" s="351" t="s">
        <v>1755</v>
      </c>
      <c r="E187" s="351">
        <v>73</v>
      </c>
      <c r="F187" s="351">
        <v>0.85</v>
      </c>
      <c r="G187" s="354">
        <v>1.01</v>
      </c>
      <c r="H187" s="354">
        <v>1.01</v>
      </c>
      <c r="I187" s="354"/>
      <c r="J187" s="351">
        <v>0.92</v>
      </c>
      <c r="K187" s="351">
        <v>1.02</v>
      </c>
      <c r="L187" s="354">
        <v>1.01</v>
      </c>
      <c r="N187" s="355">
        <f t="shared" si="2"/>
        <v>-7.6086956521739246E-2</v>
      </c>
      <c r="O187" s="355">
        <f t="shared" si="2"/>
        <v>-9.8039215686274161E-3</v>
      </c>
      <c r="P187" s="355">
        <f t="shared" si="2"/>
        <v>0</v>
      </c>
    </row>
    <row r="188" spans="2:16" x14ac:dyDescent="0.2">
      <c r="B188" s="351" t="s">
        <v>1736</v>
      </c>
      <c r="C188" s="351" t="s">
        <v>1753</v>
      </c>
      <c r="D188" s="351" t="s">
        <v>1755</v>
      </c>
      <c r="E188" s="351">
        <v>74</v>
      </c>
      <c r="F188" s="351">
        <v>0.85</v>
      </c>
      <c r="G188" s="354">
        <v>1</v>
      </c>
      <c r="H188" s="354">
        <v>1</v>
      </c>
      <c r="I188" s="354"/>
      <c r="J188" s="351">
        <v>0.92</v>
      </c>
      <c r="K188" s="351">
        <v>1.02</v>
      </c>
      <c r="L188" s="354">
        <v>1.01</v>
      </c>
      <c r="N188" s="355">
        <f t="shared" si="2"/>
        <v>-7.6086956521739246E-2</v>
      </c>
      <c r="O188" s="355">
        <f t="shared" si="2"/>
        <v>-1.9607843137254943E-2</v>
      </c>
      <c r="P188" s="355">
        <f t="shared" si="2"/>
        <v>-9.9009900990099098E-3</v>
      </c>
    </row>
    <row r="189" spans="2:16" x14ac:dyDescent="0.2">
      <c r="B189" s="351" t="s">
        <v>1736</v>
      </c>
      <c r="C189" s="351" t="s">
        <v>1753</v>
      </c>
      <c r="D189" s="351" t="s">
        <v>1755</v>
      </c>
      <c r="E189" s="351">
        <v>75</v>
      </c>
      <c r="F189" s="351">
        <v>0.85</v>
      </c>
      <c r="G189" s="354">
        <v>1</v>
      </c>
      <c r="H189" s="354">
        <v>1</v>
      </c>
      <c r="I189" s="354"/>
      <c r="J189" s="351">
        <v>0.92</v>
      </c>
      <c r="K189" s="351">
        <v>1.02</v>
      </c>
      <c r="L189" s="354">
        <v>1</v>
      </c>
      <c r="N189" s="355">
        <f t="shared" si="2"/>
        <v>-7.6086956521739246E-2</v>
      </c>
      <c r="O189" s="355">
        <f t="shared" si="2"/>
        <v>-1.9607843137254943E-2</v>
      </c>
      <c r="P189" s="355">
        <f t="shared" si="2"/>
        <v>0</v>
      </c>
    </row>
    <row r="190" spans="2:16" x14ac:dyDescent="0.2">
      <c r="B190" s="351" t="s">
        <v>1736</v>
      </c>
      <c r="C190" s="351" t="s">
        <v>1753</v>
      </c>
      <c r="D190" s="351" t="s">
        <v>1755</v>
      </c>
      <c r="E190" s="351">
        <v>76</v>
      </c>
      <c r="F190" s="351">
        <v>0.85</v>
      </c>
      <c r="G190" s="354">
        <v>1</v>
      </c>
      <c r="H190" s="354">
        <v>1</v>
      </c>
      <c r="I190" s="354"/>
      <c r="J190" s="351">
        <v>0.92</v>
      </c>
      <c r="K190" s="351">
        <v>1.02</v>
      </c>
      <c r="L190" s="354">
        <v>1</v>
      </c>
      <c r="N190" s="355">
        <f t="shared" si="2"/>
        <v>-7.6086956521739246E-2</v>
      </c>
      <c r="O190" s="355">
        <f t="shared" si="2"/>
        <v>-1.9607843137254943E-2</v>
      </c>
      <c r="P190" s="355">
        <f t="shared" si="2"/>
        <v>0</v>
      </c>
    </row>
    <row r="191" spans="2:16" x14ac:dyDescent="0.2">
      <c r="B191" s="351" t="s">
        <v>1736</v>
      </c>
      <c r="C191" s="351" t="s">
        <v>1753</v>
      </c>
      <c r="D191" s="351" t="s">
        <v>1755</v>
      </c>
      <c r="E191" s="351">
        <v>77</v>
      </c>
      <c r="F191" s="351">
        <v>0.85</v>
      </c>
      <c r="G191" s="354">
        <v>1</v>
      </c>
      <c r="H191" s="354">
        <v>1</v>
      </c>
      <c r="I191" s="354"/>
      <c r="J191" s="351">
        <v>0.92</v>
      </c>
      <c r="K191" s="351">
        <v>1.02</v>
      </c>
      <c r="L191" s="354">
        <v>1</v>
      </c>
      <c r="N191" s="355">
        <f t="shared" si="2"/>
        <v>-7.6086956521739246E-2</v>
      </c>
      <c r="O191" s="355">
        <f t="shared" si="2"/>
        <v>-1.9607843137254943E-2</v>
      </c>
      <c r="P191" s="355">
        <f t="shared" si="2"/>
        <v>0</v>
      </c>
    </row>
    <row r="192" spans="2:16" x14ac:dyDescent="0.2">
      <c r="B192" s="351" t="s">
        <v>1736</v>
      </c>
      <c r="C192" s="351" t="s">
        <v>1753</v>
      </c>
      <c r="D192" s="351" t="s">
        <v>1755</v>
      </c>
      <c r="E192" s="351">
        <v>78</v>
      </c>
      <c r="F192" s="351">
        <v>0.85</v>
      </c>
      <c r="G192" s="354">
        <v>1</v>
      </c>
      <c r="H192" s="354">
        <v>1</v>
      </c>
      <c r="I192" s="354"/>
      <c r="J192" s="351">
        <v>0.92</v>
      </c>
      <c r="K192" s="351">
        <v>1.02</v>
      </c>
      <c r="L192" s="354">
        <v>1</v>
      </c>
      <c r="N192" s="355">
        <f t="shared" si="2"/>
        <v>-7.6086956521739246E-2</v>
      </c>
      <c r="O192" s="355">
        <f t="shared" si="2"/>
        <v>-1.9607843137254943E-2</v>
      </c>
      <c r="P192" s="355">
        <f t="shared" si="2"/>
        <v>0</v>
      </c>
    </row>
    <row r="193" spans="2:16" x14ac:dyDescent="0.2">
      <c r="B193" s="351" t="s">
        <v>1736</v>
      </c>
      <c r="C193" s="351" t="s">
        <v>1753</v>
      </c>
      <c r="D193" s="351" t="s">
        <v>1755</v>
      </c>
      <c r="E193" s="351">
        <v>79</v>
      </c>
      <c r="F193" s="351">
        <v>0.85</v>
      </c>
      <c r="G193" s="354">
        <v>1</v>
      </c>
      <c r="H193" s="354">
        <v>1</v>
      </c>
      <c r="I193" s="354"/>
      <c r="J193" s="351">
        <v>0.92</v>
      </c>
      <c r="K193" s="351">
        <v>1.02</v>
      </c>
      <c r="L193" s="354">
        <v>1</v>
      </c>
      <c r="N193" s="355">
        <f t="shared" si="2"/>
        <v>-7.6086956521739246E-2</v>
      </c>
      <c r="O193" s="355">
        <f t="shared" si="2"/>
        <v>-1.9607843137254943E-2</v>
      </c>
      <c r="P193" s="355">
        <f t="shared" si="2"/>
        <v>0</v>
      </c>
    </row>
    <row r="194" spans="2:16" x14ac:dyDescent="0.2">
      <c r="B194" s="351" t="s">
        <v>1736</v>
      </c>
      <c r="C194" s="351" t="s">
        <v>1753</v>
      </c>
      <c r="D194" s="351" t="s">
        <v>1755</v>
      </c>
      <c r="E194" s="351">
        <v>80</v>
      </c>
      <c r="F194" s="351">
        <v>0.85</v>
      </c>
      <c r="G194" s="354">
        <v>1</v>
      </c>
      <c r="H194" s="354">
        <v>1</v>
      </c>
      <c r="I194" s="354"/>
      <c r="J194" s="351">
        <v>0.92</v>
      </c>
      <c r="K194" s="351">
        <v>1.02</v>
      </c>
      <c r="L194" s="354">
        <v>1</v>
      </c>
      <c r="N194" s="355">
        <f t="shared" si="2"/>
        <v>-7.6086956521739246E-2</v>
      </c>
      <c r="O194" s="355">
        <f t="shared" si="2"/>
        <v>-1.9607843137254943E-2</v>
      </c>
      <c r="P194" s="355">
        <f t="shared" si="2"/>
        <v>0</v>
      </c>
    </row>
    <row r="195" spans="2:16" x14ac:dyDescent="0.2">
      <c r="B195" s="351" t="s">
        <v>1736</v>
      </c>
      <c r="C195" s="351" t="s">
        <v>1753</v>
      </c>
      <c r="D195" s="351" t="s">
        <v>1755</v>
      </c>
      <c r="E195" s="351">
        <v>81</v>
      </c>
      <c r="F195" s="351">
        <v>0.85</v>
      </c>
      <c r="G195" s="354">
        <v>1</v>
      </c>
      <c r="H195" s="354">
        <v>1</v>
      </c>
      <c r="I195" s="354"/>
      <c r="J195" s="351">
        <v>0.92</v>
      </c>
      <c r="K195" s="351">
        <v>1.02</v>
      </c>
      <c r="L195" s="354">
        <v>1</v>
      </c>
      <c r="N195" s="355">
        <f t="shared" si="2"/>
        <v>-7.6086956521739246E-2</v>
      </c>
      <c r="O195" s="355">
        <f t="shared" si="2"/>
        <v>-1.9607843137254943E-2</v>
      </c>
      <c r="P195" s="355">
        <f t="shared" si="2"/>
        <v>0</v>
      </c>
    </row>
    <row r="196" spans="2:16" x14ac:dyDescent="0.2">
      <c r="B196" s="351" t="s">
        <v>1736</v>
      </c>
      <c r="C196" s="351" t="s">
        <v>1753</v>
      </c>
      <c r="D196" s="351" t="s">
        <v>1755</v>
      </c>
      <c r="E196" s="351">
        <v>82</v>
      </c>
      <c r="F196" s="351">
        <v>0.85</v>
      </c>
      <c r="G196" s="354">
        <v>1</v>
      </c>
      <c r="H196" s="354">
        <v>1</v>
      </c>
      <c r="I196" s="354"/>
      <c r="J196" s="351">
        <v>0.92</v>
      </c>
      <c r="K196" s="351">
        <v>1.02</v>
      </c>
      <c r="L196" s="354">
        <v>1</v>
      </c>
      <c r="N196" s="355">
        <f t="shared" si="2"/>
        <v>-7.6086956521739246E-2</v>
      </c>
      <c r="O196" s="355">
        <f t="shared" si="2"/>
        <v>-1.9607843137254943E-2</v>
      </c>
      <c r="P196" s="355">
        <f t="shared" si="2"/>
        <v>0</v>
      </c>
    </row>
    <row r="197" spans="2:16" x14ac:dyDescent="0.2">
      <c r="B197" s="351" t="s">
        <v>1736</v>
      </c>
      <c r="C197" s="351" t="s">
        <v>1753</v>
      </c>
      <c r="D197" s="351" t="s">
        <v>1755</v>
      </c>
      <c r="E197" s="351">
        <v>83</v>
      </c>
      <c r="F197" s="351">
        <v>0.85</v>
      </c>
      <c r="G197" s="354">
        <v>1</v>
      </c>
      <c r="H197" s="354">
        <v>1</v>
      </c>
      <c r="I197" s="354"/>
      <c r="J197" s="351">
        <v>0.92</v>
      </c>
      <c r="K197" s="351">
        <v>1.02</v>
      </c>
      <c r="L197" s="354">
        <v>1</v>
      </c>
      <c r="N197" s="355">
        <f t="shared" si="2"/>
        <v>-7.6086956521739246E-2</v>
      </c>
      <c r="O197" s="355">
        <f t="shared" si="2"/>
        <v>-1.9607843137254943E-2</v>
      </c>
      <c r="P197" s="355">
        <f t="shared" si="2"/>
        <v>0</v>
      </c>
    </row>
    <row r="198" spans="2:16" x14ac:dyDescent="0.2">
      <c r="B198" s="351" t="s">
        <v>1736</v>
      </c>
      <c r="C198" s="351" t="s">
        <v>1753</v>
      </c>
      <c r="D198" s="351" t="s">
        <v>1755</v>
      </c>
      <c r="E198" s="351">
        <v>84</v>
      </c>
      <c r="F198" s="351">
        <v>0.85</v>
      </c>
      <c r="G198" s="354">
        <v>1</v>
      </c>
      <c r="H198" s="354">
        <v>1</v>
      </c>
      <c r="I198" s="354"/>
      <c r="J198" s="351">
        <v>0.92</v>
      </c>
      <c r="K198" s="351">
        <v>1.02</v>
      </c>
      <c r="L198" s="354">
        <v>1</v>
      </c>
      <c r="N198" s="355">
        <f t="shared" si="2"/>
        <v>-7.6086956521739246E-2</v>
      </c>
      <c r="O198" s="355">
        <f t="shared" si="2"/>
        <v>-1.9607843137254943E-2</v>
      </c>
      <c r="P198" s="355">
        <f t="shared" si="2"/>
        <v>0</v>
      </c>
    </row>
    <row r="199" spans="2:16" x14ac:dyDescent="0.2">
      <c r="B199" s="351" t="s">
        <v>1736</v>
      </c>
      <c r="C199" s="351" t="s">
        <v>1753</v>
      </c>
      <c r="D199" s="351" t="s">
        <v>1755</v>
      </c>
      <c r="E199" s="351">
        <v>85</v>
      </c>
      <c r="F199" s="351">
        <v>0.85</v>
      </c>
      <c r="G199" s="354">
        <v>1</v>
      </c>
      <c r="H199" s="354">
        <v>1</v>
      </c>
      <c r="I199" s="354"/>
      <c r="J199" s="351">
        <v>0.92</v>
      </c>
      <c r="K199" s="351">
        <v>1.02</v>
      </c>
      <c r="L199" s="354">
        <v>1</v>
      </c>
      <c r="N199" s="355">
        <f t="shared" si="2"/>
        <v>-7.6086956521739246E-2</v>
      </c>
      <c r="O199" s="355">
        <f t="shared" si="2"/>
        <v>-1.9607843137254943E-2</v>
      </c>
      <c r="P199" s="355">
        <f t="shared" si="2"/>
        <v>0</v>
      </c>
    </row>
    <row r="200" spans="2:16" x14ac:dyDescent="0.2">
      <c r="B200" s="351" t="s">
        <v>1736</v>
      </c>
      <c r="C200" s="351" t="s">
        <v>1753</v>
      </c>
      <c r="D200" s="351" t="s">
        <v>1755</v>
      </c>
      <c r="E200" s="351">
        <v>86</v>
      </c>
      <c r="F200" s="351">
        <v>0.85</v>
      </c>
      <c r="G200" s="354">
        <v>1</v>
      </c>
      <c r="H200" s="354">
        <v>1</v>
      </c>
      <c r="I200" s="354"/>
      <c r="J200" s="351">
        <v>0.92</v>
      </c>
      <c r="K200" s="351">
        <v>1.02</v>
      </c>
      <c r="L200" s="354">
        <v>1</v>
      </c>
      <c r="N200" s="355">
        <f t="shared" si="2"/>
        <v>-7.6086956521739246E-2</v>
      </c>
      <c r="O200" s="355">
        <f t="shared" si="2"/>
        <v>-1.9607843137254943E-2</v>
      </c>
      <c r="P200" s="355">
        <f t="shared" si="2"/>
        <v>0</v>
      </c>
    </row>
    <row r="201" spans="2:16" x14ac:dyDescent="0.2">
      <c r="B201" s="351" t="s">
        <v>1736</v>
      </c>
      <c r="C201" s="351" t="s">
        <v>1753</v>
      </c>
      <c r="D201" s="351" t="s">
        <v>1755</v>
      </c>
      <c r="E201" s="351">
        <v>87</v>
      </c>
      <c r="F201" s="351">
        <v>0.85</v>
      </c>
      <c r="G201" s="354">
        <v>1</v>
      </c>
      <c r="H201" s="354">
        <v>1</v>
      </c>
      <c r="I201" s="354"/>
      <c r="J201" s="351">
        <v>0.92</v>
      </c>
      <c r="K201" s="351">
        <v>1.02</v>
      </c>
      <c r="L201" s="354">
        <v>1</v>
      </c>
      <c r="N201" s="355">
        <f t="shared" si="2"/>
        <v>-7.6086956521739246E-2</v>
      </c>
      <c r="O201" s="355">
        <f t="shared" si="2"/>
        <v>-1.9607843137254943E-2</v>
      </c>
      <c r="P201" s="355">
        <f t="shared" si="2"/>
        <v>0</v>
      </c>
    </row>
    <row r="202" spans="2:16" x14ac:dyDescent="0.2">
      <c r="B202" s="351" t="s">
        <v>1736</v>
      </c>
      <c r="C202" s="351" t="s">
        <v>1753</v>
      </c>
      <c r="D202" s="351" t="s">
        <v>1755</v>
      </c>
      <c r="E202" s="351">
        <v>88</v>
      </c>
      <c r="F202" s="351">
        <v>0.85</v>
      </c>
      <c r="G202" s="354">
        <v>1</v>
      </c>
      <c r="H202" s="354">
        <v>1</v>
      </c>
      <c r="I202" s="354"/>
      <c r="J202" s="351">
        <v>0.92</v>
      </c>
      <c r="K202" s="351">
        <v>1.02</v>
      </c>
      <c r="L202" s="354">
        <v>1</v>
      </c>
      <c r="N202" s="355">
        <f t="shared" si="2"/>
        <v>-7.6086956521739246E-2</v>
      </c>
      <c r="O202" s="355">
        <f t="shared" si="2"/>
        <v>-1.9607843137254943E-2</v>
      </c>
      <c r="P202" s="355">
        <f t="shared" si="2"/>
        <v>0</v>
      </c>
    </row>
    <row r="203" spans="2:16" x14ac:dyDescent="0.2">
      <c r="B203" s="351" t="s">
        <v>1736</v>
      </c>
      <c r="C203" s="351" t="s">
        <v>1753</v>
      </c>
      <c r="D203" s="351" t="s">
        <v>1755</v>
      </c>
      <c r="E203" s="351">
        <v>89</v>
      </c>
      <c r="F203" s="351">
        <v>0.85</v>
      </c>
      <c r="G203" s="354">
        <v>1</v>
      </c>
      <c r="H203" s="354">
        <v>1</v>
      </c>
      <c r="I203" s="354"/>
      <c r="J203" s="351">
        <v>0.92</v>
      </c>
      <c r="K203" s="351">
        <v>1.02</v>
      </c>
      <c r="L203" s="354">
        <v>1</v>
      </c>
      <c r="N203" s="355">
        <f t="shared" si="2"/>
        <v>-7.6086956521739246E-2</v>
      </c>
      <c r="O203" s="355">
        <f t="shared" si="2"/>
        <v>-1.9607843137254943E-2</v>
      </c>
      <c r="P203" s="355">
        <f t="shared" si="2"/>
        <v>0</v>
      </c>
    </row>
    <row r="204" spans="2:16" x14ac:dyDescent="0.2">
      <c r="B204" s="351" t="s">
        <v>1736</v>
      </c>
      <c r="C204" s="351" t="s">
        <v>1753</v>
      </c>
      <c r="D204" s="351" t="s">
        <v>1755</v>
      </c>
      <c r="E204" s="351">
        <v>90</v>
      </c>
      <c r="F204" s="351">
        <v>0.85</v>
      </c>
      <c r="G204" s="354">
        <v>1</v>
      </c>
      <c r="H204" s="354">
        <v>1</v>
      </c>
      <c r="I204" s="354"/>
      <c r="J204" s="351">
        <v>0.92</v>
      </c>
      <c r="K204" s="351">
        <v>1.02</v>
      </c>
      <c r="L204" s="354">
        <v>1</v>
      </c>
      <c r="N204" s="355">
        <f t="shared" si="2"/>
        <v>-7.6086956521739246E-2</v>
      </c>
      <c r="O204" s="355">
        <f t="shared" si="2"/>
        <v>-1.9607843137254943E-2</v>
      </c>
      <c r="P204" s="355">
        <f t="shared" si="2"/>
        <v>0</v>
      </c>
    </row>
    <row r="205" spans="2:16" x14ac:dyDescent="0.2">
      <c r="B205" s="351" t="s">
        <v>1736</v>
      </c>
      <c r="C205" s="351" t="s">
        <v>1753</v>
      </c>
      <c r="D205" s="351" t="s">
        <v>1755</v>
      </c>
      <c r="E205" s="351">
        <v>91</v>
      </c>
      <c r="F205" s="351">
        <v>0.85</v>
      </c>
      <c r="G205" s="354">
        <v>1</v>
      </c>
      <c r="H205" s="354">
        <v>1</v>
      </c>
      <c r="I205" s="354"/>
      <c r="J205" s="351">
        <v>0.92</v>
      </c>
      <c r="K205" s="351">
        <v>1.02</v>
      </c>
      <c r="L205" s="354">
        <v>1</v>
      </c>
      <c r="N205" s="355">
        <f t="shared" ref="N205:P268" si="3">F205/J205-1</f>
        <v>-7.6086956521739246E-2</v>
      </c>
      <c r="O205" s="355">
        <f t="shared" si="3"/>
        <v>-1.9607843137254943E-2</v>
      </c>
      <c r="P205" s="355">
        <f t="shared" si="3"/>
        <v>0</v>
      </c>
    </row>
    <row r="206" spans="2:16" x14ac:dyDescent="0.2">
      <c r="B206" s="351" t="s">
        <v>1736</v>
      </c>
      <c r="C206" s="351" t="s">
        <v>1753</v>
      </c>
      <c r="D206" s="351" t="s">
        <v>1755</v>
      </c>
      <c r="E206" s="351">
        <v>92</v>
      </c>
      <c r="F206" s="351">
        <v>0.85</v>
      </c>
      <c r="G206" s="354">
        <v>1</v>
      </c>
      <c r="H206" s="354">
        <v>1</v>
      </c>
      <c r="I206" s="354"/>
      <c r="J206" s="351">
        <v>0.92</v>
      </c>
      <c r="K206" s="351">
        <v>1.02</v>
      </c>
      <c r="L206" s="354">
        <v>1</v>
      </c>
      <c r="N206" s="355">
        <f t="shared" si="3"/>
        <v>-7.6086956521739246E-2</v>
      </c>
      <c r="O206" s="355">
        <f t="shared" si="3"/>
        <v>-1.9607843137254943E-2</v>
      </c>
      <c r="P206" s="355">
        <f t="shared" si="3"/>
        <v>0</v>
      </c>
    </row>
    <row r="207" spans="2:16" x14ac:dyDescent="0.2">
      <c r="B207" s="351" t="s">
        <v>1736</v>
      </c>
      <c r="C207" s="351" t="s">
        <v>1753</v>
      </c>
      <c r="D207" s="351" t="s">
        <v>1755</v>
      </c>
      <c r="E207" s="351">
        <v>93</v>
      </c>
      <c r="F207" s="351">
        <v>0.85</v>
      </c>
      <c r="G207" s="354">
        <v>1</v>
      </c>
      <c r="H207" s="354">
        <v>1</v>
      </c>
      <c r="I207" s="354"/>
      <c r="J207" s="351">
        <v>0.92</v>
      </c>
      <c r="K207" s="351">
        <v>1.02</v>
      </c>
      <c r="L207" s="354">
        <v>1</v>
      </c>
      <c r="N207" s="355">
        <f t="shared" si="3"/>
        <v>-7.6086956521739246E-2</v>
      </c>
      <c r="O207" s="355">
        <f t="shared" si="3"/>
        <v>-1.9607843137254943E-2</v>
      </c>
      <c r="P207" s="355">
        <f t="shared" si="3"/>
        <v>0</v>
      </c>
    </row>
    <row r="208" spans="2:16" x14ac:dyDescent="0.2">
      <c r="B208" s="351" t="s">
        <v>1736</v>
      </c>
      <c r="C208" s="351" t="s">
        <v>1753</v>
      </c>
      <c r="D208" s="351" t="s">
        <v>1755</v>
      </c>
      <c r="E208" s="351">
        <v>94</v>
      </c>
      <c r="F208" s="351">
        <v>0.85</v>
      </c>
      <c r="G208" s="354">
        <v>1</v>
      </c>
      <c r="H208" s="354">
        <v>1</v>
      </c>
      <c r="I208" s="354"/>
      <c r="J208" s="351">
        <v>0.92</v>
      </c>
      <c r="K208" s="351">
        <v>1.02</v>
      </c>
      <c r="L208" s="354">
        <v>1</v>
      </c>
      <c r="N208" s="355">
        <f t="shared" si="3"/>
        <v>-7.6086956521739246E-2</v>
      </c>
      <c r="O208" s="355">
        <f t="shared" si="3"/>
        <v>-1.9607843137254943E-2</v>
      </c>
      <c r="P208" s="355">
        <f t="shared" si="3"/>
        <v>0</v>
      </c>
    </row>
    <row r="209" spans="2:16" x14ac:dyDescent="0.2">
      <c r="B209" s="351" t="s">
        <v>1736</v>
      </c>
      <c r="C209" s="351" t="s">
        <v>1753</v>
      </c>
      <c r="D209" s="351" t="s">
        <v>1755</v>
      </c>
      <c r="E209" s="351">
        <v>95</v>
      </c>
      <c r="F209" s="351">
        <v>0.85</v>
      </c>
      <c r="G209" s="354">
        <v>1</v>
      </c>
      <c r="H209" s="354">
        <v>1</v>
      </c>
      <c r="I209" s="354"/>
      <c r="J209" s="351">
        <v>0.92</v>
      </c>
      <c r="K209" s="351">
        <v>1.02</v>
      </c>
      <c r="L209" s="354">
        <v>1</v>
      </c>
      <c r="N209" s="355">
        <f t="shared" si="3"/>
        <v>-7.6086956521739246E-2</v>
      </c>
      <c r="O209" s="355">
        <f t="shared" si="3"/>
        <v>-1.9607843137254943E-2</v>
      </c>
      <c r="P209" s="355">
        <f t="shared" si="3"/>
        <v>0</v>
      </c>
    </row>
    <row r="210" spans="2:16" x14ac:dyDescent="0.2">
      <c r="B210" s="351" t="s">
        <v>1736</v>
      </c>
      <c r="C210" s="351" t="s">
        <v>1753</v>
      </c>
      <c r="D210" s="351" t="s">
        <v>1755</v>
      </c>
      <c r="E210" s="351">
        <v>96</v>
      </c>
      <c r="F210" s="351">
        <v>0.85</v>
      </c>
      <c r="G210" s="354">
        <v>1</v>
      </c>
      <c r="H210" s="354">
        <v>1</v>
      </c>
      <c r="I210" s="354"/>
      <c r="J210" s="351">
        <v>0.92</v>
      </c>
      <c r="K210" s="351">
        <v>1.02</v>
      </c>
      <c r="L210" s="354">
        <v>1</v>
      </c>
      <c r="N210" s="355">
        <f t="shared" si="3"/>
        <v>-7.6086956521739246E-2</v>
      </c>
      <c r="O210" s="355">
        <f t="shared" si="3"/>
        <v>-1.9607843137254943E-2</v>
      </c>
      <c r="P210" s="355">
        <f t="shared" si="3"/>
        <v>0</v>
      </c>
    </row>
    <row r="211" spans="2:16" x14ac:dyDescent="0.2">
      <c r="B211" s="351" t="s">
        <v>1736</v>
      </c>
      <c r="C211" s="351" t="s">
        <v>1753</v>
      </c>
      <c r="D211" s="351" t="s">
        <v>1755</v>
      </c>
      <c r="E211" s="351">
        <v>97</v>
      </c>
      <c r="F211" s="351">
        <v>0.85</v>
      </c>
      <c r="G211" s="354">
        <v>1</v>
      </c>
      <c r="H211" s="354">
        <v>1</v>
      </c>
      <c r="I211" s="354"/>
      <c r="J211" s="351">
        <v>0.92</v>
      </c>
      <c r="K211" s="351">
        <v>1.02</v>
      </c>
      <c r="L211" s="354">
        <v>1</v>
      </c>
      <c r="N211" s="355">
        <f t="shared" si="3"/>
        <v>-7.6086956521739246E-2</v>
      </c>
      <c r="O211" s="355">
        <f t="shared" si="3"/>
        <v>-1.9607843137254943E-2</v>
      </c>
      <c r="P211" s="355">
        <f t="shared" si="3"/>
        <v>0</v>
      </c>
    </row>
    <row r="212" spans="2:16" x14ac:dyDescent="0.2">
      <c r="B212" s="351" t="s">
        <v>1736</v>
      </c>
      <c r="C212" s="351" t="s">
        <v>1753</v>
      </c>
      <c r="D212" s="351" t="s">
        <v>1755</v>
      </c>
      <c r="E212" s="351">
        <v>98</v>
      </c>
      <c r="F212" s="351">
        <v>0.85</v>
      </c>
      <c r="G212" s="354">
        <v>1</v>
      </c>
      <c r="H212" s="354">
        <v>1</v>
      </c>
      <c r="I212" s="354"/>
      <c r="J212" s="351">
        <v>0.92</v>
      </c>
      <c r="K212" s="351">
        <v>1.02</v>
      </c>
      <c r="L212" s="354">
        <v>1</v>
      </c>
      <c r="N212" s="355">
        <f t="shared" si="3"/>
        <v>-7.6086956521739246E-2</v>
      </c>
      <c r="O212" s="355">
        <f t="shared" si="3"/>
        <v>-1.9607843137254943E-2</v>
      </c>
      <c r="P212" s="355">
        <f t="shared" si="3"/>
        <v>0</v>
      </c>
    </row>
    <row r="213" spans="2:16" x14ac:dyDescent="0.2">
      <c r="B213" s="351" t="s">
        <v>1736</v>
      </c>
      <c r="C213" s="351" t="s">
        <v>1753</v>
      </c>
      <c r="D213" s="351" t="s">
        <v>1755</v>
      </c>
      <c r="E213" s="351">
        <v>99</v>
      </c>
      <c r="F213" s="351">
        <v>0.85</v>
      </c>
      <c r="G213" s="354">
        <v>1</v>
      </c>
      <c r="H213" s="354">
        <v>1</v>
      </c>
      <c r="I213" s="354"/>
      <c r="J213" s="351">
        <v>0.92</v>
      </c>
      <c r="K213" s="351">
        <v>1.02</v>
      </c>
      <c r="L213" s="354">
        <v>1</v>
      </c>
      <c r="N213" s="355">
        <f t="shared" si="3"/>
        <v>-7.6086956521739246E-2</v>
      </c>
      <c r="O213" s="355">
        <f t="shared" si="3"/>
        <v>-1.9607843137254943E-2</v>
      </c>
      <c r="P213" s="355">
        <f t="shared" si="3"/>
        <v>0</v>
      </c>
    </row>
    <row r="214" spans="2:16" x14ac:dyDescent="0.2">
      <c r="B214" s="351" t="s">
        <v>1736</v>
      </c>
      <c r="C214" s="351" t="s">
        <v>1753</v>
      </c>
      <c r="D214" s="351" t="s">
        <v>1755</v>
      </c>
      <c r="E214" s="351">
        <v>100</v>
      </c>
      <c r="F214" s="351">
        <v>0.85</v>
      </c>
      <c r="G214" s="354">
        <v>1</v>
      </c>
      <c r="H214" s="354">
        <v>1</v>
      </c>
      <c r="I214" s="354"/>
      <c r="J214" s="351">
        <v>0.92</v>
      </c>
      <c r="K214" s="351">
        <v>1.02</v>
      </c>
      <c r="L214" s="354">
        <v>1</v>
      </c>
      <c r="N214" s="355">
        <f t="shared" si="3"/>
        <v>-7.6086956521739246E-2</v>
      </c>
      <c r="O214" s="355">
        <f t="shared" si="3"/>
        <v>-1.9607843137254943E-2</v>
      </c>
      <c r="P214" s="355">
        <f t="shared" si="3"/>
        <v>0</v>
      </c>
    </row>
    <row r="215" spans="2:16" x14ac:dyDescent="0.2">
      <c r="B215" s="351" t="s">
        <v>1739</v>
      </c>
      <c r="C215" s="351" t="s">
        <v>1753</v>
      </c>
      <c r="D215" s="351" t="s">
        <v>1754</v>
      </c>
      <c r="E215" s="351">
        <v>0</v>
      </c>
      <c r="F215" s="351">
        <v>0.93</v>
      </c>
      <c r="G215" s="354">
        <v>1</v>
      </c>
      <c r="H215" s="354">
        <v>2.5</v>
      </c>
      <c r="I215" s="354"/>
      <c r="J215" s="351">
        <v>0.96</v>
      </c>
      <c r="K215" s="354">
        <v>1</v>
      </c>
      <c r="L215" s="354">
        <v>2.5</v>
      </c>
      <c r="N215" s="355">
        <f t="shared" si="3"/>
        <v>-3.1249999999999889E-2</v>
      </c>
      <c r="O215" s="355">
        <f t="shared" si="3"/>
        <v>0</v>
      </c>
      <c r="P215" s="355">
        <f t="shared" si="3"/>
        <v>0</v>
      </c>
    </row>
    <row r="216" spans="2:16" x14ac:dyDescent="0.2">
      <c r="B216" s="351" t="s">
        <v>1739</v>
      </c>
      <c r="C216" s="351" t="s">
        <v>1753</v>
      </c>
      <c r="D216" s="351" t="s">
        <v>1754</v>
      </c>
      <c r="E216" s="351">
        <v>1</v>
      </c>
      <c r="F216" s="351">
        <v>0.93</v>
      </c>
      <c r="G216" s="354">
        <v>1</v>
      </c>
      <c r="H216" s="354">
        <v>2.4</v>
      </c>
      <c r="I216" s="354"/>
      <c r="J216" s="351">
        <v>0.96</v>
      </c>
      <c r="K216" s="354">
        <v>1</v>
      </c>
      <c r="L216" s="354">
        <v>2.5</v>
      </c>
      <c r="N216" s="355">
        <f t="shared" si="3"/>
        <v>-3.1249999999999889E-2</v>
      </c>
      <c r="O216" s="355">
        <f t="shared" si="3"/>
        <v>0</v>
      </c>
      <c r="P216" s="355">
        <f t="shared" si="3"/>
        <v>-4.0000000000000036E-2</v>
      </c>
    </row>
    <row r="217" spans="2:16" x14ac:dyDescent="0.2">
      <c r="B217" s="351" t="s">
        <v>1739</v>
      </c>
      <c r="C217" s="351" t="s">
        <v>1753</v>
      </c>
      <c r="D217" s="351" t="s">
        <v>1754</v>
      </c>
      <c r="E217" s="351">
        <v>2</v>
      </c>
      <c r="F217" s="351">
        <v>0.93</v>
      </c>
      <c r="G217" s="354">
        <v>1</v>
      </c>
      <c r="H217" s="354">
        <v>2.2999999999999998</v>
      </c>
      <c r="I217" s="354"/>
      <c r="J217" s="351">
        <v>0.96</v>
      </c>
      <c r="K217" s="354">
        <v>1</v>
      </c>
      <c r="L217" s="354">
        <v>2.5</v>
      </c>
      <c r="N217" s="355">
        <f t="shared" si="3"/>
        <v>-3.1249999999999889E-2</v>
      </c>
      <c r="O217" s="355">
        <f t="shared" si="3"/>
        <v>0</v>
      </c>
      <c r="P217" s="355">
        <f t="shared" si="3"/>
        <v>-8.0000000000000071E-2</v>
      </c>
    </row>
    <row r="218" spans="2:16" x14ac:dyDescent="0.2">
      <c r="B218" s="351" t="s">
        <v>1739</v>
      </c>
      <c r="C218" s="351" t="s">
        <v>1753</v>
      </c>
      <c r="D218" s="351" t="s">
        <v>1754</v>
      </c>
      <c r="E218" s="351">
        <v>3</v>
      </c>
      <c r="F218" s="351">
        <v>0.93</v>
      </c>
      <c r="G218" s="354">
        <v>1</v>
      </c>
      <c r="H218" s="354">
        <v>2.2000000000000002</v>
      </c>
      <c r="I218" s="354"/>
      <c r="J218" s="351">
        <v>0.96</v>
      </c>
      <c r="K218" s="354">
        <v>1</v>
      </c>
      <c r="L218" s="354">
        <v>2.5</v>
      </c>
      <c r="N218" s="355">
        <f t="shared" si="3"/>
        <v>-3.1249999999999889E-2</v>
      </c>
      <c r="O218" s="355">
        <f t="shared" si="3"/>
        <v>0</v>
      </c>
      <c r="P218" s="355">
        <f t="shared" si="3"/>
        <v>-0.11999999999999988</v>
      </c>
    </row>
    <row r="219" spans="2:16" x14ac:dyDescent="0.2">
      <c r="B219" s="351" t="s">
        <v>1739</v>
      </c>
      <c r="C219" s="351" t="s">
        <v>1753</v>
      </c>
      <c r="D219" s="351" t="s">
        <v>1754</v>
      </c>
      <c r="E219" s="351">
        <v>4</v>
      </c>
      <c r="F219" s="351">
        <v>0.93</v>
      </c>
      <c r="G219" s="354">
        <v>1</v>
      </c>
      <c r="H219" s="354">
        <v>2.15</v>
      </c>
      <c r="I219" s="354"/>
      <c r="J219" s="351">
        <v>0.96</v>
      </c>
      <c r="K219" s="354">
        <v>1</v>
      </c>
      <c r="L219" s="354">
        <v>2.4</v>
      </c>
      <c r="N219" s="355">
        <f t="shared" si="3"/>
        <v>-3.1249999999999889E-2</v>
      </c>
      <c r="O219" s="355">
        <f t="shared" si="3"/>
        <v>0</v>
      </c>
      <c r="P219" s="355">
        <f t="shared" si="3"/>
        <v>-0.10416666666666663</v>
      </c>
    </row>
    <row r="220" spans="2:16" x14ac:dyDescent="0.2">
      <c r="B220" s="351" t="s">
        <v>1739</v>
      </c>
      <c r="C220" s="351" t="s">
        <v>1753</v>
      </c>
      <c r="D220" s="351" t="s">
        <v>1754</v>
      </c>
      <c r="E220" s="351">
        <v>5</v>
      </c>
      <c r="F220" s="351">
        <v>0.93</v>
      </c>
      <c r="G220" s="354">
        <v>1</v>
      </c>
      <c r="H220" s="354">
        <v>2.1</v>
      </c>
      <c r="I220" s="354"/>
      <c r="J220" s="351">
        <v>0.96</v>
      </c>
      <c r="K220" s="354">
        <v>1</v>
      </c>
      <c r="L220" s="354">
        <v>2.2999999999999998</v>
      </c>
      <c r="N220" s="355">
        <f t="shared" si="3"/>
        <v>-3.1249999999999889E-2</v>
      </c>
      <c r="O220" s="355">
        <f t="shared" si="3"/>
        <v>0</v>
      </c>
      <c r="P220" s="355">
        <f t="shared" si="3"/>
        <v>-8.6956521739130377E-2</v>
      </c>
    </row>
    <row r="221" spans="2:16" x14ac:dyDescent="0.2">
      <c r="B221" s="351" t="s">
        <v>1739</v>
      </c>
      <c r="C221" s="351" t="s">
        <v>1753</v>
      </c>
      <c r="D221" s="351" t="s">
        <v>1754</v>
      </c>
      <c r="E221" s="351">
        <v>6</v>
      </c>
      <c r="F221" s="351">
        <v>0.93</v>
      </c>
      <c r="G221" s="354">
        <v>1</v>
      </c>
      <c r="H221" s="354">
        <v>2.0499999999999998</v>
      </c>
      <c r="I221" s="354"/>
      <c r="J221" s="351">
        <v>0.96</v>
      </c>
      <c r="K221" s="354">
        <v>1</v>
      </c>
      <c r="L221" s="354">
        <v>2.2000000000000002</v>
      </c>
      <c r="N221" s="355">
        <f t="shared" si="3"/>
        <v>-3.1249999999999889E-2</v>
      </c>
      <c r="O221" s="355">
        <f t="shared" si="3"/>
        <v>0</v>
      </c>
      <c r="P221" s="355">
        <f t="shared" si="3"/>
        <v>-6.8181818181818343E-2</v>
      </c>
    </row>
    <row r="222" spans="2:16" x14ac:dyDescent="0.2">
      <c r="B222" s="351" t="s">
        <v>1739</v>
      </c>
      <c r="C222" s="351" t="s">
        <v>1753</v>
      </c>
      <c r="D222" s="351" t="s">
        <v>1754</v>
      </c>
      <c r="E222" s="351">
        <v>7</v>
      </c>
      <c r="F222" s="351">
        <v>0.93</v>
      </c>
      <c r="G222" s="354">
        <v>1</v>
      </c>
      <c r="H222" s="354">
        <v>2</v>
      </c>
      <c r="I222" s="354"/>
      <c r="J222" s="351">
        <v>0.96</v>
      </c>
      <c r="K222" s="354">
        <v>1</v>
      </c>
      <c r="L222" s="354">
        <v>2.1</v>
      </c>
      <c r="N222" s="355">
        <f t="shared" si="3"/>
        <v>-3.1249999999999889E-2</v>
      </c>
      <c r="O222" s="355">
        <f t="shared" si="3"/>
        <v>0</v>
      </c>
      <c r="P222" s="355">
        <f t="shared" si="3"/>
        <v>-4.7619047619047672E-2</v>
      </c>
    </row>
    <row r="223" spans="2:16" x14ac:dyDescent="0.2">
      <c r="B223" s="351" t="s">
        <v>1739</v>
      </c>
      <c r="C223" s="351" t="s">
        <v>1753</v>
      </c>
      <c r="D223" s="351" t="s">
        <v>1754</v>
      </c>
      <c r="E223" s="351">
        <v>8</v>
      </c>
      <c r="F223" s="351">
        <v>0.93</v>
      </c>
      <c r="G223" s="354">
        <v>1</v>
      </c>
      <c r="H223" s="354">
        <v>1.95</v>
      </c>
      <c r="I223" s="354"/>
      <c r="J223" s="351">
        <v>0.96</v>
      </c>
      <c r="K223" s="354">
        <v>1</v>
      </c>
      <c r="L223" s="354">
        <v>2.0499999999999998</v>
      </c>
      <c r="N223" s="355">
        <f t="shared" si="3"/>
        <v>-3.1249999999999889E-2</v>
      </c>
      <c r="O223" s="355">
        <f t="shared" si="3"/>
        <v>0</v>
      </c>
      <c r="P223" s="355">
        <f t="shared" si="3"/>
        <v>-4.8780487804877981E-2</v>
      </c>
    </row>
    <row r="224" spans="2:16" x14ac:dyDescent="0.2">
      <c r="B224" s="351" t="s">
        <v>1739</v>
      </c>
      <c r="C224" s="351" t="s">
        <v>1753</v>
      </c>
      <c r="D224" s="351" t="s">
        <v>1754</v>
      </c>
      <c r="E224" s="351">
        <v>9</v>
      </c>
      <c r="F224" s="351">
        <v>0.93</v>
      </c>
      <c r="G224" s="354">
        <v>1</v>
      </c>
      <c r="H224" s="354">
        <v>1.9</v>
      </c>
      <c r="I224" s="354"/>
      <c r="J224" s="351">
        <v>0.96</v>
      </c>
      <c r="K224" s="354">
        <v>1</v>
      </c>
      <c r="L224" s="354">
        <v>2</v>
      </c>
      <c r="N224" s="355">
        <f t="shared" si="3"/>
        <v>-3.1249999999999889E-2</v>
      </c>
      <c r="O224" s="355">
        <f t="shared" si="3"/>
        <v>0</v>
      </c>
      <c r="P224" s="355">
        <f t="shared" si="3"/>
        <v>-5.0000000000000044E-2</v>
      </c>
    </row>
    <row r="225" spans="2:16" x14ac:dyDescent="0.2">
      <c r="B225" s="351" t="s">
        <v>1739</v>
      </c>
      <c r="C225" s="351" t="s">
        <v>1753</v>
      </c>
      <c r="D225" s="351" t="s">
        <v>1754</v>
      </c>
      <c r="E225" s="351">
        <v>10</v>
      </c>
      <c r="F225" s="351">
        <v>0.93</v>
      </c>
      <c r="G225" s="354">
        <v>1</v>
      </c>
      <c r="H225" s="354">
        <v>1.85</v>
      </c>
      <c r="I225" s="354"/>
      <c r="J225" s="351">
        <v>0.96</v>
      </c>
      <c r="K225" s="354">
        <v>1</v>
      </c>
      <c r="L225" s="354">
        <v>1.9</v>
      </c>
      <c r="N225" s="355">
        <f t="shared" si="3"/>
        <v>-3.1249999999999889E-2</v>
      </c>
      <c r="O225" s="355">
        <f t="shared" si="3"/>
        <v>0</v>
      </c>
      <c r="P225" s="355">
        <f t="shared" si="3"/>
        <v>-2.631578947368407E-2</v>
      </c>
    </row>
    <row r="226" spans="2:16" x14ac:dyDescent="0.2">
      <c r="B226" s="351" t="s">
        <v>1739</v>
      </c>
      <c r="C226" s="351" t="s">
        <v>1753</v>
      </c>
      <c r="D226" s="351" t="s">
        <v>1754</v>
      </c>
      <c r="E226" s="351">
        <v>11</v>
      </c>
      <c r="F226" s="351">
        <v>0.93</v>
      </c>
      <c r="G226" s="354">
        <v>1</v>
      </c>
      <c r="H226" s="354">
        <v>1.8</v>
      </c>
      <c r="I226" s="354"/>
      <c r="J226" s="351">
        <v>0.96</v>
      </c>
      <c r="K226" s="354">
        <v>1</v>
      </c>
      <c r="L226" s="354">
        <v>1.85</v>
      </c>
      <c r="N226" s="355">
        <f t="shared" si="3"/>
        <v>-3.1249999999999889E-2</v>
      </c>
      <c r="O226" s="355">
        <f t="shared" si="3"/>
        <v>0</v>
      </c>
      <c r="P226" s="355">
        <f t="shared" si="3"/>
        <v>-2.7027027027027084E-2</v>
      </c>
    </row>
    <row r="227" spans="2:16" x14ac:dyDescent="0.2">
      <c r="B227" s="351" t="s">
        <v>1739</v>
      </c>
      <c r="C227" s="351" t="s">
        <v>1753</v>
      </c>
      <c r="D227" s="351" t="s">
        <v>1754</v>
      </c>
      <c r="E227" s="351">
        <v>12</v>
      </c>
      <c r="F227" s="351">
        <v>0.93</v>
      </c>
      <c r="G227" s="354">
        <v>1</v>
      </c>
      <c r="H227" s="354">
        <v>1.76</v>
      </c>
      <c r="I227" s="354"/>
      <c r="J227" s="351">
        <v>0.96</v>
      </c>
      <c r="K227" s="354">
        <v>1</v>
      </c>
      <c r="L227" s="354">
        <v>1.8</v>
      </c>
      <c r="N227" s="355">
        <f t="shared" si="3"/>
        <v>-3.1249999999999889E-2</v>
      </c>
      <c r="O227" s="355">
        <f t="shared" si="3"/>
        <v>0</v>
      </c>
      <c r="P227" s="355">
        <f t="shared" si="3"/>
        <v>-2.2222222222222254E-2</v>
      </c>
    </row>
    <row r="228" spans="2:16" x14ac:dyDescent="0.2">
      <c r="B228" s="351" t="s">
        <v>1739</v>
      </c>
      <c r="C228" s="351" t="s">
        <v>1753</v>
      </c>
      <c r="D228" s="351" t="s">
        <v>1754</v>
      </c>
      <c r="E228" s="351">
        <v>13</v>
      </c>
      <c r="F228" s="351">
        <v>0.93</v>
      </c>
      <c r="G228" s="354">
        <v>1</v>
      </c>
      <c r="H228" s="354">
        <v>1.72</v>
      </c>
      <c r="J228" s="351">
        <v>0.96</v>
      </c>
      <c r="K228" s="354">
        <v>1</v>
      </c>
      <c r="L228" s="354">
        <v>1.76</v>
      </c>
      <c r="N228" s="355">
        <f t="shared" si="3"/>
        <v>-3.1249999999999889E-2</v>
      </c>
      <c r="O228" s="355">
        <f t="shared" si="3"/>
        <v>0</v>
      </c>
      <c r="P228" s="355">
        <f t="shared" si="3"/>
        <v>-2.2727272727272707E-2</v>
      </c>
    </row>
    <row r="229" spans="2:16" x14ac:dyDescent="0.2">
      <c r="B229" s="351" t="s">
        <v>1739</v>
      </c>
      <c r="C229" s="351" t="s">
        <v>1753</v>
      </c>
      <c r="D229" s="351" t="s">
        <v>1754</v>
      </c>
      <c r="E229" s="351">
        <v>14</v>
      </c>
      <c r="F229" s="351">
        <v>0.93</v>
      </c>
      <c r="G229" s="354">
        <v>1</v>
      </c>
      <c r="H229" s="354">
        <v>1.68</v>
      </c>
      <c r="J229" s="351">
        <v>0.96</v>
      </c>
      <c r="K229" s="354">
        <v>1</v>
      </c>
      <c r="L229" s="354">
        <v>1.72</v>
      </c>
      <c r="N229" s="355">
        <f t="shared" si="3"/>
        <v>-3.1249999999999889E-2</v>
      </c>
      <c r="O229" s="355">
        <f t="shared" si="3"/>
        <v>0</v>
      </c>
      <c r="P229" s="355">
        <f t="shared" si="3"/>
        <v>-2.3255813953488413E-2</v>
      </c>
    </row>
    <row r="230" spans="2:16" x14ac:dyDescent="0.2">
      <c r="B230" s="351" t="s">
        <v>1739</v>
      </c>
      <c r="C230" s="351" t="s">
        <v>1753</v>
      </c>
      <c r="D230" s="351" t="s">
        <v>1754</v>
      </c>
      <c r="E230" s="351">
        <v>15</v>
      </c>
      <c r="F230" s="351">
        <v>0.93</v>
      </c>
      <c r="G230" s="354">
        <v>1</v>
      </c>
      <c r="H230" s="354">
        <v>1.64</v>
      </c>
      <c r="J230" s="351">
        <v>0.96</v>
      </c>
      <c r="K230" s="354">
        <v>1</v>
      </c>
      <c r="L230" s="354">
        <v>1.68</v>
      </c>
      <c r="N230" s="355">
        <f t="shared" si="3"/>
        <v>-3.1249999999999889E-2</v>
      </c>
      <c r="O230" s="355">
        <f t="shared" si="3"/>
        <v>0</v>
      </c>
      <c r="P230" s="355">
        <f t="shared" si="3"/>
        <v>-2.3809523809523836E-2</v>
      </c>
    </row>
    <row r="231" spans="2:16" x14ac:dyDescent="0.2">
      <c r="B231" s="351" t="s">
        <v>1739</v>
      </c>
      <c r="C231" s="351" t="s">
        <v>1753</v>
      </c>
      <c r="D231" s="351" t="s">
        <v>1754</v>
      </c>
      <c r="E231" s="351">
        <v>16</v>
      </c>
      <c r="F231" s="351">
        <v>0.93</v>
      </c>
      <c r="G231" s="354">
        <v>1</v>
      </c>
      <c r="H231" s="354">
        <v>1.61</v>
      </c>
      <c r="J231" s="351">
        <v>0.96</v>
      </c>
      <c r="K231" s="354">
        <v>1</v>
      </c>
      <c r="L231" s="354">
        <v>1.64</v>
      </c>
      <c r="N231" s="355">
        <f t="shared" si="3"/>
        <v>-3.1249999999999889E-2</v>
      </c>
      <c r="O231" s="355">
        <f t="shared" si="3"/>
        <v>0</v>
      </c>
      <c r="P231" s="355">
        <f t="shared" si="3"/>
        <v>-1.8292682926829174E-2</v>
      </c>
    </row>
    <row r="232" spans="2:16" x14ac:dyDescent="0.2">
      <c r="B232" s="351" t="s">
        <v>1739</v>
      </c>
      <c r="C232" s="351" t="s">
        <v>1753</v>
      </c>
      <c r="D232" s="351" t="s">
        <v>1754</v>
      </c>
      <c r="E232" s="351">
        <v>17</v>
      </c>
      <c r="F232" s="351">
        <v>0.93</v>
      </c>
      <c r="G232" s="354">
        <v>1</v>
      </c>
      <c r="H232" s="354">
        <v>1.58</v>
      </c>
      <c r="J232" s="351">
        <v>0.96</v>
      </c>
      <c r="K232" s="354">
        <v>1</v>
      </c>
      <c r="L232" s="354">
        <v>1.61</v>
      </c>
      <c r="N232" s="355">
        <f t="shared" si="3"/>
        <v>-3.1249999999999889E-2</v>
      </c>
      <c r="O232" s="355">
        <f t="shared" si="3"/>
        <v>0</v>
      </c>
      <c r="P232" s="355">
        <f t="shared" si="3"/>
        <v>-1.8633540372670843E-2</v>
      </c>
    </row>
    <row r="233" spans="2:16" x14ac:dyDescent="0.2">
      <c r="B233" s="351" t="s">
        <v>1739</v>
      </c>
      <c r="C233" s="351" t="s">
        <v>1753</v>
      </c>
      <c r="D233" s="351" t="s">
        <v>1754</v>
      </c>
      <c r="E233" s="351">
        <v>18</v>
      </c>
      <c r="F233" s="351">
        <v>0.93</v>
      </c>
      <c r="G233" s="354">
        <v>1</v>
      </c>
      <c r="H233" s="354">
        <v>1.55</v>
      </c>
      <c r="J233" s="351">
        <v>0.96</v>
      </c>
      <c r="K233" s="354">
        <v>1</v>
      </c>
      <c r="L233" s="354">
        <v>1.58</v>
      </c>
      <c r="N233" s="355">
        <f t="shared" si="3"/>
        <v>-3.1249999999999889E-2</v>
      </c>
      <c r="O233" s="355">
        <f t="shared" si="3"/>
        <v>0</v>
      </c>
      <c r="P233" s="355">
        <f t="shared" si="3"/>
        <v>-1.8987341772151889E-2</v>
      </c>
    </row>
    <row r="234" spans="2:16" x14ac:dyDescent="0.2">
      <c r="B234" s="351" t="s">
        <v>1739</v>
      </c>
      <c r="C234" s="351" t="s">
        <v>1753</v>
      </c>
      <c r="D234" s="351" t="s">
        <v>1754</v>
      </c>
      <c r="E234" s="351">
        <v>19</v>
      </c>
      <c r="F234" s="351">
        <v>0.93</v>
      </c>
      <c r="G234" s="354">
        <v>1</v>
      </c>
      <c r="H234" s="354">
        <v>1.52</v>
      </c>
      <c r="J234" s="351">
        <v>0.96</v>
      </c>
      <c r="K234" s="354">
        <v>1</v>
      </c>
      <c r="L234" s="354">
        <v>1.55</v>
      </c>
      <c r="N234" s="355">
        <f t="shared" si="3"/>
        <v>-3.1249999999999889E-2</v>
      </c>
      <c r="O234" s="355">
        <f t="shared" si="3"/>
        <v>0</v>
      </c>
      <c r="P234" s="355">
        <f t="shared" si="3"/>
        <v>-1.9354838709677469E-2</v>
      </c>
    </row>
    <row r="235" spans="2:16" x14ac:dyDescent="0.2">
      <c r="B235" s="351" t="s">
        <v>1739</v>
      </c>
      <c r="C235" s="351" t="s">
        <v>1753</v>
      </c>
      <c r="D235" s="351" t="s">
        <v>1754</v>
      </c>
      <c r="E235" s="351">
        <v>20</v>
      </c>
      <c r="F235" s="351">
        <v>0.93</v>
      </c>
      <c r="G235" s="354">
        <v>1</v>
      </c>
      <c r="H235" s="354">
        <v>1.49</v>
      </c>
      <c r="J235" s="351">
        <v>0.96</v>
      </c>
      <c r="K235" s="354">
        <v>1</v>
      </c>
      <c r="L235" s="354">
        <v>1.52</v>
      </c>
      <c r="N235" s="355">
        <f t="shared" si="3"/>
        <v>-3.1249999999999889E-2</v>
      </c>
      <c r="O235" s="355">
        <f t="shared" si="3"/>
        <v>0</v>
      </c>
      <c r="P235" s="355">
        <f t="shared" si="3"/>
        <v>-1.9736842105263164E-2</v>
      </c>
    </row>
    <row r="236" spans="2:16" x14ac:dyDescent="0.2">
      <c r="B236" s="351" t="s">
        <v>1739</v>
      </c>
      <c r="C236" s="351" t="s">
        <v>1753</v>
      </c>
      <c r="D236" s="351" t="s">
        <v>1754</v>
      </c>
      <c r="E236" s="351">
        <v>21</v>
      </c>
      <c r="F236" s="351">
        <v>0.93</v>
      </c>
      <c r="G236" s="354">
        <v>1</v>
      </c>
      <c r="H236" s="354">
        <v>1.46</v>
      </c>
      <c r="J236" s="351">
        <v>0.96</v>
      </c>
      <c r="K236" s="354">
        <v>1</v>
      </c>
      <c r="L236" s="354">
        <v>1.49</v>
      </c>
      <c r="N236" s="355">
        <f t="shared" si="3"/>
        <v>-3.1249999999999889E-2</v>
      </c>
      <c r="O236" s="355">
        <f t="shared" si="3"/>
        <v>0</v>
      </c>
      <c r="P236" s="355">
        <f t="shared" si="3"/>
        <v>-2.0134228187919434E-2</v>
      </c>
    </row>
    <row r="237" spans="2:16" x14ac:dyDescent="0.2">
      <c r="B237" s="351" t="s">
        <v>1739</v>
      </c>
      <c r="C237" s="351" t="s">
        <v>1753</v>
      </c>
      <c r="D237" s="351" t="s">
        <v>1754</v>
      </c>
      <c r="E237" s="351">
        <v>22</v>
      </c>
      <c r="F237" s="351">
        <v>0.93</v>
      </c>
      <c r="G237" s="354">
        <v>1</v>
      </c>
      <c r="H237" s="354">
        <v>1.43</v>
      </c>
      <c r="J237" s="351">
        <v>0.96</v>
      </c>
      <c r="K237" s="354">
        <v>1</v>
      </c>
      <c r="L237" s="354">
        <v>1.46</v>
      </c>
      <c r="N237" s="355">
        <f t="shared" si="3"/>
        <v>-3.1249999999999889E-2</v>
      </c>
      <c r="O237" s="355">
        <f t="shared" si="3"/>
        <v>0</v>
      </c>
      <c r="P237" s="355">
        <f t="shared" si="3"/>
        <v>-2.0547945205479423E-2</v>
      </c>
    </row>
    <row r="238" spans="2:16" x14ac:dyDescent="0.2">
      <c r="B238" s="351" t="s">
        <v>1739</v>
      </c>
      <c r="C238" s="351" t="s">
        <v>1753</v>
      </c>
      <c r="D238" s="351" t="s">
        <v>1754</v>
      </c>
      <c r="E238" s="351">
        <v>23</v>
      </c>
      <c r="F238" s="351">
        <v>0.93</v>
      </c>
      <c r="G238" s="354">
        <v>1</v>
      </c>
      <c r="H238" s="354">
        <v>1.4</v>
      </c>
      <c r="J238" s="351">
        <v>0.96</v>
      </c>
      <c r="K238" s="354">
        <v>1</v>
      </c>
      <c r="L238" s="354">
        <v>1.43</v>
      </c>
      <c r="N238" s="355">
        <f t="shared" si="3"/>
        <v>-3.1249999999999889E-2</v>
      </c>
      <c r="O238" s="355">
        <f t="shared" si="3"/>
        <v>0</v>
      </c>
      <c r="P238" s="355">
        <f t="shared" si="3"/>
        <v>-2.0979020979021046E-2</v>
      </c>
    </row>
    <row r="239" spans="2:16" x14ac:dyDescent="0.2">
      <c r="B239" s="351" t="s">
        <v>1739</v>
      </c>
      <c r="C239" s="351" t="s">
        <v>1753</v>
      </c>
      <c r="D239" s="351" t="s">
        <v>1754</v>
      </c>
      <c r="E239" s="351">
        <v>24</v>
      </c>
      <c r="F239" s="351">
        <v>0.93</v>
      </c>
      <c r="G239" s="354">
        <v>1</v>
      </c>
      <c r="H239" s="354">
        <v>1.38</v>
      </c>
      <c r="J239" s="351">
        <v>0.96</v>
      </c>
      <c r="K239" s="354">
        <v>1</v>
      </c>
      <c r="L239" s="354">
        <v>1.4</v>
      </c>
      <c r="N239" s="355">
        <f t="shared" si="3"/>
        <v>-3.1249999999999889E-2</v>
      </c>
      <c r="O239" s="355">
        <f t="shared" si="3"/>
        <v>0</v>
      </c>
      <c r="P239" s="355">
        <f t="shared" si="3"/>
        <v>-1.4285714285714346E-2</v>
      </c>
    </row>
    <row r="240" spans="2:16" x14ac:dyDescent="0.2">
      <c r="B240" s="351" t="s">
        <v>1739</v>
      </c>
      <c r="C240" s="351" t="s">
        <v>1753</v>
      </c>
      <c r="D240" s="351" t="s">
        <v>1754</v>
      </c>
      <c r="E240" s="351">
        <v>25</v>
      </c>
      <c r="F240" s="351">
        <v>0.93</v>
      </c>
      <c r="G240" s="354">
        <v>1</v>
      </c>
      <c r="H240" s="354">
        <v>1.36</v>
      </c>
      <c r="J240" s="351">
        <v>0.96</v>
      </c>
      <c r="K240" s="354">
        <v>1</v>
      </c>
      <c r="L240" s="354">
        <v>1.38</v>
      </c>
      <c r="N240" s="355">
        <f t="shared" si="3"/>
        <v>-3.1249999999999889E-2</v>
      </c>
      <c r="O240" s="355">
        <f t="shared" si="3"/>
        <v>0</v>
      </c>
      <c r="P240" s="355">
        <f t="shared" si="3"/>
        <v>-1.4492753623188248E-2</v>
      </c>
    </row>
    <row r="241" spans="2:16" x14ac:dyDescent="0.2">
      <c r="B241" s="351" t="s">
        <v>1739</v>
      </c>
      <c r="C241" s="351" t="s">
        <v>1753</v>
      </c>
      <c r="D241" s="351" t="s">
        <v>1754</v>
      </c>
      <c r="E241" s="351">
        <v>26</v>
      </c>
      <c r="F241" s="351">
        <v>0.93</v>
      </c>
      <c r="G241" s="354">
        <v>1</v>
      </c>
      <c r="H241" s="354">
        <v>1.34</v>
      </c>
      <c r="J241" s="351">
        <v>0.96</v>
      </c>
      <c r="K241" s="354">
        <v>1</v>
      </c>
      <c r="L241" s="354">
        <v>1.36</v>
      </c>
      <c r="N241" s="355">
        <f t="shared" si="3"/>
        <v>-3.1249999999999889E-2</v>
      </c>
      <c r="O241" s="355">
        <f t="shared" si="3"/>
        <v>0</v>
      </c>
      <c r="P241" s="355">
        <f t="shared" si="3"/>
        <v>-1.4705882352941235E-2</v>
      </c>
    </row>
    <row r="242" spans="2:16" x14ac:dyDescent="0.2">
      <c r="B242" s="351" t="s">
        <v>1739</v>
      </c>
      <c r="C242" s="351" t="s">
        <v>1753</v>
      </c>
      <c r="D242" s="351" t="s">
        <v>1754</v>
      </c>
      <c r="E242" s="351">
        <v>27</v>
      </c>
      <c r="F242" s="351">
        <v>0.93</v>
      </c>
      <c r="G242" s="354">
        <v>1</v>
      </c>
      <c r="H242" s="354">
        <v>1.32</v>
      </c>
      <c r="J242" s="351">
        <v>0.96</v>
      </c>
      <c r="K242" s="354">
        <v>1</v>
      </c>
      <c r="L242" s="354">
        <v>1.34</v>
      </c>
      <c r="N242" s="355">
        <f t="shared" si="3"/>
        <v>-3.1249999999999889E-2</v>
      </c>
      <c r="O242" s="355">
        <f t="shared" si="3"/>
        <v>0</v>
      </c>
      <c r="P242" s="355">
        <f t="shared" si="3"/>
        <v>-1.4925373134328401E-2</v>
      </c>
    </row>
    <row r="243" spans="2:16" x14ac:dyDescent="0.2">
      <c r="B243" s="351" t="s">
        <v>1739</v>
      </c>
      <c r="C243" s="351" t="s">
        <v>1753</v>
      </c>
      <c r="D243" s="351" t="s">
        <v>1754</v>
      </c>
      <c r="E243" s="351">
        <v>28</v>
      </c>
      <c r="F243" s="351">
        <v>0.93</v>
      </c>
      <c r="G243" s="354">
        <v>1</v>
      </c>
      <c r="H243" s="354">
        <v>1.3</v>
      </c>
      <c r="J243" s="351">
        <v>0.96</v>
      </c>
      <c r="K243" s="354">
        <v>1</v>
      </c>
      <c r="L243" s="354">
        <v>1.32</v>
      </c>
      <c r="N243" s="355">
        <f t="shared" si="3"/>
        <v>-3.1249999999999889E-2</v>
      </c>
      <c r="O243" s="355">
        <f t="shared" si="3"/>
        <v>0</v>
      </c>
      <c r="P243" s="355">
        <f t="shared" si="3"/>
        <v>-1.5151515151515138E-2</v>
      </c>
    </row>
    <row r="244" spans="2:16" x14ac:dyDescent="0.2">
      <c r="B244" s="351" t="s">
        <v>1739</v>
      </c>
      <c r="C244" s="351" t="s">
        <v>1753</v>
      </c>
      <c r="D244" s="351" t="s">
        <v>1754</v>
      </c>
      <c r="E244" s="351">
        <v>29</v>
      </c>
      <c r="F244" s="351">
        <v>0.93</v>
      </c>
      <c r="G244" s="354">
        <v>1</v>
      </c>
      <c r="H244" s="354">
        <v>1.28</v>
      </c>
      <c r="J244" s="351">
        <v>0.96</v>
      </c>
      <c r="K244" s="354">
        <v>1</v>
      </c>
      <c r="L244" s="354">
        <v>1.3</v>
      </c>
      <c r="N244" s="355">
        <f t="shared" si="3"/>
        <v>-3.1249999999999889E-2</v>
      </c>
      <c r="O244" s="355">
        <f t="shared" si="3"/>
        <v>0</v>
      </c>
      <c r="P244" s="355">
        <f t="shared" si="3"/>
        <v>-1.5384615384615441E-2</v>
      </c>
    </row>
    <row r="245" spans="2:16" x14ac:dyDescent="0.2">
      <c r="B245" s="351" t="s">
        <v>1739</v>
      </c>
      <c r="C245" s="351" t="s">
        <v>1753</v>
      </c>
      <c r="D245" s="351" t="s">
        <v>1754</v>
      </c>
      <c r="E245" s="351">
        <v>30</v>
      </c>
      <c r="F245" s="351">
        <v>0.93</v>
      </c>
      <c r="G245" s="354">
        <v>1</v>
      </c>
      <c r="H245" s="354">
        <v>1.27</v>
      </c>
      <c r="J245" s="351">
        <v>0.96</v>
      </c>
      <c r="K245" s="354">
        <v>1</v>
      </c>
      <c r="L245" s="354">
        <v>1.28</v>
      </c>
      <c r="N245" s="355">
        <f t="shared" si="3"/>
        <v>-3.1249999999999889E-2</v>
      </c>
      <c r="O245" s="355">
        <f t="shared" si="3"/>
        <v>0</v>
      </c>
      <c r="P245" s="355">
        <f t="shared" si="3"/>
        <v>-7.8125E-3</v>
      </c>
    </row>
    <row r="246" spans="2:16" x14ac:dyDescent="0.2">
      <c r="B246" s="351" t="s">
        <v>1739</v>
      </c>
      <c r="C246" s="351" t="s">
        <v>1753</v>
      </c>
      <c r="D246" s="351" t="s">
        <v>1754</v>
      </c>
      <c r="E246" s="351">
        <v>31</v>
      </c>
      <c r="F246" s="351">
        <v>0.93</v>
      </c>
      <c r="G246" s="354">
        <v>1</v>
      </c>
      <c r="H246" s="354">
        <v>1.26</v>
      </c>
      <c r="J246" s="351">
        <v>0.96</v>
      </c>
      <c r="K246" s="354">
        <v>1</v>
      </c>
      <c r="L246" s="354">
        <v>1.27</v>
      </c>
      <c r="N246" s="355">
        <f t="shared" si="3"/>
        <v>-3.1249999999999889E-2</v>
      </c>
      <c r="O246" s="355">
        <f t="shared" si="3"/>
        <v>0</v>
      </c>
      <c r="P246" s="355">
        <f t="shared" si="3"/>
        <v>-7.8740157480314821E-3</v>
      </c>
    </row>
    <row r="247" spans="2:16" x14ac:dyDescent="0.2">
      <c r="B247" s="351" t="s">
        <v>1739</v>
      </c>
      <c r="C247" s="351" t="s">
        <v>1753</v>
      </c>
      <c r="D247" s="351" t="s">
        <v>1754</v>
      </c>
      <c r="E247" s="351">
        <v>32</v>
      </c>
      <c r="F247" s="351">
        <v>0.93</v>
      </c>
      <c r="G247" s="354">
        <v>1</v>
      </c>
      <c r="H247" s="354">
        <v>1.25</v>
      </c>
      <c r="J247" s="351">
        <v>0.96</v>
      </c>
      <c r="K247" s="354">
        <v>1</v>
      </c>
      <c r="L247" s="354">
        <v>1.26</v>
      </c>
      <c r="N247" s="355">
        <f t="shared" si="3"/>
        <v>-3.1249999999999889E-2</v>
      </c>
      <c r="O247" s="355">
        <f t="shared" si="3"/>
        <v>0</v>
      </c>
      <c r="P247" s="355">
        <f t="shared" si="3"/>
        <v>-7.9365079365079083E-3</v>
      </c>
    </row>
    <row r="248" spans="2:16" x14ac:dyDescent="0.2">
      <c r="B248" s="351" t="s">
        <v>1739</v>
      </c>
      <c r="C248" s="351" t="s">
        <v>1753</v>
      </c>
      <c r="D248" s="351" t="s">
        <v>1754</v>
      </c>
      <c r="E248" s="351">
        <v>33</v>
      </c>
      <c r="F248" s="351">
        <v>0.93</v>
      </c>
      <c r="G248" s="354">
        <v>1</v>
      </c>
      <c r="H248" s="354">
        <v>1.24</v>
      </c>
      <c r="J248" s="351">
        <v>0.96</v>
      </c>
      <c r="K248" s="354">
        <v>1</v>
      </c>
      <c r="L248" s="354">
        <v>1.25</v>
      </c>
      <c r="N248" s="355">
        <f t="shared" si="3"/>
        <v>-3.1249999999999889E-2</v>
      </c>
      <c r="O248" s="355">
        <f t="shared" si="3"/>
        <v>0</v>
      </c>
      <c r="P248" s="355">
        <f t="shared" si="3"/>
        <v>-8.0000000000000071E-3</v>
      </c>
    </row>
    <row r="249" spans="2:16" x14ac:dyDescent="0.2">
      <c r="B249" s="351" t="s">
        <v>1739</v>
      </c>
      <c r="C249" s="351" t="s">
        <v>1753</v>
      </c>
      <c r="D249" s="351" t="s">
        <v>1754</v>
      </c>
      <c r="E249" s="351">
        <v>34</v>
      </c>
      <c r="F249" s="351">
        <v>0.93</v>
      </c>
      <c r="G249" s="354">
        <v>1</v>
      </c>
      <c r="H249" s="354">
        <v>1.23</v>
      </c>
      <c r="J249" s="351">
        <v>0.96</v>
      </c>
      <c r="K249" s="354">
        <v>1</v>
      </c>
      <c r="L249" s="354">
        <v>1.24</v>
      </c>
      <c r="N249" s="355">
        <f t="shared" si="3"/>
        <v>-3.1249999999999889E-2</v>
      </c>
      <c r="O249" s="355">
        <f t="shared" si="3"/>
        <v>0</v>
      </c>
      <c r="P249" s="355">
        <f t="shared" si="3"/>
        <v>-8.0645161290322509E-3</v>
      </c>
    </row>
    <row r="250" spans="2:16" x14ac:dyDescent="0.2">
      <c r="B250" s="351" t="s">
        <v>1739</v>
      </c>
      <c r="C250" s="351" t="s">
        <v>1753</v>
      </c>
      <c r="D250" s="351" t="s">
        <v>1754</v>
      </c>
      <c r="E250" s="351">
        <v>35</v>
      </c>
      <c r="F250" s="351">
        <v>0.93</v>
      </c>
      <c r="G250" s="354">
        <v>1</v>
      </c>
      <c r="H250" s="354">
        <v>1.22</v>
      </c>
      <c r="J250" s="351">
        <v>0.96</v>
      </c>
      <c r="K250" s="354">
        <v>1</v>
      </c>
      <c r="L250" s="354">
        <v>1.23</v>
      </c>
      <c r="N250" s="355">
        <f t="shared" si="3"/>
        <v>-3.1249999999999889E-2</v>
      </c>
      <c r="O250" s="355">
        <f t="shared" si="3"/>
        <v>0</v>
      </c>
      <c r="P250" s="355">
        <f t="shared" si="3"/>
        <v>-8.1300813008130524E-3</v>
      </c>
    </row>
    <row r="251" spans="2:16" x14ac:dyDescent="0.2">
      <c r="B251" s="351" t="s">
        <v>1739</v>
      </c>
      <c r="C251" s="351" t="s">
        <v>1753</v>
      </c>
      <c r="D251" s="351" t="s">
        <v>1754</v>
      </c>
      <c r="E251" s="351">
        <v>36</v>
      </c>
      <c r="F251" s="351">
        <v>0.93</v>
      </c>
      <c r="G251" s="354">
        <v>1</v>
      </c>
      <c r="H251" s="354">
        <v>1.21</v>
      </c>
      <c r="J251" s="351">
        <v>0.96</v>
      </c>
      <c r="K251" s="354">
        <v>1</v>
      </c>
      <c r="L251" s="354">
        <v>1.22</v>
      </c>
      <c r="N251" s="355">
        <f t="shared" si="3"/>
        <v>-3.1249999999999889E-2</v>
      </c>
      <c r="O251" s="355">
        <f t="shared" si="3"/>
        <v>0</v>
      </c>
      <c r="P251" s="355">
        <f t="shared" si="3"/>
        <v>-8.1967213114754189E-3</v>
      </c>
    </row>
    <row r="252" spans="2:16" x14ac:dyDescent="0.2">
      <c r="B252" s="351" t="s">
        <v>1739</v>
      </c>
      <c r="C252" s="351" t="s">
        <v>1753</v>
      </c>
      <c r="D252" s="351" t="s">
        <v>1754</v>
      </c>
      <c r="E252" s="351">
        <v>37</v>
      </c>
      <c r="F252" s="351">
        <v>0.93</v>
      </c>
      <c r="G252" s="354">
        <v>1</v>
      </c>
      <c r="H252" s="354">
        <v>1.2</v>
      </c>
      <c r="J252" s="351">
        <v>0.96</v>
      </c>
      <c r="K252" s="354">
        <v>1</v>
      </c>
      <c r="L252" s="354">
        <v>1.21</v>
      </c>
      <c r="N252" s="355">
        <f t="shared" si="3"/>
        <v>-3.1249999999999889E-2</v>
      </c>
      <c r="O252" s="355">
        <f t="shared" si="3"/>
        <v>0</v>
      </c>
      <c r="P252" s="355">
        <f t="shared" si="3"/>
        <v>-8.2644628099173278E-3</v>
      </c>
    </row>
    <row r="253" spans="2:16" x14ac:dyDescent="0.2">
      <c r="B253" s="351" t="s">
        <v>1739</v>
      </c>
      <c r="C253" s="351" t="s">
        <v>1753</v>
      </c>
      <c r="D253" s="351" t="s">
        <v>1754</v>
      </c>
      <c r="E253" s="351">
        <v>38</v>
      </c>
      <c r="F253" s="351">
        <v>0.93</v>
      </c>
      <c r="G253" s="354">
        <v>1</v>
      </c>
      <c r="H253" s="354">
        <v>1.19</v>
      </c>
      <c r="J253" s="351">
        <v>0.96</v>
      </c>
      <c r="K253" s="354">
        <v>1</v>
      </c>
      <c r="L253" s="354">
        <v>1.2</v>
      </c>
      <c r="N253" s="355">
        <f t="shared" si="3"/>
        <v>-3.1249999999999889E-2</v>
      </c>
      <c r="O253" s="355">
        <f t="shared" si="3"/>
        <v>0</v>
      </c>
      <c r="P253" s="355">
        <f t="shared" si="3"/>
        <v>-8.3333333333333037E-3</v>
      </c>
    </row>
    <row r="254" spans="2:16" x14ac:dyDescent="0.2">
      <c r="B254" s="351" t="s">
        <v>1739</v>
      </c>
      <c r="C254" s="351" t="s">
        <v>1753</v>
      </c>
      <c r="D254" s="351" t="s">
        <v>1754</v>
      </c>
      <c r="E254" s="351">
        <v>39</v>
      </c>
      <c r="F254" s="351">
        <v>0.93</v>
      </c>
      <c r="G254" s="354">
        <v>1</v>
      </c>
      <c r="H254" s="354">
        <v>1.18</v>
      </c>
      <c r="J254" s="351">
        <v>0.96</v>
      </c>
      <c r="K254" s="354">
        <v>1</v>
      </c>
      <c r="L254" s="354">
        <v>1.19</v>
      </c>
      <c r="N254" s="355">
        <f t="shared" si="3"/>
        <v>-3.1249999999999889E-2</v>
      </c>
      <c r="O254" s="355">
        <f t="shared" si="3"/>
        <v>0</v>
      </c>
      <c r="P254" s="355">
        <f t="shared" si="3"/>
        <v>-8.4033613445377853E-3</v>
      </c>
    </row>
    <row r="255" spans="2:16" x14ac:dyDescent="0.2">
      <c r="B255" s="351" t="s">
        <v>1739</v>
      </c>
      <c r="C255" s="351" t="s">
        <v>1753</v>
      </c>
      <c r="D255" s="351" t="s">
        <v>1754</v>
      </c>
      <c r="E255" s="351">
        <v>40</v>
      </c>
      <c r="F255" s="351">
        <v>0.93</v>
      </c>
      <c r="G255" s="354">
        <v>1</v>
      </c>
      <c r="H255" s="354">
        <v>1.17</v>
      </c>
      <c r="J255" s="351">
        <v>0.96</v>
      </c>
      <c r="K255" s="354">
        <v>1</v>
      </c>
      <c r="L255" s="354">
        <v>1.18</v>
      </c>
      <c r="N255" s="355">
        <f t="shared" si="3"/>
        <v>-3.1249999999999889E-2</v>
      </c>
      <c r="O255" s="355">
        <f t="shared" si="3"/>
        <v>0</v>
      </c>
      <c r="P255" s="355">
        <f t="shared" si="3"/>
        <v>-8.4745762711864181E-3</v>
      </c>
    </row>
    <row r="256" spans="2:16" x14ac:dyDescent="0.2">
      <c r="B256" s="351" t="s">
        <v>1739</v>
      </c>
      <c r="C256" s="351" t="s">
        <v>1753</v>
      </c>
      <c r="D256" s="351" t="s">
        <v>1754</v>
      </c>
      <c r="E256" s="351">
        <v>41</v>
      </c>
      <c r="F256" s="351">
        <v>0.93</v>
      </c>
      <c r="G256" s="354">
        <v>1</v>
      </c>
      <c r="H256" s="354">
        <v>1.1599999999999999</v>
      </c>
      <c r="J256" s="351">
        <v>0.96</v>
      </c>
      <c r="K256" s="354">
        <v>1</v>
      </c>
      <c r="L256" s="354">
        <v>1.17</v>
      </c>
      <c r="N256" s="355">
        <f t="shared" si="3"/>
        <v>-3.1249999999999889E-2</v>
      </c>
      <c r="O256" s="355">
        <f t="shared" si="3"/>
        <v>0</v>
      </c>
      <c r="P256" s="355">
        <f t="shared" si="3"/>
        <v>-8.5470085470085166E-3</v>
      </c>
    </row>
    <row r="257" spans="2:16" x14ac:dyDescent="0.2">
      <c r="B257" s="351" t="s">
        <v>1739</v>
      </c>
      <c r="C257" s="351" t="s">
        <v>1753</v>
      </c>
      <c r="D257" s="351" t="s">
        <v>1754</v>
      </c>
      <c r="E257" s="351">
        <v>42</v>
      </c>
      <c r="F257" s="351">
        <v>0.93</v>
      </c>
      <c r="G257" s="354">
        <v>1</v>
      </c>
      <c r="H257" s="354">
        <v>1.1499999999999999</v>
      </c>
      <c r="J257" s="351">
        <v>0.96</v>
      </c>
      <c r="K257" s="354">
        <v>1</v>
      </c>
      <c r="L257" s="354">
        <v>1.1599999999999999</v>
      </c>
      <c r="N257" s="355">
        <f t="shared" si="3"/>
        <v>-3.1249999999999889E-2</v>
      </c>
      <c r="O257" s="355">
        <f t="shared" si="3"/>
        <v>0</v>
      </c>
      <c r="P257" s="355">
        <f t="shared" si="3"/>
        <v>-8.6206896551723755E-3</v>
      </c>
    </row>
    <row r="258" spans="2:16" x14ac:dyDescent="0.2">
      <c r="B258" s="351" t="s">
        <v>1739</v>
      </c>
      <c r="C258" s="351" t="s">
        <v>1753</v>
      </c>
      <c r="D258" s="351" t="s">
        <v>1754</v>
      </c>
      <c r="E258" s="351">
        <v>43</v>
      </c>
      <c r="F258" s="351">
        <v>0.93</v>
      </c>
      <c r="G258" s="354">
        <v>1</v>
      </c>
      <c r="H258" s="354">
        <v>1.1399999999999999</v>
      </c>
      <c r="J258" s="351">
        <v>0.96</v>
      </c>
      <c r="K258" s="354">
        <v>1</v>
      </c>
      <c r="L258" s="354">
        <v>1.1499999999999999</v>
      </c>
      <c r="N258" s="355">
        <f t="shared" si="3"/>
        <v>-3.1249999999999889E-2</v>
      </c>
      <c r="O258" s="355">
        <f t="shared" si="3"/>
        <v>0</v>
      </c>
      <c r="P258" s="355">
        <f t="shared" si="3"/>
        <v>-8.6956521739131043E-3</v>
      </c>
    </row>
    <row r="259" spans="2:16" x14ac:dyDescent="0.2">
      <c r="B259" s="351" t="s">
        <v>1739</v>
      </c>
      <c r="C259" s="351" t="s">
        <v>1753</v>
      </c>
      <c r="D259" s="351" t="s">
        <v>1754</v>
      </c>
      <c r="E259" s="351">
        <v>44</v>
      </c>
      <c r="F259" s="351">
        <v>0.93</v>
      </c>
      <c r="G259" s="354">
        <v>1</v>
      </c>
      <c r="H259" s="354">
        <v>1.1299999999999999</v>
      </c>
      <c r="J259" s="351">
        <v>0.96</v>
      </c>
      <c r="K259" s="354">
        <v>1</v>
      </c>
      <c r="L259" s="354">
        <v>1.1399999999999999</v>
      </c>
      <c r="N259" s="355">
        <f t="shared" si="3"/>
        <v>-3.1249999999999889E-2</v>
      </c>
      <c r="O259" s="355">
        <f t="shared" si="3"/>
        <v>0</v>
      </c>
      <c r="P259" s="355">
        <f t="shared" si="3"/>
        <v>-8.7719298245614308E-3</v>
      </c>
    </row>
    <row r="260" spans="2:16" x14ac:dyDescent="0.2">
      <c r="B260" s="351" t="s">
        <v>1739</v>
      </c>
      <c r="C260" s="351" t="s">
        <v>1753</v>
      </c>
      <c r="D260" s="351" t="s">
        <v>1754</v>
      </c>
      <c r="E260" s="351">
        <v>45</v>
      </c>
      <c r="F260" s="351">
        <v>0.93</v>
      </c>
      <c r="G260" s="354">
        <v>1</v>
      </c>
      <c r="H260" s="354">
        <v>1.1200000000000001</v>
      </c>
      <c r="J260" s="351">
        <v>0.96</v>
      </c>
      <c r="K260" s="354">
        <v>1</v>
      </c>
      <c r="L260" s="354">
        <v>1.1299999999999999</v>
      </c>
      <c r="N260" s="355">
        <f t="shared" si="3"/>
        <v>-3.1249999999999889E-2</v>
      </c>
      <c r="O260" s="355">
        <f t="shared" si="3"/>
        <v>0</v>
      </c>
      <c r="P260" s="355">
        <f t="shared" si="3"/>
        <v>-8.8495575221236855E-3</v>
      </c>
    </row>
    <row r="261" spans="2:16" x14ac:dyDescent="0.2">
      <c r="B261" s="351" t="s">
        <v>1739</v>
      </c>
      <c r="C261" s="351" t="s">
        <v>1753</v>
      </c>
      <c r="D261" s="351" t="s">
        <v>1754</v>
      </c>
      <c r="E261" s="351">
        <v>46</v>
      </c>
      <c r="F261" s="351">
        <v>0.93</v>
      </c>
      <c r="G261" s="354">
        <v>1</v>
      </c>
      <c r="H261" s="354">
        <v>1.1100000000000001</v>
      </c>
      <c r="J261" s="351">
        <v>0.96</v>
      </c>
      <c r="K261" s="354">
        <v>1</v>
      </c>
      <c r="L261" s="354">
        <v>1.1200000000000001</v>
      </c>
      <c r="N261" s="355">
        <f t="shared" si="3"/>
        <v>-3.1249999999999889E-2</v>
      </c>
      <c r="O261" s="355">
        <f t="shared" si="3"/>
        <v>0</v>
      </c>
      <c r="P261" s="355">
        <f t="shared" si="3"/>
        <v>-8.9285714285713969E-3</v>
      </c>
    </row>
    <row r="262" spans="2:16" x14ac:dyDescent="0.2">
      <c r="B262" s="351" t="s">
        <v>1739</v>
      </c>
      <c r="C262" s="351" t="s">
        <v>1753</v>
      </c>
      <c r="D262" s="351" t="s">
        <v>1754</v>
      </c>
      <c r="E262" s="351">
        <v>47</v>
      </c>
      <c r="F262" s="351">
        <v>0.93</v>
      </c>
      <c r="G262" s="354">
        <v>1</v>
      </c>
      <c r="H262" s="354">
        <v>1.1000000000000001</v>
      </c>
      <c r="J262" s="351">
        <v>0.96</v>
      </c>
      <c r="K262" s="354">
        <v>1</v>
      </c>
      <c r="L262" s="354">
        <v>1.1100000000000001</v>
      </c>
      <c r="N262" s="355">
        <f t="shared" si="3"/>
        <v>-3.1249999999999889E-2</v>
      </c>
      <c r="O262" s="355">
        <f t="shared" si="3"/>
        <v>0</v>
      </c>
      <c r="P262" s="355">
        <f t="shared" si="3"/>
        <v>-9.009009009009028E-3</v>
      </c>
    </row>
    <row r="263" spans="2:16" x14ac:dyDescent="0.2">
      <c r="B263" s="351" t="s">
        <v>1739</v>
      </c>
      <c r="C263" s="351" t="s">
        <v>1753</v>
      </c>
      <c r="D263" s="351" t="s">
        <v>1754</v>
      </c>
      <c r="E263" s="351">
        <v>48</v>
      </c>
      <c r="F263" s="351">
        <v>0.93</v>
      </c>
      <c r="G263" s="354">
        <v>1</v>
      </c>
      <c r="H263" s="354">
        <v>1.0900000000000001</v>
      </c>
      <c r="J263" s="351">
        <v>0.96</v>
      </c>
      <c r="K263" s="354">
        <v>1</v>
      </c>
      <c r="L263" s="354">
        <v>1.1000000000000001</v>
      </c>
      <c r="N263" s="355">
        <f t="shared" si="3"/>
        <v>-3.1249999999999889E-2</v>
      </c>
      <c r="O263" s="355">
        <f t="shared" si="3"/>
        <v>0</v>
      </c>
      <c r="P263" s="355">
        <f t="shared" si="3"/>
        <v>-9.0909090909091494E-3</v>
      </c>
    </row>
    <row r="264" spans="2:16" x14ac:dyDescent="0.2">
      <c r="B264" s="351" t="s">
        <v>1739</v>
      </c>
      <c r="C264" s="351" t="s">
        <v>1753</v>
      </c>
      <c r="D264" s="351" t="s">
        <v>1754</v>
      </c>
      <c r="E264" s="351">
        <v>49</v>
      </c>
      <c r="F264" s="351">
        <v>0.93</v>
      </c>
      <c r="G264" s="354">
        <v>1</v>
      </c>
      <c r="H264" s="354">
        <v>1.0900000000000001</v>
      </c>
      <c r="J264" s="351">
        <v>0.96</v>
      </c>
      <c r="K264" s="354">
        <v>1</v>
      </c>
      <c r="L264" s="354">
        <v>1.1000000000000001</v>
      </c>
      <c r="N264" s="355">
        <f t="shared" si="3"/>
        <v>-3.1249999999999889E-2</v>
      </c>
      <c r="O264" s="355">
        <f t="shared" si="3"/>
        <v>0</v>
      </c>
      <c r="P264" s="355">
        <f t="shared" si="3"/>
        <v>-9.0909090909091494E-3</v>
      </c>
    </row>
    <row r="265" spans="2:16" x14ac:dyDescent="0.2">
      <c r="B265" s="351" t="s">
        <v>1739</v>
      </c>
      <c r="C265" s="351" t="s">
        <v>1753</v>
      </c>
      <c r="D265" s="351" t="s">
        <v>1754</v>
      </c>
      <c r="E265" s="351">
        <v>50</v>
      </c>
      <c r="F265" s="351">
        <v>0.93</v>
      </c>
      <c r="G265" s="354">
        <v>1</v>
      </c>
      <c r="H265" s="354">
        <v>1.08</v>
      </c>
      <c r="J265" s="351">
        <v>0.96</v>
      </c>
      <c r="K265" s="354">
        <v>1</v>
      </c>
      <c r="L265" s="354">
        <v>1.0900000000000001</v>
      </c>
      <c r="N265" s="355">
        <f t="shared" si="3"/>
        <v>-3.1249999999999889E-2</v>
      </c>
      <c r="O265" s="355">
        <f t="shared" si="3"/>
        <v>0</v>
      </c>
      <c r="P265" s="355">
        <f t="shared" si="3"/>
        <v>-9.1743119266055606E-3</v>
      </c>
    </row>
    <row r="266" spans="2:16" x14ac:dyDescent="0.2">
      <c r="B266" s="351" t="s">
        <v>1739</v>
      </c>
      <c r="C266" s="351" t="s">
        <v>1753</v>
      </c>
      <c r="D266" s="351" t="s">
        <v>1754</v>
      </c>
      <c r="E266" s="351">
        <v>51</v>
      </c>
      <c r="F266" s="351">
        <v>0.93</v>
      </c>
      <c r="G266" s="354">
        <v>1</v>
      </c>
      <c r="H266" s="354">
        <v>1.08</v>
      </c>
      <c r="J266" s="351">
        <v>0.96</v>
      </c>
      <c r="K266" s="354">
        <v>1</v>
      </c>
      <c r="L266" s="354">
        <v>1.0900000000000001</v>
      </c>
      <c r="N266" s="355">
        <f t="shared" si="3"/>
        <v>-3.1249999999999889E-2</v>
      </c>
      <c r="O266" s="355">
        <f t="shared" si="3"/>
        <v>0</v>
      </c>
      <c r="P266" s="355">
        <f t="shared" si="3"/>
        <v>-9.1743119266055606E-3</v>
      </c>
    </row>
    <row r="267" spans="2:16" x14ac:dyDescent="0.2">
      <c r="B267" s="351" t="s">
        <v>1739</v>
      </c>
      <c r="C267" s="351" t="s">
        <v>1753</v>
      </c>
      <c r="D267" s="351" t="s">
        <v>1754</v>
      </c>
      <c r="E267" s="351">
        <v>52</v>
      </c>
      <c r="F267" s="351">
        <v>0.93</v>
      </c>
      <c r="G267" s="354">
        <v>1</v>
      </c>
      <c r="H267" s="354">
        <v>1.07</v>
      </c>
      <c r="J267" s="351">
        <v>0.96</v>
      </c>
      <c r="K267" s="354">
        <v>1</v>
      </c>
      <c r="L267" s="354">
        <v>1.08</v>
      </c>
      <c r="N267" s="355">
        <f t="shared" si="3"/>
        <v>-3.1249999999999889E-2</v>
      </c>
      <c r="O267" s="355">
        <f t="shared" si="3"/>
        <v>0</v>
      </c>
      <c r="P267" s="355">
        <f t="shared" si="3"/>
        <v>-9.2592592592593004E-3</v>
      </c>
    </row>
    <row r="268" spans="2:16" x14ac:dyDescent="0.2">
      <c r="B268" s="351" t="s">
        <v>1739</v>
      </c>
      <c r="C268" s="351" t="s">
        <v>1753</v>
      </c>
      <c r="D268" s="351" t="s">
        <v>1754</v>
      </c>
      <c r="E268" s="351">
        <v>53</v>
      </c>
      <c r="F268" s="351">
        <v>0.93</v>
      </c>
      <c r="G268" s="354">
        <v>1</v>
      </c>
      <c r="H268" s="354">
        <v>1.07</v>
      </c>
      <c r="J268" s="351">
        <v>0.96</v>
      </c>
      <c r="K268" s="354">
        <v>1</v>
      </c>
      <c r="L268" s="354">
        <v>1.08</v>
      </c>
      <c r="N268" s="355">
        <f t="shared" si="3"/>
        <v>-3.1249999999999889E-2</v>
      </c>
      <c r="O268" s="355">
        <f t="shared" si="3"/>
        <v>0</v>
      </c>
      <c r="P268" s="355">
        <f t="shared" si="3"/>
        <v>-9.2592592592593004E-3</v>
      </c>
    </row>
    <row r="269" spans="2:16" x14ac:dyDescent="0.2">
      <c r="B269" s="351" t="s">
        <v>1739</v>
      </c>
      <c r="C269" s="351" t="s">
        <v>1753</v>
      </c>
      <c r="D269" s="351" t="s">
        <v>1754</v>
      </c>
      <c r="E269" s="351">
        <v>54</v>
      </c>
      <c r="F269" s="351">
        <v>0.93</v>
      </c>
      <c r="G269" s="354">
        <v>1</v>
      </c>
      <c r="H269" s="354">
        <v>1.06</v>
      </c>
      <c r="J269" s="351">
        <v>0.96</v>
      </c>
      <c r="K269" s="354">
        <v>1</v>
      </c>
      <c r="L269" s="354">
        <v>1.07</v>
      </c>
      <c r="N269" s="355">
        <f t="shared" ref="N269:P332" si="4">F269/J269-1</f>
        <v>-3.1249999999999889E-2</v>
      </c>
      <c r="O269" s="355">
        <f t="shared" si="4"/>
        <v>0</v>
      </c>
      <c r="P269" s="355">
        <f t="shared" si="4"/>
        <v>-9.3457943925233655E-3</v>
      </c>
    </row>
    <row r="270" spans="2:16" x14ac:dyDescent="0.2">
      <c r="B270" s="351" t="s">
        <v>1739</v>
      </c>
      <c r="C270" s="351" t="s">
        <v>1753</v>
      </c>
      <c r="D270" s="351" t="s">
        <v>1754</v>
      </c>
      <c r="E270" s="351">
        <v>55</v>
      </c>
      <c r="F270" s="351">
        <v>0.93</v>
      </c>
      <c r="G270" s="354">
        <v>1</v>
      </c>
      <c r="H270" s="354">
        <v>1.06</v>
      </c>
      <c r="J270" s="351">
        <v>0.96</v>
      </c>
      <c r="K270" s="354">
        <v>1</v>
      </c>
      <c r="L270" s="354">
        <v>1.07</v>
      </c>
      <c r="N270" s="355">
        <f t="shared" si="4"/>
        <v>-3.1249999999999889E-2</v>
      </c>
      <c r="O270" s="355">
        <f t="shared" si="4"/>
        <v>0</v>
      </c>
      <c r="P270" s="355">
        <f t="shared" si="4"/>
        <v>-9.3457943925233655E-3</v>
      </c>
    </row>
    <row r="271" spans="2:16" x14ac:dyDescent="0.2">
      <c r="B271" s="351" t="s">
        <v>1739</v>
      </c>
      <c r="C271" s="351" t="s">
        <v>1753</v>
      </c>
      <c r="D271" s="351" t="s">
        <v>1754</v>
      </c>
      <c r="E271" s="351">
        <v>56</v>
      </c>
      <c r="F271" s="351">
        <v>0.93</v>
      </c>
      <c r="G271" s="354">
        <v>1</v>
      </c>
      <c r="H271" s="354">
        <v>1.05</v>
      </c>
      <c r="J271" s="351">
        <v>0.96</v>
      </c>
      <c r="K271" s="354">
        <v>1</v>
      </c>
      <c r="L271" s="354">
        <v>1.06</v>
      </c>
      <c r="N271" s="355">
        <f t="shared" si="4"/>
        <v>-3.1249999999999889E-2</v>
      </c>
      <c r="O271" s="355">
        <f t="shared" si="4"/>
        <v>0</v>
      </c>
      <c r="P271" s="355">
        <f t="shared" si="4"/>
        <v>-9.4339622641509413E-3</v>
      </c>
    </row>
    <row r="272" spans="2:16" x14ac:dyDescent="0.2">
      <c r="B272" s="351" t="s">
        <v>1739</v>
      </c>
      <c r="C272" s="351" t="s">
        <v>1753</v>
      </c>
      <c r="D272" s="351" t="s">
        <v>1754</v>
      </c>
      <c r="E272" s="351">
        <v>57</v>
      </c>
      <c r="F272" s="351">
        <v>0.93</v>
      </c>
      <c r="G272" s="354">
        <v>1</v>
      </c>
      <c r="H272" s="354">
        <v>1.05</v>
      </c>
      <c r="J272" s="351">
        <v>0.96</v>
      </c>
      <c r="K272" s="354">
        <v>1</v>
      </c>
      <c r="L272" s="354">
        <v>1.06</v>
      </c>
      <c r="N272" s="355">
        <f t="shared" si="4"/>
        <v>-3.1249999999999889E-2</v>
      </c>
      <c r="O272" s="355">
        <f t="shared" si="4"/>
        <v>0</v>
      </c>
      <c r="P272" s="355">
        <f t="shared" si="4"/>
        <v>-9.4339622641509413E-3</v>
      </c>
    </row>
    <row r="273" spans="2:16" x14ac:dyDescent="0.2">
      <c r="B273" s="351" t="s">
        <v>1739</v>
      </c>
      <c r="C273" s="351" t="s">
        <v>1753</v>
      </c>
      <c r="D273" s="351" t="s">
        <v>1754</v>
      </c>
      <c r="E273" s="351">
        <v>58</v>
      </c>
      <c r="F273" s="351">
        <v>0.93</v>
      </c>
      <c r="G273" s="354">
        <v>1</v>
      </c>
      <c r="H273" s="354">
        <v>1.05</v>
      </c>
      <c r="J273" s="351">
        <v>0.96</v>
      </c>
      <c r="K273" s="354">
        <v>1</v>
      </c>
      <c r="L273" s="354">
        <v>1.05</v>
      </c>
      <c r="N273" s="355">
        <f t="shared" si="4"/>
        <v>-3.1249999999999889E-2</v>
      </c>
      <c r="O273" s="355">
        <f t="shared" si="4"/>
        <v>0</v>
      </c>
      <c r="P273" s="355">
        <f t="shared" si="4"/>
        <v>0</v>
      </c>
    </row>
    <row r="274" spans="2:16" x14ac:dyDescent="0.2">
      <c r="B274" s="351" t="s">
        <v>1739</v>
      </c>
      <c r="C274" s="351" t="s">
        <v>1753</v>
      </c>
      <c r="D274" s="351" t="s">
        <v>1754</v>
      </c>
      <c r="E274" s="351">
        <v>59</v>
      </c>
      <c r="F274" s="351">
        <v>0.93</v>
      </c>
      <c r="G274" s="354">
        <v>1</v>
      </c>
      <c r="H274" s="354">
        <v>1.04</v>
      </c>
      <c r="J274" s="351">
        <v>0.96</v>
      </c>
      <c r="K274" s="354">
        <v>1</v>
      </c>
      <c r="L274" s="354">
        <v>1.05</v>
      </c>
      <c r="N274" s="355">
        <f t="shared" si="4"/>
        <v>-3.1249999999999889E-2</v>
      </c>
      <c r="O274" s="355">
        <f t="shared" si="4"/>
        <v>0</v>
      </c>
      <c r="P274" s="355">
        <f t="shared" si="4"/>
        <v>-9.52380952380949E-3</v>
      </c>
    </row>
    <row r="275" spans="2:16" x14ac:dyDescent="0.2">
      <c r="B275" s="351" t="s">
        <v>1739</v>
      </c>
      <c r="C275" s="351" t="s">
        <v>1753</v>
      </c>
      <c r="D275" s="351" t="s">
        <v>1754</v>
      </c>
      <c r="E275" s="351">
        <v>60</v>
      </c>
      <c r="F275" s="351">
        <v>0.93</v>
      </c>
      <c r="G275" s="354">
        <v>1</v>
      </c>
      <c r="H275" s="354">
        <v>1.04</v>
      </c>
      <c r="J275" s="351">
        <v>0.96</v>
      </c>
      <c r="K275" s="354">
        <v>1</v>
      </c>
      <c r="L275" s="354">
        <v>1.05</v>
      </c>
      <c r="N275" s="355">
        <f t="shared" si="4"/>
        <v>-3.1249999999999889E-2</v>
      </c>
      <c r="O275" s="355">
        <f t="shared" si="4"/>
        <v>0</v>
      </c>
      <c r="P275" s="355">
        <f t="shared" si="4"/>
        <v>-9.52380952380949E-3</v>
      </c>
    </row>
    <row r="276" spans="2:16" x14ac:dyDescent="0.2">
      <c r="B276" s="351" t="s">
        <v>1739</v>
      </c>
      <c r="C276" s="351" t="s">
        <v>1753</v>
      </c>
      <c r="D276" s="351" t="s">
        <v>1754</v>
      </c>
      <c r="E276" s="351">
        <v>61</v>
      </c>
      <c r="F276" s="351">
        <v>0.93</v>
      </c>
      <c r="G276" s="354">
        <v>1</v>
      </c>
      <c r="H276" s="354">
        <v>1.04</v>
      </c>
      <c r="J276" s="351">
        <v>0.96</v>
      </c>
      <c r="K276" s="354">
        <v>1</v>
      </c>
      <c r="L276" s="354">
        <v>1.04</v>
      </c>
      <c r="N276" s="355">
        <f t="shared" si="4"/>
        <v>-3.1249999999999889E-2</v>
      </c>
      <c r="O276" s="355">
        <f t="shared" si="4"/>
        <v>0</v>
      </c>
      <c r="P276" s="355">
        <f t="shared" si="4"/>
        <v>0</v>
      </c>
    </row>
    <row r="277" spans="2:16" x14ac:dyDescent="0.2">
      <c r="B277" s="351" t="s">
        <v>1739</v>
      </c>
      <c r="C277" s="351" t="s">
        <v>1753</v>
      </c>
      <c r="D277" s="351" t="s">
        <v>1754</v>
      </c>
      <c r="E277" s="351">
        <v>62</v>
      </c>
      <c r="F277" s="351">
        <v>0.93</v>
      </c>
      <c r="G277" s="354">
        <v>1</v>
      </c>
      <c r="H277" s="354">
        <v>1.03</v>
      </c>
      <c r="J277" s="351">
        <v>0.96</v>
      </c>
      <c r="K277" s="354">
        <v>1</v>
      </c>
      <c r="L277" s="354">
        <v>1.04</v>
      </c>
      <c r="N277" s="355">
        <f t="shared" si="4"/>
        <v>-3.1249999999999889E-2</v>
      </c>
      <c r="O277" s="355">
        <f t="shared" si="4"/>
        <v>0</v>
      </c>
      <c r="P277" s="355">
        <f t="shared" si="4"/>
        <v>-9.6153846153845812E-3</v>
      </c>
    </row>
    <row r="278" spans="2:16" x14ac:dyDescent="0.2">
      <c r="B278" s="351" t="s">
        <v>1739</v>
      </c>
      <c r="C278" s="351" t="s">
        <v>1753</v>
      </c>
      <c r="D278" s="351" t="s">
        <v>1754</v>
      </c>
      <c r="E278" s="351">
        <v>63</v>
      </c>
      <c r="F278" s="351">
        <v>0.93</v>
      </c>
      <c r="G278" s="354">
        <v>1</v>
      </c>
      <c r="H278" s="354">
        <v>1.03</v>
      </c>
      <c r="J278" s="351">
        <v>0.96</v>
      </c>
      <c r="K278" s="354">
        <v>1</v>
      </c>
      <c r="L278" s="354">
        <v>1.04</v>
      </c>
      <c r="N278" s="355">
        <f t="shared" si="4"/>
        <v>-3.1249999999999889E-2</v>
      </c>
      <c r="O278" s="355">
        <f t="shared" si="4"/>
        <v>0</v>
      </c>
      <c r="P278" s="355">
        <f t="shared" si="4"/>
        <v>-9.6153846153845812E-3</v>
      </c>
    </row>
    <row r="279" spans="2:16" x14ac:dyDescent="0.2">
      <c r="B279" s="351" t="s">
        <v>1739</v>
      </c>
      <c r="C279" s="351" t="s">
        <v>1753</v>
      </c>
      <c r="D279" s="351" t="s">
        <v>1754</v>
      </c>
      <c r="E279" s="351">
        <v>64</v>
      </c>
      <c r="F279" s="351">
        <v>0.93</v>
      </c>
      <c r="G279" s="354">
        <v>1</v>
      </c>
      <c r="H279" s="354">
        <v>1.03</v>
      </c>
      <c r="J279" s="351">
        <v>0.96</v>
      </c>
      <c r="K279" s="354">
        <v>1</v>
      </c>
      <c r="L279" s="354">
        <v>1.03</v>
      </c>
      <c r="N279" s="355">
        <f t="shared" si="4"/>
        <v>-3.1249999999999889E-2</v>
      </c>
      <c r="O279" s="355">
        <f t="shared" si="4"/>
        <v>0</v>
      </c>
      <c r="P279" s="355">
        <f t="shared" si="4"/>
        <v>0</v>
      </c>
    </row>
    <row r="280" spans="2:16" x14ac:dyDescent="0.2">
      <c r="B280" s="351" t="s">
        <v>1739</v>
      </c>
      <c r="C280" s="351" t="s">
        <v>1753</v>
      </c>
      <c r="D280" s="351" t="s">
        <v>1754</v>
      </c>
      <c r="E280" s="351">
        <v>65</v>
      </c>
      <c r="F280" s="351">
        <v>0.93</v>
      </c>
      <c r="G280" s="354">
        <v>1</v>
      </c>
      <c r="H280" s="354">
        <v>1.02</v>
      </c>
      <c r="J280" s="351">
        <v>0.96</v>
      </c>
      <c r="K280" s="354">
        <v>1</v>
      </c>
      <c r="L280" s="354">
        <v>1.03</v>
      </c>
      <c r="N280" s="355">
        <f t="shared" si="4"/>
        <v>-3.1249999999999889E-2</v>
      </c>
      <c r="O280" s="355">
        <f t="shared" si="4"/>
        <v>0</v>
      </c>
      <c r="P280" s="355">
        <f t="shared" si="4"/>
        <v>-9.7087378640776656E-3</v>
      </c>
    </row>
    <row r="281" spans="2:16" x14ac:dyDescent="0.2">
      <c r="B281" s="351" t="s">
        <v>1739</v>
      </c>
      <c r="C281" s="351" t="s">
        <v>1753</v>
      </c>
      <c r="D281" s="351" t="s">
        <v>1754</v>
      </c>
      <c r="E281" s="351">
        <v>66</v>
      </c>
      <c r="F281" s="351">
        <v>0.93</v>
      </c>
      <c r="G281" s="354">
        <v>1</v>
      </c>
      <c r="H281" s="354">
        <v>1.02</v>
      </c>
      <c r="J281" s="351">
        <v>0.96</v>
      </c>
      <c r="K281" s="354">
        <v>1</v>
      </c>
      <c r="L281" s="354">
        <v>1.03</v>
      </c>
      <c r="N281" s="355">
        <f t="shared" si="4"/>
        <v>-3.1249999999999889E-2</v>
      </c>
      <c r="O281" s="355">
        <f t="shared" si="4"/>
        <v>0</v>
      </c>
      <c r="P281" s="355">
        <f t="shared" si="4"/>
        <v>-9.7087378640776656E-3</v>
      </c>
    </row>
    <row r="282" spans="2:16" x14ac:dyDescent="0.2">
      <c r="B282" s="351" t="s">
        <v>1739</v>
      </c>
      <c r="C282" s="351" t="s">
        <v>1753</v>
      </c>
      <c r="D282" s="351" t="s">
        <v>1754</v>
      </c>
      <c r="E282" s="351">
        <v>67</v>
      </c>
      <c r="F282" s="351">
        <v>0.93</v>
      </c>
      <c r="G282" s="354">
        <v>1</v>
      </c>
      <c r="H282" s="354">
        <v>1.02</v>
      </c>
      <c r="J282" s="351">
        <v>0.96</v>
      </c>
      <c r="K282" s="354">
        <v>1</v>
      </c>
      <c r="L282" s="354">
        <v>1.02</v>
      </c>
      <c r="N282" s="355">
        <f t="shared" si="4"/>
        <v>-3.1249999999999889E-2</v>
      </c>
      <c r="O282" s="355">
        <f t="shared" si="4"/>
        <v>0</v>
      </c>
      <c r="P282" s="355">
        <f t="shared" si="4"/>
        <v>0</v>
      </c>
    </row>
    <row r="283" spans="2:16" x14ac:dyDescent="0.2">
      <c r="B283" s="351" t="s">
        <v>1739</v>
      </c>
      <c r="C283" s="351" t="s">
        <v>1753</v>
      </c>
      <c r="D283" s="351" t="s">
        <v>1754</v>
      </c>
      <c r="E283" s="351">
        <v>68</v>
      </c>
      <c r="F283" s="351">
        <v>0.93</v>
      </c>
      <c r="G283" s="354">
        <v>1</v>
      </c>
      <c r="H283" s="354">
        <v>1.02</v>
      </c>
      <c r="J283" s="351">
        <v>0.96</v>
      </c>
      <c r="K283" s="354">
        <v>1</v>
      </c>
      <c r="L283" s="354">
        <v>1.02</v>
      </c>
      <c r="N283" s="355">
        <f t="shared" si="4"/>
        <v>-3.1249999999999889E-2</v>
      </c>
      <c r="O283" s="355">
        <f t="shared" si="4"/>
        <v>0</v>
      </c>
      <c r="P283" s="355">
        <f t="shared" si="4"/>
        <v>0</v>
      </c>
    </row>
    <row r="284" spans="2:16" x14ac:dyDescent="0.2">
      <c r="B284" s="351" t="s">
        <v>1739</v>
      </c>
      <c r="C284" s="351" t="s">
        <v>1753</v>
      </c>
      <c r="D284" s="351" t="s">
        <v>1754</v>
      </c>
      <c r="E284" s="351">
        <v>69</v>
      </c>
      <c r="F284" s="351">
        <v>0.93</v>
      </c>
      <c r="G284" s="354">
        <v>1</v>
      </c>
      <c r="H284" s="354">
        <v>1.01</v>
      </c>
      <c r="J284" s="351">
        <v>0.96</v>
      </c>
      <c r="K284" s="354">
        <v>1</v>
      </c>
      <c r="L284" s="354">
        <v>1.02</v>
      </c>
      <c r="N284" s="355">
        <f t="shared" si="4"/>
        <v>-3.1249999999999889E-2</v>
      </c>
      <c r="O284" s="355">
        <f t="shared" si="4"/>
        <v>0</v>
      </c>
      <c r="P284" s="355">
        <f t="shared" si="4"/>
        <v>-9.8039215686274161E-3</v>
      </c>
    </row>
    <row r="285" spans="2:16" x14ac:dyDescent="0.2">
      <c r="B285" s="351" t="s">
        <v>1739</v>
      </c>
      <c r="C285" s="351" t="s">
        <v>1753</v>
      </c>
      <c r="D285" s="351" t="s">
        <v>1754</v>
      </c>
      <c r="E285" s="351">
        <v>70</v>
      </c>
      <c r="F285" s="351">
        <v>0.93</v>
      </c>
      <c r="G285" s="354">
        <v>1</v>
      </c>
      <c r="H285" s="354">
        <v>1.01</v>
      </c>
      <c r="J285" s="351">
        <v>0.96</v>
      </c>
      <c r="K285" s="354">
        <v>1</v>
      </c>
      <c r="L285" s="354">
        <v>1.01</v>
      </c>
      <c r="N285" s="355">
        <f t="shared" si="4"/>
        <v>-3.1249999999999889E-2</v>
      </c>
      <c r="O285" s="355">
        <f t="shared" si="4"/>
        <v>0</v>
      </c>
      <c r="P285" s="355">
        <f t="shared" si="4"/>
        <v>0</v>
      </c>
    </row>
    <row r="286" spans="2:16" x14ac:dyDescent="0.2">
      <c r="B286" s="351" t="s">
        <v>1739</v>
      </c>
      <c r="C286" s="351" t="s">
        <v>1753</v>
      </c>
      <c r="D286" s="351" t="s">
        <v>1754</v>
      </c>
      <c r="E286" s="351">
        <v>71</v>
      </c>
      <c r="F286" s="351">
        <v>0.93</v>
      </c>
      <c r="G286" s="354">
        <v>1</v>
      </c>
      <c r="H286" s="354">
        <v>1.01</v>
      </c>
      <c r="J286" s="351">
        <v>0.96</v>
      </c>
      <c r="K286" s="354">
        <v>1</v>
      </c>
      <c r="L286" s="354">
        <v>1.01</v>
      </c>
      <c r="N286" s="355">
        <f t="shared" si="4"/>
        <v>-3.1249999999999889E-2</v>
      </c>
      <c r="O286" s="355">
        <f t="shared" si="4"/>
        <v>0</v>
      </c>
      <c r="P286" s="355">
        <f t="shared" si="4"/>
        <v>0</v>
      </c>
    </row>
    <row r="287" spans="2:16" x14ac:dyDescent="0.2">
      <c r="B287" s="351" t="s">
        <v>1739</v>
      </c>
      <c r="C287" s="351" t="s">
        <v>1753</v>
      </c>
      <c r="D287" s="351" t="s">
        <v>1754</v>
      </c>
      <c r="E287" s="351">
        <v>72</v>
      </c>
      <c r="F287" s="351">
        <v>0.93</v>
      </c>
      <c r="G287" s="354">
        <v>1</v>
      </c>
      <c r="H287" s="354">
        <v>1.01</v>
      </c>
      <c r="J287" s="351">
        <v>0.96</v>
      </c>
      <c r="K287" s="354">
        <v>1</v>
      </c>
      <c r="L287" s="354">
        <v>1.01</v>
      </c>
      <c r="N287" s="355">
        <f t="shared" si="4"/>
        <v>-3.1249999999999889E-2</v>
      </c>
      <c r="O287" s="355">
        <f t="shared" si="4"/>
        <v>0</v>
      </c>
      <c r="P287" s="355">
        <f t="shared" si="4"/>
        <v>0</v>
      </c>
    </row>
    <row r="288" spans="2:16" x14ac:dyDescent="0.2">
      <c r="B288" s="351" t="s">
        <v>1739</v>
      </c>
      <c r="C288" s="351" t="s">
        <v>1753</v>
      </c>
      <c r="D288" s="351" t="s">
        <v>1754</v>
      </c>
      <c r="E288" s="351">
        <v>73</v>
      </c>
      <c r="F288" s="351">
        <v>0.93</v>
      </c>
      <c r="G288" s="354">
        <v>1</v>
      </c>
      <c r="H288" s="354">
        <v>1.01</v>
      </c>
      <c r="J288" s="351">
        <v>0.96</v>
      </c>
      <c r="K288" s="354">
        <v>1</v>
      </c>
      <c r="L288" s="354">
        <v>1.01</v>
      </c>
      <c r="N288" s="355">
        <f t="shared" si="4"/>
        <v>-3.1249999999999889E-2</v>
      </c>
      <c r="O288" s="355">
        <f t="shared" si="4"/>
        <v>0</v>
      </c>
      <c r="P288" s="355">
        <f t="shared" si="4"/>
        <v>0</v>
      </c>
    </row>
    <row r="289" spans="2:16" x14ac:dyDescent="0.2">
      <c r="B289" s="351" t="s">
        <v>1739</v>
      </c>
      <c r="C289" s="351" t="s">
        <v>1753</v>
      </c>
      <c r="D289" s="351" t="s">
        <v>1754</v>
      </c>
      <c r="E289" s="351">
        <v>74</v>
      </c>
      <c r="F289" s="351">
        <v>0.93</v>
      </c>
      <c r="G289" s="354">
        <v>1</v>
      </c>
      <c r="H289" s="354">
        <v>1</v>
      </c>
      <c r="J289" s="351">
        <v>0.96</v>
      </c>
      <c r="K289" s="354">
        <v>1</v>
      </c>
      <c r="L289" s="354">
        <v>1.01</v>
      </c>
      <c r="N289" s="355">
        <f t="shared" si="4"/>
        <v>-3.1249999999999889E-2</v>
      </c>
      <c r="O289" s="355">
        <f t="shared" si="4"/>
        <v>0</v>
      </c>
      <c r="P289" s="355">
        <f t="shared" si="4"/>
        <v>-9.9009900990099098E-3</v>
      </c>
    </row>
    <row r="290" spans="2:16" x14ac:dyDescent="0.2">
      <c r="B290" s="351" t="s">
        <v>1739</v>
      </c>
      <c r="C290" s="351" t="s">
        <v>1753</v>
      </c>
      <c r="D290" s="351" t="s">
        <v>1754</v>
      </c>
      <c r="E290" s="351">
        <v>75</v>
      </c>
      <c r="F290" s="351">
        <v>0.93</v>
      </c>
      <c r="G290" s="354">
        <v>1</v>
      </c>
      <c r="H290" s="354">
        <v>1</v>
      </c>
      <c r="J290" s="351">
        <v>0.96</v>
      </c>
      <c r="K290" s="354">
        <v>1</v>
      </c>
      <c r="L290" s="354">
        <v>1</v>
      </c>
      <c r="N290" s="355">
        <f t="shared" si="4"/>
        <v>-3.1249999999999889E-2</v>
      </c>
      <c r="O290" s="355">
        <f t="shared" si="4"/>
        <v>0</v>
      </c>
      <c r="P290" s="355">
        <f t="shared" si="4"/>
        <v>0</v>
      </c>
    </row>
    <row r="291" spans="2:16" x14ac:dyDescent="0.2">
      <c r="B291" s="351" t="s">
        <v>1739</v>
      </c>
      <c r="C291" s="351" t="s">
        <v>1753</v>
      </c>
      <c r="D291" s="351" t="s">
        <v>1754</v>
      </c>
      <c r="E291" s="351">
        <v>76</v>
      </c>
      <c r="F291" s="351">
        <v>0.93</v>
      </c>
      <c r="G291" s="354">
        <v>1</v>
      </c>
      <c r="H291" s="354">
        <v>1</v>
      </c>
      <c r="J291" s="351">
        <v>0.96</v>
      </c>
      <c r="K291" s="354">
        <v>1</v>
      </c>
      <c r="L291" s="354">
        <v>1</v>
      </c>
      <c r="N291" s="355">
        <f t="shared" si="4"/>
        <v>-3.1249999999999889E-2</v>
      </c>
      <c r="O291" s="355">
        <f t="shared" si="4"/>
        <v>0</v>
      </c>
      <c r="P291" s="355">
        <f t="shared" si="4"/>
        <v>0</v>
      </c>
    </row>
    <row r="292" spans="2:16" x14ac:dyDescent="0.2">
      <c r="B292" s="351" t="s">
        <v>1739</v>
      </c>
      <c r="C292" s="351" t="s">
        <v>1753</v>
      </c>
      <c r="D292" s="351" t="s">
        <v>1754</v>
      </c>
      <c r="E292" s="351">
        <v>77</v>
      </c>
      <c r="F292" s="351">
        <v>0.93</v>
      </c>
      <c r="G292" s="354">
        <v>1</v>
      </c>
      <c r="H292" s="354">
        <v>1</v>
      </c>
      <c r="J292" s="351">
        <v>0.96</v>
      </c>
      <c r="K292" s="354">
        <v>1</v>
      </c>
      <c r="L292" s="354">
        <v>1</v>
      </c>
      <c r="N292" s="355">
        <f t="shared" si="4"/>
        <v>-3.1249999999999889E-2</v>
      </c>
      <c r="O292" s="355">
        <f t="shared" si="4"/>
        <v>0</v>
      </c>
      <c r="P292" s="355">
        <f t="shared" si="4"/>
        <v>0</v>
      </c>
    </row>
    <row r="293" spans="2:16" x14ac:dyDescent="0.2">
      <c r="B293" s="351" t="s">
        <v>1739</v>
      </c>
      <c r="C293" s="351" t="s">
        <v>1753</v>
      </c>
      <c r="D293" s="351" t="s">
        <v>1754</v>
      </c>
      <c r="E293" s="351">
        <v>78</v>
      </c>
      <c r="F293" s="351">
        <v>0.93</v>
      </c>
      <c r="G293" s="354">
        <v>1</v>
      </c>
      <c r="H293" s="354">
        <v>1</v>
      </c>
      <c r="J293" s="351">
        <v>0.96</v>
      </c>
      <c r="K293" s="354">
        <v>1</v>
      </c>
      <c r="L293" s="354">
        <v>1</v>
      </c>
      <c r="N293" s="355">
        <f t="shared" si="4"/>
        <v>-3.1249999999999889E-2</v>
      </c>
      <c r="O293" s="355">
        <f t="shared" si="4"/>
        <v>0</v>
      </c>
      <c r="P293" s="355">
        <f t="shared" si="4"/>
        <v>0</v>
      </c>
    </row>
    <row r="294" spans="2:16" x14ac:dyDescent="0.2">
      <c r="B294" s="351" t="s">
        <v>1739</v>
      </c>
      <c r="C294" s="351" t="s">
        <v>1753</v>
      </c>
      <c r="D294" s="351" t="s">
        <v>1754</v>
      </c>
      <c r="E294" s="351">
        <v>79</v>
      </c>
      <c r="F294" s="351">
        <v>0.93</v>
      </c>
      <c r="G294" s="354">
        <v>1</v>
      </c>
      <c r="H294" s="354">
        <v>1</v>
      </c>
      <c r="J294" s="351">
        <v>0.96</v>
      </c>
      <c r="K294" s="354">
        <v>1</v>
      </c>
      <c r="L294" s="354">
        <v>1</v>
      </c>
      <c r="N294" s="355">
        <f t="shared" si="4"/>
        <v>-3.1249999999999889E-2</v>
      </c>
      <c r="O294" s="355">
        <f t="shared" si="4"/>
        <v>0</v>
      </c>
      <c r="P294" s="355">
        <f t="shared" si="4"/>
        <v>0</v>
      </c>
    </row>
    <row r="295" spans="2:16" x14ac:dyDescent="0.2">
      <c r="B295" s="351" t="s">
        <v>1739</v>
      </c>
      <c r="C295" s="351" t="s">
        <v>1753</v>
      </c>
      <c r="D295" s="351" t="s">
        <v>1754</v>
      </c>
      <c r="E295" s="351">
        <v>80</v>
      </c>
      <c r="F295" s="351">
        <v>0.93</v>
      </c>
      <c r="G295" s="354">
        <v>1</v>
      </c>
      <c r="H295" s="354">
        <v>1</v>
      </c>
      <c r="J295" s="351">
        <v>0.96</v>
      </c>
      <c r="K295" s="354">
        <v>1</v>
      </c>
      <c r="L295" s="354">
        <v>1</v>
      </c>
      <c r="N295" s="355">
        <f t="shared" si="4"/>
        <v>-3.1249999999999889E-2</v>
      </c>
      <c r="O295" s="355">
        <f t="shared" si="4"/>
        <v>0</v>
      </c>
      <c r="P295" s="355">
        <f t="shared" si="4"/>
        <v>0</v>
      </c>
    </row>
    <row r="296" spans="2:16" x14ac:dyDescent="0.2">
      <c r="B296" s="351" t="s">
        <v>1739</v>
      </c>
      <c r="C296" s="351" t="s">
        <v>1753</v>
      </c>
      <c r="D296" s="351" t="s">
        <v>1754</v>
      </c>
      <c r="E296" s="351">
        <v>81</v>
      </c>
      <c r="F296" s="351">
        <v>0.93</v>
      </c>
      <c r="G296" s="354">
        <v>1</v>
      </c>
      <c r="H296" s="354">
        <v>1</v>
      </c>
      <c r="J296" s="351">
        <v>0.96</v>
      </c>
      <c r="K296" s="354">
        <v>1</v>
      </c>
      <c r="L296" s="354">
        <v>1</v>
      </c>
      <c r="N296" s="355">
        <f t="shared" si="4"/>
        <v>-3.1249999999999889E-2</v>
      </c>
      <c r="O296" s="355">
        <f t="shared" si="4"/>
        <v>0</v>
      </c>
      <c r="P296" s="355">
        <f t="shared" si="4"/>
        <v>0</v>
      </c>
    </row>
    <row r="297" spans="2:16" x14ac:dyDescent="0.2">
      <c r="B297" s="351" t="s">
        <v>1739</v>
      </c>
      <c r="C297" s="351" t="s">
        <v>1753</v>
      </c>
      <c r="D297" s="351" t="s">
        <v>1754</v>
      </c>
      <c r="E297" s="351">
        <v>82</v>
      </c>
      <c r="F297" s="351">
        <v>0.93</v>
      </c>
      <c r="G297" s="354">
        <v>1</v>
      </c>
      <c r="H297" s="354">
        <v>1</v>
      </c>
      <c r="J297" s="351">
        <v>0.96</v>
      </c>
      <c r="K297" s="354">
        <v>1</v>
      </c>
      <c r="L297" s="354">
        <v>1</v>
      </c>
      <c r="N297" s="355">
        <f t="shared" si="4"/>
        <v>-3.1249999999999889E-2</v>
      </c>
      <c r="O297" s="355">
        <f t="shared" si="4"/>
        <v>0</v>
      </c>
      <c r="P297" s="355">
        <f t="shared" si="4"/>
        <v>0</v>
      </c>
    </row>
    <row r="298" spans="2:16" x14ac:dyDescent="0.2">
      <c r="B298" s="351" t="s">
        <v>1739</v>
      </c>
      <c r="C298" s="351" t="s">
        <v>1753</v>
      </c>
      <c r="D298" s="351" t="s">
        <v>1754</v>
      </c>
      <c r="E298" s="351">
        <v>83</v>
      </c>
      <c r="F298" s="351">
        <v>0.93</v>
      </c>
      <c r="G298" s="354">
        <v>1</v>
      </c>
      <c r="H298" s="354">
        <v>1</v>
      </c>
      <c r="J298" s="351">
        <v>0.96</v>
      </c>
      <c r="K298" s="354">
        <v>1</v>
      </c>
      <c r="L298" s="354">
        <v>1</v>
      </c>
      <c r="N298" s="355">
        <f t="shared" si="4"/>
        <v>-3.1249999999999889E-2</v>
      </c>
      <c r="O298" s="355">
        <f t="shared" si="4"/>
        <v>0</v>
      </c>
      <c r="P298" s="355">
        <f t="shared" si="4"/>
        <v>0</v>
      </c>
    </row>
    <row r="299" spans="2:16" x14ac:dyDescent="0.2">
      <c r="B299" s="351" t="s">
        <v>1739</v>
      </c>
      <c r="C299" s="351" t="s">
        <v>1753</v>
      </c>
      <c r="D299" s="351" t="s">
        <v>1754</v>
      </c>
      <c r="E299" s="351">
        <v>84</v>
      </c>
      <c r="F299" s="351">
        <v>0.93</v>
      </c>
      <c r="G299" s="354">
        <v>1</v>
      </c>
      <c r="H299" s="354">
        <v>1</v>
      </c>
      <c r="J299" s="351">
        <v>0.96</v>
      </c>
      <c r="K299" s="354">
        <v>1</v>
      </c>
      <c r="L299" s="354">
        <v>1</v>
      </c>
      <c r="N299" s="355">
        <f t="shared" si="4"/>
        <v>-3.1249999999999889E-2</v>
      </c>
      <c r="O299" s="355">
        <f t="shared" si="4"/>
        <v>0</v>
      </c>
      <c r="P299" s="355">
        <f t="shared" si="4"/>
        <v>0</v>
      </c>
    </row>
    <row r="300" spans="2:16" x14ac:dyDescent="0.2">
      <c r="B300" s="351" t="s">
        <v>1739</v>
      </c>
      <c r="C300" s="351" t="s">
        <v>1753</v>
      </c>
      <c r="D300" s="351" t="s">
        <v>1754</v>
      </c>
      <c r="E300" s="351">
        <v>85</v>
      </c>
      <c r="F300" s="351">
        <v>0.93</v>
      </c>
      <c r="G300" s="354">
        <v>1</v>
      </c>
      <c r="H300" s="354">
        <v>1</v>
      </c>
      <c r="J300" s="351">
        <v>0.96</v>
      </c>
      <c r="K300" s="354">
        <v>1</v>
      </c>
      <c r="L300" s="354">
        <v>1</v>
      </c>
      <c r="N300" s="355">
        <f t="shared" si="4"/>
        <v>-3.1249999999999889E-2</v>
      </c>
      <c r="O300" s="355">
        <f t="shared" si="4"/>
        <v>0</v>
      </c>
      <c r="P300" s="355">
        <f t="shared" si="4"/>
        <v>0</v>
      </c>
    </row>
    <row r="301" spans="2:16" x14ac:dyDescent="0.2">
      <c r="B301" s="351" t="s">
        <v>1739</v>
      </c>
      <c r="C301" s="351" t="s">
        <v>1753</v>
      </c>
      <c r="D301" s="351" t="s">
        <v>1754</v>
      </c>
      <c r="E301" s="351">
        <v>86</v>
      </c>
      <c r="F301" s="351">
        <v>0.93</v>
      </c>
      <c r="G301" s="354">
        <v>1</v>
      </c>
      <c r="H301" s="354">
        <v>1</v>
      </c>
      <c r="J301" s="351">
        <v>0.96</v>
      </c>
      <c r="K301" s="354">
        <v>1</v>
      </c>
      <c r="L301" s="354">
        <v>1</v>
      </c>
      <c r="N301" s="355">
        <f t="shared" si="4"/>
        <v>-3.1249999999999889E-2</v>
      </c>
      <c r="O301" s="355">
        <f t="shared" si="4"/>
        <v>0</v>
      </c>
      <c r="P301" s="355">
        <f t="shared" si="4"/>
        <v>0</v>
      </c>
    </row>
    <row r="302" spans="2:16" x14ac:dyDescent="0.2">
      <c r="B302" s="351" t="s">
        <v>1739</v>
      </c>
      <c r="C302" s="351" t="s">
        <v>1753</v>
      </c>
      <c r="D302" s="351" t="s">
        <v>1754</v>
      </c>
      <c r="E302" s="351">
        <v>87</v>
      </c>
      <c r="F302" s="351">
        <v>0.93</v>
      </c>
      <c r="G302" s="354">
        <v>1</v>
      </c>
      <c r="H302" s="354">
        <v>1</v>
      </c>
      <c r="J302" s="351">
        <v>0.96</v>
      </c>
      <c r="K302" s="354">
        <v>1</v>
      </c>
      <c r="L302" s="354">
        <v>1</v>
      </c>
      <c r="N302" s="355">
        <f t="shared" si="4"/>
        <v>-3.1249999999999889E-2</v>
      </c>
      <c r="O302" s="355">
        <f t="shared" si="4"/>
        <v>0</v>
      </c>
      <c r="P302" s="355">
        <f t="shared" si="4"/>
        <v>0</v>
      </c>
    </row>
    <row r="303" spans="2:16" x14ac:dyDescent="0.2">
      <c r="B303" s="351" t="s">
        <v>1739</v>
      </c>
      <c r="C303" s="351" t="s">
        <v>1753</v>
      </c>
      <c r="D303" s="351" t="s">
        <v>1754</v>
      </c>
      <c r="E303" s="351">
        <v>88</v>
      </c>
      <c r="F303" s="351">
        <v>0.93</v>
      </c>
      <c r="G303" s="354">
        <v>1</v>
      </c>
      <c r="H303" s="354">
        <v>1</v>
      </c>
      <c r="J303" s="351">
        <v>0.96</v>
      </c>
      <c r="K303" s="354">
        <v>1</v>
      </c>
      <c r="L303" s="354">
        <v>1</v>
      </c>
      <c r="N303" s="355">
        <f t="shared" si="4"/>
        <v>-3.1249999999999889E-2</v>
      </c>
      <c r="O303" s="355">
        <f t="shared" si="4"/>
        <v>0</v>
      </c>
      <c r="P303" s="355">
        <f t="shared" si="4"/>
        <v>0</v>
      </c>
    </row>
    <row r="304" spans="2:16" x14ac:dyDescent="0.2">
      <c r="B304" s="351" t="s">
        <v>1739</v>
      </c>
      <c r="C304" s="351" t="s">
        <v>1753</v>
      </c>
      <c r="D304" s="351" t="s">
        <v>1754</v>
      </c>
      <c r="E304" s="351">
        <v>89</v>
      </c>
      <c r="F304" s="351">
        <v>0.93</v>
      </c>
      <c r="G304" s="354">
        <v>1</v>
      </c>
      <c r="H304" s="354">
        <v>1</v>
      </c>
      <c r="J304" s="351">
        <v>0.96</v>
      </c>
      <c r="K304" s="354">
        <v>1</v>
      </c>
      <c r="L304" s="354">
        <v>1</v>
      </c>
      <c r="N304" s="355">
        <f t="shared" si="4"/>
        <v>-3.1249999999999889E-2</v>
      </c>
      <c r="O304" s="355">
        <f t="shared" si="4"/>
        <v>0</v>
      </c>
      <c r="P304" s="355">
        <f t="shared" si="4"/>
        <v>0</v>
      </c>
    </row>
    <row r="305" spans="2:16" x14ac:dyDescent="0.2">
      <c r="B305" s="351" t="s">
        <v>1739</v>
      </c>
      <c r="C305" s="351" t="s">
        <v>1753</v>
      </c>
      <c r="D305" s="351" t="s">
        <v>1754</v>
      </c>
      <c r="E305" s="351">
        <v>90</v>
      </c>
      <c r="F305" s="351">
        <v>0.93</v>
      </c>
      <c r="G305" s="354">
        <v>1</v>
      </c>
      <c r="H305" s="354">
        <v>1</v>
      </c>
      <c r="J305" s="351">
        <v>0.96</v>
      </c>
      <c r="K305" s="354">
        <v>1</v>
      </c>
      <c r="L305" s="354">
        <v>1</v>
      </c>
      <c r="N305" s="355">
        <f t="shared" si="4"/>
        <v>-3.1249999999999889E-2</v>
      </c>
      <c r="O305" s="355">
        <f t="shared" si="4"/>
        <v>0</v>
      </c>
      <c r="P305" s="355">
        <f t="shared" si="4"/>
        <v>0</v>
      </c>
    </row>
    <row r="306" spans="2:16" x14ac:dyDescent="0.2">
      <c r="B306" s="351" t="s">
        <v>1739</v>
      </c>
      <c r="C306" s="351" t="s">
        <v>1753</v>
      </c>
      <c r="D306" s="351" t="s">
        <v>1754</v>
      </c>
      <c r="E306" s="351">
        <v>91</v>
      </c>
      <c r="F306" s="351">
        <v>0.93</v>
      </c>
      <c r="G306" s="354">
        <v>1</v>
      </c>
      <c r="H306" s="354">
        <v>1</v>
      </c>
      <c r="J306" s="351">
        <v>0.96</v>
      </c>
      <c r="K306" s="354">
        <v>1</v>
      </c>
      <c r="L306" s="354">
        <v>1</v>
      </c>
      <c r="N306" s="355">
        <f t="shared" si="4"/>
        <v>-3.1249999999999889E-2</v>
      </c>
      <c r="O306" s="355">
        <f t="shared" si="4"/>
        <v>0</v>
      </c>
      <c r="P306" s="355">
        <f t="shared" si="4"/>
        <v>0</v>
      </c>
    </row>
    <row r="307" spans="2:16" x14ac:dyDescent="0.2">
      <c r="B307" s="351" t="s">
        <v>1739</v>
      </c>
      <c r="C307" s="351" t="s">
        <v>1753</v>
      </c>
      <c r="D307" s="351" t="s">
        <v>1754</v>
      </c>
      <c r="E307" s="351">
        <v>92</v>
      </c>
      <c r="F307" s="351">
        <v>0.93</v>
      </c>
      <c r="G307" s="354">
        <v>1</v>
      </c>
      <c r="H307" s="354">
        <v>1</v>
      </c>
      <c r="J307" s="351">
        <v>0.96</v>
      </c>
      <c r="K307" s="354">
        <v>1</v>
      </c>
      <c r="L307" s="354">
        <v>1</v>
      </c>
      <c r="N307" s="355">
        <f t="shared" si="4"/>
        <v>-3.1249999999999889E-2</v>
      </c>
      <c r="O307" s="355">
        <f t="shared" si="4"/>
        <v>0</v>
      </c>
      <c r="P307" s="355">
        <f t="shared" si="4"/>
        <v>0</v>
      </c>
    </row>
    <row r="308" spans="2:16" x14ac:dyDescent="0.2">
      <c r="B308" s="351" t="s">
        <v>1739</v>
      </c>
      <c r="C308" s="351" t="s">
        <v>1753</v>
      </c>
      <c r="D308" s="351" t="s">
        <v>1754</v>
      </c>
      <c r="E308" s="351">
        <v>93</v>
      </c>
      <c r="F308" s="351">
        <v>0.93</v>
      </c>
      <c r="G308" s="354">
        <v>1</v>
      </c>
      <c r="H308" s="354">
        <v>1</v>
      </c>
      <c r="J308" s="351">
        <v>0.96</v>
      </c>
      <c r="K308" s="354">
        <v>1</v>
      </c>
      <c r="L308" s="354">
        <v>1</v>
      </c>
      <c r="N308" s="355">
        <f t="shared" si="4"/>
        <v>-3.1249999999999889E-2</v>
      </c>
      <c r="O308" s="355">
        <f t="shared" si="4"/>
        <v>0</v>
      </c>
      <c r="P308" s="355">
        <f t="shared" si="4"/>
        <v>0</v>
      </c>
    </row>
    <row r="309" spans="2:16" x14ac:dyDescent="0.2">
      <c r="B309" s="351" t="s">
        <v>1739</v>
      </c>
      <c r="C309" s="351" t="s">
        <v>1753</v>
      </c>
      <c r="D309" s="351" t="s">
        <v>1754</v>
      </c>
      <c r="E309" s="351">
        <v>94</v>
      </c>
      <c r="F309" s="351">
        <v>0.93</v>
      </c>
      <c r="G309" s="354">
        <v>1</v>
      </c>
      <c r="H309" s="354">
        <v>1</v>
      </c>
      <c r="J309" s="351">
        <v>0.96</v>
      </c>
      <c r="K309" s="354">
        <v>1</v>
      </c>
      <c r="L309" s="354">
        <v>1</v>
      </c>
      <c r="N309" s="355">
        <f t="shared" si="4"/>
        <v>-3.1249999999999889E-2</v>
      </c>
      <c r="O309" s="355">
        <f t="shared" si="4"/>
        <v>0</v>
      </c>
      <c r="P309" s="355">
        <f t="shared" si="4"/>
        <v>0</v>
      </c>
    </row>
    <row r="310" spans="2:16" x14ac:dyDescent="0.2">
      <c r="B310" s="351" t="s">
        <v>1739</v>
      </c>
      <c r="C310" s="351" t="s">
        <v>1753</v>
      </c>
      <c r="D310" s="351" t="s">
        <v>1754</v>
      </c>
      <c r="E310" s="351">
        <v>95</v>
      </c>
      <c r="F310" s="351">
        <v>0.93</v>
      </c>
      <c r="G310" s="354">
        <v>1</v>
      </c>
      <c r="H310" s="354">
        <v>1</v>
      </c>
      <c r="J310" s="351">
        <v>0.96</v>
      </c>
      <c r="K310" s="354">
        <v>1</v>
      </c>
      <c r="L310" s="354">
        <v>1</v>
      </c>
      <c r="N310" s="355">
        <f t="shared" si="4"/>
        <v>-3.1249999999999889E-2</v>
      </c>
      <c r="O310" s="355">
        <f t="shared" si="4"/>
        <v>0</v>
      </c>
      <c r="P310" s="355">
        <f t="shared" si="4"/>
        <v>0</v>
      </c>
    </row>
    <row r="311" spans="2:16" x14ac:dyDescent="0.2">
      <c r="B311" s="351" t="s">
        <v>1739</v>
      </c>
      <c r="C311" s="351" t="s">
        <v>1753</v>
      </c>
      <c r="D311" s="351" t="s">
        <v>1754</v>
      </c>
      <c r="E311" s="351">
        <v>96</v>
      </c>
      <c r="F311" s="351">
        <v>0.93</v>
      </c>
      <c r="G311" s="354">
        <v>1</v>
      </c>
      <c r="H311" s="354">
        <v>1</v>
      </c>
      <c r="J311" s="351">
        <v>0.96</v>
      </c>
      <c r="K311" s="354">
        <v>1</v>
      </c>
      <c r="L311" s="354">
        <v>1</v>
      </c>
      <c r="N311" s="355">
        <f t="shared" si="4"/>
        <v>-3.1249999999999889E-2</v>
      </c>
      <c r="O311" s="355">
        <f t="shared" si="4"/>
        <v>0</v>
      </c>
      <c r="P311" s="355">
        <f t="shared" si="4"/>
        <v>0</v>
      </c>
    </row>
    <row r="312" spans="2:16" x14ac:dyDescent="0.2">
      <c r="B312" s="351" t="s">
        <v>1739</v>
      </c>
      <c r="C312" s="351" t="s">
        <v>1753</v>
      </c>
      <c r="D312" s="351" t="s">
        <v>1754</v>
      </c>
      <c r="E312" s="351">
        <v>97</v>
      </c>
      <c r="F312" s="351">
        <v>0.93</v>
      </c>
      <c r="G312" s="354">
        <v>1</v>
      </c>
      <c r="H312" s="354">
        <v>1</v>
      </c>
      <c r="J312" s="351">
        <v>0.96</v>
      </c>
      <c r="K312" s="354">
        <v>1</v>
      </c>
      <c r="L312" s="354">
        <v>1</v>
      </c>
      <c r="N312" s="355">
        <f t="shared" si="4"/>
        <v>-3.1249999999999889E-2</v>
      </c>
      <c r="O312" s="355">
        <f t="shared" si="4"/>
        <v>0</v>
      </c>
      <c r="P312" s="355">
        <f t="shared" si="4"/>
        <v>0</v>
      </c>
    </row>
    <row r="313" spans="2:16" x14ac:dyDescent="0.2">
      <c r="B313" s="351" t="s">
        <v>1739</v>
      </c>
      <c r="C313" s="351" t="s">
        <v>1753</v>
      </c>
      <c r="D313" s="351" t="s">
        <v>1754</v>
      </c>
      <c r="E313" s="351">
        <v>98</v>
      </c>
      <c r="F313" s="351">
        <v>0.93</v>
      </c>
      <c r="G313" s="354">
        <v>1</v>
      </c>
      <c r="H313" s="354">
        <v>1</v>
      </c>
      <c r="J313" s="351">
        <v>0.96</v>
      </c>
      <c r="K313" s="354">
        <v>1</v>
      </c>
      <c r="L313" s="354">
        <v>1</v>
      </c>
      <c r="N313" s="355">
        <f t="shared" si="4"/>
        <v>-3.1249999999999889E-2</v>
      </c>
      <c r="O313" s="355">
        <f t="shared" si="4"/>
        <v>0</v>
      </c>
      <c r="P313" s="355">
        <f t="shared" si="4"/>
        <v>0</v>
      </c>
    </row>
    <row r="314" spans="2:16" x14ac:dyDescent="0.2">
      <c r="B314" s="351" t="s">
        <v>1739</v>
      </c>
      <c r="C314" s="351" t="s">
        <v>1753</v>
      </c>
      <c r="D314" s="351" t="s">
        <v>1754</v>
      </c>
      <c r="E314" s="351">
        <v>99</v>
      </c>
      <c r="F314" s="351">
        <v>0.93</v>
      </c>
      <c r="G314" s="354">
        <v>1</v>
      </c>
      <c r="H314" s="354">
        <v>1</v>
      </c>
      <c r="J314" s="351">
        <v>0.96</v>
      </c>
      <c r="K314" s="354">
        <v>1</v>
      </c>
      <c r="L314" s="354">
        <v>1</v>
      </c>
      <c r="N314" s="355">
        <f t="shared" si="4"/>
        <v>-3.1249999999999889E-2</v>
      </c>
      <c r="O314" s="355">
        <f t="shared" si="4"/>
        <v>0</v>
      </c>
      <c r="P314" s="355">
        <f t="shared" si="4"/>
        <v>0</v>
      </c>
    </row>
    <row r="315" spans="2:16" x14ac:dyDescent="0.2">
      <c r="B315" s="351" t="s">
        <v>1739</v>
      </c>
      <c r="C315" s="351" t="s">
        <v>1753</v>
      </c>
      <c r="D315" s="351" t="s">
        <v>1754</v>
      </c>
      <c r="E315" s="351">
        <v>100</v>
      </c>
      <c r="F315" s="351">
        <v>0.93</v>
      </c>
      <c r="G315" s="354">
        <v>1</v>
      </c>
      <c r="H315" s="354">
        <v>1</v>
      </c>
      <c r="J315" s="351">
        <v>0.96</v>
      </c>
      <c r="K315" s="354">
        <v>1</v>
      </c>
      <c r="L315" s="354">
        <v>1</v>
      </c>
      <c r="N315" s="355">
        <f t="shared" si="4"/>
        <v>-3.1249999999999889E-2</v>
      </c>
      <c r="O315" s="355">
        <f t="shared" si="4"/>
        <v>0</v>
      </c>
      <c r="P315" s="355">
        <f t="shared" si="4"/>
        <v>0</v>
      </c>
    </row>
    <row r="316" spans="2:16" x14ac:dyDescent="0.2">
      <c r="B316" s="351" t="s">
        <v>1739</v>
      </c>
      <c r="C316" s="351" t="s">
        <v>1753</v>
      </c>
      <c r="D316" s="351" t="s">
        <v>1755</v>
      </c>
      <c r="E316" s="351">
        <v>0</v>
      </c>
      <c r="F316" s="351">
        <v>0.93</v>
      </c>
      <c r="G316" s="354">
        <v>1</v>
      </c>
      <c r="H316" s="354">
        <v>2.5</v>
      </c>
      <c r="J316" s="351">
        <v>0.96</v>
      </c>
      <c r="K316" s="354">
        <v>1</v>
      </c>
      <c r="L316" s="354">
        <v>2.5</v>
      </c>
      <c r="N316" s="355">
        <f t="shared" si="4"/>
        <v>-3.1249999999999889E-2</v>
      </c>
      <c r="O316" s="355">
        <f t="shared" si="4"/>
        <v>0</v>
      </c>
      <c r="P316" s="355">
        <f t="shared" si="4"/>
        <v>0</v>
      </c>
    </row>
    <row r="317" spans="2:16" x14ac:dyDescent="0.2">
      <c r="B317" s="351" t="s">
        <v>1739</v>
      </c>
      <c r="C317" s="351" t="s">
        <v>1753</v>
      </c>
      <c r="D317" s="351" t="s">
        <v>1755</v>
      </c>
      <c r="E317" s="351">
        <v>1</v>
      </c>
      <c r="F317" s="351">
        <v>0.93</v>
      </c>
      <c r="G317" s="354">
        <v>1</v>
      </c>
      <c r="H317" s="354">
        <v>2.4</v>
      </c>
      <c r="J317" s="351">
        <v>0.96</v>
      </c>
      <c r="K317" s="354">
        <v>1</v>
      </c>
      <c r="L317" s="354">
        <v>2.5</v>
      </c>
      <c r="N317" s="355">
        <f t="shared" si="4"/>
        <v>-3.1249999999999889E-2</v>
      </c>
      <c r="O317" s="355">
        <f t="shared" si="4"/>
        <v>0</v>
      </c>
      <c r="P317" s="355">
        <f t="shared" si="4"/>
        <v>-4.0000000000000036E-2</v>
      </c>
    </row>
    <row r="318" spans="2:16" x14ac:dyDescent="0.2">
      <c r="B318" s="351" t="s">
        <v>1739</v>
      </c>
      <c r="C318" s="351" t="s">
        <v>1753</v>
      </c>
      <c r="D318" s="351" t="s">
        <v>1755</v>
      </c>
      <c r="E318" s="351">
        <v>2</v>
      </c>
      <c r="F318" s="351">
        <v>0.93</v>
      </c>
      <c r="G318" s="354">
        <v>1</v>
      </c>
      <c r="H318" s="354">
        <v>2.2999999999999998</v>
      </c>
      <c r="J318" s="351">
        <v>0.96</v>
      </c>
      <c r="K318" s="354">
        <v>1</v>
      </c>
      <c r="L318" s="354">
        <v>2.5</v>
      </c>
      <c r="N318" s="355">
        <f t="shared" si="4"/>
        <v>-3.1249999999999889E-2</v>
      </c>
      <c r="O318" s="355">
        <f t="shared" si="4"/>
        <v>0</v>
      </c>
      <c r="P318" s="355">
        <f t="shared" si="4"/>
        <v>-8.0000000000000071E-2</v>
      </c>
    </row>
    <row r="319" spans="2:16" x14ac:dyDescent="0.2">
      <c r="B319" s="351" t="s">
        <v>1739</v>
      </c>
      <c r="C319" s="351" t="s">
        <v>1753</v>
      </c>
      <c r="D319" s="351" t="s">
        <v>1755</v>
      </c>
      <c r="E319" s="351">
        <v>3</v>
      </c>
      <c r="F319" s="351">
        <v>0.93</v>
      </c>
      <c r="G319" s="354">
        <v>1</v>
      </c>
      <c r="H319" s="354">
        <v>2.2000000000000002</v>
      </c>
      <c r="J319" s="351">
        <v>0.96</v>
      </c>
      <c r="K319" s="354">
        <v>1</v>
      </c>
      <c r="L319" s="354">
        <v>2.5</v>
      </c>
      <c r="N319" s="355">
        <f t="shared" si="4"/>
        <v>-3.1249999999999889E-2</v>
      </c>
      <c r="O319" s="355">
        <f t="shared" si="4"/>
        <v>0</v>
      </c>
      <c r="P319" s="355">
        <f t="shared" si="4"/>
        <v>-0.11999999999999988</v>
      </c>
    </row>
    <row r="320" spans="2:16" x14ac:dyDescent="0.2">
      <c r="B320" s="351" t="s">
        <v>1739</v>
      </c>
      <c r="C320" s="351" t="s">
        <v>1753</v>
      </c>
      <c r="D320" s="351" t="s">
        <v>1755</v>
      </c>
      <c r="E320" s="351">
        <v>4</v>
      </c>
      <c r="F320" s="351">
        <v>0.93</v>
      </c>
      <c r="G320" s="354">
        <v>1</v>
      </c>
      <c r="H320" s="354">
        <v>2.15</v>
      </c>
      <c r="J320" s="351">
        <v>0.96</v>
      </c>
      <c r="K320" s="354">
        <v>1</v>
      </c>
      <c r="L320" s="354">
        <v>2.4</v>
      </c>
      <c r="N320" s="355">
        <f t="shared" si="4"/>
        <v>-3.1249999999999889E-2</v>
      </c>
      <c r="O320" s="355">
        <f t="shared" si="4"/>
        <v>0</v>
      </c>
      <c r="P320" s="355">
        <f t="shared" si="4"/>
        <v>-0.10416666666666663</v>
      </c>
    </row>
    <row r="321" spans="2:16" x14ac:dyDescent="0.2">
      <c r="B321" s="351" t="s">
        <v>1739</v>
      </c>
      <c r="C321" s="351" t="s">
        <v>1753</v>
      </c>
      <c r="D321" s="351" t="s">
        <v>1755</v>
      </c>
      <c r="E321" s="351">
        <v>5</v>
      </c>
      <c r="F321" s="351">
        <v>0.93</v>
      </c>
      <c r="G321" s="354">
        <v>1</v>
      </c>
      <c r="H321" s="354">
        <v>2.1</v>
      </c>
      <c r="J321" s="351">
        <v>0.96</v>
      </c>
      <c r="K321" s="354">
        <v>1</v>
      </c>
      <c r="L321" s="354">
        <v>2.2999999999999998</v>
      </c>
      <c r="N321" s="355">
        <f t="shared" si="4"/>
        <v>-3.1249999999999889E-2</v>
      </c>
      <c r="O321" s="355">
        <f t="shared" si="4"/>
        <v>0</v>
      </c>
      <c r="P321" s="355">
        <f t="shared" si="4"/>
        <v>-8.6956521739130377E-2</v>
      </c>
    </row>
    <row r="322" spans="2:16" x14ac:dyDescent="0.2">
      <c r="B322" s="351" t="s">
        <v>1739</v>
      </c>
      <c r="C322" s="351" t="s">
        <v>1753</v>
      </c>
      <c r="D322" s="351" t="s">
        <v>1755</v>
      </c>
      <c r="E322" s="351">
        <v>6</v>
      </c>
      <c r="F322" s="351">
        <v>0.93</v>
      </c>
      <c r="G322" s="354">
        <v>1</v>
      </c>
      <c r="H322" s="354">
        <v>2.0499999999999998</v>
      </c>
      <c r="J322" s="351">
        <v>0.96</v>
      </c>
      <c r="K322" s="354">
        <v>1</v>
      </c>
      <c r="L322" s="354">
        <v>2.2000000000000002</v>
      </c>
      <c r="N322" s="355">
        <f t="shared" si="4"/>
        <v>-3.1249999999999889E-2</v>
      </c>
      <c r="O322" s="355">
        <f t="shared" si="4"/>
        <v>0</v>
      </c>
      <c r="P322" s="355">
        <f t="shared" si="4"/>
        <v>-6.8181818181818343E-2</v>
      </c>
    </row>
    <row r="323" spans="2:16" x14ac:dyDescent="0.2">
      <c r="B323" s="351" t="s">
        <v>1739</v>
      </c>
      <c r="C323" s="351" t="s">
        <v>1753</v>
      </c>
      <c r="D323" s="351" t="s">
        <v>1755</v>
      </c>
      <c r="E323" s="351">
        <v>7</v>
      </c>
      <c r="F323" s="351">
        <v>0.93</v>
      </c>
      <c r="G323" s="354">
        <v>1</v>
      </c>
      <c r="H323" s="354">
        <v>2</v>
      </c>
      <c r="J323" s="351">
        <v>0.96</v>
      </c>
      <c r="K323" s="354">
        <v>1</v>
      </c>
      <c r="L323" s="354">
        <v>2.1</v>
      </c>
      <c r="N323" s="355">
        <f t="shared" si="4"/>
        <v>-3.1249999999999889E-2</v>
      </c>
      <c r="O323" s="355">
        <f t="shared" si="4"/>
        <v>0</v>
      </c>
      <c r="P323" s="355">
        <f t="shared" si="4"/>
        <v>-4.7619047619047672E-2</v>
      </c>
    </row>
    <row r="324" spans="2:16" x14ac:dyDescent="0.2">
      <c r="B324" s="351" t="s">
        <v>1739</v>
      </c>
      <c r="C324" s="351" t="s">
        <v>1753</v>
      </c>
      <c r="D324" s="351" t="s">
        <v>1755</v>
      </c>
      <c r="E324" s="351">
        <v>8</v>
      </c>
      <c r="F324" s="351">
        <v>0.93</v>
      </c>
      <c r="G324" s="354">
        <v>1</v>
      </c>
      <c r="H324" s="354">
        <v>1.95</v>
      </c>
      <c r="J324" s="351">
        <v>0.96</v>
      </c>
      <c r="K324" s="354">
        <v>1</v>
      </c>
      <c r="L324" s="354">
        <v>2.0499999999999998</v>
      </c>
      <c r="N324" s="355">
        <f t="shared" si="4"/>
        <v>-3.1249999999999889E-2</v>
      </c>
      <c r="O324" s="355">
        <f t="shared" si="4"/>
        <v>0</v>
      </c>
      <c r="P324" s="355">
        <f t="shared" si="4"/>
        <v>-4.8780487804877981E-2</v>
      </c>
    </row>
    <row r="325" spans="2:16" x14ac:dyDescent="0.2">
      <c r="B325" s="351" t="s">
        <v>1739</v>
      </c>
      <c r="C325" s="351" t="s">
        <v>1753</v>
      </c>
      <c r="D325" s="351" t="s">
        <v>1755</v>
      </c>
      <c r="E325" s="351">
        <v>9</v>
      </c>
      <c r="F325" s="351">
        <v>0.93</v>
      </c>
      <c r="G325" s="354">
        <v>1</v>
      </c>
      <c r="H325" s="354">
        <v>1.9</v>
      </c>
      <c r="J325" s="351">
        <v>0.96</v>
      </c>
      <c r="K325" s="354">
        <v>1</v>
      </c>
      <c r="L325" s="354">
        <v>2</v>
      </c>
      <c r="N325" s="355">
        <f t="shared" si="4"/>
        <v>-3.1249999999999889E-2</v>
      </c>
      <c r="O325" s="355">
        <f t="shared" si="4"/>
        <v>0</v>
      </c>
      <c r="P325" s="355">
        <f t="shared" si="4"/>
        <v>-5.0000000000000044E-2</v>
      </c>
    </row>
    <row r="326" spans="2:16" x14ac:dyDescent="0.2">
      <c r="B326" s="351" t="s">
        <v>1739</v>
      </c>
      <c r="C326" s="351" t="s">
        <v>1753</v>
      </c>
      <c r="D326" s="351" t="s">
        <v>1755</v>
      </c>
      <c r="E326" s="351">
        <v>10</v>
      </c>
      <c r="F326" s="351">
        <v>0.93</v>
      </c>
      <c r="G326" s="354">
        <v>1</v>
      </c>
      <c r="H326" s="354">
        <v>1.85</v>
      </c>
      <c r="J326" s="351">
        <v>0.96</v>
      </c>
      <c r="K326" s="354">
        <v>1</v>
      </c>
      <c r="L326" s="354">
        <v>1.9</v>
      </c>
      <c r="N326" s="355">
        <f t="shared" si="4"/>
        <v>-3.1249999999999889E-2</v>
      </c>
      <c r="O326" s="355">
        <f t="shared" si="4"/>
        <v>0</v>
      </c>
      <c r="P326" s="355">
        <f t="shared" si="4"/>
        <v>-2.631578947368407E-2</v>
      </c>
    </row>
    <row r="327" spans="2:16" x14ac:dyDescent="0.2">
      <c r="B327" s="351" t="s">
        <v>1739</v>
      </c>
      <c r="C327" s="351" t="s">
        <v>1753</v>
      </c>
      <c r="D327" s="351" t="s">
        <v>1755</v>
      </c>
      <c r="E327" s="351">
        <v>11</v>
      </c>
      <c r="F327" s="351">
        <v>0.93</v>
      </c>
      <c r="G327" s="354">
        <v>1</v>
      </c>
      <c r="H327" s="354">
        <v>1.8</v>
      </c>
      <c r="J327" s="351">
        <v>0.96</v>
      </c>
      <c r="K327" s="354">
        <v>1</v>
      </c>
      <c r="L327" s="354">
        <v>1.85</v>
      </c>
      <c r="N327" s="355">
        <f t="shared" si="4"/>
        <v>-3.1249999999999889E-2</v>
      </c>
      <c r="O327" s="355">
        <f t="shared" si="4"/>
        <v>0</v>
      </c>
      <c r="P327" s="355">
        <f t="shared" si="4"/>
        <v>-2.7027027027027084E-2</v>
      </c>
    </row>
    <row r="328" spans="2:16" x14ac:dyDescent="0.2">
      <c r="B328" s="351" t="s">
        <v>1739</v>
      </c>
      <c r="C328" s="351" t="s">
        <v>1753</v>
      </c>
      <c r="D328" s="351" t="s">
        <v>1755</v>
      </c>
      <c r="E328" s="351">
        <v>12</v>
      </c>
      <c r="F328" s="351">
        <v>0.93</v>
      </c>
      <c r="G328" s="354">
        <v>1</v>
      </c>
      <c r="H328" s="354">
        <v>1.76</v>
      </c>
      <c r="J328" s="351">
        <v>0.96</v>
      </c>
      <c r="K328" s="354">
        <v>1</v>
      </c>
      <c r="L328" s="354">
        <v>1.8</v>
      </c>
      <c r="N328" s="355">
        <f t="shared" si="4"/>
        <v>-3.1249999999999889E-2</v>
      </c>
      <c r="O328" s="355">
        <f t="shared" si="4"/>
        <v>0</v>
      </c>
      <c r="P328" s="355">
        <f t="shared" si="4"/>
        <v>-2.2222222222222254E-2</v>
      </c>
    </row>
    <row r="329" spans="2:16" x14ac:dyDescent="0.2">
      <c r="B329" s="351" t="s">
        <v>1739</v>
      </c>
      <c r="C329" s="351" t="s">
        <v>1753</v>
      </c>
      <c r="D329" s="351" t="s">
        <v>1755</v>
      </c>
      <c r="E329" s="351">
        <v>13</v>
      </c>
      <c r="F329" s="351">
        <v>0.93</v>
      </c>
      <c r="G329" s="354">
        <v>1</v>
      </c>
      <c r="H329" s="354">
        <v>1.72</v>
      </c>
      <c r="J329" s="351">
        <v>0.96</v>
      </c>
      <c r="K329" s="354">
        <v>1</v>
      </c>
      <c r="L329" s="354">
        <v>1.76</v>
      </c>
      <c r="N329" s="355">
        <f t="shared" si="4"/>
        <v>-3.1249999999999889E-2</v>
      </c>
      <c r="O329" s="355">
        <f t="shared" si="4"/>
        <v>0</v>
      </c>
      <c r="P329" s="355">
        <f t="shared" si="4"/>
        <v>-2.2727272727272707E-2</v>
      </c>
    </row>
    <row r="330" spans="2:16" x14ac:dyDescent="0.2">
      <c r="B330" s="351" t="s">
        <v>1739</v>
      </c>
      <c r="C330" s="351" t="s">
        <v>1753</v>
      </c>
      <c r="D330" s="351" t="s">
        <v>1755</v>
      </c>
      <c r="E330" s="351">
        <v>14</v>
      </c>
      <c r="F330" s="351">
        <v>0.93</v>
      </c>
      <c r="G330" s="354">
        <v>1</v>
      </c>
      <c r="H330" s="354">
        <v>1.68</v>
      </c>
      <c r="J330" s="351">
        <v>0.96</v>
      </c>
      <c r="K330" s="354">
        <v>1</v>
      </c>
      <c r="L330" s="354">
        <v>1.72</v>
      </c>
      <c r="N330" s="355">
        <f t="shared" si="4"/>
        <v>-3.1249999999999889E-2</v>
      </c>
      <c r="O330" s="355">
        <f t="shared" si="4"/>
        <v>0</v>
      </c>
      <c r="P330" s="355">
        <f t="shared" si="4"/>
        <v>-2.3255813953488413E-2</v>
      </c>
    </row>
    <row r="331" spans="2:16" x14ac:dyDescent="0.2">
      <c r="B331" s="351" t="s">
        <v>1739</v>
      </c>
      <c r="C331" s="351" t="s">
        <v>1753</v>
      </c>
      <c r="D331" s="351" t="s">
        <v>1755</v>
      </c>
      <c r="E331" s="351">
        <v>15</v>
      </c>
      <c r="F331" s="351">
        <v>0.93</v>
      </c>
      <c r="G331" s="354">
        <v>1</v>
      </c>
      <c r="H331" s="354">
        <v>1.64</v>
      </c>
      <c r="J331" s="351">
        <v>0.96</v>
      </c>
      <c r="K331" s="354">
        <v>1</v>
      </c>
      <c r="L331" s="354">
        <v>1.68</v>
      </c>
      <c r="N331" s="355">
        <f t="shared" si="4"/>
        <v>-3.1249999999999889E-2</v>
      </c>
      <c r="O331" s="355">
        <f t="shared" si="4"/>
        <v>0</v>
      </c>
      <c r="P331" s="355">
        <f t="shared" si="4"/>
        <v>-2.3809523809523836E-2</v>
      </c>
    </row>
    <row r="332" spans="2:16" x14ac:dyDescent="0.2">
      <c r="B332" s="351" t="s">
        <v>1739</v>
      </c>
      <c r="C332" s="351" t="s">
        <v>1753</v>
      </c>
      <c r="D332" s="351" t="s">
        <v>1755</v>
      </c>
      <c r="E332" s="351">
        <v>16</v>
      </c>
      <c r="F332" s="351">
        <v>0.93</v>
      </c>
      <c r="G332" s="354">
        <v>1</v>
      </c>
      <c r="H332" s="354">
        <v>1.61</v>
      </c>
      <c r="J332" s="351">
        <v>0.96</v>
      </c>
      <c r="K332" s="354">
        <v>1</v>
      </c>
      <c r="L332" s="354">
        <v>1.64</v>
      </c>
      <c r="N332" s="355">
        <f t="shared" si="4"/>
        <v>-3.1249999999999889E-2</v>
      </c>
      <c r="O332" s="355">
        <f t="shared" si="4"/>
        <v>0</v>
      </c>
      <c r="P332" s="355">
        <f t="shared" si="4"/>
        <v>-1.8292682926829174E-2</v>
      </c>
    </row>
    <row r="333" spans="2:16" x14ac:dyDescent="0.2">
      <c r="B333" s="351" t="s">
        <v>1739</v>
      </c>
      <c r="C333" s="351" t="s">
        <v>1753</v>
      </c>
      <c r="D333" s="351" t="s">
        <v>1755</v>
      </c>
      <c r="E333" s="351">
        <v>17</v>
      </c>
      <c r="F333" s="351">
        <v>0.93</v>
      </c>
      <c r="G333" s="354">
        <v>1</v>
      </c>
      <c r="H333" s="354">
        <v>1.58</v>
      </c>
      <c r="J333" s="351">
        <v>0.96</v>
      </c>
      <c r="K333" s="354">
        <v>1</v>
      </c>
      <c r="L333" s="354">
        <v>1.61</v>
      </c>
      <c r="N333" s="355">
        <f t="shared" ref="N333:P396" si="5">F333/J333-1</f>
        <v>-3.1249999999999889E-2</v>
      </c>
      <c r="O333" s="355">
        <f t="shared" si="5"/>
        <v>0</v>
      </c>
      <c r="P333" s="355">
        <f t="shared" si="5"/>
        <v>-1.8633540372670843E-2</v>
      </c>
    </row>
    <row r="334" spans="2:16" x14ac:dyDescent="0.2">
      <c r="B334" s="351" t="s">
        <v>1739</v>
      </c>
      <c r="C334" s="351" t="s">
        <v>1753</v>
      </c>
      <c r="D334" s="351" t="s">
        <v>1755</v>
      </c>
      <c r="E334" s="351">
        <v>18</v>
      </c>
      <c r="F334" s="351">
        <v>0.93</v>
      </c>
      <c r="G334" s="354">
        <v>1</v>
      </c>
      <c r="H334" s="354">
        <v>1.55</v>
      </c>
      <c r="J334" s="351">
        <v>0.96</v>
      </c>
      <c r="K334" s="354">
        <v>1</v>
      </c>
      <c r="L334" s="354">
        <v>1.58</v>
      </c>
      <c r="N334" s="355">
        <f t="shared" si="5"/>
        <v>-3.1249999999999889E-2</v>
      </c>
      <c r="O334" s="355">
        <f t="shared" si="5"/>
        <v>0</v>
      </c>
      <c r="P334" s="355">
        <f t="shared" si="5"/>
        <v>-1.8987341772151889E-2</v>
      </c>
    </row>
    <row r="335" spans="2:16" x14ac:dyDescent="0.2">
      <c r="B335" s="351" t="s">
        <v>1739</v>
      </c>
      <c r="C335" s="351" t="s">
        <v>1753</v>
      </c>
      <c r="D335" s="351" t="s">
        <v>1755</v>
      </c>
      <c r="E335" s="351">
        <v>19</v>
      </c>
      <c r="F335" s="351">
        <v>0.93</v>
      </c>
      <c r="G335" s="354">
        <v>1</v>
      </c>
      <c r="H335" s="354">
        <v>1.52</v>
      </c>
      <c r="J335" s="351">
        <v>0.96</v>
      </c>
      <c r="K335" s="354">
        <v>1</v>
      </c>
      <c r="L335" s="354">
        <v>1.55</v>
      </c>
      <c r="N335" s="355">
        <f t="shared" si="5"/>
        <v>-3.1249999999999889E-2</v>
      </c>
      <c r="O335" s="355">
        <f t="shared" si="5"/>
        <v>0</v>
      </c>
      <c r="P335" s="355">
        <f t="shared" si="5"/>
        <v>-1.9354838709677469E-2</v>
      </c>
    </row>
    <row r="336" spans="2:16" x14ac:dyDescent="0.2">
      <c r="B336" s="351" t="s">
        <v>1739</v>
      </c>
      <c r="C336" s="351" t="s">
        <v>1753</v>
      </c>
      <c r="D336" s="351" t="s">
        <v>1755</v>
      </c>
      <c r="E336" s="351">
        <v>20</v>
      </c>
      <c r="F336" s="351">
        <v>0.93</v>
      </c>
      <c r="G336" s="354">
        <v>1</v>
      </c>
      <c r="H336" s="354">
        <v>1.49</v>
      </c>
      <c r="J336" s="351">
        <v>0.96</v>
      </c>
      <c r="K336" s="354">
        <v>1</v>
      </c>
      <c r="L336" s="354">
        <v>1.52</v>
      </c>
      <c r="N336" s="355">
        <f t="shared" si="5"/>
        <v>-3.1249999999999889E-2</v>
      </c>
      <c r="O336" s="355">
        <f t="shared" si="5"/>
        <v>0</v>
      </c>
      <c r="P336" s="355">
        <f t="shared" si="5"/>
        <v>-1.9736842105263164E-2</v>
      </c>
    </row>
    <row r="337" spans="2:16" x14ac:dyDescent="0.2">
      <c r="B337" s="351" t="s">
        <v>1739</v>
      </c>
      <c r="C337" s="351" t="s">
        <v>1753</v>
      </c>
      <c r="D337" s="351" t="s">
        <v>1755</v>
      </c>
      <c r="E337" s="351">
        <v>21</v>
      </c>
      <c r="F337" s="351">
        <v>0.93</v>
      </c>
      <c r="G337" s="354">
        <v>1</v>
      </c>
      <c r="H337" s="354">
        <v>1.46</v>
      </c>
      <c r="J337" s="351">
        <v>0.96</v>
      </c>
      <c r="K337" s="354">
        <v>1</v>
      </c>
      <c r="L337" s="354">
        <v>1.49</v>
      </c>
      <c r="N337" s="355">
        <f t="shared" si="5"/>
        <v>-3.1249999999999889E-2</v>
      </c>
      <c r="O337" s="355">
        <f t="shared" si="5"/>
        <v>0</v>
      </c>
      <c r="P337" s="355">
        <f t="shared" si="5"/>
        <v>-2.0134228187919434E-2</v>
      </c>
    </row>
    <row r="338" spans="2:16" x14ac:dyDescent="0.2">
      <c r="B338" s="351" t="s">
        <v>1739</v>
      </c>
      <c r="C338" s="351" t="s">
        <v>1753</v>
      </c>
      <c r="D338" s="351" t="s">
        <v>1755</v>
      </c>
      <c r="E338" s="351">
        <v>22</v>
      </c>
      <c r="F338" s="351">
        <v>0.93</v>
      </c>
      <c r="G338" s="354">
        <v>1</v>
      </c>
      <c r="H338" s="354">
        <v>1.43</v>
      </c>
      <c r="J338" s="351">
        <v>0.96</v>
      </c>
      <c r="K338" s="354">
        <v>1</v>
      </c>
      <c r="L338" s="354">
        <v>1.46</v>
      </c>
      <c r="N338" s="355">
        <f t="shared" si="5"/>
        <v>-3.1249999999999889E-2</v>
      </c>
      <c r="O338" s="355">
        <f t="shared" si="5"/>
        <v>0</v>
      </c>
      <c r="P338" s="355">
        <f t="shared" si="5"/>
        <v>-2.0547945205479423E-2</v>
      </c>
    </row>
    <row r="339" spans="2:16" x14ac:dyDescent="0.2">
      <c r="B339" s="351" t="s">
        <v>1739</v>
      </c>
      <c r="C339" s="351" t="s">
        <v>1753</v>
      </c>
      <c r="D339" s="351" t="s">
        <v>1755</v>
      </c>
      <c r="E339" s="351">
        <v>23</v>
      </c>
      <c r="F339" s="351">
        <v>0.93</v>
      </c>
      <c r="G339" s="354">
        <v>1</v>
      </c>
      <c r="H339" s="354">
        <v>1.4</v>
      </c>
      <c r="J339" s="351">
        <v>0.96</v>
      </c>
      <c r="K339" s="354">
        <v>1</v>
      </c>
      <c r="L339" s="354">
        <v>1.43</v>
      </c>
      <c r="N339" s="355">
        <f t="shared" si="5"/>
        <v>-3.1249999999999889E-2</v>
      </c>
      <c r="O339" s="355">
        <f t="shared" si="5"/>
        <v>0</v>
      </c>
      <c r="P339" s="355">
        <f t="shared" si="5"/>
        <v>-2.0979020979021046E-2</v>
      </c>
    </row>
    <row r="340" spans="2:16" x14ac:dyDescent="0.2">
      <c r="B340" s="351" t="s">
        <v>1739</v>
      </c>
      <c r="C340" s="351" t="s">
        <v>1753</v>
      </c>
      <c r="D340" s="351" t="s">
        <v>1755</v>
      </c>
      <c r="E340" s="351">
        <v>24</v>
      </c>
      <c r="F340" s="351">
        <v>0.93</v>
      </c>
      <c r="G340" s="354">
        <v>1</v>
      </c>
      <c r="H340" s="354">
        <v>1.38</v>
      </c>
      <c r="J340" s="351">
        <v>0.96</v>
      </c>
      <c r="K340" s="354">
        <v>1</v>
      </c>
      <c r="L340" s="354">
        <v>1.4</v>
      </c>
      <c r="N340" s="355">
        <f t="shared" si="5"/>
        <v>-3.1249999999999889E-2</v>
      </c>
      <c r="O340" s="355">
        <f t="shared" si="5"/>
        <v>0</v>
      </c>
      <c r="P340" s="355">
        <f t="shared" si="5"/>
        <v>-1.4285714285714346E-2</v>
      </c>
    </row>
    <row r="341" spans="2:16" x14ac:dyDescent="0.2">
      <c r="B341" s="351" t="s">
        <v>1739</v>
      </c>
      <c r="C341" s="351" t="s">
        <v>1753</v>
      </c>
      <c r="D341" s="351" t="s">
        <v>1755</v>
      </c>
      <c r="E341" s="351">
        <v>25</v>
      </c>
      <c r="F341" s="351">
        <v>0.93</v>
      </c>
      <c r="G341" s="354">
        <v>1</v>
      </c>
      <c r="H341" s="354">
        <v>1.36</v>
      </c>
      <c r="J341" s="351">
        <v>0.96</v>
      </c>
      <c r="K341" s="354">
        <v>1</v>
      </c>
      <c r="L341" s="354">
        <v>1.38</v>
      </c>
      <c r="N341" s="355">
        <f t="shared" si="5"/>
        <v>-3.1249999999999889E-2</v>
      </c>
      <c r="O341" s="355">
        <f t="shared" si="5"/>
        <v>0</v>
      </c>
      <c r="P341" s="355">
        <f t="shared" si="5"/>
        <v>-1.4492753623188248E-2</v>
      </c>
    </row>
    <row r="342" spans="2:16" x14ac:dyDescent="0.2">
      <c r="B342" s="351" t="s">
        <v>1739</v>
      </c>
      <c r="C342" s="351" t="s">
        <v>1753</v>
      </c>
      <c r="D342" s="351" t="s">
        <v>1755</v>
      </c>
      <c r="E342" s="351">
        <v>26</v>
      </c>
      <c r="F342" s="351">
        <v>0.93</v>
      </c>
      <c r="G342" s="354">
        <v>1</v>
      </c>
      <c r="H342" s="354">
        <v>1.34</v>
      </c>
      <c r="J342" s="351">
        <v>0.96</v>
      </c>
      <c r="K342" s="354">
        <v>1</v>
      </c>
      <c r="L342" s="354">
        <v>1.36</v>
      </c>
      <c r="N342" s="355">
        <f t="shared" si="5"/>
        <v>-3.1249999999999889E-2</v>
      </c>
      <c r="O342" s="355">
        <f t="shared" si="5"/>
        <v>0</v>
      </c>
      <c r="P342" s="355">
        <f t="shared" si="5"/>
        <v>-1.4705882352941235E-2</v>
      </c>
    </row>
    <row r="343" spans="2:16" x14ac:dyDescent="0.2">
      <c r="B343" s="351" t="s">
        <v>1739</v>
      </c>
      <c r="C343" s="351" t="s">
        <v>1753</v>
      </c>
      <c r="D343" s="351" t="s">
        <v>1755</v>
      </c>
      <c r="E343" s="351">
        <v>27</v>
      </c>
      <c r="F343" s="351">
        <v>0.93</v>
      </c>
      <c r="G343" s="354">
        <v>1</v>
      </c>
      <c r="H343" s="354">
        <v>1.32</v>
      </c>
      <c r="J343" s="351">
        <v>0.96</v>
      </c>
      <c r="K343" s="354">
        <v>1</v>
      </c>
      <c r="L343" s="354">
        <v>1.34</v>
      </c>
      <c r="N343" s="355">
        <f t="shared" si="5"/>
        <v>-3.1249999999999889E-2</v>
      </c>
      <c r="O343" s="355">
        <f t="shared" si="5"/>
        <v>0</v>
      </c>
      <c r="P343" s="355">
        <f t="shared" si="5"/>
        <v>-1.4925373134328401E-2</v>
      </c>
    </row>
    <row r="344" spans="2:16" x14ac:dyDescent="0.2">
      <c r="B344" s="351" t="s">
        <v>1739</v>
      </c>
      <c r="C344" s="351" t="s">
        <v>1753</v>
      </c>
      <c r="D344" s="351" t="s">
        <v>1755</v>
      </c>
      <c r="E344" s="351">
        <v>28</v>
      </c>
      <c r="F344" s="351">
        <v>0.93</v>
      </c>
      <c r="G344" s="354">
        <v>1</v>
      </c>
      <c r="H344" s="354">
        <v>1.3</v>
      </c>
      <c r="J344" s="351">
        <v>0.96</v>
      </c>
      <c r="K344" s="354">
        <v>1</v>
      </c>
      <c r="L344" s="354">
        <v>1.32</v>
      </c>
      <c r="N344" s="355">
        <f t="shared" si="5"/>
        <v>-3.1249999999999889E-2</v>
      </c>
      <c r="O344" s="355">
        <f t="shared" si="5"/>
        <v>0</v>
      </c>
      <c r="P344" s="355">
        <f t="shared" si="5"/>
        <v>-1.5151515151515138E-2</v>
      </c>
    </row>
    <row r="345" spans="2:16" x14ac:dyDescent="0.2">
      <c r="B345" s="351" t="s">
        <v>1739</v>
      </c>
      <c r="C345" s="351" t="s">
        <v>1753</v>
      </c>
      <c r="D345" s="351" t="s">
        <v>1755</v>
      </c>
      <c r="E345" s="351">
        <v>29</v>
      </c>
      <c r="F345" s="351">
        <v>0.93</v>
      </c>
      <c r="G345" s="354">
        <v>1</v>
      </c>
      <c r="H345" s="354">
        <v>1.28</v>
      </c>
      <c r="J345" s="351">
        <v>0.96</v>
      </c>
      <c r="K345" s="354">
        <v>1</v>
      </c>
      <c r="L345" s="354">
        <v>1.3</v>
      </c>
      <c r="N345" s="355">
        <f t="shared" si="5"/>
        <v>-3.1249999999999889E-2</v>
      </c>
      <c r="O345" s="355">
        <f t="shared" si="5"/>
        <v>0</v>
      </c>
      <c r="P345" s="355">
        <f t="shared" si="5"/>
        <v>-1.5384615384615441E-2</v>
      </c>
    </row>
    <row r="346" spans="2:16" x14ac:dyDescent="0.2">
      <c r="B346" s="351" t="s">
        <v>1739</v>
      </c>
      <c r="C346" s="351" t="s">
        <v>1753</v>
      </c>
      <c r="D346" s="351" t="s">
        <v>1755</v>
      </c>
      <c r="E346" s="351">
        <v>30</v>
      </c>
      <c r="F346" s="351">
        <v>0.93</v>
      </c>
      <c r="G346" s="354">
        <v>1</v>
      </c>
      <c r="H346" s="354">
        <v>1.27</v>
      </c>
      <c r="J346" s="351">
        <v>0.96</v>
      </c>
      <c r="K346" s="354">
        <v>1</v>
      </c>
      <c r="L346" s="354">
        <v>1.28</v>
      </c>
      <c r="N346" s="355">
        <f t="shared" si="5"/>
        <v>-3.1249999999999889E-2</v>
      </c>
      <c r="O346" s="355">
        <f t="shared" si="5"/>
        <v>0</v>
      </c>
      <c r="P346" s="355">
        <f t="shared" si="5"/>
        <v>-7.8125E-3</v>
      </c>
    </row>
    <row r="347" spans="2:16" x14ac:dyDescent="0.2">
      <c r="B347" s="351" t="s">
        <v>1739</v>
      </c>
      <c r="C347" s="351" t="s">
        <v>1753</v>
      </c>
      <c r="D347" s="351" t="s">
        <v>1755</v>
      </c>
      <c r="E347" s="351">
        <v>31</v>
      </c>
      <c r="F347" s="351">
        <v>0.93</v>
      </c>
      <c r="G347" s="354">
        <v>1</v>
      </c>
      <c r="H347" s="354">
        <v>1.26</v>
      </c>
      <c r="J347" s="351">
        <v>0.96</v>
      </c>
      <c r="K347" s="354">
        <v>1</v>
      </c>
      <c r="L347" s="354">
        <v>1.27</v>
      </c>
      <c r="N347" s="355">
        <f t="shared" si="5"/>
        <v>-3.1249999999999889E-2</v>
      </c>
      <c r="O347" s="355">
        <f t="shared" si="5"/>
        <v>0</v>
      </c>
      <c r="P347" s="355">
        <f t="shared" si="5"/>
        <v>-7.8740157480314821E-3</v>
      </c>
    </row>
    <row r="348" spans="2:16" x14ac:dyDescent="0.2">
      <c r="B348" s="351" t="s">
        <v>1739</v>
      </c>
      <c r="C348" s="351" t="s">
        <v>1753</v>
      </c>
      <c r="D348" s="351" t="s">
        <v>1755</v>
      </c>
      <c r="E348" s="351">
        <v>32</v>
      </c>
      <c r="F348" s="351">
        <v>0.93</v>
      </c>
      <c r="G348" s="354">
        <v>1</v>
      </c>
      <c r="H348" s="354">
        <v>1.25</v>
      </c>
      <c r="J348" s="351">
        <v>0.96</v>
      </c>
      <c r="K348" s="354">
        <v>1</v>
      </c>
      <c r="L348" s="354">
        <v>1.26</v>
      </c>
      <c r="N348" s="355">
        <f t="shared" si="5"/>
        <v>-3.1249999999999889E-2</v>
      </c>
      <c r="O348" s="355">
        <f t="shared" si="5"/>
        <v>0</v>
      </c>
      <c r="P348" s="355">
        <f t="shared" si="5"/>
        <v>-7.9365079365079083E-3</v>
      </c>
    </row>
    <row r="349" spans="2:16" x14ac:dyDescent="0.2">
      <c r="B349" s="351" t="s">
        <v>1739</v>
      </c>
      <c r="C349" s="351" t="s">
        <v>1753</v>
      </c>
      <c r="D349" s="351" t="s">
        <v>1755</v>
      </c>
      <c r="E349" s="351">
        <v>33</v>
      </c>
      <c r="F349" s="351">
        <v>0.93</v>
      </c>
      <c r="G349" s="354">
        <v>1</v>
      </c>
      <c r="H349" s="354">
        <v>1.24</v>
      </c>
      <c r="J349" s="351">
        <v>0.96</v>
      </c>
      <c r="K349" s="354">
        <v>1</v>
      </c>
      <c r="L349" s="354">
        <v>1.25</v>
      </c>
      <c r="N349" s="355">
        <f t="shared" si="5"/>
        <v>-3.1249999999999889E-2</v>
      </c>
      <c r="O349" s="355">
        <f t="shared" si="5"/>
        <v>0</v>
      </c>
      <c r="P349" s="355">
        <f t="shared" si="5"/>
        <v>-8.0000000000000071E-3</v>
      </c>
    </row>
    <row r="350" spans="2:16" x14ac:dyDescent="0.2">
      <c r="B350" s="351" t="s">
        <v>1739</v>
      </c>
      <c r="C350" s="351" t="s">
        <v>1753</v>
      </c>
      <c r="D350" s="351" t="s">
        <v>1755</v>
      </c>
      <c r="E350" s="351">
        <v>34</v>
      </c>
      <c r="F350" s="351">
        <v>0.93</v>
      </c>
      <c r="G350" s="354">
        <v>1</v>
      </c>
      <c r="H350" s="354">
        <v>1.23</v>
      </c>
      <c r="J350" s="351">
        <v>0.96</v>
      </c>
      <c r="K350" s="354">
        <v>1</v>
      </c>
      <c r="L350" s="354">
        <v>1.24</v>
      </c>
      <c r="N350" s="355">
        <f t="shared" si="5"/>
        <v>-3.1249999999999889E-2</v>
      </c>
      <c r="O350" s="355">
        <f t="shared" si="5"/>
        <v>0</v>
      </c>
      <c r="P350" s="355">
        <f t="shared" si="5"/>
        <v>-8.0645161290322509E-3</v>
      </c>
    </row>
    <row r="351" spans="2:16" x14ac:dyDescent="0.2">
      <c r="B351" s="351" t="s">
        <v>1739</v>
      </c>
      <c r="C351" s="351" t="s">
        <v>1753</v>
      </c>
      <c r="D351" s="351" t="s">
        <v>1755</v>
      </c>
      <c r="E351" s="351">
        <v>35</v>
      </c>
      <c r="F351" s="351">
        <v>0.93</v>
      </c>
      <c r="G351" s="354">
        <v>1</v>
      </c>
      <c r="H351" s="354">
        <v>1.22</v>
      </c>
      <c r="J351" s="351">
        <v>0.96</v>
      </c>
      <c r="K351" s="354">
        <v>1</v>
      </c>
      <c r="L351" s="354">
        <v>1.23</v>
      </c>
      <c r="N351" s="355">
        <f t="shared" si="5"/>
        <v>-3.1249999999999889E-2</v>
      </c>
      <c r="O351" s="355">
        <f t="shared" si="5"/>
        <v>0</v>
      </c>
      <c r="P351" s="355">
        <f t="shared" si="5"/>
        <v>-8.1300813008130524E-3</v>
      </c>
    </row>
    <row r="352" spans="2:16" x14ac:dyDescent="0.2">
      <c r="B352" s="351" t="s">
        <v>1739</v>
      </c>
      <c r="C352" s="351" t="s">
        <v>1753</v>
      </c>
      <c r="D352" s="351" t="s">
        <v>1755</v>
      </c>
      <c r="E352" s="351">
        <v>36</v>
      </c>
      <c r="F352" s="351">
        <v>0.93</v>
      </c>
      <c r="G352" s="354">
        <v>1</v>
      </c>
      <c r="H352" s="354">
        <v>1.21</v>
      </c>
      <c r="J352" s="351">
        <v>0.96</v>
      </c>
      <c r="K352" s="354">
        <v>1</v>
      </c>
      <c r="L352" s="354">
        <v>1.22</v>
      </c>
      <c r="N352" s="355">
        <f t="shared" si="5"/>
        <v>-3.1249999999999889E-2</v>
      </c>
      <c r="O352" s="355">
        <f t="shared" si="5"/>
        <v>0</v>
      </c>
      <c r="P352" s="355">
        <f t="shared" si="5"/>
        <v>-8.1967213114754189E-3</v>
      </c>
    </row>
    <row r="353" spans="2:16" x14ac:dyDescent="0.2">
      <c r="B353" s="351" t="s">
        <v>1739</v>
      </c>
      <c r="C353" s="351" t="s">
        <v>1753</v>
      </c>
      <c r="D353" s="351" t="s">
        <v>1755</v>
      </c>
      <c r="E353" s="351">
        <v>37</v>
      </c>
      <c r="F353" s="351">
        <v>0.93</v>
      </c>
      <c r="G353" s="354">
        <v>1</v>
      </c>
      <c r="H353" s="354">
        <v>1.2</v>
      </c>
      <c r="J353" s="351">
        <v>0.96</v>
      </c>
      <c r="K353" s="354">
        <v>1</v>
      </c>
      <c r="L353" s="354">
        <v>1.21</v>
      </c>
      <c r="N353" s="355">
        <f t="shared" si="5"/>
        <v>-3.1249999999999889E-2</v>
      </c>
      <c r="O353" s="355">
        <f t="shared" si="5"/>
        <v>0</v>
      </c>
      <c r="P353" s="355">
        <f t="shared" si="5"/>
        <v>-8.2644628099173278E-3</v>
      </c>
    </row>
    <row r="354" spans="2:16" x14ac:dyDescent="0.2">
      <c r="B354" s="351" t="s">
        <v>1739</v>
      </c>
      <c r="C354" s="351" t="s">
        <v>1753</v>
      </c>
      <c r="D354" s="351" t="s">
        <v>1755</v>
      </c>
      <c r="E354" s="351">
        <v>38</v>
      </c>
      <c r="F354" s="351">
        <v>0.93</v>
      </c>
      <c r="G354" s="354">
        <v>1</v>
      </c>
      <c r="H354" s="354">
        <v>1.19</v>
      </c>
      <c r="J354" s="351">
        <v>0.96</v>
      </c>
      <c r="K354" s="354">
        <v>1</v>
      </c>
      <c r="L354" s="354">
        <v>1.2</v>
      </c>
      <c r="N354" s="355">
        <f t="shared" si="5"/>
        <v>-3.1249999999999889E-2</v>
      </c>
      <c r="O354" s="355">
        <f t="shared" si="5"/>
        <v>0</v>
      </c>
      <c r="P354" s="355">
        <f t="shared" si="5"/>
        <v>-8.3333333333333037E-3</v>
      </c>
    </row>
    <row r="355" spans="2:16" x14ac:dyDescent="0.2">
      <c r="B355" s="351" t="s">
        <v>1739</v>
      </c>
      <c r="C355" s="351" t="s">
        <v>1753</v>
      </c>
      <c r="D355" s="351" t="s">
        <v>1755</v>
      </c>
      <c r="E355" s="351">
        <v>39</v>
      </c>
      <c r="F355" s="351">
        <v>0.93</v>
      </c>
      <c r="G355" s="354">
        <v>1</v>
      </c>
      <c r="H355" s="354">
        <v>1.18</v>
      </c>
      <c r="J355" s="351">
        <v>0.96</v>
      </c>
      <c r="K355" s="354">
        <v>1</v>
      </c>
      <c r="L355" s="354">
        <v>1.19</v>
      </c>
      <c r="N355" s="355">
        <f t="shared" si="5"/>
        <v>-3.1249999999999889E-2</v>
      </c>
      <c r="O355" s="355">
        <f t="shared" si="5"/>
        <v>0</v>
      </c>
      <c r="P355" s="355">
        <f t="shared" si="5"/>
        <v>-8.4033613445377853E-3</v>
      </c>
    </row>
    <row r="356" spans="2:16" x14ac:dyDescent="0.2">
      <c r="B356" s="351" t="s">
        <v>1739</v>
      </c>
      <c r="C356" s="351" t="s">
        <v>1753</v>
      </c>
      <c r="D356" s="351" t="s">
        <v>1755</v>
      </c>
      <c r="E356" s="351">
        <v>40</v>
      </c>
      <c r="F356" s="351">
        <v>0.93</v>
      </c>
      <c r="G356" s="354">
        <v>1</v>
      </c>
      <c r="H356" s="354">
        <v>1.17</v>
      </c>
      <c r="J356" s="351">
        <v>0.96</v>
      </c>
      <c r="K356" s="354">
        <v>1</v>
      </c>
      <c r="L356" s="354">
        <v>1.18</v>
      </c>
      <c r="N356" s="355">
        <f t="shared" si="5"/>
        <v>-3.1249999999999889E-2</v>
      </c>
      <c r="O356" s="355">
        <f t="shared" si="5"/>
        <v>0</v>
      </c>
      <c r="P356" s="355">
        <f t="shared" si="5"/>
        <v>-8.4745762711864181E-3</v>
      </c>
    </row>
    <row r="357" spans="2:16" x14ac:dyDescent="0.2">
      <c r="B357" s="351" t="s">
        <v>1739</v>
      </c>
      <c r="C357" s="351" t="s">
        <v>1753</v>
      </c>
      <c r="D357" s="351" t="s">
        <v>1755</v>
      </c>
      <c r="E357" s="351">
        <v>41</v>
      </c>
      <c r="F357" s="351">
        <v>0.93</v>
      </c>
      <c r="G357" s="354">
        <v>1</v>
      </c>
      <c r="H357" s="354">
        <v>1.1599999999999999</v>
      </c>
      <c r="J357" s="351">
        <v>0.96</v>
      </c>
      <c r="K357" s="354">
        <v>1</v>
      </c>
      <c r="L357" s="354">
        <v>1.17</v>
      </c>
      <c r="N357" s="355">
        <f t="shared" si="5"/>
        <v>-3.1249999999999889E-2</v>
      </c>
      <c r="O357" s="355">
        <f t="shared" si="5"/>
        <v>0</v>
      </c>
      <c r="P357" s="355">
        <f t="shared" si="5"/>
        <v>-8.5470085470085166E-3</v>
      </c>
    </row>
    <row r="358" spans="2:16" x14ac:dyDescent="0.2">
      <c r="B358" s="351" t="s">
        <v>1739</v>
      </c>
      <c r="C358" s="351" t="s">
        <v>1753</v>
      </c>
      <c r="D358" s="351" t="s">
        <v>1755</v>
      </c>
      <c r="E358" s="351">
        <v>42</v>
      </c>
      <c r="F358" s="351">
        <v>0.93</v>
      </c>
      <c r="G358" s="354">
        <v>1</v>
      </c>
      <c r="H358" s="354">
        <v>1.1499999999999999</v>
      </c>
      <c r="J358" s="351">
        <v>0.96</v>
      </c>
      <c r="K358" s="354">
        <v>1</v>
      </c>
      <c r="L358" s="354">
        <v>1.1599999999999999</v>
      </c>
      <c r="N358" s="355">
        <f t="shared" si="5"/>
        <v>-3.1249999999999889E-2</v>
      </c>
      <c r="O358" s="355">
        <f t="shared" si="5"/>
        <v>0</v>
      </c>
      <c r="P358" s="355">
        <f t="shared" si="5"/>
        <v>-8.6206896551723755E-3</v>
      </c>
    </row>
    <row r="359" spans="2:16" x14ac:dyDescent="0.2">
      <c r="B359" s="351" t="s">
        <v>1739</v>
      </c>
      <c r="C359" s="351" t="s">
        <v>1753</v>
      </c>
      <c r="D359" s="351" t="s">
        <v>1755</v>
      </c>
      <c r="E359" s="351">
        <v>43</v>
      </c>
      <c r="F359" s="351">
        <v>0.93</v>
      </c>
      <c r="G359" s="354">
        <v>1</v>
      </c>
      <c r="H359" s="354">
        <v>1.1399999999999999</v>
      </c>
      <c r="J359" s="351">
        <v>0.96</v>
      </c>
      <c r="K359" s="354">
        <v>1</v>
      </c>
      <c r="L359" s="354">
        <v>1.1499999999999999</v>
      </c>
      <c r="N359" s="355">
        <f t="shared" si="5"/>
        <v>-3.1249999999999889E-2</v>
      </c>
      <c r="O359" s="355">
        <f t="shared" si="5"/>
        <v>0</v>
      </c>
      <c r="P359" s="355">
        <f t="shared" si="5"/>
        <v>-8.6956521739131043E-3</v>
      </c>
    </row>
    <row r="360" spans="2:16" x14ac:dyDescent="0.2">
      <c r="B360" s="351" t="s">
        <v>1739</v>
      </c>
      <c r="C360" s="351" t="s">
        <v>1753</v>
      </c>
      <c r="D360" s="351" t="s">
        <v>1755</v>
      </c>
      <c r="E360" s="351">
        <v>44</v>
      </c>
      <c r="F360" s="351">
        <v>0.93</v>
      </c>
      <c r="G360" s="354">
        <v>1</v>
      </c>
      <c r="H360" s="354">
        <v>1.1299999999999999</v>
      </c>
      <c r="J360" s="351">
        <v>0.96</v>
      </c>
      <c r="K360" s="354">
        <v>1</v>
      </c>
      <c r="L360" s="354">
        <v>1.1399999999999999</v>
      </c>
      <c r="N360" s="355">
        <f t="shared" si="5"/>
        <v>-3.1249999999999889E-2</v>
      </c>
      <c r="O360" s="355">
        <f t="shared" si="5"/>
        <v>0</v>
      </c>
      <c r="P360" s="355">
        <f t="shared" si="5"/>
        <v>-8.7719298245614308E-3</v>
      </c>
    </row>
    <row r="361" spans="2:16" x14ac:dyDescent="0.2">
      <c r="B361" s="351" t="s">
        <v>1739</v>
      </c>
      <c r="C361" s="351" t="s">
        <v>1753</v>
      </c>
      <c r="D361" s="351" t="s">
        <v>1755</v>
      </c>
      <c r="E361" s="351">
        <v>45</v>
      </c>
      <c r="F361" s="351">
        <v>0.93</v>
      </c>
      <c r="G361" s="354">
        <v>1</v>
      </c>
      <c r="H361" s="354">
        <v>1.1200000000000001</v>
      </c>
      <c r="J361" s="351">
        <v>0.96</v>
      </c>
      <c r="K361" s="354">
        <v>1</v>
      </c>
      <c r="L361" s="354">
        <v>1.1299999999999999</v>
      </c>
      <c r="N361" s="355">
        <f t="shared" si="5"/>
        <v>-3.1249999999999889E-2</v>
      </c>
      <c r="O361" s="355">
        <f t="shared" si="5"/>
        <v>0</v>
      </c>
      <c r="P361" s="355">
        <f t="shared" si="5"/>
        <v>-8.8495575221236855E-3</v>
      </c>
    </row>
    <row r="362" spans="2:16" x14ac:dyDescent="0.2">
      <c r="B362" s="351" t="s">
        <v>1739</v>
      </c>
      <c r="C362" s="351" t="s">
        <v>1753</v>
      </c>
      <c r="D362" s="351" t="s">
        <v>1755</v>
      </c>
      <c r="E362" s="351">
        <v>46</v>
      </c>
      <c r="F362" s="351">
        <v>0.93</v>
      </c>
      <c r="G362" s="354">
        <v>1</v>
      </c>
      <c r="H362" s="354">
        <v>1.1100000000000001</v>
      </c>
      <c r="J362" s="351">
        <v>0.96</v>
      </c>
      <c r="K362" s="354">
        <v>1</v>
      </c>
      <c r="L362" s="354">
        <v>1.1200000000000001</v>
      </c>
      <c r="N362" s="355">
        <f t="shared" si="5"/>
        <v>-3.1249999999999889E-2</v>
      </c>
      <c r="O362" s="355">
        <f t="shared" si="5"/>
        <v>0</v>
      </c>
      <c r="P362" s="355">
        <f t="shared" si="5"/>
        <v>-8.9285714285713969E-3</v>
      </c>
    </row>
    <row r="363" spans="2:16" x14ac:dyDescent="0.2">
      <c r="B363" s="351" t="s">
        <v>1739</v>
      </c>
      <c r="C363" s="351" t="s">
        <v>1753</v>
      </c>
      <c r="D363" s="351" t="s">
        <v>1755</v>
      </c>
      <c r="E363" s="351">
        <v>47</v>
      </c>
      <c r="F363" s="351">
        <v>0.93</v>
      </c>
      <c r="G363" s="354">
        <v>1</v>
      </c>
      <c r="H363" s="354">
        <v>1.1000000000000001</v>
      </c>
      <c r="J363" s="351">
        <v>0.96</v>
      </c>
      <c r="K363" s="354">
        <v>1</v>
      </c>
      <c r="L363" s="354">
        <v>1.1100000000000001</v>
      </c>
      <c r="N363" s="355">
        <f t="shared" si="5"/>
        <v>-3.1249999999999889E-2</v>
      </c>
      <c r="O363" s="355">
        <f t="shared" si="5"/>
        <v>0</v>
      </c>
      <c r="P363" s="355">
        <f t="shared" si="5"/>
        <v>-9.009009009009028E-3</v>
      </c>
    </row>
    <row r="364" spans="2:16" x14ac:dyDescent="0.2">
      <c r="B364" s="351" t="s">
        <v>1739</v>
      </c>
      <c r="C364" s="351" t="s">
        <v>1753</v>
      </c>
      <c r="D364" s="351" t="s">
        <v>1755</v>
      </c>
      <c r="E364" s="351">
        <v>48</v>
      </c>
      <c r="F364" s="351">
        <v>0.93</v>
      </c>
      <c r="G364" s="354">
        <v>1</v>
      </c>
      <c r="H364" s="354">
        <v>1.0900000000000001</v>
      </c>
      <c r="J364" s="351">
        <v>0.96</v>
      </c>
      <c r="K364" s="354">
        <v>1</v>
      </c>
      <c r="L364" s="354">
        <v>1.1000000000000001</v>
      </c>
      <c r="N364" s="355">
        <f t="shared" si="5"/>
        <v>-3.1249999999999889E-2</v>
      </c>
      <c r="O364" s="355">
        <f t="shared" si="5"/>
        <v>0</v>
      </c>
      <c r="P364" s="355">
        <f t="shared" si="5"/>
        <v>-9.0909090909091494E-3</v>
      </c>
    </row>
    <row r="365" spans="2:16" x14ac:dyDescent="0.2">
      <c r="B365" s="351" t="s">
        <v>1739</v>
      </c>
      <c r="C365" s="351" t="s">
        <v>1753</v>
      </c>
      <c r="D365" s="351" t="s">
        <v>1755</v>
      </c>
      <c r="E365" s="351">
        <v>49</v>
      </c>
      <c r="F365" s="351">
        <v>0.93</v>
      </c>
      <c r="G365" s="354">
        <v>1</v>
      </c>
      <c r="H365" s="354">
        <v>1.0900000000000001</v>
      </c>
      <c r="J365" s="351">
        <v>0.96</v>
      </c>
      <c r="K365" s="354">
        <v>1</v>
      </c>
      <c r="L365" s="354">
        <v>1.1000000000000001</v>
      </c>
      <c r="N365" s="355">
        <f t="shared" si="5"/>
        <v>-3.1249999999999889E-2</v>
      </c>
      <c r="O365" s="355">
        <f t="shared" si="5"/>
        <v>0</v>
      </c>
      <c r="P365" s="355">
        <f t="shared" si="5"/>
        <v>-9.0909090909091494E-3</v>
      </c>
    </row>
    <row r="366" spans="2:16" x14ac:dyDescent="0.2">
      <c r="B366" s="351" t="s">
        <v>1739</v>
      </c>
      <c r="C366" s="351" t="s">
        <v>1753</v>
      </c>
      <c r="D366" s="351" t="s">
        <v>1755</v>
      </c>
      <c r="E366" s="351">
        <v>50</v>
      </c>
      <c r="F366" s="351">
        <v>0.93</v>
      </c>
      <c r="G366" s="354">
        <v>1</v>
      </c>
      <c r="H366" s="354">
        <v>1.08</v>
      </c>
      <c r="J366" s="351">
        <v>0.96</v>
      </c>
      <c r="K366" s="354">
        <v>1</v>
      </c>
      <c r="L366" s="354">
        <v>1.0900000000000001</v>
      </c>
      <c r="N366" s="355">
        <f t="shared" si="5"/>
        <v>-3.1249999999999889E-2</v>
      </c>
      <c r="O366" s="355">
        <f t="shared" si="5"/>
        <v>0</v>
      </c>
      <c r="P366" s="355">
        <f t="shared" si="5"/>
        <v>-9.1743119266055606E-3</v>
      </c>
    </row>
    <row r="367" spans="2:16" x14ac:dyDescent="0.2">
      <c r="B367" s="351" t="s">
        <v>1739</v>
      </c>
      <c r="C367" s="351" t="s">
        <v>1753</v>
      </c>
      <c r="D367" s="351" t="s">
        <v>1755</v>
      </c>
      <c r="E367" s="351">
        <v>51</v>
      </c>
      <c r="F367" s="351">
        <v>0.93</v>
      </c>
      <c r="G367" s="354">
        <v>1</v>
      </c>
      <c r="H367" s="354">
        <v>1.08</v>
      </c>
      <c r="J367" s="351">
        <v>0.96</v>
      </c>
      <c r="K367" s="354">
        <v>1</v>
      </c>
      <c r="L367" s="354">
        <v>1.0900000000000001</v>
      </c>
      <c r="N367" s="355">
        <f t="shared" si="5"/>
        <v>-3.1249999999999889E-2</v>
      </c>
      <c r="O367" s="355">
        <f t="shared" si="5"/>
        <v>0</v>
      </c>
      <c r="P367" s="355">
        <f t="shared" si="5"/>
        <v>-9.1743119266055606E-3</v>
      </c>
    </row>
    <row r="368" spans="2:16" x14ac:dyDescent="0.2">
      <c r="B368" s="351" t="s">
        <v>1739</v>
      </c>
      <c r="C368" s="351" t="s">
        <v>1753</v>
      </c>
      <c r="D368" s="351" t="s">
        <v>1755</v>
      </c>
      <c r="E368" s="351">
        <v>52</v>
      </c>
      <c r="F368" s="351">
        <v>0.93</v>
      </c>
      <c r="G368" s="354">
        <v>1</v>
      </c>
      <c r="H368" s="354">
        <v>1.07</v>
      </c>
      <c r="J368" s="351">
        <v>0.96</v>
      </c>
      <c r="K368" s="354">
        <v>1</v>
      </c>
      <c r="L368" s="354">
        <v>1.08</v>
      </c>
      <c r="N368" s="355">
        <f t="shared" si="5"/>
        <v>-3.1249999999999889E-2</v>
      </c>
      <c r="O368" s="355">
        <f t="shared" si="5"/>
        <v>0</v>
      </c>
      <c r="P368" s="355">
        <f t="shared" si="5"/>
        <v>-9.2592592592593004E-3</v>
      </c>
    </row>
    <row r="369" spans="2:16" x14ac:dyDescent="0.2">
      <c r="B369" s="351" t="s">
        <v>1739</v>
      </c>
      <c r="C369" s="351" t="s">
        <v>1753</v>
      </c>
      <c r="D369" s="351" t="s">
        <v>1755</v>
      </c>
      <c r="E369" s="351">
        <v>53</v>
      </c>
      <c r="F369" s="351">
        <v>0.93</v>
      </c>
      <c r="G369" s="354">
        <v>1</v>
      </c>
      <c r="H369" s="354">
        <v>1.07</v>
      </c>
      <c r="J369" s="351">
        <v>0.96</v>
      </c>
      <c r="K369" s="354">
        <v>1</v>
      </c>
      <c r="L369" s="354">
        <v>1.08</v>
      </c>
      <c r="N369" s="355">
        <f t="shared" si="5"/>
        <v>-3.1249999999999889E-2</v>
      </c>
      <c r="O369" s="355">
        <f t="shared" si="5"/>
        <v>0</v>
      </c>
      <c r="P369" s="355">
        <f t="shared" si="5"/>
        <v>-9.2592592592593004E-3</v>
      </c>
    </row>
    <row r="370" spans="2:16" x14ac:dyDescent="0.2">
      <c r="B370" s="351" t="s">
        <v>1739</v>
      </c>
      <c r="C370" s="351" t="s">
        <v>1753</v>
      </c>
      <c r="D370" s="351" t="s">
        <v>1755</v>
      </c>
      <c r="E370" s="351">
        <v>54</v>
      </c>
      <c r="F370" s="351">
        <v>0.93</v>
      </c>
      <c r="G370" s="354">
        <v>1</v>
      </c>
      <c r="H370" s="354">
        <v>1.06</v>
      </c>
      <c r="J370" s="351">
        <v>0.96</v>
      </c>
      <c r="K370" s="354">
        <v>1</v>
      </c>
      <c r="L370" s="354">
        <v>1.07</v>
      </c>
      <c r="N370" s="355">
        <f t="shared" si="5"/>
        <v>-3.1249999999999889E-2</v>
      </c>
      <c r="O370" s="355">
        <f t="shared" si="5"/>
        <v>0</v>
      </c>
      <c r="P370" s="355">
        <f t="shared" si="5"/>
        <v>-9.3457943925233655E-3</v>
      </c>
    </row>
    <row r="371" spans="2:16" x14ac:dyDescent="0.2">
      <c r="B371" s="351" t="s">
        <v>1739</v>
      </c>
      <c r="C371" s="351" t="s">
        <v>1753</v>
      </c>
      <c r="D371" s="351" t="s">
        <v>1755</v>
      </c>
      <c r="E371" s="351">
        <v>55</v>
      </c>
      <c r="F371" s="351">
        <v>0.93</v>
      </c>
      <c r="G371" s="354">
        <v>1</v>
      </c>
      <c r="H371" s="354">
        <v>1.06</v>
      </c>
      <c r="J371" s="351">
        <v>0.96</v>
      </c>
      <c r="K371" s="354">
        <v>1</v>
      </c>
      <c r="L371" s="354">
        <v>1.07</v>
      </c>
      <c r="N371" s="355">
        <f t="shared" si="5"/>
        <v>-3.1249999999999889E-2</v>
      </c>
      <c r="O371" s="355">
        <f t="shared" si="5"/>
        <v>0</v>
      </c>
      <c r="P371" s="355">
        <f t="shared" si="5"/>
        <v>-9.3457943925233655E-3</v>
      </c>
    </row>
    <row r="372" spans="2:16" x14ac:dyDescent="0.2">
      <c r="B372" s="351" t="s">
        <v>1739</v>
      </c>
      <c r="C372" s="351" t="s">
        <v>1753</v>
      </c>
      <c r="D372" s="351" t="s">
        <v>1755</v>
      </c>
      <c r="E372" s="351">
        <v>56</v>
      </c>
      <c r="F372" s="351">
        <v>0.93</v>
      </c>
      <c r="G372" s="354">
        <v>1</v>
      </c>
      <c r="H372" s="354">
        <v>1.05</v>
      </c>
      <c r="J372" s="351">
        <v>0.96</v>
      </c>
      <c r="K372" s="354">
        <v>1</v>
      </c>
      <c r="L372" s="354">
        <v>1.06</v>
      </c>
      <c r="N372" s="355">
        <f t="shared" si="5"/>
        <v>-3.1249999999999889E-2</v>
      </c>
      <c r="O372" s="355">
        <f t="shared" si="5"/>
        <v>0</v>
      </c>
      <c r="P372" s="355">
        <f t="shared" si="5"/>
        <v>-9.4339622641509413E-3</v>
      </c>
    </row>
    <row r="373" spans="2:16" x14ac:dyDescent="0.2">
      <c r="B373" s="351" t="s">
        <v>1739</v>
      </c>
      <c r="C373" s="351" t="s">
        <v>1753</v>
      </c>
      <c r="D373" s="351" t="s">
        <v>1755</v>
      </c>
      <c r="E373" s="351">
        <v>57</v>
      </c>
      <c r="F373" s="351">
        <v>0.93</v>
      </c>
      <c r="G373" s="354">
        <v>1</v>
      </c>
      <c r="H373" s="354">
        <v>1.05</v>
      </c>
      <c r="J373" s="351">
        <v>0.96</v>
      </c>
      <c r="K373" s="354">
        <v>1</v>
      </c>
      <c r="L373" s="354">
        <v>1.06</v>
      </c>
      <c r="N373" s="355">
        <f t="shared" si="5"/>
        <v>-3.1249999999999889E-2</v>
      </c>
      <c r="O373" s="355">
        <f t="shared" si="5"/>
        <v>0</v>
      </c>
      <c r="P373" s="355">
        <f t="shared" si="5"/>
        <v>-9.4339622641509413E-3</v>
      </c>
    </row>
    <row r="374" spans="2:16" x14ac:dyDescent="0.2">
      <c r="B374" s="351" t="s">
        <v>1739</v>
      </c>
      <c r="C374" s="351" t="s">
        <v>1753</v>
      </c>
      <c r="D374" s="351" t="s">
        <v>1755</v>
      </c>
      <c r="E374" s="351">
        <v>58</v>
      </c>
      <c r="F374" s="351">
        <v>0.93</v>
      </c>
      <c r="G374" s="354">
        <v>1</v>
      </c>
      <c r="H374" s="354">
        <v>1.05</v>
      </c>
      <c r="J374" s="351">
        <v>0.96</v>
      </c>
      <c r="K374" s="354">
        <v>1</v>
      </c>
      <c r="L374" s="354">
        <v>1.05</v>
      </c>
      <c r="N374" s="355">
        <f t="shared" si="5"/>
        <v>-3.1249999999999889E-2</v>
      </c>
      <c r="O374" s="355">
        <f t="shared" si="5"/>
        <v>0</v>
      </c>
      <c r="P374" s="355">
        <f t="shared" si="5"/>
        <v>0</v>
      </c>
    </row>
    <row r="375" spans="2:16" x14ac:dyDescent="0.2">
      <c r="B375" s="351" t="s">
        <v>1739</v>
      </c>
      <c r="C375" s="351" t="s">
        <v>1753</v>
      </c>
      <c r="D375" s="351" t="s">
        <v>1755</v>
      </c>
      <c r="E375" s="351">
        <v>59</v>
      </c>
      <c r="F375" s="351">
        <v>0.93</v>
      </c>
      <c r="G375" s="354">
        <v>1</v>
      </c>
      <c r="H375" s="354">
        <v>1.04</v>
      </c>
      <c r="J375" s="351">
        <v>0.96</v>
      </c>
      <c r="K375" s="354">
        <v>1</v>
      </c>
      <c r="L375" s="354">
        <v>1.05</v>
      </c>
      <c r="N375" s="355">
        <f t="shared" si="5"/>
        <v>-3.1249999999999889E-2</v>
      </c>
      <c r="O375" s="355">
        <f t="shared" si="5"/>
        <v>0</v>
      </c>
      <c r="P375" s="355">
        <f t="shared" si="5"/>
        <v>-9.52380952380949E-3</v>
      </c>
    </row>
    <row r="376" spans="2:16" x14ac:dyDescent="0.2">
      <c r="B376" s="351" t="s">
        <v>1739</v>
      </c>
      <c r="C376" s="351" t="s">
        <v>1753</v>
      </c>
      <c r="D376" s="351" t="s">
        <v>1755</v>
      </c>
      <c r="E376" s="351">
        <v>60</v>
      </c>
      <c r="F376" s="351">
        <v>0.93</v>
      </c>
      <c r="G376" s="354">
        <v>1</v>
      </c>
      <c r="H376" s="354">
        <v>1.04</v>
      </c>
      <c r="J376" s="351">
        <v>0.96</v>
      </c>
      <c r="K376" s="354">
        <v>1</v>
      </c>
      <c r="L376" s="354">
        <v>1.05</v>
      </c>
      <c r="N376" s="355">
        <f t="shared" si="5"/>
        <v>-3.1249999999999889E-2</v>
      </c>
      <c r="O376" s="355">
        <f t="shared" si="5"/>
        <v>0</v>
      </c>
      <c r="P376" s="355">
        <f t="shared" si="5"/>
        <v>-9.52380952380949E-3</v>
      </c>
    </row>
    <row r="377" spans="2:16" x14ac:dyDescent="0.2">
      <c r="B377" s="351" t="s">
        <v>1739</v>
      </c>
      <c r="C377" s="351" t="s">
        <v>1753</v>
      </c>
      <c r="D377" s="351" t="s">
        <v>1755</v>
      </c>
      <c r="E377" s="351">
        <v>61</v>
      </c>
      <c r="F377" s="351">
        <v>0.93</v>
      </c>
      <c r="G377" s="354">
        <v>1</v>
      </c>
      <c r="H377" s="354">
        <v>1.04</v>
      </c>
      <c r="J377" s="351">
        <v>0.96</v>
      </c>
      <c r="K377" s="354">
        <v>1</v>
      </c>
      <c r="L377" s="354">
        <v>1.04</v>
      </c>
      <c r="N377" s="355">
        <f t="shared" si="5"/>
        <v>-3.1249999999999889E-2</v>
      </c>
      <c r="O377" s="355">
        <f t="shared" si="5"/>
        <v>0</v>
      </c>
      <c r="P377" s="355">
        <f t="shared" si="5"/>
        <v>0</v>
      </c>
    </row>
    <row r="378" spans="2:16" x14ac:dyDescent="0.2">
      <c r="B378" s="351" t="s">
        <v>1739</v>
      </c>
      <c r="C378" s="351" t="s">
        <v>1753</v>
      </c>
      <c r="D378" s="351" t="s">
        <v>1755</v>
      </c>
      <c r="E378" s="351">
        <v>62</v>
      </c>
      <c r="F378" s="351">
        <v>0.93</v>
      </c>
      <c r="G378" s="354">
        <v>1</v>
      </c>
      <c r="H378" s="354">
        <v>1.03</v>
      </c>
      <c r="J378" s="351">
        <v>0.96</v>
      </c>
      <c r="K378" s="354">
        <v>1</v>
      </c>
      <c r="L378" s="354">
        <v>1.04</v>
      </c>
      <c r="N378" s="355">
        <f t="shared" si="5"/>
        <v>-3.1249999999999889E-2</v>
      </c>
      <c r="O378" s="355">
        <f t="shared" si="5"/>
        <v>0</v>
      </c>
      <c r="P378" s="355">
        <f t="shared" si="5"/>
        <v>-9.6153846153845812E-3</v>
      </c>
    </row>
    <row r="379" spans="2:16" x14ac:dyDescent="0.2">
      <c r="B379" s="351" t="s">
        <v>1739</v>
      </c>
      <c r="C379" s="351" t="s">
        <v>1753</v>
      </c>
      <c r="D379" s="351" t="s">
        <v>1755</v>
      </c>
      <c r="E379" s="351">
        <v>63</v>
      </c>
      <c r="F379" s="351">
        <v>0.93</v>
      </c>
      <c r="G379" s="354">
        <v>1</v>
      </c>
      <c r="H379" s="354">
        <v>1.03</v>
      </c>
      <c r="J379" s="351">
        <v>0.96</v>
      </c>
      <c r="K379" s="354">
        <v>1</v>
      </c>
      <c r="L379" s="354">
        <v>1.04</v>
      </c>
      <c r="N379" s="355">
        <f t="shared" si="5"/>
        <v>-3.1249999999999889E-2</v>
      </c>
      <c r="O379" s="355">
        <f t="shared" si="5"/>
        <v>0</v>
      </c>
      <c r="P379" s="355">
        <f t="shared" si="5"/>
        <v>-9.6153846153845812E-3</v>
      </c>
    </row>
    <row r="380" spans="2:16" x14ac:dyDescent="0.2">
      <c r="B380" s="351" t="s">
        <v>1739</v>
      </c>
      <c r="C380" s="351" t="s">
        <v>1753</v>
      </c>
      <c r="D380" s="351" t="s">
        <v>1755</v>
      </c>
      <c r="E380" s="351">
        <v>64</v>
      </c>
      <c r="F380" s="351">
        <v>0.93</v>
      </c>
      <c r="G380" s="354">
        <v>1</v>
      </c>
      <c r="H380" s="354">
        <v>1.03</v>
      </c>
      <c r="J380" s="351">
        <v>0.96</v>
      </c>
      <c r="K380" s="354">
        <v>1</v>
      </c>
      <c r="L380" s="354">
        <v>1.03</v>
      </c>
      <c r="N380" s="355">
        <f t="shared" si="5"/>
        <v>-3.1249999999999889E-2</v>
      </c>
      <c r="O380" s="355">
        <f t="shared" si="5"/>
        <v>0</v>
      </c>
      <c r="P380" s="355">
        <f t="shared" si="5"/>
        <v>0</v>
      </c>
    </row>
    <row r="381" spans="2:16" x14ac:dyDescent="0.2">
      <c r="B381" s="351" t="s">
        <v>1739</v>
      </c>
      <c r="C381" s="351" t="s">
        <v>1753</v>
      </c>
      <c r="D381" s="351" t="s">
        <v>1755</v>
      </c>
      <c r="E381" s="351">
        <v>65</v>
      </c>
      <c r="F381" s="351">
        <v>0.93</v>
      </c>
      <c r="G381" s="354">
        <v>1</v>
      </c>
      <c r="H381" s="354">
        <v>1.02</v>
      </c>
      <c r="J381" s="351">
        <v>0.96</v>
      </c>
      <c r="K381" s="354">
        <v>1</v>
      </c>
      <c r="L381" s="354">
        <v>1.03</v>
      </c>
      <c r="N381" s="355">
        <f t="shared" si="5"/>
        <v>-3.1249999999999889E-2</v>
      </c>
      <c r="O381" s="355">
        <f t="shared" si="5"/>
        <v>0</v>
      </c>
      <c r="P381" s="355">
        <f t="shared" si="5"/>
        <v>-9.7087378640776656E-3</v>
      </c>
    </row>
    <row r="382" spans="2:16" x14ac:dyDescent="0.2">
      <c r="B382" s="351" t="s">
        <v>1739</v>
      </c>
      <c r="C382" s="351" t="s">
        <v>1753</v>
      </c>
      <c r="D382" s="351" t="s">
        <v>1755</v>
      </c>
      <c r="E382" s="351">
        <v>66</v>
      </c>
      <c r="F382" s="351">
        <v>0.93</v>
      </c>
      <c r="G382" s="354">
        <v>1</v>
      </c>
      <c r="H382" s="354">
        <v>1.02</v>
      </c>
      <c r="J382" s="351">
        <v>0.96</v>
      </c>
      <c r="K382" s="354">
        <v>1</v>
      </c>
      <c r="L382" s="354">
        <v>1.03</v>
      </c>
      <c r="N382" s="355">
        <f t="shared" si="5"/>
        <v>-3.1249999999999889E-2</v>
      </c>
      <c r="O382" s="355">
        <f t="shared" si="5"/>
        <v>0</v>
      </c>
      <c r="P382" s="355">
        <f t="shared" si="5"/>
        <v>-9.7087378640776656E-3</v>
      </c>
    </row>
    <row r="383" spans="2:16" x14ac:dyDescent="0.2">
      <c r="B383" s="351" t="s">
        <v>1739</v>
      </c>
      <c r="C383" s="351" t="s">
        <v>1753</v>
      </c>
      <c r="D383" s="351" t="s">
        <v>1755</v>
      </c>
      <c r="E383" s="351">
        <v>67</v>
      </c>
      <c r="F383" s="351">
        <v>0.93</v>
      </c>
      <c r="G383" s="354">
        <v>1</v>
      </c>
      <c r="H383" s="354">
        <v>1.02</v>
      </c>
      <c r="J383" s="351">
        <v>0.96</v>
      </c>
      <c r="K383" s="354">
        <v>1</v>
      </c>
      <c r="L383" s="354">
        <v>1.02</v>
      </c>
      <c r="N383" s="355">
        <f t="shared" si="5"/>
        <v>-3.1249999999999889E-2</v>
      </c>
      <c r="O383" s="355">
        <f t="shared" si="5"/>
        <v>0</v>
      </c>
      <c r="P383" s="355">
        <f t="shared" si="5"/>
        <v>0</v>
      </c>
    </row>
    <row r="384" spans="2:16" x14ac:dyDescent="0.2">
      <c r="B384" s="351" t="s">
        <v>1739</v>
      </c>
      <c r="C384" s="351" t="s">
        <v>1753</v>
      </c>
      <c r="D384" s="351" t="s">
        <v>1755</v>
      </c>
      <c r="E384" s="351">
        <v>68</v>
      </c>
      <c r="F384" s="351">
        <v>0.93</v>
      </c>
      <c r="G384" s="354">
        <v>1</v>
      </c>
      <c r="H384" s="354">
        <v>1.02</v>
      </c>
      <c r="J384" s="351">
        <v>0.96</v>
      </c>
      <c r="K384" s="354">
        <v>1</v>
      </c>
      <c r="L384" s="354">
        <v>1.02</v>
      </c>
      <c r="N384" s="355">
        <f t="shared" si="5"/>
        <v>-3.1249999999999889E-2</v>
      </c>
      <c r="O384" s="355">
        <f t="shared" si="5"/>
        <v>0</v>
      </c>
      <c r="P384" s="355">
        <f t="shared" si="5"/>
        <v>0</v>
      </c>
    </row>
    <row r="385" spans="2:16" x14ac:dyDescent="0.2">
      <c r="B385" s="351" t="s">
        <v>1739</v>
      </c>
      <c r="C385" s="351" t="s">
        <v>1753</v>
      </c>
      <c r="D385" s="351" t="s">
        <v>1755</v>
      </c>
      <c r="E385" s="351">
        <v>69</v>
      </c>
      <c r="F385" s="351">
        <v>0.93</v>
      </c>
      <c r="G385" s="354">
        <v>1</v>
      </c>
      <c r="H385" s="354">
        <v>1.01</v>
      </c>
      <c r="J385" s="351">
        <v>0.96</v>
      </c>
      <c r="K385" s="354">
        <v>1</v>
      </c>
      <c r="L385" s="354">
        <v>1.02</v>
      </c>
      <c r="N385" s="355">
        <f t="shared" si="5"/>
        <v>-3.1249999999999889E-2</v>
      </c>
      <c r="O385" s="355">
        <f t="shared" si="5"/>
        <v>0</v>
      </c>
      <c r="P385" s="355">
        <f t="shared" si="5"/>
        <v>-9.8039215686274161E-3</v>
      </c>
    </row>
    <row r="386" spans="2:16" x14ac:dyDescent="0.2">
      <c r="B386" s="351" t="s">
        <v>1739</v>
      </c>
      <c r="C386" s="351" t="s">
        <v>1753</v>
      </c>
      <c r="D386" s="351" t="s">
        <v>1755</v>
      </c>
      <c r="E386" s="351">
        <v>70</v>
      </c>
      <c r="F386" s="351">
        <v>0.93</v>
      </c>
      <c r="G386" s="354">
        <v>1</v>
      </c>
      <c r="H386" s="354">
        <v>1.01</v>
      </c>
      <c r="J386" s="351">
        <v>0.96</v>
      </c>
      <c r="K386" s="354">
        <v>1</v>
      </c>
      <c r="L386" s="354">
        <v>1.01</v>
      </c>
      <c r="N386" s="355">
        <f t="shared" si="5"/>
        <v>-3.1249999999999889E-2</v>
      </c>
      <c r="O386" s="355">
        <f t="shared" si="5"/>
        <v>0</v>
      </c>
      <c r="P386" s="355">
        <f t="shared" si="5"/>
        <v>0</v>
      </c>
    </row>
    <row r="387" spans="2:16" x14ac:dyDescent="0.2">
      <c r="B387" s="351" t="s">
        <v>1739</v>
      </c>
      <c r="C387" s="351" t="s">
        <v>1753</v>
      </c>
      <c r="D387" s="351" t="s">
        <v>1755</v>
      </c>
      <c r="E387" s="351">
        <v>71</v>
      </c>
      <c r="F387" s="351">
        <v>0.93</v>
      </c>
      <c r="G387" s="354">
        <v>1</v>
      </c>
      <c r="H387" s="354">
        <v>1.01</v>
      </c>
      <c r="J387" s="351">
        <v>0.96</v>
      </c>
      <c r="K387" s="354">
        <v>1</v>
      </c>
      <c r="L387" s="354">
        <v>1.01</v>
      </c>
      <c r="N387" s="355">
        <f t="shared" si="5"/>
        <v>-3.1249999999999889E-2</v>
      </c>
      <c r="O387" s="355">
        <f t="shared" si="5"/>
        <v>0</v>
      </c>
      <c r="P387" s="355">
        <f t="shared" si="5"/>
        <v>0</v>
      </c>
    </row>
    <row r="388" spans="2:16" x14ac:dyDescent="0.2">
      <c r="B388" s="351" t="s">
        <v>1739</v>
      </c>
      <c r="C388" s="351" t="s">
        <v>1753</v>
      </c>
      <c r="D388" s="351" t="s">
        <v>1755</v>
      </c>
      <c r="E388" s="351">
        <v>72</v>
      </c>
      <c r="F388" s="351">
        <v>0.93</v>
      </c>
      <c r="G388" s="354">
        <v>1</v>
      </c>
      <c r="H388" s="354">
        <v>1.01</v>
      </c>
      <c r="J388" s="351">
        <v>0.96</v>
      </c>
      <c r="K388" s="354">
        <v>1</v>
      </c>
      <c r="L388" s="354">
        <v>1.01</v>
      </c>
      <c r="N388" s="355">
        <f t="shared" si="5"/>
        <v>-3.1249999999999889E-2</v>
      </c>
      <c r="O388" s="355">
        <f t="shared" si="5"/>
        <v>0</v>
      </c>
      <c r="P388" s="355">
        <f t="shared" si="5"/>
        <v>0</v>
      </c>
    </row>
    <row r="389" spans="2:16" x14ac:dyDescent="0.2">
      <c r="B389" s="351" t="s">
        <v>1739</v>
      </c>
      <c r="C389" s="351" t="s">
        <v>1753</v>
      </c>
      <c r="D389" s="351" t="s">
        <v>1755</v>
      </c>
      <c r="E389" s="351">
        <v>73</v>
      </c>
      <c r="F389" s="351">
        <v>0.93</v>
      </c>
      <c r="G389" s="354">
        <v>1</v>
      </c>
      <c r="H389" s="354">
        <v>1.01</v>
      </c>
      <c r="J389" s="351">
        <v>0.96</v>
      </c>
      <c r="K389" s="354">
        <v>1</v>
      </c>
      <c r="L389" s="354">
        <v>1.01</v>
      </c>
      <c r="N389" s="355">
        <f t="shared" si="5"/>
        <v>-3.1249999999999889E-2</v>
      </c>
      <c r="O389" s="355">
        <f t="shared" si="5"/>
        <v>0</v>
      </c>
      <c r="P389" s="355">
        <f t="shared" si="5"/>
        <v>0</v>
      </c>
    </row>
    <row r="390" spans="2:16" x14ac:dyDescent="0.2">
      <c r="B390" s="351" t="s">
        <v>1739</v>
      </c>
      <c r="C390" s="351" t="s">
        <v>1753</v>
      </c>
      <c r="D390" s="351" t="s">
        <v>1755</v>
      </c>
      <c r="E390" s="351">
        <v>74</v>
      </c>
      <c r="F390" s="351">
        <v>0.93</v>
      </c>
      <c r="G390" s="354">
        <v>1</v>
      </c>
      <c r="H390" s="354">
        <v>1</v>
      </c>
      <c r="J390" s="351">
        <v>0.96</v>
      </c>
      <c r="K390" s="354">
        <v>1</v>
      </c>
      <c r="L390" s="354">
        <v>1.01</v>
      </c>
      <c r="N390" s="355">
        <f t="shared" si="5"/>
        <v>-3.1249999999999889E-2</v>
      </c>
      <c r="O390" s="355">
        <f t="shared" si="5"/>
        <v>0</v>
      </c>
      <c r="P390" s="355">
        <f t="shared" si="5"/>
        <v>-9.9009900990099098E-3</v>
      </c>
    </row>
    <row r="391" spans="2:16" x14ac:dyDescent="0.2">
      <c r="B391" s="351" t="s">
        <v>1739</v>
      </c>
      <c r="C391" s="351" t="s">
        <v>1753</v>
      </c>
      <c r="D391" s="351" t="s">
        <v>1755</v>
      </c>
      <c r="E391" s="351">
        <v>75</v>
      </c>
      <c r="F391" s="351">
        <v>0.93</v>
      </c>
      <c r="G391" s="354">
        <v>1</v>
      </c>
      <c r="H391" s="354">
        <v>1</v>
      </c>
      <c r="J391" s="351">
        <v>0.96</v>
      </c>
      <c r="K391" s="354">
        <v>1</v>
      </c>
      <c r="L391" s="354">
        <v>1</v>
      </c>
      <c r="N391" s="355">
        <f t="shared" si="5"/>
        <v>-3.1249999999999889E-2</v>
      </c>
      <c r="O391" s="355">
        <f t="shared" si="5"/>
        <v>0</v>
      </c>
      <c r="P391" s="355">
        <f t="shared" si="5"/>
        <v>0</v>
      </c>
    </row>
    <row r="392" spans="2:16" x14ac:dyDescent="0.2">
      <c r="B392" s="351" t="s">
        <v>1739</v>
      </c>
      <c r="C392" s="351" t="s">
        <v>1753</v>
      </c>
      <c r="D392" s="351" t="s">
        <v>1755</v>
      </c>
      <c r="E392" s="351">
        <v>76</v>
      </c>
      <c r="F392" s="351">
        <v>0.93</v>
      </c>
      <c r="G392" s="354">
        <v>1</v>
      </c>
      <c r="H392" s="354">
        <v>1</v>
      </c>
      <c r="J392" s="351">
        <v>0.96</v>
      </c>
      <c r="K392" s="354">
        <v>1</v>
      </c>
      <c r="L392" s="354">
        <v>1</v>
      </c>
      <c r="N392" s="355">
        <f t="shared" si="5"/>
        <v>-3.1249999999999889E-2</v>
      </c>
      <c r="O392" s="355">
        <f t="shared" si="5"/>
        <v>0</v>
      </c>
      <c r="P392" s="355">
        <f t="shared" si="5"/>
        <v>0</v>
      </c>
    </row>
    <row r="393" spans="2:16" x14ac:dyDescent="0.2">
      <c r="B393" s="351" t="s">
        <v>1739</v>
      </c>
      <c r="C393" s="351" t="s">
        <v>1753</v>
      </c>
      <c r="D393" s="351" t="s">
        <v>1755</v>
      </c>
      <c r="E393" s="351">
        <v>77</v>
      </c>
      <c r="F393" s="351">
        <v>0.93</v>
      </c>
      <c r="G393" s="354">
        <v>1</v>
      </c>
      <c r="H393" s="354">
        <v>1</v>
      </c>
      <c r="J393" s="351">
        <v>0.96</v>
      </c>
      <c r="K393" s="354">
        <v>1</v>
      </c>
      <c r="L393" s="354">
        <v>1</v>
      </c>
      <c r="N393" s="355">
        <f t="shared" si="5"/>
        <v>-3.1249999999999889E-2</v>
      </c>
      <c r="O393" s="355">
        <f t="shared" si="5"/>
        <v>0</v>
      </c>
      <c r="P393" s="355">
        <f t="shared" si="5"/>
        <v>0</v>
      </c>
    </row>
    <row r="394" spans="2:16" x14ac:dyDescent="0.2">
      <c r="B394" s="351" t="s">
        <v>1739</v>
      </c>
      <c r="C394" s="351" t="s">
        <v>1753</v>
      </c>
      <c r="D394" s="351" t="s">
        <v>1755</v>
      </c>
      <c r="E394" s="351">
        <v>78</v>
      </c>
      <c r="F394" s="351">
        <v>0.93</v>
      </c>
      <c r="G394" s="354">
        <v>1</v>
      </c>
      <c r="H394" s="354">
        <v>1</v>
      </c>
      <c r="J394" s="351">
        <v>0.96</v>
      </c>
      <c r="K394" s="354">
        <v>1</v>
      </c>
      <c r="L394" s="354">
        <v>1</v>
      </c>
      <c r="N394" s="355">
        <f t="shared" si="5"/>
        <v>-3.1249999999999889E-2</v>
      </c>
      <c r="O394" s="355">
        <f t="shared" si="5"/>
        <v>0</v>
      </c>
      <c r="P394" s="355">
        <f t="shared" si="5"/>
        <v>0</v>
      </c>
    </row>
    <row r="395" spans="2:16" x14ac:dyDescent="0.2">
      <c r="B395" s="351" t="s">
        <v>1739</v>
      </c>
      <c r="C395" s="351" t="s">
        <v>1753</v>
      </c>
      <c r="D395" s="351" t="s">
        <v>1755</v>
      </c>
      <c r="E395" s="351">
        <v>79</v>
      </c>
      <c r="F395" s="351">
        <v>0.93</v>
      </c>
      <c r="G395" s="354">
        <v>1</v>
      </c>
      <c r="H395" s="354">
        <v>1</v>
      </c>
      <c r="J395" s="351">
        <v>0.96</v>
      </c>
      <c r="K395" s="354">
        <v>1</v>
      </c>
      <c r="L395" s="354">
        <v>1</v>
      </c>
      <c r="N395" s="355">
        <f t="shared" si="5"/>
        <v>-3.1249999999999889E-2</v>
      </c>
      <c r="O395" s="355">
        <f t="shared" si="5"/>
        <v>0</v>
      </c>
      <c r="P395" s="355">
        <f t="shared" si="5"/>
        <v>0</v>
      </c>
    </row>
    <row r="396" spans="2:16" x14ac:dyDescent="0.2">
      <c r="B396" s="351" t="s">
        <v>1739</v>
      </c>
      <c r="C396" s="351" t="s">
        <v>1753</v>
      </c>
      <c r="D396" s="351" t="s">
        <v>1755</v>
      </c>
      <c r="E396" s="351">
        <v>80</v>
      </c>
      <c r="F396" s="351">
        <v>0.93</v>
      </c>
      <c r="G396" s="354">
        <v>1</v>
      </c>
      <c r="H396" s="354">
        <v>1</v>
      </c>
      <c r="J396" s="351">
        <v>0.96</v>
      </c>
      <c r="K396" s="354">
        <v>1</v>
      </c>
      <c r="L396" s="354">
        <v>1</v>
      </c>
      <c r="N396" s="355">
        <f t="shared" si="5"/>
        <v>-3.1249999999999889E-2</v>
      </c>
      <c r="O396" s="355">
        <f t="shared" si="5"/>
        <v>0</v>
      </c>
      <c r="P396" s="355">
        <f t="shared" si="5"/>
        <v>0</v>
      </c>
    </row>
    <row r="397" spans="2:16" x14ac:dyDescent="0.2">
      <c r="B397" s="351" t="s">
        <v>1739</v>
      </c>
      <c r="C397" s="351" t="s">
        <v>1753</v>
      </c>
      <c r="D397" s="351" t="s">
        <v>1755</v>
      </c>
      <c r="E397" s="351">
        <v>81</v>
      </c>
      <c r="F397" s="351">
        <v>0.93</v>
      </c>
      <c r="G397" s="354">
        <v>1</v>
      </c>
      <c r="H397" s="354">
        <v>1</v>
      </c>
      <c r="J397" s="351">
        <v>0.96</v>
      </c>
      <c r="K397" s="354">
        <v>1</v>
      </c>
      <c r="L397" s="354">
        <v>1</v>
      </c>
      <c r="N397" s="355">
        <f t="shared" ref="N397:P460" si="6">F397/J397-1</f>
        <v>-3.1249999999999889E-2</v>
      </c>
      <c r="O397" s="355">
        <f t="shared" si="6"/>
        <v>0</v>
      </c>
      <c r="P397" s="355">
        <f t="shared" si="6"/>
        <v>0</v>
      </c>
    </row>
    <row r="398" spans="2:16" x14ac:dyDescent="0.2">
      <c r="B398" s="351" t="s">
        <v>1739</v>
      </c>
      <c r="C398" s="351" t="s">
        <v>1753</v>
      </c>
      <c r="D398" s="351" t="s">
        <v>1755</v>
      </c>
      <c r="E398" s="351">
        <v>82</v>
      </c>
      <c r="F398" s="351">
        <v>0.93</v>
      </c>
      <c r="G398" s="354">
        <v>1</v>
      </c>
      <c r="H398" s="354">
        <v>1</v>
      </c>
      <c r="J398" s="351">
        <v>0.96</v>
      </c>
      <c r="K398" s="354">
        <v>1</v>
      </c>
      <c r="L398" s="354">
        <v>1</v>
      </c>
      <c r="N398" s="355">
        <f t="shared" si="6"/>
        <v>-3.1249999999999889E-2</v>
      </c>
      <c r="O398" s="355">
        <f t="shared" si="6"/>
        <v>0</v>
      </c>
      <c r="P398" s="355">
        <f t="shared" si="6"/>
        <v>0</v>
      </c>
    </row>
    <row r="399" spans="2:16" x14ac:dyDescent="0.2">
      <c r="B399" s="351" t="s">
        <v>1739</v>
      </c>
      <c r="C399" s="351" t="s">
        <v>1753</v>
      </c>
      <c r="D399" s="351" t="s">
        <v>1755</v>
      </c>
      <c r="E399" s="351">
        <v>83</v>
      </c>
      <c r="F399" s="351">
        <v>0.93</v>
      </c>
      <c r="G399" s="354">
        <v>1</v>
      </c>
      <c r="H399" s="354">
        <v>1</v>
      </c>
      <c r="J399" s="351">
        <v>0.96</v>
      </c>
      <c r="K399" s="354">
        <v>1</v>
      </c>
      <c r="L399" s="354">
        <v>1</v>
      </c>
      <c r="N399" s="355">
        <f t="shared" si="6"/>
        <v>-3.1249999999999889E-2</v>
      </c>
      <c r="O399" s="355">
        <f t="shared" si="6"/>
        <v>0</v>
      </c>
      <c r="P399" s="355">
        <f t="shared" si="6"/>
        <v>0</v>
      </c>
    </row>
    <row r="400" spans="2:16" x14ac:dyDescent="0.2">
      <c r="B400" s="351" t="s">
        <v>1739</v>
      </c>
      <c r="C400" s="351" t="s">
        <v>1753</v>
      </c>
      <c r="D400" s="351" t="s">
        <v>1755</v>
      </c>
      <c r="E400" s="351">
        <v>84</v>
      </c>
      <c r="F400" s="351">
        <v>0.93</v>
      </c>
      <c r="G400" s="354">
        <v>1</v>
      </c>
      <c r="H400" s="354">
        <v>1</v>
      </c>
      <c r="J400" s="351">
        <v>0.96</v>
      </c>
      <c r="K400" s="354">
        <v>1</v>
      </c>
      <c r="L400" s="354">
        <v>1</v>
      </c>
      <c r="N400" s="355">
        <f t="shared" si="6"/>
        <v>-3.1249999999999889E-2</v>
      </c>
      <c r="O400" s="355">
        <f t="shared" si="6"/>
        <v>0</v>
      </c>
      <c r="P400" s="355">
        <f t="shared" si="6"/>
        <v>0</v>
      </c>
    </row>
    <row r="401" spans="2:16" x14ac:dyDescent="0.2">
      <c r="B401" s="351" t="s">
        <v>1739</v>
      </c>
      <c r="C401" s="351" t="s">
        <v>1753</v>
      </c>
      <c r="D401" s="351" t="s">
        <v>1755</v>
      </c>
      <c r="E401" s="351">
        <v>85</v>
      </c>
      <c r="F401" s="351">
        <v>0.93</v>
      </c>
      <c r="G401" s="354">
        <v>1</v>
      </c>
      <c r="H401" s="354">
        <v>1</v>
      </c>
      <c r="J401" s="351">
        <v>0.96</v>
      </c>
      <c r="K401" s="354">
        <v>1</v>
      </c>
      <c r="L401" s="354">
        <v>1</v>
      </c>
      <c r="N401" s="355">
        <f t="shared" si="6"/>
        <v>-3.1249999999999889E-2</v>
      </c>
      <c r="O401" s="355">
        <f t="shared" si="6"/>
        <v>0</v>
      </c>
      <c r="P401" s="355">
        <f t="shared" si="6"/>
        <v>0</v>
      </c>
    </row>
    <row r="402" spans="2:16" x14ac:dyDescent="0.2">
      <c r="B402" s="351" t="s">
        <v>1739</v>
      </c>
      <c r="C402" s="351" t="s">
        <v>1753</v>
      </c>
      <c r="D402" s="351" t="s">
        <v>1755</v>
      </c>
      <c r="E402" s="351">
        <v>86</v>
      </c>
      <c r="F402" s="351">
        <v>0.93</v>
      </c>
      <c r="G402" s="354">
        <v>1</v>
      </c>
      <c r="H402" s="354">
        <v>1</v>
      </c>
      <c r="J402" s="351">
        <v>0.96</v>
      </c>
      <c r="K402" s="354">
        <v>1</v>
      </c>
      <c r="L402" s="354">
        <v>1</v>
      </c>
      <c r="N402" s="355">
        <f t="shared" si="6"/>
        <v>-3.1249999999999889E-2</v>
      </c>
      <c r="O402" s="355">
        <f t="shared" si="6"/>
        <v>0</v>
      </c>
      <c r="P402" s="355">
        <f t="shared" si="6"/>
        <v>0</v>
      </c>
    </row>
    <row r="403" spans="2:16" x14ac:dyDescent="0.2">
      <c r="B403" s="351" t="s">
        <v>1739</v>
      </c>
      <c r="C403" s="351" t="s">
        <v>1753</v>
      </c>
      <c r="D403" s="351" t="s">
        <v>1755</v>
      </c>
      <c r="E403" s="351">
        <v>87</v>
      </c>
      <c r="F403" s="351">
        <v>0.93</v>
      </c>
      <c r="G403" s="354">
        <v>1</v>
      </c>
      <c r="H403" s="354">
        <v>1</v>
      </c>
      <c r="J403" s="351">
        <v>0.96</v>
      </c>
      <c r="K403" s="354">
        <v>1</v>
      </c>
      <c r="L403" s="354">
        <v>1</v>
      </c>
      <c r="N403" s="355">
        <f t="shared" si="6"/>
        <v>-3.1249999999999889E-2</v>
      </c>
      <c r="O403" s="355">
        <f t="shared" si="6"/>
        <v>0</v>
      </c>
      <c r="P403" s="355">
        <f t="shared" si="6"/>
        <v>0</v>
      </c>
    </row>
    <row r="404" spans="2:16" x14ac:dyDescent="0.2">
      <c r="B404" s="351" t="s">
        <v>1739</v>
      </c>
      <c r="C404" s="351" t="s">
        <v>1753</v>
      </c>
      <c r="D404" s="351" t="s">
        <v>1755</v>
      </c>
      <c r="E404" s="351">
        <v>88</v>
      </c>
      <c r="F404" s="351">
        <v>0.93</v>
      </c>
      <c r="G404" s="354">
        <v>1</v>
      </c>
      <c r="H404" s="354">
        <v>1</v>
      </c>
      <c r="J404" s="351">
        <v>0.96</v>
      </c>
      <c r="K404" s="354">
        <v>1</v>
      </c>
      <c r="L404" s="354">
        <v>1</v>
      </c>
      <c r="N404" s="355">
        <f t="shared" si="6"/>
        <v>-3.1249999999999889E-2</v>
      </c>
      <c r="O404" s="355">
        <f t="shared" si="6"/>
        <v>0</v>
      </c>
      <c r="P404" s="355">
        <f t="shared" si="6"/>
        <v>0</v>
      </c>
    </row>
    <row r="405" spans="2:16" x14ac:dyDescent="0.2">
      <c r="B405" s="351" t="s">
        <v>1739</v>
      </c>
      <c r="C405" s="351" t="s">
        <v>1753</v>
      </c>
      <c r="D405" s="351" t="s">
        <v>1755</v>
      </c>
      <c r="E405" s="351">
        <v>89</v>
      </c>
      <c r="F405" s="351">
        <v>0.93</v>
      </c>
      <c r="G405" s="354">
        <v>1</v>
      </c>
      <c r="H405" s="354">
        <v>1</v>
      </c>
      <c r="J405" s="351">
        <v>0.96</v>
      </c>
      <c r="K405" s="354">
        <v>1</v>
      </c>
      <c r="L405" s="354">
        <v>1</v>
      </c>
      <c r="N405" s="355">
        <f t="shared" si="6"/>
        <v>-3.1249999999999889E-2</v>
      </c>
      <c r="O405" s="355">
        <f t="shared" si="6"/>
        <v>0</v>
      </c>
      <c r="P405" s="355">
        <f t="shared" si="6"/>
        <v>0</v>
      </c>
    </row>
    <row r="406" spans="2:16" x14ac:dyDescent="0.2">
      <c r="B406" s="351" t="s">
        <v>1739</v>
      </c>
      <c r="C406" s="351" t="s">
        <v>1753</v>
      </c>
      <c r="D406" s="351" t="s">
        <v>1755</v>
      </c>
      <c r="E406" s="351">
        <v>90</v>
      </c>
      <c r="F406" s="351">
        <v>0.93</v>
      </c>
      <c r="G406" s="354">
        <v>1</v>
      </c>
      <c r="H406" s="354">
        <v>1</v>
      </c>
      <c r="J406" s="351">
        <v>0.96</v>
      </c>
      <c r="K406" s="354">
        <v>1</v>
      </c>
      <c r="L406" s="354">
        <v>1</v>
      </c>
      <c r="N406" s="355">
        <f t="shared" si="6"/>
        <v>-3.1249999999999889E-2</v>
      </c>
      <c r="O406" s="355">
        <f t="shared" si="6"/>
        <v>0</v>
      </c>
      <c r="P406" s="355">
        <f t="shared" si="6"/>
        <v>0</v>
      </c>
    </row>
    <row r="407" spans="2:16" x14ac:dyDescent="0.2">
      <c r="B407" s="351" t="s">
        <v>1739</v>
      </c>
      <c r="C407" s="351" t="s">
        <v>1753</v>
      </c>
      <c r="D407" s="351" t="s">
        <v>1755</v>
      </c>
      <c r="E407" s="351">
        <v>91</v>
      </c>
      <c r="F407" s="351">
        <v>0.93</v>
      </c>
      <c r="G407" s="354">
        <v>1</v>
      </c>
      <c r="H407" s="354">
        <v>1</v>
      </c>
      <c r="J407" s="351">
        <v>0.96</v>
      </c>
      <c r="K407" s="354">
        <v>1</v>
      </c>
      <c r="L407" s="354">
        <v>1</v>
      </c>
      <c r="N407" s="355">
        <f t="shared" si="6"/>
        <v>-3.1249999999999889E-2</v>
      </c>
      <c r="O407" s="355">
        <f t="shared" si="6"/>
        <v>0</v>
      </c>
      <c r="P407" s="355">
        <f t="shared" si="6"/>
        <v>0</v>
      </c>
    </row>
    <row r="408" spans="2:16" x14ac:dyDescent="0.2">
      <c r="B408" s="351" t="s">
        <v>1739</v>
      </c>
      <c r="C408" s="351" t="s">
        <v>1753</v>
      </c>
      <c r="D408" s="351" t="s">
        <v>1755</v>
      </c>
      <c r="E408" s="351">
        <v>92</v>
      </c>
      <c r="F408" s="351">
        <v>0.93</v>
      </c>
      <c r="G408" s="354">
        <v>1</v>
      </c>
      <c r="H408" s="354">
        <v>1</v>
      </c>
      <c r="J408" s="351">
        <v>0.96</v>
      </c>
      <c r="K408" s="354">
        <v>1</v>
      </c>
      <c r="L408" s="354">
        <v>1</v>
      </c>
      <c r="N408" s="355">
        <f t="shared" si="6"/>
        <v>-3.1249999999999889E-2</v>
      </c>
      <c r="O408" s="355">
        <f t="shared" si="6"/>
        <v>0</v>
      </c>
      <c r="P408" s="355">
        <f t="shared" si="6"/>
        <v>0</v>
      </c>
    </row>
    <row r="409" spans="2:16" x14ac:dyDescent="0.2">
      <c r="B409" s="351" t="s">
        <v>1739</v>
      </c>
      <c r="C409" s="351" t="s">
        <v>1753</v>
      </c>
      <c r="D409" s="351" t="s">
        <v>1755</v>
      </c>
      <c r="E409" s="351">
        <v>93</v>
      </c>
      <c r="F409" s="351">
        <v>0.93</v>
      </c>
      <c r="G409" s="354">
        <v>1</v>
      </c>
      <c r="H409" s="354">
        <v>1</v>
      </c>
      <c r="J409" s="351">
        <v>0.96</v>
      </c>
      <c r="K409" s="354">
        <v>1</v>
      </c>
      <c r="L409" s="354">
        <v>1</v>
      </c>
      <c r="N409" s="355">
        <f t="shared" si="6"/>
        <v>-3.1249999999999889E-2</v>
      </c>
      <c r="O409" s="355">
        <f t="shared" si="6"/>
        <v>0</v>
      </c>
      <c r="P409" s="355">
        <f t="shared" si="6"/>
        <v>0</v>
      </c>
    </row>
    <row r="410" spans="2:16" x14ac:dyDescent="0.2">
      <c r="B410" s="351" t="s">
        <v>1739</v>
      </c>
      <c r="C410" s="351" t="s">
        <v>1753</v>
      </c>
      <c r="D410" s="351" t="s">
        <v>1755</v>
      </c>
      <c r="E410" s="351">
        <v>94</v>
      </c>
      <c r="F410" s="351">
        <v>0.93</v>
      </c>
      <c r="G410" s="354">
        <v>1</v>
      </c>
      <c r="H410" s="354">
        <v>1</v>
      </c>
      <c r="J410" s="351">
        <v>0.96</v>
      </c>
      <c r="K410" s="354">
        <v>1</v>
      </c>
      <c r="L410" s="354">
        <v>1</v>
      </c>
      <c r="N410" s="355">
        <f t="shared" si="6"/>
        <v>-3.1249999999999889E-2</v>
      </c>
      <c r="O410" s="355">
        <f t="shared" si="6"/>
        <v>0</v>
      </c>
      <c r="P410" s="355">
        <f t="shared" si="6"/>
        <v>0</v>
      </c>
    </row>
    <row r="411" spans="2:16" x14ac:dyDescent="0.2">
      <c r="B411" s="351" t="s">
        <v>1739</v>
      </c>
      <c r="C411" s="351" t="s">
        <v>1753</v>
      </c>
      <c r="D411" s="351" t="s">
        <v>1755</v>
      </c>
      <c r="E411" s="351">
        <v>95</v>
      </c>
      <c r="F411" s="351">
        <v>0.93</v>
      </c>
      <c r="G411" s="354">
        <v>1</v>
      </c>
      <c r="H411" s="354">
        <v>1</v>
      </c>
      <c r="J411" s="351">
        <v>0.96</v>
      </c>
      <c r="K411" s="354">
        <v>1</v>
      </c>
      <c r="L411" s="354">
        <v>1</v>
      </c>
      <c r="N411" s="355">
        <f t="shared" si="6"/>
        <v>-3.1249999999999889E-2</v>
      </c>
      <c r="O411" s="355">
        <f t="shared" si="6"/>
        <v>0</v>
      </c>
      <c r="P411" s="355">
        <f t="shared" si="6"/>
        <v>0</v>
      </c>
    </row>
    <row r="412" spans="2:16" x14ac:dyDescent="0.2">
      <c r="B412" s="351" t="s">
        <v>1739</v>
      </c>
      <c r="C412" s="351" t="s">
        <v>1753</v>
      </c>
      <c r="D412" s="351" t="s">
        <v>1755</v>
      </c>
      <c r="E412" s="351">
        <v>96</v>
      </c>
      <c r="F412" s="351">
        <v>0.93</v>
      </c>
      <c r="G412" s="354">
        <v>1</v>
      </c>
      <c r="H412" s="354">
        <v>1</v>
      </c>
      <c r="J412" s="351">
        <v>0.96</v>
      </c>
      <c r="K412" s="354">
        <v>1</v>
      </c>
      <c r="L412" s="354">
        <v>1</v>
      </c>
      <c r="N412" s="355">
        <f t="shared" si="6"/>
        <v>-3.1249999999999889E-2</v>
      </c>
      <c r="O412" s="355">
        <f t="shared" si="6"/>
        <v>0</v>
      </c>
      <c r="P412" s="355">
        <f t="shared" si="6"/>
        <v>0</v>
      </c>
    </row>
    <row r="413" spans="2:16" x14ac:dyDescent="0.2">
      <c r="B413" s="351" t="s">
        <v>1739</v>
      </c>
      <c r="C413" s="351" t="s">
        <v>1753</v>
      </c>
      <c r="D413" s="351" t="s">
        <v>1755</v>
      </c>
      <c r="E413" s="351">
        <v>97</v>
      </c>
      <c r="F413" s="351">
        <v>0.93</v>
      </c>
      <c r="G413" s="354">
        <v>1</v>
      </c>
      <c r="H413" s="354">
        <v>1</v>
      </c>
      <c r="J413" s="351">
        <v>0.96</v>
      </c>
      <c r="K413" s="354">
        <v>1</v>
      </c>
      <c r="L413" s="354">
        <v>1</v>
      </c>
      <c r="N413" s="355">
        <f t="shared" si="6"/>
        <v>-3.1249999999999889E-2</v>
      </c>
      <c r="O413" s="355">
        <f t="shared" si="6"/>
        <v>0</v>
      </c>
      <c r="P413" s="355">
        <f t="shared" si="6"/>
        <v>0</v>
      </c>
    </row>
    <row r="414" spans="2:16" x14ac:dyDescent="0.2">
      <c r="B414" s="351" t="s">
        <v>1739</v>
      </c>
      <c r="C414" s="351" t="s">
        <v>1753</v>
      </c>
      <c r="D414" s="351" t="s">
        <v>1755</v>
      </c>
      <c r="E414" s="351">
        <v>98</v>
      </c>
      <c r="F414" s="351">
        <v>0.93</v>
      </c>
      <c r="G414" s="354">
        <v>1</v>
      </c>
      <c r="H414" s="354">
        <v>1</v>
      </c>
      <c r="J414" s="351">
        <v>0.96</v>
      </c>
      <c r="K414" s="354">
        <v>1</v>
      </c>
      <c r="L414" s="354">
        <v>1</v>
      </c>
      <c r="N414" s="355">
        <f t="shared" si="6"/>
        <v>-3.1249999999999889E-2</v>
      </c>
      <c r="O414" s="355">
        <f t="shared" si="6"/>
        <v>0</v>
      </c>
      <c r="P414" s="355">
        <f t="shared" si="6"/>
        <v>0</v>
      </c>
    </row>
    <row r="415" spans="2:16" x14ac:dyDescent="0.2">
      <c r="B415" s="351" t="s">
        <v>1739</v>
      </c>
      <c r="C415" s="351" t="s">
        <v>1753</v>
      </c>
      <c r="D415" s="351" t="s">
        <v>1755</v>
      </c>
      <c r="E415" s="351">
        <v>99</v>
      </c>
      <c r="F415" s="351">
        <v>0.93</v>
      </c>
      <c r="G415" s="354">
        <v>1</v>
      </c>
      <c r="H415" s="354">
        <v>1</v>
      </c>
      <c r="J415" s="351">
        <v>0.96</v>
      </c>
      <c r="K415" s="354">
        <v>1</v>
      </c>
      <c r="L415" s="354">
        <v>1</v>
      </c>
      <c r="N415" s="355">
        <f t="shared" si="6"/>
        <v>-3.1249999999999889E-2</v>
      </c>
      <c r="O415" s="355">
        <f t="shared" si="6"/>
        <v>0</v>
      </c>
      <c r="P415" s="355">
        <f t="shared" si="6"/>
        <v>0</v>
      </c>
    </row>
    <row r="416" spans="2:16" x14ac:dyDescent="0.2">
      <c r="B416" s="351" t="s">
        <v>1739</v>
      </c>
      <c r="C416" s="351" t="s">
        <v>1753</v>
      </c>
      <c r="D416" s="351" t="s">
        <v>1755</v>
      </c>
      <c r="E416" s="351">
        <v>100</v>
      </c>
      <c r="F416" s="351">
        <v>0.93</v>
      </c>
      <c r="G416" s="354">
        <v>1</v>
      </c>
      <c r="H416" s="354">
        <v>1</v>
      </c>
      <c r="J416" s="351">
        <v>0.96</v>
      </c>
      <c r="K416" s="354">
        <v>1</v>
      </c>
      <c r="L416" s="354">
        <v>1</v>
      </c>
      <c r="N416" s="355">
        <f t="shared" si="6"/>
        <v>-3.1249999999999889E-2</v>
      </c>
      <c r="O416" s="355">
        <f t="shared" si="6"/>
        <v>0</v>
      </c>
      <c r="P416" s="355">
        <f t="shared" si="6"/>
        <v>0</v>
      </c>
    </row>
    <row r="417" spans="2:16" x14ac:dyDescent="0.2">
      <c r="B417" s="351" t="s">
        <v>1740</v>
      </c>
      <c r="C417" s="351" t="s">
        <v>1753</v>
      </c>
      <c r="D417" s="351" t="s">
        <v>1754</v>
      </c>
      <c r="E417" s="351">
        <v>0</v>
      </c>
      <c r="F417" s="351">
        <v>0.89</v>
      </c>
      <c r="G417" s="354">
        <v>1.01</v>
      </c>
      <c r="H417" s="354">
        <v>2.5</v>
      </c>
      <c r="J417" s="351">
        <v>0.94</v>
      </c>
      <c r="K417" s="351">
        <v>1.01</v>
      </c>
      <c r="L417" s="354">
        <v>2.5</v>
      </c>
      <c r="N417" s="355">
        <f t="shared" si="6"/>
        <v>-5.3191489361702038E-2</v>
      </c>
      <c r="O417" s="355">
        <f t="shared" si="6"/>
        <v>0</v>
      </c>
      <c r="P417" s="355">
        <f t="shared" si="6"/>
        <v>0</v>
      </c>
    </row>
    <row r="418" spans="2:16" x14ac:dyDescent="0.2">
      <c r="B418" s="351" t="s">
        <v>1740</v>
      </c>
      <c r="C418" s="351" t="s">
        <v>1753</v>
      </c>
      <c r="D418" s="351" t="s">
        <v>1754</v>
      </c>
      <c r="E418" s="351">
        <v>1</v>
      </c>
      <c r="F418" s="351">
        <v>0.89</v>
      </c>
      <c r="G418" s="354">
        <v>1.01</v>
      </c>
      <c r="H418" s="354">
        <v>2.4</v>
      </c>
      <c r="J418" s="351">
        <v>0.94</v>
      </c>
      <c r="K418" s="351">
        <v>1.01</v>
      </c>
      <c r="L418" s="354">
        <v>2.5</v>
      </c>
      <c r="N418" s="355">
        <f t="shared" si="6"/>
        <v>-5.3191489361702038E-2</v>
      </c>
      <c r="O418" s="355">
        <f t="shared" si="6"/>
        <v>0</v>
      </c>
      <c r="P418" s="355">
        <f t="shared" si="6"/>
        <v>-4.0000000000000036E-2</v>
      </c>
    </row>
    <row r="419" spans="2:16" x14ac:dyDescent="0.2">
      <c r="B419" s="351" t="s">
        <v>1740</v>
      </c>
      <c r="C419" s="351" t="s">
        <v>1753</v>
      </c>
      <c r="D419" s="351" t="s">
        <v>1754</v>
      </c>
      <c r="E419" s="351">
        <v>2</v>
      </c>
      <c r="F419" s="351">
        <v>0.89</v>
      </c>
      <c r="G419" s="354">
        <v>1.01</v>
      </c>
      <c r="H419" s="354">
        <v>2.2999999999999998</v>
      </c>
      <c r="J419" s="351">
        <v>0.94</v>
      </c>
      <c r="K419" s="351">
        <v>1.01</v>
      </c>
      <c r="L419" s="354">
        <v>2.5</v>
      </c>
      <c r="N419" s="355">
        <f t="shared" si="6"/>
        <v>-5.3191489361702038E-2</v>
      </c>
      <c r="O419" s="355">
        <f t="shared" si="6"/>
        <v>0</v>
      </c>
      <c r="P419" s="355">
        <f t="shared" si="6"/>
        <v>-8.0000000000000071E-2</v>
      </c>
    </row>
    <row r="420" spans="2:16" x14ac:dyDescent="0.2">
      <c r="B420" s="351" t="s">
        <v>1740</v>
      </c>
      <c r="C420" s="351" t="s">
        <v>1753</v>
      </c>
      <c r="D420" s="351" t="s">
        <v>1754</v>
      </c>
      <c r="E420" s="351">
        <v>3</v>
      </c>
      <c r="F420" s="351">
        <v>0.89</v>
      </c>
      <c r="G420" s="354">
        <v>1.01</v>
      </c>
      <c r="H420" s="354">
        <v>2.2000000000000002</v>
      </c>
      <c r="J420" s="351">
        <v>0.94</v>
      </c>
      <c r="K420" s="351">
        <v>1.01</v>
      </c>
      <c r="L420" s="354">
        <v>2.5</v>
      </c>
      <c r="N420" s="355">
        <f t="shared" si="6"/>
        <v>-5.3191489361702038E-2</v>
      </c>
      <c r="O420" s="355">
        <f t="shared" si="6"/>
        <v>0</v>
      </c>
      <c r="P420" s="355">
        <f t="shared" si="6"/>
        <v>-0.11999999999999988</v>
      </c>
    </row>
    <row r="421" spans="2:16" x14ac:dyDescent="0.2">
      <c r="B421" s="351" t="s">
        <v>1740</v>
      </c>
      <c r="C421" s="351" t="s">
        <v>1753</v>
      </c>
      <c r="D421" s="351" t="s">
        <v>1754</v>
      </c>
      <c r="E421" s="351">
        <v>4</v>
      </c>
      <c r="F421" s="351">
        <v>0.89</v>
      </c>
      <c r="G421" s="354">
        <v>1.01</v>
      </c>
      <c r="H421" s="354">
        <v>2.15</v>
      </c>
      <c r="J421" s="351">
        <v>0.94</v>
      </c>
      <c r="K421" s="351">
        <v>1.01</v>
      </c>
      <c r="L421" s="354">
        <v>2.4</v>
      </c>
      <c r="N421" s="355">
        <f t="shared" si="6"/>
        <v>-5.3191489361702038E-2</v>
      </c>
      <c r="O421" s="355">
        <f t="shared" si="6"/>
        <v>0</v>
      </c>
      <c r="P421" s="355">
        <f t="shared" si="6"/>
        <v>-0.10416666666666663</v>
      </c>
    </row>
    <row r="422" spans="2:16" x14ac:dyDescent="0.2">
      <c r="B422" s="351" t="s">
        <v>1740</v>
      </c>
      <c r="C422" s="351" t="s">
        <v>1753</v>
      </c>
      <c r="D422" s="351" t="s">
        <v>1754</v>
      </c>
      <c r="E422" s="351">
        <v>5</v>
      </c>
      <c r="F422" s="351">
        <v>0.89</v>
      </c>
      <c r="G422" s="354">
        <v>1.01</v>
      </c>
      <c r="H422" s="354">
        <v>2.1</v>
      </c>
      <c r="J422" s="351">
        <v>0.94</v>
      </c>
      <c r="K422" s="351">
        <v>1.01</v>
      </c>
      <c r="L422" s="354">
        <v>2.2999999999999998</v>
      </c>
      <c r="N422" s="355">
        <f t="shared" si="6"/>
        <v>-5.3191489361702038E-2</v>
      </c>
      <c r="O422" s="355">
        <f t="shared" si="6"/>
        <v>0</v>
      </c>
      <c r="P422" s="355">
        <f t="shared" si="6"/>
        <v>-8.6956521739130377E-2</v>
      </c>
    </row>
    <row r="423" spans="2:16" x14ac:dyDescent="0.2">
      <c r="B423" s="351" t="s">
        <v>1740</v>
      </c>
      <c r="C423" s="351" t="s">
        <v>1753</v>
      </c>
      <c r="D423" s="351" t="s">
        <v>1754</v>
      </c>
      <c r="E423" s="351">
        <v>6</v>
      </c>
      <c r="F423" s="351">
        <v>0.89</v>
      </c>
      <c r="G423" s="354">
        <v>1.01</v>
      </c>
      <c r="H423" s="354">
        <v>2.0499999999999998</v>
      </c>
      <c r="J423" s="351">
        <v>0.94</v>
      </c>
      <c r="K423" s="351">
        <v>1.01</v>
      </c>
      <c r="L423" s="354">
        <v>2.2000000000000002</v>
      </c>
      <c r="N423" s="355">
        <f t="shared" si="6"/>
        <v>-5.3191489361702038E-2</v>
      </c>
      <c r="O423" s="355">
        <f t="shared" si="6"/>
        <v>0</v>
      </c>
      <c r="P423" s="355">
        <f t="shared" si="6"/>
        <v>-6.8181818181818343E-2</v>
      </c>
    </row>
    <row r="424" spans="2:16" x14ac:dyDescent="0.2">
      <c r="B424" s="351" t="s">
        <v>1740</v>
      </c>
      <c r="C424" s="351" t="s">
        <v>1753</v>
      </c>
      <c r="D424" s="351" t="s">
        <v>1754</v>
      </c>
      <c r="E424" s="351">
        <v>7</v>
      </c>
      <c r="F424" s="351">
        <v>0.89</v>
      </c>
      <c r="G424" s="354">
        <v>1.01</v>
      </c>
      <c r="H424" s="354">
        <v>2</v>
      </c>
      <c r="J424" s="351">
        <v>0.94</v>
      </c>
      <c r="K424" s="351">
        <v>1.01</v>
      </c>
      <c r="L424" s="354">
        <v>2.1</v>
      </c>
      <c r="N424" s="355">
        <f t="shared" si="6"/>
        <v>-5.3191489361702038E-2</v>
      </c>
      <c r="O424" s="355">
        <f t="shared" si="6"/>
        <v>0</v>
      </c>
      <c r="P424" s="355">
        <f t="shared" si="6"/>
        <v>-4.7619047619047672E-2</v>
      </c>
    </row>
    <row r="425" spans="2:16" x14ac:dyDescent="0.2">
      <c r="B425" s="351" t="s">
        <v>1740</v>
      </c>
      <c r="C425" s="351" t="s">
        <v>1753</v>
      </c>
      <c r="D425" s="351" t="s">
        <v>1754</v>
      </c>
      <c r="E425" s="351">
        <v>8</v>
      </c>
      <c r="F425" s="351">
        <v>0.89</v>
      </c>
      <c r="G425" s="354">
        <v>1.01</v>
      </c>
      <c r="H425" s="354">
        <v>1.95</v>
      </c>
      <c r="J425" s="351">
        <v>0.94</v>
      </c>
      <c r="K425" s="351">
        <v>1.01</v>
      </c>
      <c r="L425" s="354">
        <v>2.0499999999999998</v>
      </c>
      <c r="N425" s="355">
        <f t="shared" si="6"/>
        <v>-5.3191489361702038E-2</v>
      </c>
      <c r="O425" s="355">
        <f t="shared" si="6"/>
        <v>0</v>
      </c>
      <c r="P425" s="355">
        <f t="shared" si="6"/>
        <v>-4.8780487804877981E-2</v>
      </c>
    </row>
    <row r="426" spans="2:16" x14ac:dyDescent="0.2">
      <c r="B426" s="351" t="s">
        <v>1740</v>
      </c>
      <c r="C426" s="351" t="s">
        <v>1753</v>
      </c>
      <c r="D426" s="351" t="s">
        <v>1754</v>
      </c>
      <c r="E426" s="351">
        <v>9</v>
      </c>
      <c r="F426" s="351">
        <v>0.89</v>
      </c>
      <c r="G426" s="354">
        <v>1.01</v>
      </c>
      <c r="H426" s="354">
        <v>1.9</v>
      </c>
      <c r="J426" s="351">
        <v>0.94</v>
      </c>
      <c r="K426" s="351">
        <v>1.01</v>
      </c>
      <c r="L426" s="354">
        <v>2</v>
      </c>
      <c r="N426" s="355">
        <f t="shared" si="6"/>
        <v>-5.3191489361702038E-2</v>
      </c>
      <c r="O426" s="355">
        <f t="shared" si="6"/>
        <v>0</v>
      </c>
      <c r="P426" s="355">
        <f t="shared" si="6"/>
        <v>-5.0000000000000044E-2</v>
      </c>
    </row>
    <row r="427" spans="2:16" x14ac:dyDescent="0.2">
      <c r="B427" s="351" t="s">
        <v>1740</v>
      </c>
      <c r="C427" s="351" t="s">
        <v>1753</v>
      </c>
      <c r="D427" s="351" t="s">
        <v>1754</v>
      </c>
      <c r="E427" s="351">
        <v>10</v>
      </c>
      <c r="F427" s="351">
        <v>0.89</v>
      </c>
      <c r="G427" s="354">
        <v>1.01</v>
      </c>
      <c r="H427" s="354">
        <v>1.85</v>
      </c>
      <c r="J427" s="351">
        <v>0.94</v>
      </c>
      <c r="K427" s="351">
        <v>1.01</v>
      </c>
      <c r="L427" s="354">
        <v>1.9</v>
      </c>
      <c r="N427" s="355">
        <f t="shared" si="6"/>
        <v>-5.3191489361702038E-2</v>
      </c>
      <c r="O427" s="355">
        <f t="shared" si="6"/>
        <v>0</v>
      </c>
      <c r="P427" s="355">
        <f t="shared" si="6"/>
        <v>-2.631578947368407E-2</v>
      </c>
    </row>
    <row r="428" spans="2:16" x14ac:dyDescent="0.2">
      <c r="B428" s="351" t="s">
        <v>1740</v>
      </c>
      <c r="C428" s="351" t="s">
        <v>1753</v>
      </c>
      <c r="D428" s="351" t="s">
        <v>1754</v>
      </c>
      <c r="E428" s="351">
        <v>11</v>
      </c>
      <c r="F428" s="351">
        <v>0.89</v>
      </c>
      <c r="G428" s="354">
        <v>1.01</v>
      </c>
      <c r="H428" s="354">
        <v>1.8</v>
      </c>
      <c r="J428" s="351">
        <v>0.94</v>
      </c>
      <c r="K428" s="351">
        <v>1.01</v>
      </c>
      <c r="L428" s="354">
        <v>1.85</v>
      </c>
      <c r="N428" s="355">
        <f t="shared" si="6"/>
        <v>-5.3191489361702038E-2</v>
      </c>
      <c r="O428" s="355">
        <f t="shared" si="6"/>
        <v>0</v>
      </c>
      <c r="P428" s="355">
        <f t="shared" si="6"/>
        <v>-2.7027027027027084E-2</v>
      </c>
    </row>
    <row r="429" spans="2:16" x14ac:dyDescent="0.2">
      <c r="B429" s="351" t="s">
        <v>1740</v>
      </c>
      <c r="C429" s="351" t="s">
        <v>1753</v>
      </c>
      <c r="D429" s="351" t="s">
        <v>1754</v>
      </c>
      <c r="E429" s="351">
        <v>12</v>
      </c>
      <c r="F429" s="351">
        <v>0.89</v>
      </c>
      <c r="G429" s="354">
        <v>1.01</v>
      </c>
      <c r="H429" s="354">
        <v>1.76</v>
      </c>
      <c r="J429" s="351">
        <v>0.94</v>
      </c>
      <c r="K429" s="351">
        <v>1.01</v>
      </c>
      <c r="L429" s="354">
        <v>1.8</v>
      </c>
      <c r="N429" s="355">
        <f t="shared" si="6"/>
        <v>-5.3191489361702038E-2</v>
      </c>
      <c r="O429" s="355">
        <f t="shared" si="6"/>
        <v>0</v>
      </c>
      <c r="P429" s="355">
        <f t="shared" si="6"/>
        <v>-2.2222222222222254E-2</v>
      </c>
    </row>
    <row r="430" spans="2:16" x14ac:dyDescent="0.2">
      <c r="B430" s="351" t="s">
        <v>1740</v>
      </c>
      <c r="C430" s="351" t="s">
        <v>1753</v>
      </c>
      <c r="D430" s="351" t="s">
        <v>1754</v>
      </c>
      <c r="E430" s="351">
        <v>13</v>
      </c>
      <c r="F430" s="351">
        <v>0.89</v>
      </c>
      <c r="G430" s="354">
        <v>1.01</v>
      </c>
      <c r="H430" s="354">
        <v>1.72</v>
      </c>
      <c r="J430" s="351">
        <v>0.94</v>
      </c>
      <c r="K430" s="351">
        <v>1.01</v>
      </c>
      <c r="L430" s="354">
        <v>1.76</v>
      </c>
      <c r="N430" s="355">
        <f t="shared" si="6"/>
        <v>-5.3191489361702038E-2</v>
      </c>
      <c r="O430" s="355">
        <f t="shared" si="6"/>
        <v>0</v>
      </c>
      <c r="P430" s="355">
        <f t="shared" si="6"/>
        <v>-2.2727272727272707E-2</v>
      </c>
    </row>
    <row r="431" spans="2:16" x14ac:dyDescent="0.2">
      <c r="B431" s="351" t="s">
        <v>1740</v>
      </c>
      <c r="C431" s="351" t="s">
        <v>1753</v>
      </c>
      <c r="D431" s="351" t="s">
        <v>1754</v>
      </c>
      <c r="E431" s="351">
        <v>14</v>
      </c>
      <c r="F431" s="351">
        <v>0.89</v>
      </c>
      <c r="G431" s="354">
        <v>1.01</v>
      </c>
      <c r="H431" s="354">
        <v>1.68</v>
      </c>
      <c r="J431" s="351">
        <v>0.94</v>
      </c>
      <c r="K431" s="351">
        <v>1.01</v>
      </c>
      <c r="L431" s="354">
        <v>1.72</v>
      </c>
      <c r="N431" s="355">
        <f t="shared" si="6"/>
        <v>-5.3191489361702038E-2</v>
      </c>
      <c r="O431" s="355">
        <f t="shared" si="6"/>
        <v>0</v>
      </c>
      <c r="P431" s="355">
        <f t="shared" si="6"/>
        <v>-2.3255813953488413E-2</v>
      </c>
    </row>
    <row r="432" spans="2:16" x14ac:dyDescent="0.2">
      <c r="B432" s="351" t="s">
        <v>1740</v>
      </c>
      <c r="C432" s="351" t="s">
        <v>1753</v>
      </c>
      <c r="D432" s="351" t="s">
        <v>1754</v>
      </c>
      <c r="E432" s="351">
        <v>15</v>
      </c>
      <c r="F432" s="351">
        <v>0.89</v>
      </c>
      <c r="G432" s="354">
        <v>1.01</v>
      </c>
      <c r="H432" s="354">
        <v>1.64</v>
      </c>
      <c r="J432" s="351">
        <v>0.94</v>
      </c>
      <c r="K432" s="351">
        <v>1.01</v>
      </c>
      <c r="L432" s="354">
        <v>1.68</v>
      </c>
      <c r="N432" s="355">
        <f t="shared" si="6"/>
        <v>-5.3191489361702038E-2</v>
      </c>
      <c r="O432" s="355">
        <f t="shared" si="6"/>
        <v>0</v>
      </c>
      <c r="P432" s="355">
        <f t="shared" si="6"/>
        <v>-2.3809523809523836E-2</v>
      </c>
    </row>
    <row r="433" spans="2:16" x14ac:dyDescent="0.2">
      <c r="B433" s="351" t="s">
        <v>1740</v>
      </c>
      <c r="C433" s="351" t="s">
        <v>1753</v>
      </c>
      <c r="D433" s="351" t="s">
        <v>1754</v>
      </c>
      <c r="E433" s="351">
        <v>16</v>
      </c>
      <c r="F433" s="351">
        <v>0.89</v>
      </c>
      <c r="G433" s="354">
        <v>1.01</v>
      </c>
      <c r="H433" s="354">
        <v>1.61</v>
      </c>
      <c r="J433" s="351">
        <v>0.94</v>
      </c>
      <c r="K433" s="351">
        <v>1.01</v>
      </c>
      <c r="L433" s="354">
        <v>1.64</v>
      </c>
      <c r="N433" s="355">
        <f t="shared" si="6"/>
        <v>-5.3191489361702038E-2</v>
      </c>
      <c r="O433" s="355">
        <f t="shared" si="6"/>
        <v>0</v>
      </c>
      <c r="P433" s="355">
        <f t="shared" si="6"/>
        <v>-1.8292682926829174E-2</v>
      </c>
    </row>
    <row r="434" spans="2:16" x14ac:dyDescent="0.2">
      <c r="B434" s="351" t="s">
        <v>1740</v>
      </c>
      <c r="C434" s="351" t="s">
        <v>1753</v>
      </c>
      <c r="D434" s="351" t="s">
        <v>1754</v>
      </c>
      <c r="E434" s="351">
        <v>17</v>
      </c>
      <c r="F434" s="351">
        <v>0.89</v>
      </c>
      <c r="G434" s="354">
        <v>1.01</v>
      </c>
      <c r="H434" s="354">
        <v>1.58</v>
      </c>
      <c r="J434" s="351">
        <v>0.94</v>
      </c>
      <c r="K434" s="351">
        <v>1.01</v>
      </c>
      <c r="L434" s="354">
        <v>1.61</v>
      </c>
      <c r="N434" s="355">
        <f t="shared" si="6"/>
        <v>-5.3191489361702038E-2</v>
      </c>
      <c r="O434" s="355">
        <f t="shared" si="6"/>
        <v>0</v>
      </c>
      <c r="P434" s="355">
        <f t="shared" si="6"/>
        <v>-1.8633540372670843E-2</v>
      </c>
    </row>
    <row r="435" spans="2:16" x14ac:dyDescent="0.2">
      <c r="B435" s="351" t="s">
        <v>1740</v>
      </c>
      <c r="C435" s="351" t="s">
        <v>1753</v>
      </c>
      <c r="D435" s="351" t="s">
        <v>1754</v>
      </c>
      <c r="E435" s="351">
        <v>18</v>
      </c>
      <c r="F435" s="351">
        <v>0.89</v>
      </c>
      <c r="G435" s="354">
        <v>1.01</v>
      </c>
      <c r="H435" s="354">
        <v>1.55</v>
      </c>
      <c r="J435" s="351">
        <v>0.94</v>
      </c>
      <c r="K435" s="351">
        <v>1.01</v>
      </c>
      <c r="L435" s="354">
        <v>1.58</v>
      </c>
      <c r="N435" s="355">
        <f t="shared" si="6"/>
        <v>-5.3191489361702038E-2</v>
      </c>
      <c r="O435" s="355">
        <f t="shared" si="6"/>
        <v>0</v>
      </c>
      <c r="P435" s="355">
        <f t="shared" si="6"/>
        <v>-1.8987341772151889E-2</v>
      </c>
    </row>
    <row r="436" spans="2:16" x14ac:dyDescent="0.2">
      <c r="B436" s="351" t="s">
        <v>1740</v>
      </c>
      <c r="C436" s="351" t="s">
        <v>1753</v>
      </c>
      <c r="D436" s="351" t="s">
        <v>1754</v>
      </c>
      <c r="E436" s="351">
        <v>19</v>
      </c>
      <c r="F436" s="351">
        <v>0.89</v>
      </c>
      <c r="G436" s="354">
        <v>1.01</v>
      </c>
      <c r="H436" s="354">
        <v>1.52</v>
      </c>
      <c r="J436" s="351">
        <v>0.94</v>
      </c>
      <c r="K436" s="351">
        <v>1.01</v>
      </c>
      <c r="L436" s="354">
        <v>1.55</v>
      </c>
      <c r="N436" s="355">
        <f t="shared" si="6"/>
        <v>-5.3191489361702038E-2</v>
      </c>
      <c r="O436" s="355">
        <f t="shared" si="6"/>
        <v>0</v>
      </c>
      <c r="P436" s="355">
        <f t="shared" si="6"/>
        <v>-1.9354838709677469E-2</v>
      </c>
    </row>
    <row r="437" spans="2:16" x14ac:dyDescent="0.2">
      <c r="B437" s="351" t="s">
        <v>1740</v>
      </c>
      <c r="C437" s="351" t="s">
        <v>1753</v>
      </c>
      <c r="D437" s="351" t="s">
        <v>1754</v>
      </c>
      <c r="E437" s="351">
        <v>20</v>
      </c>
      <c r="F437" s="351">
        <v>0.89</v>
      </c>
      <c r="G437" s="354">
        <v>1.01</v>
      </c>
      <c r="H437" s="354">
        <v>1.49</v>
      </c>
      <c r="J437" s="351">
        <v>0.94</v>
      </c>
      <c r="K437" s="351">
        <v>1.01</v>
      </c>
      <c r="L437" s="354">
        <v>1.52</v>
      </c>
      <c r="N437" s="355">
        <f t="shared" si="6"/>
        <v>-5.3191489361702038E-2</v>
      </c>
      <c r="O437" s="355">
        <f t="shared" si="6"/>
        <v>0</v>
      </c>
      <c r="P437" s="355">
        <f t="shared" si="6"/>
        <v>-1.9736842105263164E-2</v>
      </c>
    </row>
    <row r="438" spans="2:16" x14ac:dyDescent="0.2">
      <c r="B438" s="351" t="s">
        <v>1740</v>
      </c>
      <c r="C438" s="351" t="s">
        <v>1753</v>
      </c>
      <c r="D438" s="351" t="s">
        <v>1754</v>
      </c>
      <c r="E438" s="351">
        <v>21</v>
      </c>
      <c r="F438" s="351">
        <v>0.89</v>
      </c>
      <c r="G438" s="354">
        <v>1.01</v>
      </c>
      <c r="H438" s="354">
        <v>1.46</v>
      </c>
      <c r="J438" s="351">
        <v>0.94</v>
      </c>
      <c r="K438" s="351">
        <v>1.01</v>
      </c>
      <c r="L438" s="354">
        <v>1.49</v>
      </c>
      <c r="N438" s="355">
        <f t="shared" si="6"/>
        <v>-5.3191489361702038E-2</v>
      </c>
      <c r="O438" s="355">
        <f t="shared" si="6"/>
        <v>0</v>
      </c>
      <c r="P438" s="355">
        <f t="shared" si="6"/>
        <v>-2.0134228187919434E-2</v>
      </c>
    </row>
    <row r="439" spans="2:16" x14ac:dyDescent="0.2">
      <c r="B439" s="351" t="s">
        <v>1740</v>
      </c>
      <c r="C439" s="351" t="s">
        <v>1753</v>
      </c>
      <c r="D439" s="351" t="s">
        <v>1754</v>
      </c>
      <c r="E439" s="351">
        <v>22</v>
      </c>
      <c r="F439" s="351">
        <v>0.89</v>
      </c>
      <c r="G439" s="354">
        <v>1.01</v>
      </c>
      <c r="H439" s="354">
        <v>1.43</v>
      </c>
      <c r="J439" s="351">
        <v>0.94</v>
      </c>
      <c r="K439" s="351">
        <v>1.01</v>
      </c>
      <c r="L439" s="354">
        <v>1.46</v>
      </c>
      <c r="N439" s="355">
        <f t="shared" si="6"/>
        <v>-5.3191489361702038E-2</v>
      </c>
      <c r="O439" s="355">
        <f t="shared" si="6"/>
        <v>0</v>
      </c>
      <c r="P439" s="355">
        <f t="shared" si="6"/>
        <v>-2.0547945205479423E-2</v>
      </c>
    </row>
    <row r="440" spans="2:16" x14ac:dyDescent="0.2">
      <c r="B440" s="351" t="s">
        <v>1740</v>
      </c>
      <c r="C440" s="351" t="s">
        <v>1753</v>
      </c>
      <c r="D440" s="351" t="s">
        <v>1754</v>
      </c>
      <c r="E440" s="351">
        <v>23</v>
      </c>
      <c r="F440" s="351">
        <v>0.89</v>
      </c>
      <c r="G440" s="354">
        <v>1.01</v>
      </c>
      <c r="H440" s="354">
        <v>1.4</v>
      </c>
      <c r="J440" s="351">
        <v>0.94</v>
      </c>
      <c r="K440" s="351">
        <v>1.01</v>
      </c>
      <c r="L440" s="354">
        <v>1.43</v>
      </c>
      <c r="N440" s="355">
        <f t="shared" si="6"/>
        <v>-5.3191489361702038E-2</v>
      </c>
      <c r="O440" s="355">
        <f t="shared" si="6"/>
        <v>0</v>
      </c>
      <c r="P440" s="355">
        <f t="shared" si="6"/>
        <v>-2.0979020979021046E-2</v>
      </c>
    </row>
    <row r="441" spans="2:16" x14ac:dyDescent="0.2">
      <c r="B441" s="351" t="s">
        <v>1740</v>
      </c>
      <c r="C441" s="351" t="s">
        <v>1753</v>
      </c>
      <c r="D441" s="351" t="s">
        <v>1754</v>
      </c>
      <c r="E441" s="351">
        <v>24</v>
      </c>
      <c r="F441" s="351">
        <v>0.89</v>
      </c>
      <c r="G441" s="354">
        <v>1.01</v>
      </c>
      <c r="H441" s="354">
        <v>1.38</v>
      </c>
      <c r="J441" s="351">
        <v>0.94</v>
      </c>
      <c r="K441" s="351">
        <v>1.01</v>
      </c>
      <c r="L441" s="354">
        <v>1.4</v>
      </c>
      <c r="N441" s="355">
        <f t="shared" si="6"/>
        <v>-5.3191489361702038E-2</v>
      </c>
      <c r="O441" s="355">
        <f t="shared" si="6"/>
        <v>0</v>
      </c>
      <c r="P441" s="355">
        <f t="shared" si="6"/>
        <v>-1.4285714285714346E-2</v>
      </c>
    </row>
    <row r="442" spans="2:16" x14ac:dyDescent="0.2">
      <c r="B442" s="351" t="s">
        <v>1740</v>
      </c>
      <c r="C442" s="351" t="s">
        <v>1753</v>
      </c>
      <c r="D442" s="351" t="s">
        <v>1754</v>
      </c>
      <c r="E442" s="351">
        <v>25</v>
      </c>
      <c r="F442" s="351">
        <v>0.89</v>
      </c>
      <c r="G442" s="354">
        <v>1.01</v>
      </c>
      <c r="H442" s="354">
        <v>1.36</v>
      </c>
      <c r="J442" s="351">
        <v>0.94</v>
      </c>
      <c r="K442" s="351">
        <v>1.01</v>
      </c>
      <c r="L442" s="354">
        <v>1.38</v>
      </c>
      <c r="N442" s="355">
        <f t="shared" si="6"/>
        <v>-5.3191489361702038E-2</v>
      </c>
      <c r="O442" s="355">
        <f t="shared" si="6"/>
        <v>0</v>
      </c>
      <c r="P442" s="355">
        <f t="shared" si="6"/>
        <v>-1.4492753623188248E-2</v>
      </c>
    </row>
    <row r="443" spans="2:16" x14ac:dyDescent="0.2">
      <c r="B443" s="351" t="s">
        <v>1740</v>
      </c>
      <c r="C443" s="351" t="s">
        <v>1753</v>
      </c>
      <c r="D443" s="351" t="s">
        <v>1754</v>
      </c>
      <c r="E443" s="351">
        <v>26</v>
      </c>
      <c r="F443" s="351">
        <v>0.89</v>
      </c>
      <c r="G443" s="354">
        <v>1.01</v>
      </c>
      <c r="H443" s="354">
        <v>1.34</v>
      </c>
      <c r="J443" s="351">
        <v>0.94</v>
      </c>
      <c r="K443" s="351">
        <v>1.01</v>
      </c>
      <c r="L443" s="354">
        <v>1.36</v>
      </c>
      <c r="N443" s="355">
        <f t="shared" si="6"/>
        <v>-5.3191489361702038E-2</v>
      </c>
      <c r="O443" s="355">
        <f t="shared" si="6"/>
        <v>0</v>
      </c>
      <c r="P443" s="355">
        <f t="shared" si="6"/>
        <v>-1.4705882352941235E-2</v>
      </c>
    </row>
    <row r="444" spans="2:16" x14ac:dyDescent="0.2">
      <c r="B444" s="351" t="s">
        <v>1740</v>
      </c>
      <c r="C444" s="351" t="s">
        <v>1753</v>
      </c>
      <c r="D444" s="351" t="s">
        <v>1754</v>
      </c>
      <c r="E444" s="351">
        <v>27</v>
      </c>
      <c r="F444" s="351">
        <v>0.89</v>
      </c>
      <c r="G444" s="354">
        <v>1.01</v>
      </c>
      <c r="H444" s="354">
        <v>1.32</v>
      </c>
      <c r="J444" s="351">
        <v>0.94</v>
      </c>
      <c r="K444" s="351">
        <v>1.01</v>
      </c>
      <c r="L444" s="354">
        <v>1.34</v>
      </c>
      <c r="N444" s="355">
        <f t="shared" si="6"/>
        <v>-5.3191489361702038E-2</v>
      </c>
      <c r="O444" s="355">
        <f t="shared" si="6"/>
        <v>0</v>
      </c>
      <c r="P444" s="355">
        <f t="shared" si="6"/>
        <v>-1.4925373134328401E-2</v>
      </c>
    </row>
    <row r="445" spans="2:16" x14ac:dyDescent="0.2">
      <c r="B445" s="351" t="s">
        <v>1740</v>
      </c>
      <c r="C445" s="351" t="s">
        <v>1753</v>
      </c>
      <c r="D445" s="351" t="s">
        <v>1754</v>
      </c>
      <c r="E445" s="351">
        <v>28</v>
      </c>
      <c r="F445" s="351">
        <v>0.89</v>
      </c>
      <c r="G445" s="354">
        <v>1.01</v>
      </c>
      <c r="H445" s="354">
        <v>1.3</v>
      </c>
      <c r="J445" s="351">
        <v>0.94</v>
      </c>
      <c r="K445" s="351">
        <v>1.01</v>
      </c>
      <c r="L445" s="354">
        <v>1.32</v>
      </c>
      <c r="N445" s="355">
        <f t="shared" si="6"/>
        <v>-5.3191489361702038E-2</v>
      </c>
      <c r="O445" s="355">
        <f t="shared" si="6"/>
        <v>0</v>
      </c>
      <c r="P445" s="355">
        <f t="shared" si="6"/>
        <v>-1.5151515151515138E-2</v>
      </c>
    </row>
    <row r="446" spans="2:16" x14ac:dyDescent="0.2">
      <c r="B446" s="351" t="s">
        <v>1740</v>
      </c>
      <c r="C446" s="351" t="s">
        <v>1753</v>
      </c>
      <c r="D446" s="351" t="s">
        <v>1754</v>
      </c>
      <c r="E446" s="351">
        <v>29</v>
      </c>
      <c r="F446" s="351">
        <v>0.89</v>
      </c>
      <c r="G446" s="354">
        <v>1.01</v>
      </c>
      <c r="H446" s="354">
        <v>1.28</v>
      </c>
      <c r="J446" s="351">
        <v>0.94</v>
      </c>
      <c r="K446" s="351">
        <v>1.01</v>
      </c>
      <c r="L446" s="354">
        <v>1.3</v>
      </c>
      <c r="N446" s="355">
        <f t="shared" si="6"/>
        <v>-5.3191489361702038E-2</v>
      </c>
      <c r="O446" s="355">
        <f t="shared" si="6"/>
        <v>0</v>
      </c>
      <c r="P446" s="355">
        <f t="shared" si="6"/>
        <v>-1.5384615384615441E-2</v>
      </c>
    </row>
    <row r="447" spans="2:16" x14ac:dyDescent="0.2">
      <c r="B447" s="351" t="s">
        <v>1740</v>
      </c>
      <c r="C447" s="351" t="s">
        <v>1753</v>
      </c>
      <c r="D447" s="351" t="s">
        <v>1754</v>
      </c>
      <c r="E447" s="351">
        <v>30</v>
      </c>
      <c r="F447" s="351">
        <v>0.89</v>
      </c>
      <c r="G447" s="354">
        <v>1.01</v>
      </c>
      <c r="H447" s="354">
        <v>1.27</v>
      </c>
      <c r="J447" s="351">
        <v>0.94</v>
      </c>
      <c r="K447" s="351">
        <v>1.01</v>
      </c>
      <c r="L447" s="354">
        <v>1.28</v>
      </c>
      <c r="N447" s="355">
        <f t="shared" si="6"/>
        <v>-5.3191489361702038E-2</v>
      </c>
      <c r="O447" s="355">
        <f t="shared" si="6"/>
        <v>0</v>
      </c>
      <c r="P447" s="355">
        <f t="shared" si="6"/>
        <v>-7.8125E-3</v>
      </c>
    </row>
    <row r="448" spans="2:16" x14ac:dyDescent="0.2">
      <c r="B448" s="351" t="s">
        <v>1740</v>
      </c>
      <c r="C448" s="351" t="s">
        <v>1753</v>
      </c>
      <c r="D448" s="351" t="s">
        <v>1754</v>
      </c>
      <c r="E448" s="351">
        <v>31</v>
      </c>
      <c r="F448" s="351">
        <v>0.89</v>
      </c>
      <c r="G448" s="354">
        <v>1.01</v>
      </c>
      <c r="H448" s="354">
        <v>1.26</v>
      </c>
      <c r="J448" s="351">
        <v>0.94</v>
      </c>
      <c r="K448" s="351">
        <v>1.01</v>
      </c>
      <c r="L448" s="354">
        <v>1.27</v>
      </c>
      <c r="N448" s="355">
        <f t="shared" si="6"/>
        <v>-5.3191489361702038E-2</v>
      </c>
      <c r="O448" s="355">
        <f t="shared" si="6"/>
        <v>0</v>
      </c>
      <c r="P448" s="355">
        <f t="shared" si="6"/>
        <v>-7.8740157480314821E-3</v>
      </c>
    </row>
    <row r="449" spans="2:16" x14ac:dyDescent="0.2">
      <c r="B449" s="351" t="s">
        <v>1740</v>
      </c>
      <c r="C449" s="351" t="s">
        <v>1753</v>
      </c>
      <c r="D449" s="351" t="s">
        <v>1754</v>
      </c>
      <c r="E449" s="351">
        <v>32</v>
      </c>
      <c r="F449" s="351">
        <v>0.89</v>
      </c>
      <c r="G449" s="354">
        <v>1.01</v>
      </c>
      <c r="H449" s="354">
        <v>1.25</v>
      </c>
      <c r="J449" s="351">
        <v>0.94</v>
      </c>
      <c r="K449" s="351">
        <v>1.01</v>
      </c>
      <c r="L449" s="354">
        <v>1.26</v>
      </c>
      <c r="N449" s="355">
        <f t="shared" si="6"/>
        <v>-5.3191489361702038E-2</v>
      </c>
      <c r="O449" s="355">
        <f t="shared" si="6"/>
        <v>0</v>
      </c>
      <c r="P449" s="355">
        <f t="shared" si="6"/>
        <v>-7.9365079365079083E-3</v>
      </c>
    </row>
    <row r="450" spans="2:16" x14ac:dyDescent="0.2">
      <c r="B450" s="351" t="s">
        <v>1740</v>
      </c>
      <c r="C450" s="351" t="s">
        <v>1753</v>
      </c>
      <c r="D450" s="351" t="s">
        <v>1754</v>
      </c>
      <c r="E450" s="351">
        <v>33</v>
      </c>
      <c r="F450" s="351">
        <v>0.89</v>
      </c>
      <c r="G450" s="354">
        <v>1.01</v>
      </c>
      <c r="H450" s="354">
        <v>1.24</v>
      </c>
      <c r="J450" s="351">
        <v>0.94</v>
      </c>
      <c r="K450" s="351">
        <v>1.01</v>
      </c>
      <c r="L450" s="354">
        <v>1.25</v>
      </c>
      <c r="N450" s="355">
        <f t="shared" si="6"/>
        <v>-5.3191489361702038E-2</v>
      </c>
      <c r="O450" s="355">
        <f t="shared" si="6"/>
        <v>0</v>
      </c>
      <c r="P450" s="355">
        <f t="shared" si="6"/>
        <v>-8.0000000000000071E-3</v>
      </c>
    </row>
    <row r="451" spans="2:16" x14ac:dyDescent="0.2">
      <c r="B451" s="351" t="s">
        <v>1740</v>
      </c>
      <c r="C451" s="351" t="s">
        <v>1753</v>
      </c>
      <c r="D451" s="351" t="s">
        <v>1754</v>
      </c>
      <c r="E451" s="351">
        <v>34</v>
      </c>
      <c r="F451" s="351">
        <v>0.89</v>
      </c>
      <c r="G451" s="354">
        <v>1.01</v>
      </c>
      <c r="H451" s="354">
        <v>1.23</v>
      </c>
      <c r="J451" s="351">
        <v>0.94</v>
      </c>
      <c r="K451" s="351">
        <v>1.01</v>
      </c>
      <c r="L451" s="354">
        <v>1.24</v>
      </c>
      <c r="N451" s="355">
        <f t="shared" si="6"/>
        <v>-5.3191489361702038E-2</v>
      </c>
      <c r="O451" s="355">
        <f t="shared" si="6"/>
        <v>0</v>
      </c>
      <c r="P451" s="355">
        <f t="shared" si="6"/>
        <v>-8.0645161290322509E-3</v>
      </c>
    </row>
    <row r="452" spans="2:16" x14ac:dyDescent="0.2">
      <c r="B452" s="351" t="s">
        <v>1740</v>
      </c>
      <c r="C452" s="351" t="s">
        <v>1753</v>
      </c>
      <c r="D452" s="351" t="s">
        <v>1754</v>
      </c>
      <c r="E452" s="351">
        <v>35</v>
      </c>
      <c r="F452" s="351">
        <v>0.89</v>
      </c>
      <c r="G452" s="354">
        <v>1.01</v>
      </c>
      <c r="H452" s="354">
        <v>1.22</v>
      </c>
      <c r="J452" s="351">
        <v>0.94</v>
      </c>
      <c r="K452" s="351">
        <v>1.01</v>
      </c>
      <c r="L452" s="354">
        <v>1.23</v>
      </c>
      <c r="N452" s="355">
        <f t="shared" si="6"/>
        <v>-5.3191489361702038E-2</v>
      </c>
      <c r="O452" s="355">
        <f t="shared" si="6"/>
        <v>0</v>
      </c>
      <c r="P452" s="355">
        <f t="shared" si="6"/>
        <v>-8.1300813008130524E-3</v>
      </c>
    </row>
    <row r="453" spans="2:16" x14ac:dyDescent="0.2">
      <c r="B453" s="351" t="s">
        <v>1740</v>
      </c>
      <c r="C453" s="351" t="s">
        <v>1753</v>
      </c>
      <c r="D453" s="351" t="s">
        <v>1754</v>
      </c>
      <c r="E453" s="351">
        <v>36</v>
      </c>
      <c r="F453" s="351">
        <v>0.89</v>
      </c>
      <c r="G453" s="354">
        <v>1.01</v>
      </c>
      <c r="H453" s="354">
        <v>1.21</v>
      </c>
      <c r="J453" s="351">
        <v>0.94</v>
      </c>
      <c r="K453" s="351">
        <v>1.01</v>
      </c>
      <c r="L453" s="354">
        <v>1.22</v>
      </c>
      <c r="N453" s="355">
        <f t="shared" si="6"/>
        <v>-5.3191489361702038E-2</v>
      </c>
      <c r="O453" s="355">
        <f t="shared" si="6"/>
        <v>0</v>
      </c>
      <c r="P453" s="355">
        <f t="shared" si="6"/>
        <v>-8.1967213114754189E-3</v>
      </c>
    </row>
    <row r="454" spans="2:16" x14ac:dyDescent="0.2">
      <c r="B454" s="351" t="s">
        <v>1740</v>
      </c>
      <c r="C454" s="351" t="s">
        <v>1753</v>
      </c>
      <c r="D454" s="351" t="s">
        <v>1754</v>
      </c>
      <c r="E454" s="351">
        <v>37</v>
      </c>
      <c r="F454" s="351">
        <v>0.89</v>
      </c>
      <c r="G454" s="354">
        <v>1.01</v>
      </c>
      <c r="H454" s="354">
        <v>1.2</v>
      </c>
      <c r="J454" s="351">
        <v>0.94</v>
      </c>
      <c r="K454" s="351">
        <v>1.01</v>
      </c>
      <c r="L454" s="354">
        <v>1.21</v>
      </c>
      <c r="N454" s="355">
        <f t="shared" si="6"/>
        <v>-5.3191489361702038E-2</v>
      </c>
      <c r="O454" s="355">
        <f t="shared" si="6"/>
        <v>0</v>
      </c>
      <c r="P454" s="355">
        <f t="shared" si="6"/>
        <v>-8.2644628099173278E-3</v>
      </c>
    </row>
    <row r="455" spans="2:16" x14ac:dyDescent="0.2">
      <c r="B455" s="351" t="s">
        <v>1740</v>
      </c>
      <c r="C455" s="351" t="s">
        <v>1753</v>
      </c>
      <c r="D455" s="351" t="s">
        <v>1754</v>
      </c>
      <c r="E455" s="351">
        <v>38</v>
      </c>
      <c r="F455" s="351">
        <v>0.89</v>
      </c>
      <c r="G455" s="354">
        <v>1.01</v>
      </c>
      <c r="H455" s="354">
        <v>1.19</v>
      </c>
      <c r="J455" s="351">
        <v>0.94</v>
      </c>
      <c r="K455" s="351">
        <v>1.01</v>
      </c>
      <c r="L455" s="354">
        <v>1.2</v>
      </c>
      <c r="N455" s="355">
        <f t="shared" si="6"/>
        <v>-5.3191489361702038E-2</v>
      </c>
      <c r="O455" s="355">
        <f t="shared" si="6"/>
        <v>0</v>
      </c>
      <c r="P455" s="355">
        <f t="shared" si="6"/>
        <v>-8.3333333333333037E-3</v>
      </c>
    </row>
    <row r="456" spans="2:16" x14ac:dyDescent="0.2">
      <c r="B456" s="351" t="s">
        <v>1740</v>
      </c>
      <c r="C456" s="351" t="s">
        <v>1753</v>
      </c>
      <c r="D456" s="351" t="s">
        <v>1754</v>
      </c>
      <c r="E456" s="351">
        <v>39</v>
      </c>
      <c r="F456" s="351">
        <v>0.89</v>
      </c>
      <c r="G456" s="354">
        <v>1.01</v>
      </c>
      <c r="H456" s="354">
        <v>1.18</v>
      </c>
      <c r="J456" s="351">
        <v>0.94</v>
      </c>
      <c r="K456" s="351">
        <v>1.01</v>
      </c>
      <c r="L456" s="354">
        <v>1.19</v>
      </c>
      <c r="N456" s="355">
        <f t="shared" si="6"/>
        <v>-5.3191489361702038E-2</v>
      </c>
      <c r="O456" s="355">
        <f t="shared" si="6"/>
        <v>0</v>
      </c>
      <c r="P456" s="355">
        <f t="shared" si="6"/>
        <v>-8.4033613445377853E-3</v>
      </c>
    </row>
    <row r="457" spans="2:16" x14ac:dyDescent="0.2">
      <c r="B457" s="351" t="s">
        <v>1740</v>
      </c>
      <c r="C457" s="351" t="s">
        <v>1753</v>
      </c>
      <c r="D457" s="351" t="s">
        <v>1754</v>
      </c>
      <c r="E457" s="351">
        <v>40</v>
      </c>
      <c r="F457" s="351">
        <v>0.89</v>
      </c>
      <c r="G457" s="354">
        <v>1.01</v>
      </c>
      <c r="H457" s="354">
        <v>1.17</v>
      </c>
      <c r="J457" s="351">
        <v>0.94</v>
      </c>
      <c r="K457" s="351">
        <v>1.01</v>
      </c>
      <c r="L457" s="354">
        <v>1.18</v>
      </c>
      <c r="N457" s="355">
        <f t="shared" si="6"/>
        <v>-5.3191489361702038E-2</v>
      </c>
      <c r="O457" s="355">
        <f t="shared" si="6"/>
        <v>0</v>
      </c>
      <c r="P457" s="355">
        <f t="shared" si="6"/>
        <v>-8.4745762711864181E-3</v>
      </c>
    </row>
    <row r="458" spans="2:16" x14ac:dyDescent="0.2">
      <c r="B458" s="351" t="s">
        <v>1740</v>
      </c>
      <c r="C458" s="351" t="s">
        <v>1753</v>
      </c>
      <c r="D458" s="351" t="s">
        <v>1754</v>
      </c>
      <c r="E458" s="351">
        <v>41</v>
      </c>
      <c r="F458" s="351">
        <v>0.89</v>
      </c>
      <c r="G458" s="354">
        <v>1.01</v>
      </c>
      <c r="H458" s="354">
        <v>1.1599999999999999</v>
      </c>
      <c r="J458" s="351">
        <v>0.94</v>
      </c>
      <c r="K458" s="351">
        <v>1.01</v>
      </c>
      <c r="L458" s="354">
        <v>1.17</v>
      </c>
      <c r="N458" s="355">
        <f t="shared" si="6"/>
        <v>-5.3191489361702038E-2</v>
      </c>
      <c r="O458" s="355">
        <f t="shared" si="6"/>
        <v>0</v>
      </c>
      <c r="P458" s="355">
        <f t="shared" si="6"/>
        <v>-8.5470085470085166E-3</v>
      </c>
    </row>
    <row r="459" spans="2:16" x14ac:dyDescent="0.2">
      <c r="B459" s="351" t="s">
        <v>1740</v>
      </c>
      <c r="C459" s="351" t="s">
        <v>1753</v>
      </c>
      <c r="D459" s="351" t="s">
        <v>1754</v>
      </c>
      <c r="E459" s="351">
        <v>42</v>
      </c>
      <c r="F459" s="351">
        <v>0.89</v>
      </c>
      <c r="G459" s="354">
        <v>1.01</v>
      </c>
      <c r="H459" s="354">
        <v>1.1499999999999999</v>
      </c>
      <c r="J459" s="351">
        <v>0.94</v>
      </c>
      <c r="K459" s="351">
        <v>1.01</v>
      </c>
      <c r="L459" s="354">
        <v>1.1599999999999999</v>
      </c>
      <c r="N459" s="355">
        <f t="shared" si="6"/>
        <v>-5.3191489361702038E-2</v>
      </c>
      <c r="O459" s="355">
        <f t="shared" si="6"/>
        <v>0</v>
      </c>
      <c r="P459" s="355">
        <f t="shared" si="6"/>
        <v>-8.6206896551723755E-3</v>
      </c>
    </row>
    <row r="460" spans="2:16" x14ac:dyDescent="0.2">
      <c r="B460" s="351" t="s">
        <v>1740</v>
      </c>
      <c r="C460" s="351" t="s">
        <v>1753</v>
      </c>
      <c r="D460" s="351" t="s">
        <v>1754</v>
      </c>
      <c r="E460" s="351">
        <v>43</v>
      </c>
      <c r="F460" s="351">
        <v>0.89</v>
      </c>
      <c r="G460" s="354">
        <v>1.01</v>
      </c>
      <c r="H460" s="354">
        <v>1.1399999999999999</v>
      </c>
      <c r="J460" s="351">
        <v>0.94</v>
      </c>
      <c r="K460" s="351">
        <v>1.01</v>
      </c>
      <c r="L460" s="354">
        <v>1.1499999999999999</v>
      </c>
      <c r="N460" s="355">
        <f t="shared" si="6"/>
        <v>-5.3191489361702038E-2</v>
      </c>
      <c r="O460" s="355">
        <f t="shared" si="6"/>
        <v>0</v>
      </c>
      <c r="P460" s="355">
        <f t="shared" si="6"/>
        <v>-8.6956521739131043E-3</v>
      </c>
    </row>
    <row r="461" spans="2:16" x14ac:dyDescent="0.2">
      <c r="B461" s="351" t="s">
        <v>1740</v>
      </c>
      <c r="C461" s="351" t="s">
        <v>1753</v>
      </c>
      <c r="D461" s="351" t="s">
        <v>1754</v>
      </c>
      <c r="E461" s="351">
        <v>44</v>
      </c>
      <c r="F461" s="351">
        <v>0.89</v>
      </c>
      <c r="G461" s="354">
        <v>1.01</v>
      </c>
      <c r="H461" s="354">
        <v>1.1299999999999999</v>
      </c>
      <c r="J461" s="351">
        <v>0.94</v>
      </c>
      <c r="K461" s="351">
        <v>1.01</v>
      </c>
      <c r="L461" s="354">
        <v>1.1399999999999999</v>
      </c>
      <c r="N461" s="355">
        <f t="shared" ref="N461:P524" si="7">F461/J461-1</f>
        <v>-5.3191489361702038E-2</v>
      </c>
      <c r="O461" s="355">
        <f t="shared" si="7"/>
        <v>0</v>
      </c>
      <c r="P461" s="355">
        <f t="shared" si="7"/>
        <v>-8.7719298245614308E-3</v>
      </c>
    </row>
    <row r="462" spans="2:16" x14ac:dyDescent="0.2">
      <c r="B462" s="351" t="s">
        <v>1740</v>
      </c>
      <c r="C462" s="351" t="s">
        <v>1753</v>
      </c>
      <c r="D462" s="351" t="s">
        <v>1754</v>
      </c>
      <c r="E462" s="351">
        <v>45</v>
      </c>
      <c r="F462" s="351">
        <v>0.89</v>
      </c>
      <c r="G462" s="354">
        <v>1.01</v>
      </c>
      <c r="H462" s="354">
        <v>1.1200000000000001</v>
      </c>
      <c r="J462" s="351">
        <v>0.94</v>
      </c>
      <c r="K462" s="351">
        <v>1.01</v>
      </c>
      <c r="L462" s="354">
        <v>1.1299999999999999</v>
      </c>
      <c r="N462" s="355">
        <f t="shared" si="7"/>
        <v>-5.3191489361702038E-2</v>
      </c>
      <c r="O462" s="355">
        <f t="shared" si="7"/>
        <v>0</v>
      </c>
      <c r="P462" s="355">
        <f t="shared" si="7"/>
        <v>-8.8495575221236855E-3</v>
      </c>
    </row>
    <row r="463" spans="2:16" x14ac:dyDescent="0.2">
      <c r="B463" s="351" t="s">
        <v>1740</v>
      </c>
      <c r="C463" s="351" t="s">
        <v>1753</v>
      </c>
      <c r="D463" s="351" t="s">
        <v>1754</v>
      </c>
      <c r="E463" s="351">
        <v>46</v>
      </c>
      <c r="F463" s="351">
        <v>0.89</v>
      </c>
      <c r="G463" s="354">
        <v>1.01</v>
      </c>
      <c r="H463" s="354">
        <v>1.1100000000000001</v>
      </c>
      <c r="J463" s="351">
        <v>0.94</v>
      </c>
      <c r="K463" s="351">
        <v>1.01</v>
      </c>
      <c r="L463" s="354">
        <v>1.1200000000000001</v>
      </c>
      <c r="N463" s="355">
        <f t="shared" si="7"/>
        <v>-5.3191489361702038E-2</v>
      </c>
      <c r="O463" s="355">
        <f t="shared" si="7"/>
        <v>0</v>
      </c>
      <c r="P463" s="355">
        <f t="shared" si="7"/>
        <v>-8.9285714285713969E-3</v>
      </c>
    </row>
    <row r="464" spans="2:16" x14ac:dyDescent="0.2">
      <c r="B464" s="351" t="s">
        <v>1740</v>
      </c>
      <c r="C464" s="351" t="s">
        <v>1753</v>
      </c>
      <c r="D464" s="351" t="s">
        <v>1754</v>
      </c>
      <c r="E464" s="351">
        <v>47</v>
      </c>
      <c r="F464" s="351">
        <v>0.89</v>
      </c>
      <c r="G464" s="354">
        <v>1.01</v>
      </c>
      <c r="H464" s="354">
        <v>1.1000000000000001</v>
      </c>
      <c r="J464" s="351">
        <v>0.94</v>
      </c>
      <c r="K464" s="351">
        <v>1.01</v>
      </c>
      <c r="L464" s="354">
        <v>1.1100000000000001</v>
      </c>
      <c r="N464" s="355">
        <f t="shared" si="7"/>
        <v>-5.3191489361702038E-2</v>
      </c>
      <c r="O464" s="355">
        <f t="shared" si="7"/>
        <v>0</v>
      </c>
      <c r="P464" s="355">
        <f t="shared" si="7"/>
        <v>-9.009009009009028E-3</v>
      </c>
    </row>
    <row r="465" spans="2:16" x14ac:dyDescent="0.2">
      <c r="B465" s="351" t="s">
        <v>1740</v>
      </c>
      <c r="C465" s="351" t="s">
        <v>1753</v>
      </c>
      <c r="D465" s="351" t="s">
        <v>1754</v>
      </c>
      <c r="E465" s="351">
        <v>48</v>
      </c>
      <c r="F465" s="351">
        <v>0.89</v>
      </c>
      <c r="G465" s="354">
        <v>1.01</v>
      </c>
      <c r="H465" s="354">
        <v>1.0900000000000001</v>
      </c>
      <c r="J465" s="351">
        <v>0.94</v>
      </c>
      <c r="K465" s="351">
        <v>1.01</v>
      </c>
      <c r="L465" s="354">
        <v>1.1000000000000001</v>
      </c>
      <c r="N465" s="355">
        <f t="shared" si="7"/>
        <v>-5.3191489361702038E-2</v>
      </c>
      <c r="O465" s="355">
        <f t="shared" si="7"/>
        <v>0</v>
      </c>
      <c r="P465" s="355">
        <f t="shared" si="7"/>
        <v>-9.0909090909091494E-3</v>
      </c>
    </row>
    <row r="466" spans="2:16" x14ac:dyDescent="0.2">
      <c r="B466" s="351" t="s">
        <v>1740</v>
      </c>
      <c r="C466" s="351" t="s">
        <v>1753</v>
      </c>
      <c r="D466" s="351" t="s">
        <v>1754</v>
      </c>
      <c r="E466" s="351">
        <v>49</v>
      </c>
      <c r="F466" s="351">
        <v>0.89</v>
      </c>
      <c r="G466" s="354">
        <v>1.01</v>
      </c>
      <c r="H466" s="354">
        <v>1.0900000000000001</v>
      </c>
      <c r="J466" s="351">
        <v>0.94</v>
      </c>
      <c r="K466" s="351">
        <v>1.01</v>
      </c>
      <c r="L466" s="354">
        <v>1.1000000000000001</v>
      </c>
      <c r="N466" s="355">
        <f t="shared" si="7"/>
        <v>-5.3191489361702038E-2</v>
      </c>
      <c r="O466" s="355">
        <f t="shared" si="7"/>
        <v>0</v>
      </c>
      <c r="P466" s="355">
        <f t="shared" si="7"/>
        <v>-9.0909090909091494E-3</v>
      </c>
    </row>
    <row r="467" spans="2:16" x14ac:dyDescent="0.2">
      <c r="B467" s="351" t="s">
        <v>1740</v>
      </c>
      <c r="C467" s="351" t="s">
        <v>1753</v>
      </c>
      <c r="D467" s="351" t="s">
        <v>1754</v>
      </c>
      <c r="E467" s="351">
        <v>50</v>
      </c>
      <c r="F467" s="351">
        <v>0.89</v>
      </c>
      <c r="G467" s="354">
        <v>1.01</v>
      </c>
      <c r="H467" s="354">
        <v>1.08</v>
      </c>
      <c r="J467" s="351">
        <v>0.94</v>
      </c>
      <c r="K467" s="351">
        <v>1.01</v>
      </c>
      <c r="L467" s="354">
        <v>1.0900000000000001</v>
      </c>
      <c r="N467" s="355">
        <f t="shared" si="7"/>
        <v>-5.3191489361702038E-2</v>
      </c>
      <c r="O467" s="355">
        <f t="shared" si="7"/>
        <v>0</v>
      </c>
      <c r="P467" s="355">
        <f t="shared" si="7"/>
        <v>-9.1743119266055606E-3</v>
      </c>
    </row>
    <row r="468" spans="2:16" x14ac:dyDescent="0.2">
      <c r="B468" s="351" t="s">
        <v>1740</v>
      </c>
      <c r="C468" s="351" t="s">
        <v>1753</v>
      </c>
      <c r="D468" s="351" t="s">
        <v>1754</v>
      </c>
      <c r="E468" s="351">
        <v>51</v>
      </c>
      <c r="F468" s="351">
        <v>0.89</v>
      </c>
      <c r="G468" s="354">
        <v>1.01</v>
      </c>
      <c r="H468" s="354">
        <v>1.08</v>
      </c>
      <c r="J468" s="351">
        <v>0.94</v>
      </c>
      <c r="K468" s="351">
        <v>1.01</v>
      </c>
      <c r="L468" s="354">
        <v>1.0900000000000001</v>
      </c>
      <c r="N468" s="355">
        <f t="shared" si="7"/>
        <v>-5.3191489361702038E-2</v>
      </c>
      <c r="O468" s="355">
        <f t="shared" si="7"/>
        <v>0</v>
      </c>
      <c r="P468" s="355">
        <f t="shared" si="7"/>
        <v>-9.1743119266055606E-3</v>
      </c>
    </row>
    <row r="469" spans="2:16" x14ac:dyDescent="0.2">
      <c r="B469" s="351" t="s">
        <v>1740</v>
      </c>
      <c r="C469" s="351" t="s">
        <v>1753</v>
      </c>
      <c r="D469" s="351" t="s">
        <v>1754</v>
      </c>
      <c r="E469" s="351">
        <v>52</v>
      </c>
      <c r="F469" s="351">
        <v>0.89</v>
      </c>
      <c r="G469" s="354">
        <v>1.01</v>
      </c>
      <c r="H469" s="354">
        <v>1.07</v>
      </c>
      <c r="J469" s="351">
        <v>0.94</v>
      </c>
      <c r="K469" s="351">
        <v>1.01</v>
      </c>
      <c r="L469" s="354">
        <v>1.08</v>
      </c>
      <c r="N469" s="355">
        <f t="shared" si="7"/>
        <v>-5.3191489361702038E-2</v>
      </c>
      <c r="O469" s="355">
        <f t="shared" si="7"/>
        <v>0</v>
      </c>
      <c r="P469" s="355">
        <f t="shared" si="7"/>
        <v>-9.2592592592593004E-3</v>
      </c>
    </row>
    <row r="470" spans="2:16" x14ac:dyDescent="0.2">
      <c r="B470" s="351" t="s">
        <v>1740</v>
      </c>
      <c r="C470" s="351" t="s">
        <v>1753</v>
      </c>
      <c r="D470" s="351" t="s">
        <v>1754</v>
      </c>
      <c r="E470" s="351">
        <v>53</v>
      </c>
      <c r="F470" s="351">
        <v>0.89</v>
      </c>
      <c r="G470" s="354">
        <v>1.01</v>
      </c>
      <c r="H470" s="354">
        <v>1.07</v>
      </c>
      <c r="J470" s="351">
        <v>0.94</v>
      </c>
      <c r="K470" s="351">
        <v>1.01</v>
      </c>
      <c r="L470" s="354">
        <v>1.08</v>
      </c>
      <c r="N470" s="355">
        <f t="shared" si="7"/>
        <v>-5.3191489361702038E-2</v>
      </c>
      <c r="O470" s="355">
        <f t="shared" si="7"/>
        <v>0</v>
      </c>
      <c r="P470" s="355">
        <f t="shared" si="7"/>
        <v>-9.2592592592593004E-3</v>
      </c>
    </row>
    <row r="471" spans="2:16" x14ac:dyDescent="0.2">
      <c r="B471" s="351" t="s">
        <v>1740</v>
      </c>
      <c r="C471" s="351" t="s">
        <v>1753</v>
      </c>
      <c r="D471" s="351" t="s">
        <v>1754</v>
      </c>
      <c r="E471" s="351">
        <v>54</v>
      </c>
      <c r="F471" s="351">
        <v>0.89</v>
      </c>
      <c r="G471" s="354">
        <v>1.01</v>
      </c>
      <c r="H471" s="354">
        <v>1.06</v>
      </c>
      <c r="J471" s="351">
        <v>0.94</v>
      </c>
      <c r="K471" s="351">
        <v>1.01</v>
      </c>
      <c r="L471" s="354">
        <v>1.07</v>
      </c>
      <c r="N471" s="355">
        <f t="shared" si="7"/>
        <v>-5.3191489361702038E-2</v>
      </c>
      <c r="O471" s="355">
        <f t="shared" si="7"/>
        <v>0</v>
      </c>
      <c r="P471" s="355">
        <f t="shared" si="7"/>
        <v>-9.3457943925233655E-3</v>
      </c>
    </row>
    <row r="472" spans="2:16" x14ac:dyDescent="0.2">
      <c r="B472" s="351" t="s">
        <v>1740</v>
      </c>
      <c r="C472" s="351" t="s">
        <v>1753</v>
      </c>
      <c r="D472" s="351" t="s">
        <v>1754</v>
      </c>
      <c r="E472" s="351">
        <v>55</v>
      </c>
      <c r="F472" s="351">
        <v>0.89</v>
      </c>
      <c r="G472" s="354">
        <v>1.01</v>
      </c>
      <c r="H472" s="354">
        <v>1.06</v>
      </c>
      <c r="J472" s="351">
        <v>0.94</v>
      </c>
      <c r="K472" s="351">
        <v>1.01</v>
      </c>
      <c r="L472" s="354">
        <v>1.07</v>
      </c>
      <c r="N472" s="355">
        <f t="shared" si="7"/>
        <v>-5.3191489361702038E-2</v>
      </c>
      <c r="O472" s="355">
        <f t="shared" si="7"/>
        <v>0</v>
      </c>
      <c r="P472" s="355">
        <f t="shared" si="7"/>
        <v>-9.3457943925233655E-3</v>
      </c>
    </row>
    <row r="473" spans="2:16" x14ac:dyDescent="0.2">
      <c r="B473" s="351" t="s">
        <v>1740</v>
      </c>
      <c r="C473" s="351" t="s">
        <v>1753</v>
      </c>
      <c r="D473" s="351" t="s">
        <v>1754</v>
      </c>
      <c r="E473" s="351">
        <v>56</v>
      </c>
      <c r="F473" s="351">
        <v>0.89</v>
      </c>
      <c r="G473" s="354">
        <v>1.01</v>
      </c>
      <c r="H473" s="354">
        <v>1.05</v>
      </c>
      <c r="J473" s="351">
        <v>0.94</v>
      </c>
      <c r="K473" s="351">
        <v>1.01</v>
      </c>
      <c r="L473" s="354">
        <v>1.06</v>
      </c>
      <c r="N473" s="355">
        <f t="shared" si="7"/>
        <v>-5.3191489361702038E-2</v>
      </c>
      <c r="O473" s="355">
        <f t="shared" si="7"/>
        <v>0</v>
      </c>
      <c r="P473" s="355">
        <f t="shared" si="7"/>
        <v>-9.4339622641509413E-3</v>
      </c>
    </row>
    <row r="474" spans="2:16" x14ac:dyDescent="0.2">
      <c r="B474" s="351" t="s">
        <v>1740</v>
      </c>
      <c r="C474" s="351" t="s">
        <v>1753</v>
      </c>
      <c r="D474" s="351" t="s">
        <v>1754</v>
      </c>
      <c r="E474" s="351">
        <v>57</v>
      </c>
      <c r="F474" s="351">
        <v>0.89</v>
      </c>
      <c r="G474" s="354">
        <v>1.01</v>
      </c>
      <c r="H474" s="354">
        <v>1.05</v>
      </c>
      <c r="J474" s="351">
        <v>0.94</v>
      </c>
      <c r="K474" s="351">
        <v>1.01</v>
      </c>
      <c r="L474" s="354">
        <v>1.06</v>
      </c>
      <c r="N474" s="355">
        <f t="shared" si="7"/>
        <v>-5.3191489361702038E-2</v>
      </c>
      <c r="O474" s="355">
        <f t="shared" si="7"/>
        <v>0</v>
      </c>
      <c r="P474" s="355">
        <f t="shared" si="7"/>
        <v>-9.4339622641509413E-3</v>
      </c>
    </row>
    <row r="475" spans="2:16" x14ac:dyDescent="0.2">
      <c r="B475" s="351" t="s">
        <v>1740</v>
      </c>
      <c r="C475" s="351" t="s">
        <v>1753</v>
      </c>
      <c r="D475" s="351" t="s">
        <v>1754</v>
      </c>
      <c r="E475" s="351">
        <v>58</v>
      </c>
      <c r="F475" s="351">
        <v>0.89</v>
      </c>
      <c r="G475" s="354">
        <v>1.01</v>
      </c>
      <c r="H475" s="354">
        <v>1.05</v>
      </c>
      <c r="J475" s="351">
        <v>0.94</v>
      </c>
      <c r="K475" s="351">
        <v>1.01</v>
      </c>
      <c r="L475" s="354">
        <v>1.05</v>
      </c>
      <c r="N475" s="355">
        <f t="shared" si="7"/>
        <v>-5.3191489361702038E-2</v>
      </c>
      <c r="O475" s="355">
        <f t="shared" si="7"/>
        <v>0</v>
      </c>
      <c r="P475" s="355">
        <f t="shared" si="7"/>
        <v>0</v>
      </c>
    </row>
    <row r="476" spans="2:16" x14ac:dyDescent="0.2">
      <c r="B476" s="351" t="s">
        <v>1740</v>
      </c>
      <c r="C476" s="351" t="s">
        <v>1753</v>
      </c>
      <c r="D476" s="351" t="s">
        <v>1754</v>
      </c>
      <c r="E476" s="351">
        <v>59</v>
      </c>
      <c r="F476" s="351">
        <v>0.89</v>
      </c>
      <c r="G476" s="354">
        <v>1.01</v>
      </c>
      <c r="H476" s="354">
        <v>1.04</v>
      </c>
      <c r="J476" s="351">
        <v>0.94</v>
      </c>
      <c r="K476" s="351">
        <v>1.01</v>
      </c>
      <c r="L476" s="354">
        <v>1.05</v>
      </c>
      <c r="N476" s="355">
        <f t="shared" si="7"/>
        <v>-5.3191489361702038E-2</v>
      </c>
      <c r="O476" s="355">
        <f t="shared" si="7"/>
        <v>0</v>
      </c>
      <c r="P476" s="355">
        <f t="shared" si="7"/>
        <v>-9.52380952380949E-3</v>
      </c>
    </row>
    <row r="477" spans="2:16" x14ac:dyDescent="0.2">
      <c r="B477" s="351" t="s">
        <v>1740</v>
      </c>
      <c r="C477" s="351" t="s">
        <v>1753</v>
      </c>
      <c r="D477" s="351" t="s">
        <v>1754</v>
      </c>
      <c r="E477" s="351">
        <v>60</v>
      </c>
      <c r="F477" s="351">
        <v>0.89</v>
      </c>
      <c r="G477" s="354">
        <v>1.01</v>
      </c>
      <c r="H477" s="354">
        <v>1.04</v>
      </c>
      <c r="J477" s="351">
        <v>0.94</v>
      </c>
      <c r="K477" s="351">
        <v>1.01</v>
      </c>
      <c r="L477" s="354">
        <v>1.05</v>
      </c>
      <c r="N477" s="355">
        <f t="shared" si="7"/>
        <v>-5.3191489361702038E-2</v>
      </c>
      <c r="O477" s="355">
        <f t="shared" si="7"/>
        <v>0</v>
      </c>
      <c r="P477" s="355">
        <f t="shared" si="7"/>
        <v>-9.52380952380949E-3</v>
      </c>
    </row>
    <row r="478" spans="2:16" x14ac:dyDescent="0.2">
      <c r="B478" s="351" t="s">
        <v>1740</v>
      </c>
      <c r="C478" s="351" t="s">
        <v>1753</v>
      </c>
      <c r="D478" s="351" t="s">
        <v>1754</v>
      </c>
      <c r="E478" s="351">
        <v>61</v>
      </c>
      <c r="F478" s="351">
        <v>0.89</v>
      </c>
      <c r="G478" s="354">
        <v>1.01</v>
      </c>
      <c r="H478" s="354">
        <v>1.04</v>
      </c>
      <c r="J478" s="351">
        <v>0.94</v>
      </c>
      <c r="K478" s="351">
        <v>1.01</v>
      </c>
      <c r="L478" s="354">
        <v>1.04</v>
      </c>
      <c r="N478" s="355">
        <f t="shared" si="7"/>
        <v>-5.3191489361702038E-2</v>
      </c>
      <c r="O478" s="355">
        <f t="shared" si="7"/>
        <v>0</v>
      </c>
      <c r="P478" s="355">
        <f t="shared" si="7"/>
        <v>0</v>
      </c>
    </row>
    <row r="479" spans="2:16" x14ac:dyDescent="0.2">
      <c r="B479" s="351" t="s">
        <v>1740</v>
      </c>
      <c r="C479" s="351" t="s">
        <v>1753</v>
      </c>
      <c r="D479" s="351" t="s">
        <v>1754</v>
      </c>
      <c r="E479" s="351">
        <v>62</v>
      </c>
      <c r="F479" s="351">
        <v>0.89</v>
      </c>
      <c r="G479" s="354">
        <v>1.01</v>
      </c>
      <c r="H479" s="354">
        <v>1.03</v>
      </c>
      <c r="J479" s="351">
        <v>0.94</v>
      </c>
      <c r="K479" s="351">
        <v>1.01</v>
      </c>
      <c r="L479" s="354">
        <v>1.04</v>
      </c>
      <c r="N479" s="355">
        <f t="shared" si="7"/>
        <v>-5.3191489361702038E-2</v>
      </c>
      <c r="O479" s="355">
        <f t="shared" si="7"/>
        <v>0</v>
      </c>
      <c r="P479" s="355">
        <f t="shared" si="7"/>
        <v>-9.6153846153845812E-3</v>
      </c>
    </row>
    <row r="480" spans="2:16" x14ac:dyDescent="0.2">
      <c r="B480" s="351" t="s">
        <v>1740</v>
      </c>
      <c r="C480" s="351" t="s">
        <v>1753</v>
      </c>
      <c r="D480" s="351" t="s">
        <v>1754</v>
      </c>
      <c r="E480" s="351">
        <v>63</v>
      </c>
      <c r="F480" s="351">
        <v>0.89</v>
      </c>
      <c r="G480" s="354">
        <v>1.01</v>
      </c>
      <c r="H480" s="354">
        <v>1.03</v>
      </c>
      <c r="J480" s="351">
        <v>0.94</v>
      </c>
      <c r="K480" s="351">
        <v>1.01</v>
      </c>
      <c r="L480" s="354">
        <v>1.04</v>
      </c>
      <c r="N480" s="355">
        <f t="shared" si="7"/>
        <v>-5.3191489361702038E-2</v>
      </c>
      <c r="O480" s="355">
        <f t="shared" si="7"/>
        <v>0</v>
      </c>
      <c r="P480" s="355">
        <f t="shared" si="7"/>
        <v>-9.6153846153845812E-3</v>
      </c>
    </row>
    <row r="481" spans="2:16" x14ac:dyDescent="0.2">
      <c r="B481" s="351" t="s">
        <v>1740</v>
      </c>
      <c r="C481" s="351" t="s">
        <v>1753</v>
      </c>
      <c r="D481" s="351" t="s">
        <v>1754</v>
      </c>
      <c r="E481" s="351">
        <v>64</v>
      </c>
      <c r="F481" s="351">
        <v>0.89</v>
      </c>
      <c r="G481" s="354">
        <v>1.01</v>
      </c>
      <c r="H481" s="354">
        <v>1.03</v>
      </c>
      <c r="J481" s="351">
        <v>0.94</v>
      </c>
      <c r="K481" s="351">
        <v>1.01</v>
      </c>
      <c r="L481" s="354">
        <v>1.03</v>
      </c>
      <c r="N481" s="355">
        <f t="shared" si="7"/>
        <v>-5.3191489361702038E-2</v>
      </c>
      <c r="O481" s="355">
        <f t="shared" si="7"/>
        <v>0</v>
      </c>
      <c r="P481" s="355">
        <f t="shared" si="7"/>
        <v>0</v>
      </c>
    </row>
    <row r="482" spans="2:16" x14ac:dyDescent="0.2">
      <c r="B482" s="351" t="s">
        <v>1740</v>
      </c>
      <c r="C482" s="351" t="s">
        <v>1753</v>
      </c>
      <c r="D482" s="351" t="s">
        <v>1754</v>
      </c>
      <c r="E482" s="351">
        <v>65</v>
      </c>
      <c r="F482" s="351">
        <v>0.89</v>
      </c>
      <c r="G482" s="354">
        <v>1.01</v>
      </c>
      <c r="H482" s="354">
        <v>1.02</v>
      </c>
      <c r="J482" s="351">
        <v>0.94</v>
      </c>
      <c r="K482" s="351">
        <v>1.01</v>
      </c>
      <c r="L482" s="354">
        <v>1.03</v>
      </c>
      <c r="N482" s="355">
        <f t="shared" si="7"/>
        <v>-5.3191489361702038E-2</v>
      </c>
      <c r="O482" s="355">
        <f t="shared" si="7"/>
        <v>0</v>
      </c>
      <c r="P482" s="355">
        <f t="shared" si="7"/>
        <v>-9.7087378640776656E-3</v>
      </c>
    </row>
    <row r="483" spans="2:16" x14ac:dyDescent="0.2">
      <c r="B483" s="351" t="s">
        <v>1740</v>
      </c>
      <c r="C483" s="351" t="s">
        <v>1753</v>
      </c>
      <c r="D483" s="351" t="s">
        <v>1754</v>
      </c>
      <c r="E483" s="351">
        <v>66</v>
      </c>
      <c r="F483" s="351">
        <v>0.89</v>
      </c>
      <c r="G483" s="354">
        <v>1.01</v>
      </c>
      <c r="H483" s="354">
        <v>1.02</v>
      </c>
      <c r="J483" s="351">
        <v>0.94</v>
      </c>
      <c r="K483" s="351">
        <v>1.01</v>
      </c>
      <c r="L483" s="354">
        <v>1.03</v>
      </c>
      <c r="N483" s="355">
        <f t="shared" si="7"/>
        <v>-5.3191489361702038E-2</v>
      </c>
      <c r="O483" s="355">
        <f t="shared" si="7"/>
        <v>0</v>
      </c>
      <c r="P483" s="355">
        <f t="shared" si="7"/>
        <v>-9.7087378640776656E-3</v>
      </c>
    </row>
    <row r="484" spans="2:16" x14ac:dyDescent="0.2">
      <c r="B484" s="351" t="s">
        <v>1740</v>
      </c>
      <c r="C484" s="351" t="s">
        <v>1753</v>
      </c>
      <c r="D484" s="351" t="s">
        <v>1754</v>
      </c>
      <c r="E484" s="351">
        <v>67</v>
      </c>
      <c r="F484" s="351">
        <v>0.89</v>
      </c>
      <c r="G484" s="354">
        <v>1.01</v>
      </c>
      <c r="H484" s="354">
        <v>1.02</v>
      </c>
      <c r="J484" s="351">
        <v>0.94</v>
      </c>
      <c r="K484" s="351">
        <v>1.01</v>
      </c>
      <c r="L484" s="354">
        <v>1.02</v>
      </c>
      <c r="N484" s="355">
        <f t="shared" si="7"/>
        <v>-5.3191489361702038E-2</v>
      </c>
      <c r="O484" s="355">
        <f t="shared" si="7"/>
        <v>0</v>
      </c>
      <c r="P484" s="355">
        <f t="shared" si="7"/>
        <v>0</v>
      </c>
    </row>
    <row r="485" spans="2:16" x14ac:dyDescent="0.2">
      <c r="B485" s="351" t="s">
        <v>1740</v>
      </c>
      <c r="C485" s="351" t="s">
        <v>1753</v>
      </c>
      <c r="D485" s="351" t="s">
        <v>1754</v>
      </c>
      <c r="E485" s="351">
        <v>68</v>
      </c>
      <c r="F485" s="351">
        <v>0.89</v>
      </c>
      <c r="G485" s="354">
        <v>1.01</v>
      </c>
      <c r="H485" s="354">
        <v>1.02</v>
      </c>
      <c r="J485" s="351">
        <v>0.94</v>
      </c>
      <c r="K485" s="351">
        <v>1.01</v>
      </c>
      <c r="L485" s="354">
        <v>1.02</v>
      </c>
      <c r="N485" s="355">
        <f t="shared" si="7"/>
        <v>-5.3191489361702038E-2</v>
      </c>
      <c r="O485" s="355">
        <f t="shared" si="7"/>
        <v>0</v>
      </c>
      <c r="P485" s="355">
        <f t="shared" si="7"/>
        <v>0</v>
      </c>
    </row>
    <row r="486" spans="2:16" x14ac:dyDescent="0.2">
      <c r="B486" s="351" t="s">
        <v>1740</v>
      </c>
      <c r="C486" s="351" t="s">
        <v>1753</v>
      </c>
      <c r="D486" s="351" t="s">
        <v>1754</v>
      </c>
      <c r="E486" s="351">
        <v>69</v>
      </c>
      <c r="F486" s="351">
        <v>0.89</v>
      </c>
      <c r="G486" s="354">
        <v>1.01</v>
      </c>
      <c r="H486" s="354">
        <v>1.01</v>
      </c>
      <c r="J486" s="351">
        <v>0.94</v>
      </c>
      <c r="K486" s="351">
        <v>1.01</v>
      </c>
      <c r="L486" s="354">
        <v>1.02</v>
      </c>
      <c r="N486" s="355">
        <f t="shared" si="7"/>
        <v>-5.3191489361702038E-2</v>
      </c>
      <c r="O486" s="355">
        <f t="shared" si="7"/>
        <v>0</v>
      </c>
      <c r="P486" s="355">
        <f t="shared" si="7"/>
        <v>-9.8039215686274161E-3</v>
      </c>
    </row>
    <row r="487" spans="2:16" x14ac:dyDescent="0.2">
      <c r="B487" s="351" t="s">
        <v>1740</v>
      </c>
      <c r="C487" s="351" t="s">
        <v>1753</v>
      </c>
      <c r="D487" s="351" t="s">
        <v>1754</v>
      </c>
      <c r="E487" s="351">
        <v>70</v>
      </c>
      <c r="F487" s="351">
        <v>0.89</v>
      </c>
      <c r="G487" s="354">
        <v>1.01</v>
      </c>
      <c r="H487" s="354">
        <v>1.01</v>
      </c>
      <c r="J487" s="351">
        <v>0.94</v>
      </c>
      <c r="K487" s="351">
        <v>1.01</v>
      </c>
      <c r="L487" s="354">
        <v>1.01</v>
      </c>
      <c r="N487" s="355">
        <f t="shared" si="7"/>
        <v>-5.3191489361702038E-2</v>
      </c>
      <c r="O487" s="355">
        <f t="shared" si="7"/>
        <v>0</v>
      </c>
      <c r="P487" s="355">
        <f t="shared" si="7"/>
        <v>0</v>
      </c>
    </row>
    <row r="488" spans="2:16" x14ac:dyDescent="0.2">
      <c r="B488" s="351" t="s">
        <v>1740</v>
      </c>
      <c r="C488" s="351" t="s">
        <v>1753</v>
      </c>
      <c r="D488" s="351" t="s">
        <v>1754</v>
      </c>
      <c r="E488" s="351">
        <v>71</v>
      </c>
      <c r="F488" s="351">
        <v>0.89</v>
      </c>
      <c r="G488" s="354">
        <v>1.01</v>
      </c>
      <c r="H488" s="354">
        <v>1.01</v>
      </c>
      <c r="J488" s="351">
        <v>0.94</v>
      </c>
      <c r="K488" s="351">
        <v>1.01</v>
      </c>
      <c r="L488" s="354">
        <v>1.01</v>
      </c>
      <c r="N488" s="355">
        <f t="shared" si="7"/>
        <v>-5.3191489361702038E-2</v>
      </c>
      <c r="O488" s="355">
        <f t="shared" si="7"/>
        <v>0</v>
      </c>
      <c r="P488" s="355">
        <f t="shared" si="7"/>
        <v>0</v>
      </c>
    </row>
    <row r="489" spans="2:16" x14ac:dyDescent="0.2">
      <c r="B489" s="351" t="s">
        <v>1740</v>
      </c>
      <c r="C489" s="351" t="s">
        <v>1753</v>
      </c>
      <c r="D489" s="351" t="s">
        <v>1754</v>
      </c>
      <c r="E489" s="351">
        <v>72</v>
      </c>
      <c r="F489" s="351">
        <v>0.89</v>
      </c>
      <c r="G489" s="354">
        <v>1.01</v>
      </c>
      <c r="H489" s="354">
        <v>1.01</v>
      </c>
      <c r="J489" s="351">
        <v>0.94</v>
      </c>
      <c r="K489" s="351">
        <v>1.01</v>
      </c>
      <c r="L489" s="354">
        <v>1.01</v>
      </c>
      <c r="N489" s="355">
        <f t="shared" si="7"/>
        <v>-5.3191489361702038E-2</v>
      </c>
      <c r="O489" s="355">
        <f t="shared" si="7"/>
        <v>0</v>
      </c>
      <c r="P489" s="355">
        <f t="shared" si="7"/>
        <v>0</v>
      </c>
    </row>
    <row r="490" spans="2:16" x14ac:dyDescent="0.2">
      <c r="B490" s="351" t="s">
        <v>1740</v>
      </c>
      <c r="C490" s="351" t="s">
        <v>1753</v>
      </c>
      <c r="D490" s="351" t="s">
        <v>1754</v>
      </c>
      <c r="E490" s="351">
        <v>73</v>
      </c>
      <c r="F490" s="351">
        <v>0.89</v>
      </c>
      <c r="G490" s="354">
        <v>1.01</v>
      </c>
      <c r="H490" s="354">
        <v>1.01</v>
      </c>
      <c r="J490" s="351">
        <v>0.94</v>
      </c>
      <c r="K490" s="351">
        <v>1.01</v>
      </c>
      <c r="L490" s="354">
        <v>1.01</v>
      </c>
      <c r="N490" s="355">
        <f t="shared" si="7"/>
        <v>-5.3191489361702038E-2</v>
      </c>
      <c r="O490" s="355">
        <f t="shared" si="7"/>
        <v>0</v>
      </c>
      <c r="P490" s="355">
        <f t="shared" si="7"/>
        <v>0</v>
      </c>
    </row>
    <row r="491" spans="2:16" x14ac:dyDescent="0.2">
      <c r="B491" s="351" t="s">
        <v>1740</v>
      </c>
      <c r="C491" s="351" t="s">
        <v>1753</v>
      </c>
      <c r="D491" s="351" t="s">
        <v>1754</v>
      </c>
      <c r="E491" s="351">
        <v>74</v>
      </c>
      <c r="F491" s="351">
        <v>0.89</v>
      </c>
      <c r="G491" s="354">
        <v>1</v>
      </c>
      <c r="H491" s="354">
        <v>1</v>
      </c>
      <c r="J491" s="351">
        <v>0.94</v>
      </c>
      <c r="K491" s="351">
        <v>1.01</v>
      </c>
      <c r="L491" s="354">
        <v>1.01</v>
      </c>
      <c r="N491" s="355">
        <f t="shared" si="7"/>
        <v>-5.3191489361702038E-2</v>
      </c>
      <c r="O491" s="355">
        <f t="shared" si="7"/>
        <v>-9.9009900990099098E-3</v>
      </c>
      <c r="P491" s="355">
        <f t="shared" si="7"/>
        <v>-9.9009900990099098E-3</v>
      </c>
    </row>
    <row r="492" spans="2:16" x14ac:dyDescent="0.2">
      <c r="B492" s="351" t="s">
        <v>1740</v>
      </c>
      <c r="C492" s="351" t="s">
        <v>1753</v>
      </c>
      <c r="D492" s="351" t="s">
        <v>1754</v>
      </c>
      <c r="E492" s="351">
        <v>75</v>
      </c>
      <c r="F492" s="351">
        <v>0.89</v>
      </c>
      <c r="G492" s="354">
        <v>1</v>
      </c>
      <c r="H492" s="354">
        <v>1</v>
      </c>
      <c r="J492" s="351">
        <v>0.94</v>
      </c>
      <c r="K492" s="351">
        <v>1.01</v>
      </c>
      <c r="L492" s="354">
        <v>1</v>
      </c>
      <c r="N492" s="355">
        <f t="shared" si="7"/>
        <v>-5.3191489361702038E-2</v>
      </c>
      <c r="O492" s="355">
        <f t="shared" si="7"/>
        <v>-9.9009900990099098E-3</v>
      </c>
      <c r="P492" s="355">
        <f t="shared" si="7"/>
        <v>0</v>
      </c>
    </row>
    <row r="493" spans="2:16" x14ac:dyDescent="0.2">
      <c r="B493" s="351" t="s">
        <v>1740</v>
      </c>
      <c r="C493" s="351" t="s">
        <v>1753</v>
      </c>
      <c r="D493" s="351" t="s">
        <v>1754</v>
      </c>
      <c r="E493" s="351">
        <v>76</v>
      </c>
      <c r="F493" s="351">
        <v>0.89</v>
      </c>
      <c r="G493" s="354">
        <v>1</v>
      </c>
      <c r="H493" s="354">
        <v>1</v>
      </c>
      <c r="J493" s="351">
        <v>0.94</v>
      </c>
      <c r="K493" s="351">
        <v>1.01</v>
      </c>
      <c r="L493" s="354">
        <v>1</v>
      </c>
      <c r="N493" s="355">
        <f t="shared" si="7"/>
        <v>-5.3191489361702038E-2</v>
      </c>
      <c r="O493" s="355">
        <f t="shared" si="7"/>
        <v>-9.9009900990099098E-3</v>
      </c>
      <c r="P493" s="355">
        <f t="shared" si="7"/>
        <v>0</v>
      </c>
    </row>
    <row r="494" spans="2:16" x14ac:dyDescent="0.2">
      <c r="B494" s="351" t="s">
        <v>1740</v>
      </c>
      <c r="C494" s="351" t="s">
        <v>1753</v>
      </c>
      <c r="D494" s="351" t="s">
        <v>1754</v>
      </c>
      <c r="E494" s="351">
        <v>77</v>
      </c>
      <c r="F494" s="351">
        <v>0.89</v>
      </c>
      <c r="G494" s="354">
        <v>1</v>
      </c>
      <c r="H494" s="354">
        <v>1</v>
      </c>
      <c r="J494" s="351">
        <v>0.94</v>
      </c>
      <c r="K494" s="351">
        <v>1.01</v>
      </c>
      <c r="L494" s="354">
        <v>1</v>
      </c>
      <c r="N494" s="355">
        <f t="shared" si="7"/>
        <v>-5.3191489361702038E-2</v>
      </c>
      <c r="O494" s="355">
        <f t="shared" si="7"/>
        <v>-9.9009900990099098E-3</v>
      </c>
      <c r="P494" s="355">
        <f t="shared" si="7"/>
        <v>0</v>
      </c>
    </row>
    <row r="495" spans="2:16" x14ac:dyDescent="0.2">
      <c r="B495" s="351" t="s">
        <v>1740</v>
      </c>
      <c r="C495" s="351" t="s">
        <v>1753</v>
      </c>
      <c r="D495" s="351" t="s">
        <v>1754</v>
      </c>
      <c r="E495" s="351">
        <v>78</v>
      </c>
      <c r="F495" s="351">
        <v>0.89</v>
      </c>
      <c r="G495" s="354">
        <v>1</v>
      </c>
      <c r="H495" s="354">
        <v>1</v>
      </c>
      <c r="J495" s="351">
        <v>0.94</v>
      </c>
      <c r="K495" s="351">
        <v>1.01</v>
      </c>
      <c r="L495" s="354">
        <v>1</v>
      </c>
      <c r="N495" s="355">
        <f t="shared" si="7"/>
        <v>-5.3191489361702038E-2</v>
      </c>
      <c r="O495" s="355">
        <f t="shared" si="7"/>
        <v>-9.9009900990099098E-3</v>
      </c>
      <c r="P495" s="355">
        <f t="shared" si="7"/>
        <v>0</v>
      </c>
    </row>
    <row r="496" spans="2:16" x14ac:dyDescent="0.2">
      <c r="B496" s="351" t="s">
        <v>1740</v>
      </c>
      <c r="C496" s="351" t="s">
        <v>1753</v>
      </c>
      <c r="D496" s="351" t="s">
        <v>1754</v>
      </c>
      <c r="E496" s="351">
        <v>79</v>
      </c>
      <c r="F496" s="351">
        <v>0.89</v>
      </c>
      <c r="G496" s="354">
        <v>1</v>
      </c>
      <c r="H496" s="354">
        <v>1</v>
      </c>
      <c r="J496" s="351">
        <v>0.94</v>
      </c>
      <c r="K496" s="351">
        <v>1.01</v>
      </c>
      <c r="L496" s="354">
        <v>1</v>
      </c>
      <c r="N496" s="355">
        <f t="shared" si="7"/>
        <v>-5.3191489361702038E-2</v>
      </c>
      <c r="O496" s="355">
        <f t="shared" si="7"/>
        <v>-9.9009900990099098E-3</v>
      </c>
      <c r="P496" s="355">
        <f t="shared" si="7"/>
        <v>0</v>
      </c>
    </row>
    <row r="497" spans="2:16" x14ac:dyDescent="0.2">
      <c r="B497" s="351" t="s">
        <v>1740</v>
      </c>
      <c r="C497" s="351" t="s">
        <v>1753</v>
      </c>
      <c r="D497" s="351" t="s">
        <v>1754</v>
      </c>
      <c r="E497" s="351">
        <v>80</v>
      </c>
      <c r="F497" s="351">
        <v>0.89</v>
      </c>
      <c r="G497" s="354">
        <v>1</v>
      </c>
      <c r="H497" s="354">
        <v>1</v>
      </c>
      <c r="J497" s="351">
        <v>0.94</v>
      </c>
      <c r="K497" s="351">
        <v>1.01</v>
      </c>
      <c r="L497" s="354">
        <v>1</v>
      </c>
      <c r="N497" s="355">
        <f t="shared" si="7"/>
        <v>-5.3191489361702038E-2</v>
      </c>
      <c r="O497" s="355">
        <f t="shared" si="7"/>
        <v>-9.9009900990099098E-3</v>
      </c>
      <c r="P497" s="355">
        <f t="shared" si="7"/>
        <v>0</v>
      </c>
    </row>
    <row r="498" spans="2:16" x14ac:dyDescent="0.2">
      <c r="B498" s="351" t="s">
        <v>1740</v>
      </c>
      <c r="C498" s="351" t="s">
        <v>1753</v>
      </c>
      <c r="D498" s="351" t="s">
        <v>1754</v>
      </c>
      <c r="E498" s="351">
        <v>81</v>
      </c>
      <c r="F498" s="351">
        <v>0.89</v>
      </c>
      <c r="G498" s="354">
        <v>1</v>
      </c>
      <c r="H498" s="354">
        <v>1</v>
      </c>
      <c r="J498" s="351">
        <v>0.94</v>
      </c>
      <c r="K498" s="351">
        <v>1.01</v>
      </c>
      <c r="L498" s="354">
        <v>1</v>
      </c>
      <c r="N498" s="355">
        <f t="shared" si="7"/>
        <v>-5.3191489361702038E-2</v>
      </c>
      <c r="O498" s="355">
        <f t="shared" si="7"/>
        <v>-9.9009900990099098E-3</v>
      </c>
      <c r="P498" s="355">
        <f t="shared" si="7"/>
        <v>0</v>
      </c>
    </row>
    <row r="499" spans="2:16" x14ac:dyDescent="0.2">
      <c r="B499" s="351" t="s">
        <v>1740</v>
      </c>
      <c r="C499" s="351" t="s">
        <v>1753</v>
      </c>
      <c r="D499" s="351" t="s">
        <v>1754</v>
      </c>
      <c r="E499" s="351">
        <v>82</v>
      </c>
      <c r="F499" s="351">
        <v>0.89</v>
      </c>
      <c r="G499" s="354">
        <v>1</v>
      </c>
      <c r="H499" s="354">
        <v>1</v>
      </c>
      <c r="J499" s="351">
        <v>0.94</v>
      </c>
      <c r="K499" s="351">
        <v>1.01</v>
      </c>
      <c r="L499" s="354">
        <v>1</v>
      </c>
      <c r="N499" s="355">
        <f t="shared" si="7"/>
        <v>-5.3191489361702038E-2</v>
      </c>
      <c r="O499" s="355">
        <f t="shared" si="7"/>
        <v>-9.9009900990099098E-3</v>
      </c>
      <c r="P499" s="355">
        <f t="shared" si="7"/>
        <v>0</v>
      </c>
    </row>
    <row r="500" spans="2:16" x14ac:dyDescent="0.2">
      <c r="B500" s="351" t="s">
        <v>1740</v>
      </c>
      <c r="C500" s="351" t="s">
        <v>1753</v>
      </c>
      <c r="D500" s="351" t="s">
        <v>1754</v>
      </c>
      <c r="E500" s="351">
        <v>83</v>
      </c>
      <c r="F500" s="351">
        <v>0.89</v>
      </c>
      <c r="G500" s="354">
        <v>1</v>
      </c>
      <c r="H500" s="354">
        <v>1</v>
      </c>
      <c r="J500" s="351">
        <v>0.94</v>
      </c>
      <c r="K500" s="351">
        <v>1.01</v>
      </c>
      <c r="L500" s="354">
        <v>1</v>
      </c>
      <c r="N500" s="355">
        <f t="shared" si="7"/>
        <v>-5.3191489361702038E-2</v>
      </c>
      <c r="O500" s="355">
        <f t="shared" si="7"/>
        <v>-9.9009900990099098E-3</v>
      </c>
      <c r="P500" s="355">
        <f t="shared" si="7"/>
        <v>0</v>
      </c>
    </row>
    <row r="501" spans="2:16" x14ac:dyDescent="0.2">
      <c r="B501" s="351" t="s">
        <v>1740</v>
      </c>
      <c r="C501" s="351" t="s">
        <v>1753</v>
      </c>
      <c r="D501" s="351" t="s">
        <v>1754</v>
      </c>
      <c r="E501" s="351">
        <v>84</v>
      </c>
      <c r="F501" s="351">
        <v>0.89</v>
      </c>
      <c r="G501" s="354">
        <v>1</v>
      </c>
      <c r="H501" s="354">
        <v>1</v>
      </c>
      <c r="J501" s="351">
        <v>0.94</v>
      </c>
      <c r="K501" s="351">
        <v>1.01</v>
      </c>
      <c r="L501" s="354">
        <v>1</v>
      </c>
      <c r="N501" s="355">
        <f t="shared" si="7"/>
        <v>-5.3191489361702038E-2</v>
      </c>
      <c r="O501" s="355">
        <f t="shared" si="7"/>
        <v>-9.9009900990099098E-3</v>
      </c>
      <c r="P501" s="355">
        <f t="shared" si="7"/>
        <v>0</v>
      </c>
    </row>
    <row r="502" spans="2:16" x14ac:dyDescent="0.2">
      <c r="B502" s="351" t="s">
        <v>1740</v>
      </c>
      <c r="C502" s="351" t="s">
        <v>1753</v>
      </c>
      <c r="D502" s="351" t="s">
        <v>1754</v>
      </c>
      <c r="E502" s="351">
        <v>85</v>
      </c>
      <c r="F502" s="351">
        <v>0.89</v>
      </c>
      <c r="G502" s="354">
        <v>1</v>
      </c>
      <c r="H502" s="354">
        <v>1</v>
      </c>
      <c r="J502" s="351">
        <v>0.94</v>
      </c>
      <c r="K502" s="351">
        <v>1.01</v>
      </c>
      <c r="L502" s="354">
        <v>1</v>
      </c>
      <c r="N502" s="355">
        <f t="shared" si="7"/>
        <v>-5.3191489361702038E-2</v>
      </c>
      <c r="O502" s="355">
        <f t="shared" si="7"/>
        <v>-9.9009900990099098E-3</v>
      </c>
      <c r="P502" s="355">
        <f t="shared" si="7"/>
        <v>0</v>
      </c>
    </row>
    <row r="503" spans="2:16" x14ac:dyDescent="0.2">
      <c r="B503" s="351" t="s">
        <v>1740</v>
      </c>
      <c r="C503" s="351" t="s">
        <v>1753</v>
      </c>
      <c r="D503" s="351" t="s">
        <v>1754</v>
      </c>
      <c r="E503" s="351">
        <v>86</v>
      </c>
      <c r="F503" s="351">
        <v>0.89</v>
      </c>
      <c r="G503" s="354">
        <v>1</v>
      </c>
      <c r="H503" s="354">
        <v>1</v>
      </c>
      <c r="J503" s="351">
        <v>0.94</v>
      </c>
      <c r="K503" s="351">
        <v>1.01</v>
      </c>
      <c r="L503" s="354">
        <v>1</v>
      </c>
      <c r="N503" s="355">
        <f t="shared" si="7"/>
        <v>-5.3191489361702038E-2</v>
      </c>
      <c r="O503" s="355">
        <f t="shared" si="7"/>
        <v>-9.9009900990099098E-3</v>
      </c>
      <c r="P503" s="355">
        <f t="shared" si="7"/>
        <v>0</v>
      </c>
    </row>
    <row r="504" spans="2:16" x14ac:dyDescent="0.2">
      <c r="B504" s="351" t="s">
        <v>1740</v>
      </c>
      <c r="C504" s="351" t="s">
        <v>1753</v>
      </c>
      <c r="D504" s="351" t="s">
        <v>1754</v>
      </c>
      <c r="E504" s="351">
        <v>87</v>
      </c>
      <c r="F504" s="351">
        <v>0.89</v>
      </c>
      <c r="G504" s="354">
        <v>1</v>
      </c>
      <c r="H504" s="354">
        <v>1</v>
      </c>
      <c r="J504" s="351">
        <v>0.94</v>
      </c>
      <c r="K504" s="351">
        <v>1.01</v>
      </c>
      <c r="L504" s="354">
        <v>1</v>
      </c>
      <c r="N504" s="355">
        <f t="shared" si="7"/>
        <v>-5.3191489361702038E-2</v>
      </c>
      <c r="O504" s="355">
        <f t="shared" si="7"/>
        <v>-9.9009900990099098E-3</v>
      </c>
      <c r="P504" s="355">
        <f t="shared" si="7"/>
        <v>0</v>
      </c>
    </row>
    <row r="505" spans="2:16" x14ac:dyDescent="0.2">
      <c r="B505" s="351" t="s">
        <v>1740</v>
      </c>
      <c r="C505" s="351" t="s">
        <v>1753</v>
      </c>
      <c r="D505" s="351" t="s">
        <v>1754</v>
      </c>
      <c r="E505" s="351">
        <v>88</v>
      </c>
      <c r="F505" s="351">
        <v>0.89</v>
      </c>
      <c r="G505" s="354">
        <v>1</v>
      </c>
      <c r="H505" s="354">
        <v>1</v>
      </c>
      <c r="J505" s="351">
        <v>0.94</v>
      </c>
      <c r="K505" s="351">
        <v>1.01</v>
      </c>
      <c r="L505" s="354">
        <v>1</v>
      </c>
      <c r="N505" s="355">
        <f t="shared" si="7"/>
        <v>-5.3191489361702038E-2</v>
      </c>
      <c r="O505" s="355">
        <f t="shared" si="7"/>
        <v>-9.9009900990099098E-3</v>
      </c>
      <c r="P505" s="355">
        <f t="shared" si="7"/>
        <v>0</v>
      </c>
    </row>
    <row r="506" spans="2:16" x14ac:dyDescent="0.2">
      <c r="B506" s="351" t="s">
        <v>1740</v>
      </c>
      <c r="C506" s="351" t="s">
        <v>1753</v>
      </c>
      <c r="D506" s="351" t="s">
        <v>1754</v>
      </c>
      <c r="E506" s="351">
        <v>89</v>
      </c>
      <c r="F506" s="351">
        <v>0.89</v>
      </c>
      <c r="G506" s="354">
        <v>1</v>
      </c>
      <c r="H506" s="354">
        <v>1</v>
      </c>
      <c r="J506" s="351">
        <v>0.94</v>
      </c>
      <c r="K506" s="351">
        <v>1.01</v>
      </c>
      <c r="L506" s="354">
        <v>1</v>
      </c>
      <c r="N506" s="355">
        <f t="shared" si="7"/>
        <v>-5.3191489361702038E-2</v>
      </c>
      <c r="O506" s="355">
        <f t="shared" si="7"/>
        <v>-9.9009900990099098E-3</v>
      </c>
      <c r="P506" s="355">
        <f t="shared" si="7"/>
        <v>0</v>
      </c>
    </row>
    <row r="507" spans="2:16" x14ac:dyDescent="0.2">
      <c r="B507" s="351" t="s">
        <v>1740</v>
      </c>
      <c r="C507" s="351" t="s">
        <v>1753</v>
      </c>
      <c r="D507" s="351" t="s">
        <v>1754</v>
      </c>
      <c r="E507" s="351">
        <v>90</v>
      </c>
      <c r="F507" s="351">
        <v>0.89</v>
      </c>
      <c r="G507" s="354">
        <v>1</v>
      </c>
      <c r="H507" s="354">
        <v>1</v>
      </c>
      <c r="J507" s="351">
        <v>0.94</v>
      </c>
      <c r="K507" s="351">
        <v>1.01</v>
      </c>
      <c r="L507" s="354">
        <v>1</v>
      </c>
      <c r="N507" s="355">
        <f t="shared" si="7"/>
        <v>-5.3191489361702038E-2</v>
      </c>
      <c r="O507" s="355">
        <f t="shared" si="7"/>
        <v>-9.9009900990099098E-3</v>
      </c>
      <c r="P507" s="355">
        <f t="shared" si="7"/>
        <v>0</v>
      </c>
    </row>
    <row r="508" spans="2:16" x14ac:dyDescent="0.2">
      <c r="B508" s="351" t="s">
        <v>1740</v>
      </c>
      <c r="C508" s="351" t="s">
        <v>1753</v>
      </c>
      <c r="D508" s="351" t="s">
        <v>1754</v>
      </c>
      <c r="E508" s="351">
        <v>91</v>
      </c>
      <c r="F508" s="351">
        <v>0.89</v>
      </c>
      <c r="G508" s="354">
        <v>1</v>
      </c>
      <c r="H508" s="354">
        <v>1</v>
      </c>
      <c r="J508" s="351">
        <v>0.94</v>
      </c>
      <c r="K508" s="351">
        <v>1.01</v>
      </c>
      <c r="L508" s="354">
        <v>1</v>
      </c>
      <c r="N508" s="355">
        <f t="shared" si="7"/>
        <v>-5.3191489361702038E-2</v>
      </c>
      <c r="O508" s="355">
        <f t="shared" si="7"/>
        <v>-9.9009900990099098E-3</v>
      </c>
      <c r="P508" s="355">
        <f t="shared" si="7"/>
        <v>0</v>
      </c>
    </row>
    <row r="509" spans="2:16" x14ac:dyDescent="0.2">
      <c r="B509" s="351" t="s">
        <v>1740</v>
      </c>
      <c r="C509" s="351" t="s">
        <v>1753</v>
      </c>
      <c r="D509" s="351" t="s">
        <v>1754</v>
      </c>
      <c r="E509" s="351">
        <v>92</v>
      </c>
      <c r="F509" s="351">
        <v>0.89</v>
      </c>
      <c r="G509" s="354">
        <v>1</v>
      </c>
      <c r="H509" s="354">
        <v>1</v>
      </c>
      <c r="J509" s="351">
        <v>0.94</v>
      </c>
      <c r="K509" s="351">
        <v>1.01</v>
      </c>
      <c r="L509" s="354">
        <v>1</v>
      </c>
      <c r="N509" s="355">
        <f t="shared" si="7"/>
        <v>-5.3191489361702038E-2</v>
      </c>
      <c r="O509" s="355">
        <f t="shared" si="7"/>
        <v>-9.9009900990099098E-3</v>
      </c>
      <c r="P509" s="355">
        <f t="shared" si="7"/>
        <v>0</v>
      </c>
    </row>
    <row r="510" spans="2:16" x14ac:dyDescent="0.2">
      <c r="B510" s="351" t="s">
        <v>1740</v>
      </c>
      <c r="C510" s="351" t="s">
        <v>1753</v>
      </c>
      <c r="D510" s="351" t="s">
        <v>1754</v>
      </c>
      <c r="E510" s="351">
        <v>93</v>
      </c>
      <c r="F510" s="351">
        <v>0.89</v>
      </c>
      <c r="G510" s="354">
        <v>1</v>
      </c>
      <c r="H510" s="354">
        <v>1</v>
      </c>
      <c r="J510" s="351">
        <v>0.94</v>
      </c>
      <c r="K510" s="351">
        <v>1.01</v>
      </c>
      <c r="L510" s="354">
        <v>1</v>
      </c>
      <c r="N510" s="355">
        <f t="shared" si="7"/>
        <v>-5.3191489361702038E-2</v>
      </c>
      <c r="O510" s="355">
        <f t="shared" si="7"/>
        <v>-9.9009900990099098E-3</v>
      </c>
      <c r="P510" s="355">
        <f t="shared" si="7"/>
        <v>0</v>
      </c>
    </row>
    <row r="511" spans="2:16" x14ac:dyDescent="0.2">
      <c r="B511" s="351" t="s">
        <v>1740</v>
      </c>
      <c r="C511" s="351" t="s">
        <v>1753</v>
      </c>
      <c r="D511" s="351" t="s">
        <v>1754</v>
      </c>
      <c r="E511" s="351">
        <v>94</v>
      </c>
      <c r="F511" s="351">
        <v>0.89</v>
      </c>
      <c r="G511" s="354">
        <v>1</v>
      </c>
      <c r="H511" s="354">
        <v>1</v>
      </c>
      <c r="J511" s="351">
        <v>0.94</v>
      </c>
      <c r="K511" s="351">
        <v>1.01</v>
      </c>
      <c r="L511" s="354">
        <v>1</v>
      </c>
      <c r="N511" s="355">
        <f t="shared" si="7"/>
        <v>-5.3191489361702038E-2</v>
      </c>
      <c r="O511" s="355">
        <f t="shared" si="7"/>
        <v>-9.9009900990099098E-3</v>
      </c>
      <c r="P511" s="355">
        <f t="shared" si="7"/>
        <v>0</v>
      </c>
    </row>
    <row r="512" spans="2:16" x14ac:dyDescent="0.2">
      <c r="B512" s="351" t="s">
        <v>1740</v>
      </c>
      <c r="C512" s="351" t="s">
        <v>1753</v>
      </c>
      <c r="D512" s="351" t="s">
        <v>1754</v>
      </c>
      <c r="E512" s="351">
        <v>95</v>
      </c>
      <c r="F512" s="351">
        <v>0.89</v>
      </c>
      <c r="G512" s="354">
        <v>1</v>
      </c>
      <c r="H512" s="354">
        <v>1</v>
      </c>
      <c r="J512" s="351">
        <v>0.94</v>
      </c>
      <c r="K512" s="351">
        <v>1.01</v>
      </c>
      <c r="L512" s="354">
        <v>1</v>
      </c>
      <c r="N512" s="355">
        <f t="shared" si="7"/>
        <v>-5.3191489361702038E-2</v>
      </c>
      <c r="O512" s="355">
        <f t="shared" si="7"/>
        <v>-9.9009900990099098E-3</v>
      </c>
      <c r="P512" s="355">
        <f t="shared" si="7"/>
        <v>0</v>
      </c>
    </row>
    <row r="513" spans="2:16" x14ac:dyDescent="0.2">
      <c r="B513" s="351" t="s">
        <v>1740</v>
      </c>
      <c r="C513" s="351" t="s">
        <v>1753</v>
      </c>
      <c r="D513" s="351" t="s">
        <v>1754</v>
      </c>
      <c r="E513" s="351">
        <v>96</v>
      </c>
      <c r="F513" s="351">
        <v>0.89</v>
      </c>
      <c r="G513" s="354">
        <v>1</v>
      </c>
      <c r="H513" s="354">
        <v>1</v>
      </c>
      <c r="J513" s="351">
        <v>0.94</v>
      </c>
      <c r="K513" s="351">
        <v>1.01</v>
      </c>
      <c r="L513" s="354">
        <v>1</v>
      </c>
      <c r="N513" s="355">
        <f t="shared" si="7"/>
        <v>-5.3191489361702038E-2</v>
      </c>
      <c r="O513" s="355">
        <f t="shared" si="7"/>
        <v>-9.9009900990099098E-3</v>
      </c>
      <c r="P513" s="355">
        <f t="shared" si="7"/>
        <v>0</v>
      </c>
    </row>
    <row r="514" spans="2:16" x14ac:dyDescent="0.2">
      <c r="B514" s="351" t="s">
        <v>1740</v>
      </c>
      <c r="C514" s="351" t="s">
        <v>1753</v>
      </c>
      <c r="D514" s="351" t="s">
        <v>1754</v>
      </c>
      <c r="E514" s="351">
        <v>97</v>
      </c>
      <c r="F514" s="351">
        <v>0.89</v>
      </c>
      <c r="G514" s="354">
        <v>1</v>
      </c>
      <c r="H514" s="354">
        <v>1</v>
      </c>
      <c r="J514" s="351">
        <v>0.94</v>
      </c>
      <c r="K514" s="351">
        <v>1.01</v>
      </c>
      <c r="L514" s="354">
        <v>1</v>
      </c>
      <c r="N514" s="355">
        <f t="shared" si="7"/>
        <v>-5.3191489361702038E-2</v>
      </c>
      <c r="O514" s="355">
        <f t="shared" si="7"/>
        <v>-9.9009900990099098E-3</v>
      </c>
      <c r="P514" s="355">
        <f t="shared" si="7"/>
        <v>0</v>
      </c>
    </row>
    <row r="515" spans="2:16" x14ac:dyDescent="0.2">
      <c r="B515" s="351" t="s">
        <v>1740</v>
      </c>
      <c r="C515" s="351" t="s">
        <v>1753</v>
      </c>
      <c r="D515" s="351" t="s">
        <v>1754</v>
      </c>
      <c r="E515" s="351">
        <v>98</v>
      </c>
      <c r="F515" s="351">
        <v>0.89</v>
      </c>
      <c r="G515" s="354">
        <v>1</v>
      </c>
      <c r="H515" s="354">
        <v>1</v>
      </c>
      <c r="J515" s="351">
        <v>0.94</v>
      </c>
      <c r="K515" s="351">
        <v>1.01</v>
      </c>
      <c r="L515" s="354">
        <v>1</v>
      </c>
      <c r="N515" s="355">
        <f t="shared" si="7"/>
        <v>-5.3191489361702038E-2</v>
      </c>
      <c r="O515" s="355">
        <f t="shared" si="7"/>
        <v>-9.9009900990099098E-3</v>
      </c>
      <c r="P515" s="355">
        <f t="shared" si="7"/>
        <v>0</v>
      </c>
    </row>
    <row r="516" spans="2:16" x14ac:dyDescent="0.2">
      <c r="B516" s="351" t="s">
        <v>1740</v>
      </c>
      <c r="C516" s="351" t="s">
        <v>1753</v>
      </c>
      <c r="D516" s="351" t="s">
        <v>1754</v>
      </c>
      <c r="E516" s="351">
        <v>99</v>
      </c>
      <c r="F516" s="351">
        <v>0.89</v>
      </c>
      <c r="G516" s="354">
        <v>1</v>
      </c>
      <c r="H516" s="354">
        <v>1</v>
      </c>
      <c r="J516" s="351">
        <v>0.94</v>
      </c>
      <c r="K516" s="351">
        <v>1.01</v>
      </c>
      <c r="L516" s="354">
        <v>1</v>
      </c>
      <c r="N516" s="355">
        <f t="shared" si="7"/>
        <v>-5.3191489361702038E-2</v>
      </c>
      <c r="O516" s="355">
        <f t="shared" si="7"/>
        <v>-9.9009900990099098E-3</v>
      </c>
      <c r="P516" s="355">
        <f t="shared" si="7"/>
        <v>0</v>
      </c>
    </row>
    <row r="517" spans="2:16" x14ac:dyDescent="0.2">
      <c r="B517" s="351" t="s">
        <v>1740</v>
      </c>
      <c r="C517" s="351" t="s">
        <v>1753</v>
      </c>
      <c r="D517" s="351" t="s">
        <v>1754</v>
      </c>
      <c r="E517" s="351">
        <v>100</v>
      </c>
      <c r="F517" s="351">
        <v>0.89</v>
      </c>
      <c r="G517" s="354">
        <v>1</v>
      </c>
      <c r="H517" s="354">
        <v>1</v>
      </c>
      <c r="J517" s="351">
        <v>0.94</v>
      </c>
      <c r="K517" s="351">
        <v>1.01</v>
      </c>
      <c r="L517" s="354">
        <v>1</v>
      </c>
      <c r="N517" s="355">
        <f t="shared" si="7"/>
        <v>-5.3191489361702038E-2</v>
      </c>
      <c r="O517" s="355">
        <f t="shared" si="7"/>
        <v>-9.9009900990099098E-3</v>
      </c>
      <c r="P517" s="355">
        <f t="shared" si="7"/>
        <v>0</v>
      </c>
    </row>
    <row r="518" spans="2:16" x14ac:dyDescent="0.2">
      <c r="B518" s="351" t="s">
        <v>1740</v>
      </c>
      <c r="C518" s="351" t="s">
        <v>1753</v>
      </c>
      <c r="D518" s="351" t="s">
        <v>1755</v>
      </c>
      <c r="E518" s="351">
        <v>0</v>
      </c>
      <c r="F518" s="351">
        <v>0.89</v>
      </c>
      <c r="G518" s="354">
        <v>1.01</v>
      </c>
      <c r="H518" s="354">
        <v>2.5</v>
      </c>
      <c r="J518" s="351">
        <v>0.94</v>
      </c>
      <c r="K518" s="351">
        <v>1.01</v>
      </c>
      <c r="L518" s="354">
        <v>2.5</v>
      </c>
      <c r="N518" s="355">
        <f t="shared" si="7"/>
        <v>-5.3191489361702038E-2</v>
      </c>
      <c r="O518" s="355">
        <f t="shared" si="7"/>
        <v>0</v>
      </c>
      <c r="P518" s="355">
        <f t="shared" si="7"/>
        <v>0</v>
      </c>
    </row>
    <row r="519" spans="2:16" x14ac:dyDescent="0.2">
      <c r="B519" s="351" t="s">
        <v>1740</v>
      </c>
      <c r="C519" s="351" t="s">
        <v>1753</v>
      </c>
      <c r="D519" s="351" t="s">
        <v>1755</v>
      </c>
      <c r="E519" s="351">
        <v>1</v>
      </c>
      <c r="F519" s="351">
        <v>0.89</v>
      </c>
      <c r="G519" s="354">
        <v>1.01</v>
      </c>
      <c r="H519" s="354">
        <v>2.4</v>
      </c>
      <c r="J519" s="351">
        <v>0.94</v>
      </c>
      <c r="K519" s="351">
        <v>1.01</v>
      </c>
      <c r="L519" s="354">
        <v>2.5</v>
      </c>
      <c r="N519" s="355">
        <f t="shared" si="7"/>
        <v>-5.3191489361702038E-2</v>
      </c>
      <c r="O519" s="355">
        <f t="shared" si="7"/>
        <v>0</v>
      </c>
      <c r="P519" s="355">
        <f t="shared" si="7"/>
        <v>-4.0000000000000036E-2</v>
      </c>
    </row>
    <row r="520" spans="2:16" x14ac:dyDescent="0.2">
      <c r="B520" s="351" t="s">
        <v>1740</v>
      </c>
      <c r="C520" s="351" t="s">
        <v>1753</v>
      </c>
      <c r="D520" s="351" t="s">
        <v>1755</v>
      </c>
      <c r="E520" s="351">
        <v>2</v>
      </c>
      <c r="F520" s="351">
        <v>0.89</v>
      </c>
      <c r="G520" s="354">
        <v>1.01</v>
      </c>
      <c r="H520" s="354">
        <v>2.2999999999999998</v>
      </c>
      <c r="J520" s="351">
        <v>0.94</v>
      </c>
      <c r="K520" s="351">
        <v>1.01</v>
      </c>
      <c r="L520" s="354">
        <v>2.5</v>
      </c>
      <c r="N520" s="355">
        <f t="shared" si="7"/>
        <v>-5.3191489361702038E-2</v>
      </c>
      <c r="O520" s="355">
        <f t="shared" si="7"/>
        <v>0</v>
      </c>
      <c r="P520" s="355">
        <f t="shared" si="7"/>
        <v>-8.0000000000000071E-2</v>
      </c>
    </row>
    <row r="521" spans="2:16" x14ac:dyDescent="0.2">
      <c r="B521" s="351" t="s">
        <v>1740</v>
      </c>
      <c r="C521" s="351" t="s">
        <v>1753</v>
      </c>
      <c r="D521" s="351" t="s">
        <v>1755</v>
      </c>
      <c r="E521" s="351">
        <v>3</v>
      </c>
      <c r="F521" s="351">
        <v>0.89</v>
      </c>
      <c r="G521" s="354">
        <v>1.01</v>
      </c>
      <c r="H521" s="354">
        <v>2.2000000000000002</v>
      </c>
      <c r="J521" s="351">
        <v>0.94</v>
      </c>
      <c r="K521" s="351">
        <v>1.01</v>
      </c>
      <c r="L521" s="354">
        <v>2.5</v>
      </c>
      <c r="N521" s="355">
        <f t="shared" si="7"/>
        <v>-5.3191489361702038E-2</v>
      </c>
      <c r="O521" s="355">
        <f t="shared" si="7"/>
        <v>0</v>
      </c>
      <c r="P521" s="355">
        <f t="shared" si="7"/>
        <v>-0.11999999999999988</v>
      </c>
    </row>
    <row r="522" spans="2:16" x14ac:dyDescent="0.2">
      <c r="B522" s="351" t="s">
        <v>1740</v>
      </c>
      <c r="C522" s="351" t="s">
        <v>1753</v>
      </c>
      <c r="D522" s="351" t="s">
        <v>1755</v>
      </c>
      <c r="E522" s="351">
        <v>4</v>
      </c>
      <c r="F522" s="351">
        <v>0.89</v>
      </c>
      <c r="G522" s="354">
        <v>1.01</v>
      </c>
      <c r="H522" s="354">
        <v>2.15</v>
      </c>
      <c r="J522" s="351">
        <v>0.94</v>
      </c>
      <c r="K522" s="351">
        <v>1.01</v>
      </c>
      <c r="L522" s="354">
        <v>2.4</v>
      </c>
      <c r="N522" s="355">
        <f t="shared" si="7"/>
        <v>-5.3191489361702038E-2</v>
      </c>
      <c r="O522" s="355">
        <f t="shared" si="7"/>
        <v>0</v>
      </c>
      <c r="P522" s="355">
        <f t="shared" si="7"/>
        <v>-0.10416666666666663</v>
      </c>
    </row>
    <row r="523" spans="2:16" x14ac:dyDescent="0.2">
      <c r="B523" s="351" t="s">
        <v>1740</v>
      </c>
      <c r="C523" s="351" t="s">
        <v>1753</v>
      </c>
      <c r="D523" s="351" t="s">
        <v>1755</v>
      </c>
      <c r="E523" s="351">
        <v>5</v>
      </c>
      <c r="F523" s="351">
        <v>0.89</v>
      </c>
      <c r="G523" s="354">
        <v>1.01</v>
      </c>
      <c r="H523" s="354">
        <v>2.1</v>
      </c>
      <c r="J523" s="351">
        <v>0.94</v>
      </c>
      <c r="K523" s="351">
        <v>1.01</v>
      </c>
      <c r="L523" s="354">
        <v>2.2999999999999998</v>
      </c>
      <c r="N523" s="355">
        <f t="shared" si="7"/>
        <v>-5.3191489361702038E-2</v>
      </c>
      <c r="O523" s="355">
        <f t="shared" si="7"/>
        <v>0</v>
      </c>
      <c r="P523" s="355">
        <f t="shared" si="7"/>
        <v>-8.6956521739130377E-2</v>
      </c>
    </row>
    <row r="524" spans="2:16" x14ac:dyDescent="0.2">
      <c r="B524" s="351" t="s">
        <v>1740</v>
      </c>
      <c r="C524" s="351" t="s">
        <v>1753</v>
      </c>
      <c r="D524" s="351" t="s">
        <v>1755</v>
      </c>
      <c r="E524" s="351">
        <v>6</v>
      </c>
      <c r="F524" s="351">
        <v>0.89</v>
      </c>
      <c r="G524" s="354">
        <v>1.01</v>
      </c>
      <c r="H524" s="354">
        <v>2.0499999999999998</v>
      </c>
      <c r="J524" s="351">
        <v>0.94</v>
      </c>
      <c r="K524" s="351">
        <v>1.01</v>
      </c>
      <c r="L524" s="354">
        <v>2.2000000000000002</v>
      </c>
      <c r="N524" s="355">
        <f t="shared" si="7"/>
        <v>-5.3191489361702038E-2</v>
      </c>
      <c r="O524" s="355">
        <f t="shared" si="7"/>
        <v>0</v>
      </c>
      <c r="P524" s="355">
        <f t="shared" si="7"/>
        <v>-6.8181818181818343E-2</v>
      </c>
    </row>
    <row r="525" spans="2:16" x14ac:dyDescent="0.2">
      <c r="B525" s="351" t="s">
        <v>1740</v>
      </c>
      <c r="C525" s="351" t="s">
        <v>1753</v>
      </c>
      <c r="D525" s="351" t="s">
        <v>1755</v>
      </c>
      <c r="E525" s="351">
        <v>7</v>
      </c>
      <c r="F525" s="351">
        <v>0.89</v>
      </c>
      <c r="G525" s="354">
        <v>1.01</v>
      </c>
      <c r="H525" s="354">
        <v>2</v>
      </c>
      <c r="J525" s="351">
        <v>0.94</v>
      </c>
      <c r="K525" s="351">
        <v>1.01</v>
      </c>
      <c r="L525" s="354">
        <v>2.1</v>
      </c>
      <c r="N525" s="355">
        <f t="shared" ref="N525:P588" si="8">F525/J525-1</f>
        <v>-5.3191489361702038E-2</v>
      </c>
      <c r="O525" s="355">
        <f t="shared" si="8"/>
        <v>0</v>
      </c>
      <c r="P525" s="355">
        <f t="shared" si="8"/>
        <v>-4.7619047619047672E-2</v>
      </c>
    </row>
    <row r="526" spans="2:16" x14ac:dyDescent="0.2">
      <c r="B526" s="351" t="s">
        <v>1740</v>
      </c>
      <c r="C526" s="351" t="s">
        <v>1753</v>
      </c>
      <c r="D526" s="351" t="s">
        <v>1755</v>
      </c>
      <c r="E526" s="351">
        <v>8</v>
      </c>
      <c r="F526" s="351">
        <v>0.89</v>
      </c>
      <c r="G526" s="354">
        <v>1.01</v>
      </c>
      <c r="H526" s="354">
        <v>1.95</v>
      </c>
      <c r="J526" s="351">
        <v>0.94</v>
      </c>
      <c r="K526" s="351">
        <v>1.01</v>
      </c>
      <c r="L526" s="354">
        <v>2.0499999999999998</v>
      </c>
      <c r="N526" s="355">
        <f t="shared" si="8"/>
        <v>-5.3191489361702038E-2</v>
      </c>
      <c r="O526" s="355">
        <f t="shared" si="8"/>
        <v>0</v>
      </c>
      <c r="P526" s="355">
        <f t="shared" si="8"/>
        <v>-4.8780487804877981E-2</v>
      </c>
    </row>
    <row r="527" spans="2:16" x14ac:dyDescent="0.2">
      <c r="B527" s="351" t="s">
        <v>1740</v>
      </c>
      <c r="C527" s="351" t="s">
        <v>1753</v>
      </c>
      <c r="D527" s="351" t="s">
        <v>1755</v>
      </c>
      <c r="E527" s="351">
        <v>9</v>
      </c>
      <c r="F527" s="351">
        <v>0.89</v>
      </c>
      <c r="G527" s="354">
        <v>1.01</v>
      </c>
      <c r="H527" s="354">
        <v>1.9</v>
      </c>
      <c r="J527" s="351">
        <v>0.94</v>
      </c>
      <c r="K527" s="351">
        <v>1.01</v>
      </c>
      <c r="L527" s="354">
        <v>2</v>
      </c>
      <c r="N527" s="355">
        <f t="shared" si="8"/>
        <v>-5.3191489361702038E-2</v>
      </c>
      <c r="O527" s="355">
        <f t="shared" si="8"/>
        <v>0</v>
      </c>
      <c r="P527" s="355">
        <f t="shared" si="8"/>
        <v>-5.0000000000000044E-2</v>
      </c>
    </row>
    <row r="528" spans="2:16" x14ac:dyDescent="0.2">
      <c r="B528" s="351" t="s">
        <v>1740</v>
      </c>
      <c r="C528" s="351" t="s">
        <v>1753</v>
      </c>
      <c r="D528" s="351" t="s">
        <v>1755</v>
      </c>
      <c r="E528" s="351">
        <v>10</v>
      </c>
      <c r="F528" s="351">
        <v>0.89</v>
      </c>
      <c r="G528" s="354">
        <v>1.01</v>
      </c>
      <c r="H528" s="354">
        <v>1.85</v>
      </c>
      <c r="J528" s="351">
        <v>0.94</v>
      </c>
      <c r="K528" s="351">
        <v>1.01</v>
      </c>
      <c r="L528" s="354">
        <v>1.9</v>
      </c>
      <c r="N528" s="355">
        <f t="shared" si="8"/>
        <v>-5.3191489361702038E-2</v>
      </c>
      <c r="O528" s="355">
        <f t="shared" si="8"/>
        <v>0</v>
      </c>
      <c r="P528" s="355">
        <f t="shared" si="8"/>
        <v>-2.631578947368407E-2</v>
      </c>
    </row>
    <row r="529" spans="2:16" x14ac:dyDescent="0.2">
      <c r="B529" s="351" t="s">
        <v>1740</v>
      </c>
      <c r="C529" s="351" t="s">
        <v>1753</v>
      </c>
      <c r="D529" s="351" t="s">
        <v>1755</v>
      </c>
      <c r="E529" s="351">
        <v>11</v>
      </c>
      <c r="F529" s="351">
        <v>0.89</v>
      </c>
      <c r="G529" s="354">
        <v>1.01</v>
      </c>
      <c r="H529" s="354">
        <v>1.8</v>
      </c>
      <c r="J529" s="351">
        <v>0.94</v>
      </c>
      <c r="K529" s="351">
        <v>1.01</v>
      </c>
      <c r="L529" s="354">
        <v>1.85</v>
      </c>
      <c r="N529" s="355">
        <f t="shared" si="8"/>
        <v>-5.3191489361702038E-2</v>
      </c>
      <c r="O529" s="355">
        <f t="shared" si="8"/>
        <v>0</v>
      </c>
      <c r="P529" s="355">
        <f t="shared" si="8"/>
        <v>-2.7027027027027084E-2</v>
      </c>
    </row>
    <row r="530" spans="2:16" x14ac:dyDescent="0.2">
      <c r="B530" s="351" t="s">
        <v>1740</v>
      </c>
      <c r="C530" s="351" t="s">
        <v>1753</v>
      </c>
      <c r="D530" s="351" t="s">
        <v>1755</v>
      </c>
      <c r="E530" s="351">
        <v>12</v>
      </c>
      <c r="F530" s="351">
        <v>0.89</v>
      </c>
      <c r="G530" s="354">
        <v>1.01</v>
      </c>
      <c r="H530" s="354">
        <v>1.76</v>
      </c>
      <c r="J530" s="351">
        <v>0.94</v>
      </c>
      <c r="K530" s="351">
        <v>1.01</v>
      </c>
      <c r="L530" s="354">
        <v>1.8</v>
      </c>
      <c r="N530" s="355">
        <f t="shared" si="8"/>
        <v>-5.3191489361702038E-2</v>
      </c>
      <c r="O530" s="355">
        <f t="shared" si="8"/>
        <v>0</v>
      </c>
      <c r="P530" s="355">
        <f t="shared" si="8"/>
        <v>-2.2222222222222254E-2</v>
      </c>
    </row>
    <row r="531" spans="2:16" x14ac:dyDescent="0.2">
      <c r="B531" s="351" t="s">
        <v>1740</v>
      </c>
      <c r="C531" s="351" t="s">
        <v>1753</v>
      </c>
      <c r="D531" s="351" t="s">
        <v>1755</v>
      </c>
      <c r="E531" s="351">
        <v>13</v>
      </c>
      <c r="F531" s="351">
        <v>0.89</v>
      </c>
      <c r="G531" s="354">
        <v>1.01</v>
      </c>
      <c r="H531" s="354">
        <v>1.72</v>
      </c>
      <c r="J531" s="351">
        <v>0.94</v>
      </c>
      <c r="K531" s="351">
        <v>1.01</v>
      </c>
      <c r="L531" s="354">
        <v>1.76</v>
      </c>
      <c r="N531" s="355">
        <f t="shared" si="8"/>
        <v>-5.3191489361702038E-2</v>
      </c>
      <c r="O531" s="355">
        <f t="shared" si="8"/>
        <v>0</v>
      </c>
      <c r="P531" s="355">
        <f t="shared" si="8"/>
        <v>-2.2727272727272707E-2</v>
      </c>
    </row>
    <row r="532" spans="2:16" x14ac:dyDescent="0.2">
      <c r="B532" s="351" t="s">
        <v>1740</v>
      </c>
      <c r="C532" s="351" t="s">
        <v>1753</v>
      </c>
      <c r="D532" s="351" t="s">
        <v>1755</v>
      </c>
      <c r="E532" s="351">
        <v>14</v>
      </c>
      <c r="F532" s="351">
        <v>0.89</v>
      </c>
      <c r="G532" s="354">
        <v>1.01</v>
      </c>
      <c r="H532" s="354">
        <v>1.68</v>
      </c>
      <c r="J532" s="351">
        <v>0.94</v>
      </c>
      <c r="K532" s="351">
        <v>1.01</v>
      </c>
      <c r="L532" s="354">
        <v>1.72</v>
      </c>
      <c r="N532" s="355">
        <f t="shared" si="8"/>
        <v>-5.3191489361702038E-2</v>
      </c>
      <c r="O532" s="355">
        <f t="shared" si="8"/>
        <v>0</v>
      </c>
      <c r="P532" s="355">
        <f t="shared" si="8"/>
        <v>-2.3255813953488413E-2</v>
      </c>
    </row>
    <row r="533" spans="2:16" x14ac:dyDescent="0.2">
      <c r="B533" s="351" t="s">
        <v>1740</v>
      </c>
      <c r="C533" s="351" t="s">
        <v>1753</v>
      </c>
      <c r="D533" s="351" t="s">
        <v>1755</v>
      </c>
      <c r="E533" s="351">
        <v>15</v>
      </c>
      <c r="F533" s="351">
        <v>0.89</v>
      </c>
      <c r="G533" s="354">
        <v>1.01</v>
      </c>
      <c r="H533" s="354">
        <v>1.64</v>
      </c>
      <c r="J533" s="351">
        <v>0.94</v>
      </c>
      <c r="K533" s="351">
        <v>1.01</v>
      </c>
      <c r="L533" s="354">
        <v>1.68</v>
      </c>
      <c r="N533" s="355">
        <f t="shared" si="8"/>
        <v>-5.3191489361702038E-2</v>
      </c>
      <c r="O533" s="355">
        <f t="shared" si="8"/>
        <v>0</v>
      </c>
      <c r="P533" s="355">
        <f t="shared" si="8"/>
        <v>-2.3809523809523836E-2</v>
      </c>
    </row>
    <row r="534" spans="2:16" x14ac:dyDescent="0.2">
      <c r="B534" s="351" t="s">
        <v>1740</v>
      </c>
      <c r="C534" s="351" t="s">
        <v>1753</v>
      </c>
      <c r="D534" s="351" t="s">
        <v>1755</v>
      </c>
      <c r="E534" s="351">
        <v>16</v>
      </c>
      <c r="F534" s="351">
        <v>0.89</v>
      </c>
      <c r="G534" s="354">
        <v>1.01</v>
      </c>
      <c r="H534" s="354">
        <v>1.61</v>
      </c>
      <c r="J534" s="351">
        <v>0.94</v>
      </c>
      <c r="K534" s="351">
        <v>1.01</v>
      </c>
      <c r="L534" s="354">
        <v>1.64</v>
      </c>
      <c r="N534" s="355">
        <f t="shared" si="8"/>
        <v>-5.3191489361702038E-2</v>
      </c>
      <c r="O534" s="355">
        <f t="shared" si="8"/>
        <v>0</v>
      </c>
      <c r="P534" s="355">
        <f t="shared" si="8"/>
        <v>-1.8292682926829174E-2</v>
      </c>
    </row>
    <row r="535" spans="2:16" x14ac:dyDescent="0.2">
      <c r="B535" s="351" t="s">
        <v>1740</v>
      </c>
      <c r="C535" s="351" t="s">
        <v>1753</v>
      </c>
      <c r="D535" s="351" t="s">
        <v>1755</v>
      </c>
      <c r="E535" s="351">
        <v>17</v>
      </c>
      <c r="F535" s="351">
        <v>0.89</v>
      </c>
      <c r="G535" s="354">
        <v>1.01</v>
      </c>
      <c r="H535" s="354">
        <v>1.58</v>
      </c>
      <c r="J535" s="351">
        <v>0.94</v>
      </c>
      <c r="K535" s="351">
        <v>1.01</v>
      </c>
      <c r="L535" s="354">
        <v>1.61</v>
      </c>
      <c r="N535" s="355">
        <f t="shared" si="8"/>
        <v>-5.3191489361702038E-2</v>
      </c>
      <c r="O535" s="355">
        <f t="shared" si="8"/>
        <v>0</v>
      </c>
      <c r="P535" s="355">
        <f t="shared" si="8"/>
        <v>-1.8633540372670843E-2</v>
      </c>
    </row>
    <row r="536" spans="2:16" x14ac:dyDescent="0.2">
      <c r="B536" s="351" t="s">
        <v>1740</v>
      </c>
      <c r="C536" s="351" t="s">
        <v>1753</v>
      </c>
      <c r="D536" s="351" t="s">
        <v>1755</v>
      </c>
      <c r="E536" s="351">
        <v>18</v>
      </c>
      <c r="F536" s="351">
        <v>0.89</v>
      </c>
      <c r="G536" s="354">
        <v>1.01</v>
      </c>
      <c r="H536" s="354">
        <v>1.55</v>
      </c>
      <c r="J536" s="351">
        <v>0.94</v>
      </c>
      <c r="K536" s="351">
        <v>1.01</v>
      </c>
      <c r="L536" s="354">
        <v>1.58</v>
      </c>
      <c r="N536" s="355">
        <f t="shared" si="8"/>
        <v>-5.3191489361702038E-2</v>
      </c>
      <c r="O536" s="355">
        <f t="shared" si="8"/>
        <v>0</v>
      </c>
      <c r="P536" s="355">
        <f t="shared" si="8"/>
        <v>-1.8987341772151889E-2</v>
      </c>
    </row>
    <row r="537" spans="2:16" x14ac:dyDescent="0.2">
      <c r="B537" s="351" t="s">
        <v>1740</v>
      </c>
      <c r="C537" s="351" t="s">
        <v>1753</v>
      </c>
      <c r="D537" s="351" t="s">
        <v>1755</v>
      </c>
      <c r="E537" s="351">
        <v>19</v>
      </c>
      <c r="F537" s="351">
        <v>0.89</v>
      </c>
      <c r="G537" s="354">
        <v>1.01</v>
      </c>
      <c r="H537" s="354">
        <v>1.52</v>
      </c>
      <c r="J537" s="351">
        <v>0.94</v>
      </c>
      <c r="K537" s="351">
        <v>1.01</v>
      </c>
      <c r="L537" s="354">
        <v>1.55</v>
      </c>
      <c r="N537" s="355">
        <f t="shared" si="8"/>
        <v>-5.3191489361702038E-2</v>
      </c>
      <c r="O537" s="355">
        <f t="shared" si="8"/>
        <v>0</v>
      </c>
      <c r="P537" s="355">
        <f t="shared" si="8"/>
        <v>-1.9354838709677469E-2</v>
      </c>
    </row>
    <row r="538" spans="2:16" x14ac:dyDescent="0.2">
      <c r="B538" s="351" t="s">
        <v>1740</v>
      </c>
      <c r="C538" s="351" t="s">
        <v>1753</v>
      </c>
      <c r="D538" s="351" t="s">
        <v>1755</v>
      </c>
      <c r="E538" s="351">
        <v>20</v>
      </c>
      <c r="F538" s="351">
        <v>0.89</v>
      </c>
      <c r="G538" s="354">
        <v>1.01</v>
      </c>
      <c r="H538" s="354">
        <v>1.49</v>
      </c>
      <c r="J538" s="351">
        <v>0.94</v>
      </c>
      <c r="K538" s="351">
        <v>1.01</v>
      </c>
      <c r="L538" s="354">
        <v>1.52</v>
      </c>
      <c r="N538" s="355">
        <f t="shared" si="8"/>
        <v>-5.3191489361702038E-2</v>
      </c>
      <c r="O538" s="355">
        <f t="shared" si="8"/>
        <v>0</v>
      </c>
      <c r="P538" s="355">
        <f t="shared" si="8"/>
        <v>-1.9736842105263164E-2</v>
      </c>
    </row>
    <row r="539" spans="2:16" x14ac:dyDescent="0.2">
      <c r="B539" s="351" t="s">
        <v>1740</v>
      </c>
      <c r="C539" s="351" t="s">
        <v>1753</v>
      </c>
      <c r="D539" s="351" t="s">
        <v>1755</v>
      </c>
      <c r="E539" s="351">
        <v>21</v>
      </c>
      <c r="F539" s="351">
        <v>0.89</v>
      </c>
      <c r="G539" s="354">
        <v>1.01</v>
      </c>
      <c r="H539" s="354">
        <v>1.46</v>
      </c>
      <c r="J539" s="351">
        <v>0.94</v>
      </c>
      <c r="K539" s="351">
        <v>1.01</v>
      </c>
      <c r="L539" s="354">
        <v>1.49</v>
      </c>
      <c r="N539" s="355">
        <f t="shared" si="8"/>
        <v>-5.3191489361702038E-2</v>
      </c>
      <c r="O539" s="355">
        <f t="shared" si="8"/>
        <v>0</v>
      </c>
      <c r="P539" s="355">
        <f t="shared" si="8"/>
        <v>-2.0134228187919434E-2</v>
      </c>
    </row>
    <row r="540" spans="2:16" x14ac:dyDescent="0.2">
      <c r="B540" s="351" t="s">
        <v>1740</v>
      </c>
      <c r="C540" s="351" t="s">
        <v>1753</v>
      </c>
      <c r="D540" s="351" t="s">
        <v>1755</v>
      </c>
      <c r="E540" s="351">
        <v>22</v>
      </c>
      <c r="F540" s="351">
        <v>0.89</v>
      </c>
      <c r="G540" s="354">
        <v>1.01</v>
      </c>
      <c r="H540" s="354">
        <v>1.43</v>
      </c>
      <c r="J540" s="351">
        <v>0.94</v>
      </c>
      <c r="K540" s="351">
        <v>1.01</v>
      </c>
      <c r="L540" s="354">
        <v>1.46</v>
      </c>
      <c r="N540" s="355">
        <f t="shared" si="8"/>
        <v>-5.3191489361702038E-2</v>
      </c>
      <c r="O540" s="355">
        <f t="shared" si="8"/>
        <v>0</v>
      </c>
      <c r="P540" s="355">
        <f t="shared" si="8"/>
        <v>-2.0547945205479423E-2</v>
      </c>
    </row>
    <row r="541" spans="2:16" x14ac:dyDescent="0.2">
      <c r="B541" s="351" t="s">
        <v>1740</v>
      </c>
      <c r="C541" s="351" t="s">
        <v>1753</v>
      </c>
      <c r="D541" s="351" t="s">
        <v>1755</v>
      </c>
      <c r="E541" s="351">
        <v>23</v>
      </c>
      <c r="F541" s="351">
        <v>0.89</v>
      </c>
      <c r="G541" s="354">
        <v>1.01</v>
      </c>
      <c r="H541" s="354">
        <v>1.4</v>
      </c>
      <c r="J541" s="351">
        <v>0.94</v>
      </c>
      <c r="K541" s="351">
        <v>1.01</v>
      </c>
      <c r="L541" s="354">
        <v>1.43</v>
      </c>
      <c r="N541" s="355">
        <f t="shared" si="8"/>
        <v>-5.3191489361702038E-2</v>
      </c>
      <c r="O541" s="355">
        <f t="shared" si="8"/>
        <v>0</v>
      </c>
      <c r="P541" s="355">
        <f t="shared" si="8"/>
        <v>-2.0979020979021046E-2</v>
      </c>
    </row>
    <row r="542" spans="2:16" x14ac:dyDescent="0.2">
      <c r="B542" s="351" t="s">
        <v>1740</v>
      </c>
      <c r="C542" s="351" t="s">
        <v>1753</v>
      </c>
      <c r="D542" s="351" t="s">
        <v>1755</v>
      </c>
      <c r="E542" s="351">
        <v>24</v>
      </c>
      <c r="F542" s="351">
        <v>0.89</v>
      </c>
      <c r="G542" s="354">
        <v>1.01</v>
      </c>
      <c r="H542" s="354">
        <v>1.38</v>
      </c>
      <c r="J542" s="351">
        <v>0.94</v>
      </c>
      <c r="K542" s="351">
        <v>1.01</v>
      </c>
      <c r="L542" s="354">
        <v>1.4</v>
      </c>
      <c r="N542" s="355">
        <f t="shared" si="8"/>
        <v>-5.3191489361702038E-2</v>
      </c>
      <c r="O542" s="355">
        <f t="shared" si="8"/>
        <v>0</v>
      </c>
      <c r="P542" s="355">
        <f t="shared" si="8"/>
        <v>-1.4285714285714346E-2</v>
      </c>
    </row>
    <row r="543" spans="2:16" x14ac:dyDescent="0.2">
      <c r="B543" s="351" t="s">
        <v>1740</v>
      </c>
      <c r="C543" s="351" t="s">
        <v>1753</v>
      </c>
      <c r="D543" s="351" t="s">
        <v>1755</v>
      </c>
      <c r="E543" s="351">
        <v>25</v>
      </c>
      <c r="F543" s="351">
        <v>0.89</v>
      </c>
      <c r="G543" s="354">
        <v>1.01</v>
      </c>
      <c r="H543" s="354">
        <v>1.36</v>
      </c>
      <c r="J543" s="351">
        <v>0.94</v>
      </c>
      <c r="K543" s="351">
        <v>1.01</v>
      </c>
      <c r="L543" s="354">
        <v>1.38</v>
      </c>
      <c r="N543" s="355">
        <f t="shared" si="8"/>
        <v>-5.3191489361702038E-2</v>
      </c>
      <c r="O543" s="355">
        <f t="shared" si="8"/>
        <v>0</v>
      </c>
      <c r="P543" s="355">
        <f t="shared" si="8"/>
        <v>-1.4492753623188248E-2</v>
      </c>
    </row>
    <row r="544" spans="2:16" x14ac:dyDescent="0.2">
      <c r="B544" s="351" t="s">
        <v>1740</v>
      </c>
      <c r="C544" s="351" t="s">
        <v>1753</v>
      </c>
      <c r="D544" s="351" t="s">
        <v>1755</v>
      </c>
      <c r="E544" s="351">
        <v>26</v>
      </c>
      <c r="F544" s="351">
        <v>0.89</v>
      </c>
      <c r="G544" s="354">
        <v>1.01</v>
      </c>
      <c r="H544" s="354">
        <v>1.34</v>
      </c>
      <c r="J544" s="351">
        <v>0.94</v>
      </c>
      <c r="K544" s="351">
        <v>1.01</v>
      </c>
      <c r="L544" s="354">
        <v>1.36</v>
      </c>
      <c r="N544" s="355">
        <f t="shared" si="8"/>
        <v>-5.3191489361702038E-2</v>
      </c>
      <c r="O544" s="355">
        <f t="shared" si="8"/>
        <v>0</v>
      </c>
      <c r="P544" s="355">
        <f t="shared" si="8"/>
        <v>-1.4705882352941235E-2</v>
      </c>
    </row>
    <row r="545" spans="2:16" x14ac:dyDescent="0.2">
      <c r="B545" s="351" t="s">
        <v>1740</v>
      </c>
      <c r="C545" s="351" t="s">
        <v>1753</v>
      </c>
      <c r="D545" s="351" t="s">
        <v>1755</v>
      </c>
      <c r="E545" s="351">
        <v>27</v>
      </c>
      <c r="F545" s="351">
        <v>0.89</v>
      </c>
      <c r="G545" s="354">
        <v>1.01</v>
      </c>
      <c r="H545" s="354">
        <v>1.32</v>
      </c>
      <c r="J545" s="351">
        <v>0.94</v>
      </c>
      <c r="K545" s="351">
        <v>1.01</v>
      </c>
      <c r="L545" s="354">
        <v>1.34</v>
      </c>
      <c r="N545" s="355">
        <f t="shared" si="8"/>
        <v>-5.3191489361702038E-2</v>
      </c>
      <c r="O545" s="355">
        <f t="shared" si="8"/>
        <v>0</v>
      </c>
      <c r="P545" s="355">
        <f t="shared" si="8"/>
        <v>-1.4925373134328401E-2</v>
      </c>
    </row>
    <row r="546" spans="2:16" x14ac:dyDescent="0.2">
      <c r="B546" s="351" t="s">
        <v>1740</v>
      </c>
      <c r="C546" s="351" t="s">
        <v>1753</v>
      </c>
      <c r="D546" s="351" t="s">
        <v>1755</v>
      </c>
      <c r="E546" s="351">
        <v>28</v>
      </c>
      <c r="F546" s="351">
        <v>0.89</v>
      </c>
      <c r="G546" s="354">
        <v>1.01</v>
      </c>
      <c r="H546" s="354">
        <v>1.3</v>
      </c>
      <c r="J546" s="351">
        <v>0.94</v>
      </c>
      <c r="K546" s="351">
        <v>1.01</v>
      </c>
      <c r="L546" s="354">
        <v>1.32</v>
      </c>
      <c r="N546" s="355">
        <f t="shared" si="8"/>
        <v>-5.3191489361702038E-2</v>
      </c>
      <c r="O546" s="355">
        <f t="shared" si="8"/>
        <v>0</v>
      </c>
      <c r="P546" s="355">
        <f t="shared" si="8"/>
        <v>-1.5151515151515138E-2</v>
      </c>
    </row>
    <row r="547" spans="2:16" x14ac:dyDescent="0.2">
      <c r="B547" s="351" t="s">
        <v>1740</v>
      </c>
      <c r="C547" s="351" t="s">
        <v>1753</v>
      </c>
      <c r="D547" s="351" t="s">
        <v>1755</v>
      </c>
      <c r="E547" s="351">
        <v>29</v>
      </c>
      <c r="F547" s="351">
        <v>0.89</v>
      </c>
      <c r="G547" s="354">
        <v>1.01</v>
      </c>
      <c r="H547" s="354">
        <v>1.28</v>
      </c>
      <c r="J547" s="351">
        <v>0.94</v>
      </c>
      <c r="K547" s="351">
        <v>1.01</v>
      </c>
      <c r="L547" s="354">
        <v>1.3</v>
      </c>
      <c r="N547" s="355">
        <f t="shared" si="8"/>
        <v>-5.3191489361702038E-2</v>
      </c>
      <c r="O547" s="355">
        <f t="shared" si="8"/>
        <v>0</v>
      </c>
      <c r="P547" s="355">
        <f t="shared" si="8"/>
        <v>-1.5384615384615441E-2</v>
      </c>
    </row>
    <row r="548" spans="2:16" x14ac:dyDescent="0.2">
      <c r="B548" s="351" t="s">
        <v>1740</v>
      </c>
      <c r="C548" s="351" t="s">
        <v>1753</v>
      </c>
      <c r="D548" s="351" t="s">
        <v>1755</v>
      </c>
      <c r="E548" s="351">
        <v>30</v>
      </c>
      <c r="F548" s="351">
        <v>0.89</v>
      </c>
      <c r="G548" s="354">
        <v>1.01</v>
      </c>
      <c r="H548" s="354">
        <v>1.27</v>
      </c>
      <c r="J548" s="351">
        <v>0.94</v>
      </c>
      <c r="K548" s="351">
        <v>1.01</v>
      </c>
      <c r="L548" s="354">
        <v>1.28</v>
      </c>
      <c r="N548" s="355">
        <f t="shared" si="8"/>
        <v>-5.3191489361702038E-2</v>
      </c>
      <c r="O548" s="355">
        <f t="shared" si="8"/>
        <v>0</v>
      </c>
      <c r="P548" s="355">
        <f t="shared" si="8"/>
        <v>-7.8125E-3</v>
      </c>
    </row>
    <row r="549" spans="2:16" x14ac:dyDescent="0.2">
      <c r="B549" s="351" t="s">
        <v>1740</v>
      </c>
      <c r="C549" s="351" t="s">
        <v>1753</v>
      </c>
      <c r="D549" s="351" t="s">
        <v>1755</v>
      </c>
      <c r="E549" s="351">
        <v>31</v>
      </c>
      <c r="F549" s="351">
        <v>0.89</v>
      </c>
      <c r="G549" s="354">
        <v>1.01</v>
      </c>
      <c r="H549" s="354">
        <v>1.26</v>
      </c>
      <c r="J549" s="351">
        <v>0.94</v>
      </c>
      <c r="K549" s="351">
        <v>1.01</v>
      </c>
      <c r="L549" s="354">
        <v>1.27</v>
      </c>
      <c r="N549" s="355">
        <f t="shared" si="8"/>
        <v>-5.3191489361702038E-2</v>
      </c>
      <c r="O549" s="355">
        <f t="shared" si="8"/>
        <v>0</v>
      </c>
      <c r="P549" s="355">
        <f t="shared" si="8"/>
        <v>-7.8740157480314821E-3</v>
      </c>
    </row>
    <row r="550" spans="2:16" x14ac:dyDescent="0.2">
      <c r="B550" s="351" t="s">
        <v>1740</v>
      </c>
      <c r="C550" s="351" t="s">
        <v>1753</v>
      </c>
      <c r="D550" s="351" t="s">
        <v>1755</v>
      </c>
      <c r="E550" s="351">
        <v>32</v>
      </c>
      <c r="F550" s="351">
        <v>0.89</v>
      </c>
      <c r="G550" s="354">
        <v>1.01</v>
      </c>
      <c r="H550" s="354">
        <v>1.25</v>
      </c>
      <c r="J550" s="351">
        <v>0.94</v>
      </c>
      <c r="K550" s="351">
        <v>1.01</v>
      </c>
      <c r="L550" s="354">
        <v>1.26</v>
      </c>
      <c r="N550" s="355">
        <f t="shared" si="8"/>
        <v>-5.3191489361702038E-2</v>
      </c>
      <c r="O550" s="355">
        <f t="shared" si="8"/>
        <v>0</v>
      </c>
      <c r="P550" s="355">
        <f t="shared" si="8"/>
        <v>-7.9365079365079083E-3</v>
      </c>
    </row>
    <row r="551" spans="2:16" x14ac:dyDescent="0.2">
      <c r="B551" s="351" t="s">
        <v>1740</v>
      </c>
      <c r="C551" s="351" t="s">
        <v>1753</v>
      </c>
      <c r="D551" s="351" t="s">
        <v>1755</v>
      </c>
      <c r="E551" s="351">
        <v>33</v>
      </c>
      <c r="F551" s="351">
        <v>0.89</v>
      </c>
      <c r="G551" s="354">
        <v>1.01</v>
      </c>
      <c r="H551" s="354">
        <v>1.24</v>
      </c>
      <c r="J551" s="351">
        <v>0.94</v>
      </c>
      <c r="K551" s="351">
        <v>1.01</v>
      </c>
      <c r="L551" s="354">
        <v>1.25</v>
      </c>
      <c r="N551" s="355">
        <f t="shared" si="8"/>
        <v>-5.3191489361702038E-2</v>
      </c>
      <c r="O551" s="355">
        <f t="shared" si="8"/>
        <v>0</v>
      </c>
      <c r="P551" s="355">
        <f t="shared" si="8"/>
        <v>-8.0000000000000071E-3</v>
      </c>
    </row>
    <row r="552" spans="2:16" x14ac:dyDescent="0.2">
      <c r="B552" s="351" t="s">
        <v>1740</v>
      </c>
      <c r="C552" s="351" t="s">
        <v>1753</v>
      </c>
      <c r="D552" s="351" t="s">
        <v>1755</v>
      </c>
      <c r="E552" s="351">
        <v>34</v>
      </c>
      <c r="F552" s="351">
        <v>0.89</v>
      </c>
      <c r="G552" s="354">
        <v>1.01</v>
      </c>
      <c r="H552" s="354">
        <v>1.23</v>
      </c>
      <c r="J552" s="351">
        <v>0.94</v>
      </c>
      <c r="K552" s="351">
        <v>1.01</v>
      </c>
      <c r="L552" s="354">
        <v>1.24</v>
      </c>
      <c r="N552" s="355">
        <f t="shared" si="8"/>
        <v>-5.3191489361702038E-2</v>
      </c>
      <c r="O552" s="355">
        <f t="shared" si="8"/>
        <v>0</v>
      </c>
      <c r="P552" s="355">
        <f t="shared" si="8"/>
        <v>-8.0645161290322509E-3</v>
      </c>
    </row>
    <row r="553" spans="2:16" x14ac:dyDescent="0.2">
      <c r="B553" s="351" t="s">
        <v>1740</v>
      </c>
      <c r="C553" s="351" t="s">
        <v>1753</v>
      </c>
      <c r="D553" s="351" t="s">
        <v>1755</v>
      </c>
      <c r="E553" s="351">
        <v>35</v>
      </c>
      <c r="F553" s="351">
        <v>0.89</v>
      </c>
      <c r="G553" s="354">
        <v>1.01</v>
      </c>
      <c r="H553" s="354">
        <v>1.22</v>
      </c>
      <c r="J553" s="351">
        <v>0.94</v>
      </c>
      <c r="K553" s="351">
        <v>1.01</v>
      </c>
      <c r="L553" s="354">
        <v>1.23</v>
      </c>
      <c r="N553" s="355">
        <f t="shared" si="8"/>
        <v>-5.3191489361702038E-2</v>
      </c>
      <c r="O553" s="355">
        <f t="shared" si="8"/>
        <v>0</v>
      </c>
      <c r="P553" s="355">
        <f t="shared" si="8"/>
        <v>-8.1300813008130524E-3</v>
      </c>
    </row>
    <row r="554" spans="2:16" x14ac:dyDescent="0.2">
      <c r="B554" s="351" t="s">
        <v>1740</v>
      </c>
      <c r="C554" s="351" t="s">
        <v>1753</v>
      </c>
      <c r="D554" s="351" t="s">
        <v>1755</v>
      </c>
      <c r="E554" s="351">
        <v>36</v>
      </c>
      <c r="F554" s="351">
        <v>0.89</v>
      </c>
      <c r="G554" s="354">
        <v>1.01</v>
      </c>
      <c r="H554" s="354">
        <v>1.21</v>
      </c>
      <c r="J554" s="351">
        <v>0.94</v>
      </c>
      <c r="K554" s="351">
        <v>1.01</v>
      </c>
      <c r="L554" s="354">
        <v>1.22</v>
      </c>
      <c r="N554" s="355">
        <f t="shared" si="8"/>
        <v>-5.3191489361702038E-2</v>
      </c>
      <c r="O554" s="355">
        <f t="shared" si="8"/>
        <v>0</v>
      </c>
      <c r="P554" s="355">
        <f t="shared" si="8"/>
        <v>-8.1967213114754189E-3</v>
      </c>
    </row>
    <row r="555" spans="2:16" x14ac:dyDescent="0.2">
      <c r="B555" s="351" t="s">
        <v>1740</v>
      </c>
      <c r="C555" s="351" t="s">
        <v>1753</v>
      </c>
      <c r="D555" s="351" t="s">
        <v>1755</v>
      </c>
      <c r="E555" s="351">
        <v>37</v>
      </c>
      <c r="F555" s="351">
        <v>0.89</v>
      </c>
      <c r="G555" s="354">
        <v>1.01</v>
      </c>
      <c r="H555" s="354">
        <v>1.2</v>
      </c>
      <c r="J555" s="351">
        <v>0.94</v>
      </c>
      <c r="K555" s="351">
        <v>1.01</v>
      </c>
      <c r="L555" s="354">
        <v>1.21</v>
      </c>
      <c r="N555" s="355">
        <f t="shared" si="8"/>
        <v>-5.3191489361702038E-2</v>
      </c>
      <c r="O555" s="355">
        <f t="shared" si="8"/>
        <v>0</v>
      </c>
      <c r="P555" s="355">
        <f t="shared" si="8"/>
        <v>-8.2644628099173278E-3</v>
      </c>
    </row>
    <row r="556" spans="2:16" x14ac:dyDescent="0.2">
      <c r="B556" s="351" t="s">
        <v>1740</v>
      </c>
      <c r="C556" s="351" t="s">
        <v>1753</v>
      </c>
      <c r="D556" s="351" t="s">
        <v>1755</v>
      </c>
      <c r="E556" s="351">
        <v>38</v>
      </c>
      <c r="F556" s="351">
        <v>0.89</v>
      </c>
      <c r="G556" s="354">
        <v>1.01</v>
      </c>
      <c r="H556" s="354">
        <v>1.19</v>
      </c>
      <c r="J556" s="351">
        <v>0.94</v>
      </c>
      <c r="K556" s="351">
        <v>1.01</v>
      </c>
      <c r="L556" s="354">
        <v>1.2</v>
      </c>
      <c r="N556" s="355">
        <f t="shared" si="8"/>
        <v>-5.3191489361702038E-2</v>
      </c>
      <c r="O556" s="355">
        <f t="shared" si="8"/>
        <v>0</v>
      </c>
      <c r="P556" s="355">
        <f t="shared" si="8"/>
        <v>-8.3333333333333037E-3</v>
      </c>
    </row>
    <row r="557" spans="2:16" x14ac:dyDescent="0.2">
      <c r="B557" s="351" t="s">
        <v>1740</v>
      </c>
      <c r="C557" s="351" t="s">
        <v>1753</v>
      </c>
      <c r="D557" s="351" t="s">
        <v>1755</v>
      </c>
      <c r="E557" s="351">
        <v>39</v>
      </c>
      <c r="F557" s="351">
        <v>0.89</v>
      </c>
      <c r="G557" s="354">
        <v>1.01</v>
      </c>
      <c r="H557" s="354">
        <v>1.18</v>
      </c>
      <c r="J557" s="351">
        <v>0.94</v>
      </c>
      <c r="K557" s="351">
        <v>1.01</v>
      </c>
      <c r="L557" s="354">
        <v>1.19</v>
      </c>
      <c r="N557" s="355">
        <f t="shared" si="8"/>
        <v>-5.3191489361702038E-2</v>
      </c>
      <c r="O557" s="355">
        <f t="shared" si="8"/>
        <v>0</v>
      </c>
      <c r="P557" s="355">
        <f t="shared" si="8"/>
        <v>-8.4033613445377853E-3</v>
      </c>
    </row>
    <row r="558" spans="2:16" x14ac:dyDescent="0.2">
      <c r="B558" s="351" t="s">
        <v>1740</v>
      </c>
      <c r="C558" s="351" t="s">
        <v>1753</v>
      </c>
      <c r="D558" s="351" t="s">
        <v>1755</v>
      </c>
      <c r="E558" s="351">
        <v>40</v>
      </c>
      <c r="F558" s="351">
        <v>0.89</v>
      </c>
      <c r="G558" s="354">
        <v>1.01</v>
      </c>
      <c r="H558" s="354">
        <v>1.17</v>
      </c>
      <c r="J558" s="351">
        <v>0.94</v>
      </c>
      <c r="K558" s="351">
        <v>1.01</v>
      </c>
      <c r="L558" s="354">
        <v>1.18</v>
      </c>
      <c r="N558" s="355">
        <f t="shared" si="8"/>
        <v>-5.3191489361702038E-2</v>
      </c>
      <c r="O558" s="355">
        <f t="shared" si="8"/>
        <v>0</v>
      </c>
      <c r="P558" s="355">
        <f t="shared" si="8"/>
        <v>-8.4745762711864181E-3</v>
      </c>
    </row>
    <row r="559" spans="2:16" x14ac:dyDescent="0.2">
      <c r="B559" s="351" t="s">
        <v>1740</v>
      </c>
      <c r="C559" s="351" t="s">
        <v>1753</v>
      </c>
      <c r="D559" s="351" t="s">
        <v>1755</v>
      </c>
      <c r="E559" s="351">
        <v>41</v>
      </c>
      <c r="F559" s="351">
        <v>0.89</v>
      </c>
      <c r="G559" s="354">
        <v>1.01</v>
      </c>
      <c r="H559" s="354">
        <v>1.1599999999999999</v>
      </c>
      <c r="J559" s="351">
        <v>0.94</v>
      </c>
      <c r="K559" s="351">
        <v>1.01</v>
      </c>
      <c r="L559" s="354">
        <v>1.17</v>
      </c>
      <c r="N559" s="355">
        <f t="shared" si="8"/>
        <v>-5.3191489361702038E-2</v>
      </c>
      <c r="O559" s="355">
        <f t="shared" si="8"/>
        <v>0</v>
      </c>
      <c r="P559" s="355">
        <f t="shared" si="8"/>
        <v>-8.5470085470085166E-3</v>
      </c>
    </row>
    <row r="560" spans="2:16" x14ac:dyDescent="0.2">
      <c r="B560" s="351" t="s">
        <v>1740</v>
      </c>
      <c r="C560" s="351" t="s">
        <v>1753</v>
      </c>
      <c r="D560" s="351" t="s">
        <v>1755</v>
      </c>
      <c r="E560" s="351">
        <v>42</v>
      </c>
      <c r="F560" s="351">
        <v>0.89</v>
      </c>
      <c r="G560" s="354">
        <v>1.01</v>
      </c>
      <c r="H560" s="354">
        <v>1.1499999999999999</v>
      </c>
      <c r="J560" s="351">
        <v>0.94</v>
      </c>
      <c r="K560" s="351">
        <v>1.01</v>
      </c>
      <c r="L560" s="354">
        <v>1.1599999999999999</v>
      </c>
      <c r="N560" s="355">
        <f t="shared" si="8"/>
        <v>-5.3191489361702038E-2</v>
      </c>
      <c r="O560" s="355">
        <f t="shared" si="8"/>
        <v>0</v>
      </c>
      <c r="P560" s="355">
        <f t="shared" si="8"/>
        <v>-8.6206896551723755E-3</v>
      </c>
    </row>
    <row r="561" spans="2:16" x14ac:dyDescent="0.2">
      <c r="B561" s="351" t="s">
        <v>1740</v>
      </c>
      <c r="C561" s="351" t="s">
        <v>1753</v>
      </c>
      <c r="D561" s="351" t="s">
        <v>1755</v>
      </c>
      <c r="E561" s="351">
        <v>43</v>
      </c>
      <c r="F561" s="351">
        <v>0.89</v>
      </c>
      <c r="G561" s="354">
        <v>1.01</v>
      </c>
      <c r="H561" s="354">
        <v>1.1399999999999999</v>
      </c>
      <c r="J561" s="351">
        <v>0.94</v>
      </c>
      <c r="K561" s="351">
        <v>1.01</v>
      </c>
      <c r="L561" s="354">
        <v>1.1499999999999999</v>
      </c>
      <c r="N561" s="355">
        <f t="shared" si="8"/>
        <v>-5.3191489361702038E-2</v>
      </c>
      <c r="O561" s="355">
        <f t="shared" si="8"/>
        <v>0</v>
      </c>
      <c r="P561" s="355">
        <f t="shared" si="8"/>
        <v>-8.6956521739131043E-3</v>
      </c>
    </row>
    <row r="562" spans="2:16" x14ac:dyDescent="0.2">
      <c r="B562" s="351" t="s">
        <v>1740</v>
      </c>
      <c r="C562" s="351" t="s">
        <v>1753</v>
      </c>
      <c r="D562" s="351" t="s">
        <v>1755</v>
      </c>
      <c r="E562" s="351">
        <v>44</v>
      </c>
      <c r="F562" s="351">
        <v>0.89</v>
      </c>
      <c r="G562" s="354">
        <v>1.01</v>
      </c>
      <c r="H562" s="354">
        <v>1.1299999999999999</v>
      </c>
      <c r="J562" s="351">
        <v>0.94</v>
      </c>
      <c r="K562" s="351">
        <v>1.01</v>
      </c>
      <c r="L562" s="354">
        <v>1.1399999999999999</v>
      </c>
      <c r="N562" s="355">
        <f t="shared" si="8"/>
        <v>-5.3191489361702038E-2</v>
      </c>
      <c r="O562" s="355">
        <f t="shared" si="8"/>
        <v>0</v>
      </c>
      <c r="P562" s="355">
        <f t="shared" si="8"/>
        <v>-8.7719298245614308E-3</v>
      </c>
    </row>
    <row r="563" spans="2:16" x14ac:dyDescent="0.2">
      <c r="B563" s="351" t="s">
        <v>1740</v>
      </c>
      <c r="C563" s="351" t="s">
        <v>1753</v>
      </c>
      <c r="D563" s="351" t="s">
        <v>1755</v>
      </c>
      <c r="E563" s="351">
        <v>45</v>
      </c>
      <c r="F563" s="351">
        <v>0.89</v>
      </c>
      <c r="G563" s="354">
        <v>1.01</v>
      </c>
      <c r="H563" s="354">
        <v>1.1200000000000001</v>
      </c>
      <c r="J563" s="351">
        <v>0.94</v>
      </c>
      <c r="K563" s="351">
        <v>1.01</v>
      </c>
      <c r="L563" s="354">
        <v>1.1299999999999999</v>
      </c>
      <c r="N563" s="355">
        <f t="shared" si="8"/>
        <v>-5.3191489361702038E-2</v>
      </c>
      <c r="O563" s="355">
        <f t="shared" si="8"/>
        <v>0</v>
      </c>
      <c r="P563" s="355">
        <f t="shared" si="8"/>
        <v>-8.8495575221236855E-3</v>
      </c>
    </row>
    <row r="564" spans="2:16" x14ac:dyDescent="0.2">
      <c r="B564" s="351" t="s">
        <v>1740</v>
      </c>
      <c r="C564" s="351" t="s">
        <v>1753</v>
      </c>
      <c r="D564" s="351" t="s">
        <v>1755</v>
      </c>
      <c r="E564" s="351">
        <v>46</v>
      </c>
      <c r="F564" s="351">
        <v>0.89</v>
      </c>
      <c r="G564" s="354">
        <v>1.01</v>
      </c>
      <c r="H564" s="354">
        <v>1.1100000000000001</v>
      </c>
      <c r="J564" s="351">
        <v>0.94</v>
      </c>
      <c r="K564" s="351">
        <v>1.01</v>
      </c>
      <c r="L564" s="354">
        <v>1.1200000000000001</v>
      </c>
      <c r="N564" s="355">
        <f t="shared" si="8"/>
        <v>-5.3191489361702038E-2</v>
      </c>
      <c r="O564" s="355">
        <f t="shared" si="8"/>
        <v>0</v>
      </c>
      <c r="P564" s="355">
        <f t="shared" si="8"/>
        <v>-8.9285714285713969E-3</v>
      </c>
    </row>
    <row r="565" spans="2:16" x14ac:dyDescent="0.2">
      <c r="B565" s="351" t="s">
        <v>1740</v>
      </c>
      <c r="C565" s="351" t="s">
        <v>1753</v>
      </c>
      <c r="D565" s="351" t="s">
        <v>1755</v>
      </c>
      <c r="E565" s="351">
        <v>47</v>
      </c>
      <c r="F565" s="351">
        <v>0.89</v>
      </c>
      <c r="G565" s="354">
        <v>1.01</v>
      </c>
      <c r="H565" s="354">
        <v>1.1000000000000001</v>
      </c>
      <c r="J565" s="351">
        <v>0.94</v>
      </c>
      <c r="K565" s="351">
        <v>1.01</v>
      </c>
      <c r="L565" s="354">
        <v>1.1100000000000001</v>
      </c>
      <c r="N565" s="355">
        <f t="shared" si="8"/>
        <v>-5.3191489361702038E-2</v>
      </c>
      <c r="O565" s="355">
        <f t="shared" si="8"/>
        <v>0</v>
      </c>
      <c r="P565" s="355">
        <f t="shared" si="8"/>
        <v>-9.009009009009028E-3</v>
      </c>
    </row>
    <row r="566" spans="2:16" x14ac:dyDescent="0.2">
      <c r="B566" s="351" t="s">
        <v>1740</v>
      </c>
      <c r="C566" s="351" t="s">
        <v>1753</v>
      </c>
      <c r="D566" s="351" t="s">
        <v>1755</v>
      </c>
      <c r="E566" s="351">
        <v>48</v>
      </c>
      <c r="F566" s="351">
        <v>0.89</v>
      </c>
      <c r="G566" s="354">
        <v>1.01</v>
      </c>
      <c r="H566" s="354">
        <v>1.0900000000000001</v>
      </c>
      <c r="J566" s="351">
        <v>0.94</v>
      </c>
      <c r="K566" s="351">
        <v>1.01</v>
      </c>
      <c r="L566" s="354">
        <v>1.1000000000000001</v>
      </c>
      <c r="N566" s="355">
        <f t="shared" si="8"/>
        <v>-5.3191489361702038E-2</v>
      </c>
      <c r="O566" s="355">
        <f t="shared" si="8"/>
        <v>0</v>
      </c>
      <c r="P566" s="355">
        <f t="shared" si="8"/>
        <v>-9.0909090909091494E-3</v>
      </c>
    </row>
    <row r="567" spans="2:16" x14ac:dyDescent="0.2">
      <c r="B567" s="351" t="s">
        <v>1740</v>
      </c>
      <c r="C567" s="351" t="s">
        <v>1753</v>
      </c>
      <c r="D567" s="351" t="s">
        <v>1755</v>
      </c>
      <c r="E567" s="351">
        <v>49</v>
      </c>
      <c r="F567" s="351">
        <v>0.89</v>
      </c>
      <c r="G567" s="354">
        <v>1.01</v>
      </c>
      <c r="H567" s="354">
        <v>1.0900000000000001</v>
      </c>
      <c r="J567" s="351">
        <v>0.94</v>
      </c>
      <c r="K567" s="351">
        <v>1.01</v>
      </c>
      <c r="L567" s="354">
        <v>1.1000000000000001</v>
      </c>
      <c r="N567" s="355">
        <f t="shared" si="8"/>
        <v>-5.3191489361702038E-2</v>
      </c>
      <c r="O567" s="355">
        <f t="shared" si="8"/>
        <v>0</v>
      </c>
      <c r="P567" s="355">
        <f t="shared" si="8"/>
        <v>-9.0909090909091494E-3</v>
      </c>
    </row>
    <row r="568" spans="2:16" x14ac:dyDescent="0.2">
      <c r="B568" s="351" t="s">
        <v>1740</v>
      </c>
      <c r="C568" s="351" t="s">
        <v>1753</v>
      </c>
      <c r="D568" s="351" t="s">
        <v>1755</v>
      </c>
      <c r="E568" s="351">
        <v>50</v>
      </c>
      <c r="F568" s="351">
        <v>0.89</v>
      </c>
      <c r="G568" s="354">
        <v>1.01</v>
      </c>
      <c r="H568" s="354">
        <v>1.08</v>
      </c>
      <c r="J568" s="351">
        <v>0.94</v>
      </c>
      <c r="K568" s="351">
        <v>1.01</v>
      </c>
      <c r="L568" s="354">
        <v>1.0900000000000001</v>
      </c>
      <c r="N568" s="355">
        <f t="shared" si="8"/>
        <v>-5.3191489361702038E-2</v>
      </c>
      <c r="O568" s="355">
        <f t="shared" si="8"/>
        <v>0</v>
      </c>
      <c r="P568" s="355">
        <f t="shared" si="8"/>
        <v>-9.1743119266055606E-3</v>
      </c>
    </row>
    <row r="569" spans="2:16" x14ac:dyDescent="0.2">
      <c r="B569" s="351" t="s">
        <v>1740</v>
      </c>
      <c r="C569" s="351" t="s">
        <v>1753</v>
      </c>
      <c r="D569" s="351" t="s">
        <v>1755</v>
      </c>
      <c r="E569" s="351">
        <v>51</v>
      </c>
      <c r="F569" s="351">
        <v>0.89</v>
      </c>
      <c r="G569" s="354">
        <v>1.01</v>
      </c>
      <c r="H569" s="354">
        <v>1.08</v>
      </c>
      <c r="J569" s="351">
        <v>0.94</v>
      </c>
      <c r="K569" s="351">
        <v>1.01</v>
      </c>
      <c r="L569" s="354">
        <v>1.0900000000000001</v>
      </c>
      <c r="N569" s="355">
        <f t="shared" si="8"/>
        <v>-5.3191489361702038E-2</v>
      </c>
      <c r="O569" s="355">
        <f t="shared" si="8"/>
        <v>0</v>
      </c>
      <c r="P569" s="355">
        <f t="shared" si="8"/>
        <v>-9.1743119266055606E-3</v>
      </c>
    </row>
    <row r="570" spans="2:16" x14ac:dyDescent="0.2">
      <c r="B570" s="351" t="s">
        <v>1740</v>
      </c>
      <c r="C570" s="351" t="s">
        <v>1753</v>
      </c>
      <c r="D570" s="351" t="s">
        <v>1755</v>
      </c>
      <c r="E570" s="351">
        <v>52</v>
      </c>
      <c r="F570" s="351">
        <v>0.89</v>
      </c>
      <c r="G570" s="354">
        <v>1.01</v>
      </c>
      <c r="H570" s="354">
        <v>1.07</v>
      </c>
      <c r="J570" s="351">
        <v>0.94</v>
      </c>
      <c r="K570" s="351">
        <v>1.01</v>
      </c>
      <c r="L570" s="354">
        <v>1.08</v>
      </c>
      <c r="N570" s="355">
        <f t="shared" si="8"/>
        <v>-5.3191489361702038E-2</v>
      </c>
      <c r="O570" s="355">
        <f t="shared" si="8"/>
        <v>0</v>
      </c>
      <c r="P570" s="355">
        <f t="shared" si="8"/>
        <v>-9.2592592592593004E-3</v>
      </c>
    </row>
    <row r="571" spans="2:16" x14ac:dyDescent="0.2">
      <c r="B571" s="351" t="s">
        <v>1740</v>
      </c>
      <c r="C571" s="351" t="s">
        <v>1753</v>
      </c>
      <c r="D571" s="351" t="s">
        <v>1755</v>
      </c>
      <c r="E571" s="351">
        <v>53</v>
      </c>
      <c r="F571" s="351">
        <v>0.89</v>
      </c>
      <c r="G571" s="354">
        <v>1.01</v>
      </c>
      <c r="H571" s="354">
        <v>1.07</v>
      </c>
      <c r="J571" s="351">
        <v>0.94</v>
      </c>
      <c r="K571" s="351">
        <v>1.01</v>
      </c>
      <c r="L571" s="354">
        <v>1.08</v>
      </c>
      <c r="N571" s="355">
        <f t="shared" si="8"/>
        <v>-5.3191489361702038E-2</v>
      </c>
      <c r="O571" s="355">
        <f t="shared" si="8"/>
        <v>0</v>
      </c>
      <c r="P571" s="355">
        <f t="shared" si="8"/>
        <v>-9.2592592592593004E-3</v>
      </c>
    </row>
    <row r="572" spans="2:16" x14ac:dyDescent="0.2">
      <c r="B572" s="351" t="s">
        <v>1740</v>
      </c>
      <c r="C572" s="351" t="s">
        <v>1753</v>
      </c>
      <c r="D572" s="351" t="s">
        <v>1755</v>
      </c>
      <c r="E572" s="351">
        <v>54</v>
      </c>
      <c r="F572" s="351">
        <v>0.89</v>
      </c>
      <c r="G572" s="354">
        <v>1.01</v>
      </c>
      <c r="H572" s="354">
        <v>1.06</v>
      </c>
      <c r="J572" s="351">
        <v>0.94</v>
      </c>
      <c r="K572" s="351">
        <v>1.01</v>
      </c>
      <c r="L572" s="354">
        <v>1.07</v>
      </c>
      <c r="N572" s="355">
        <f t="shared" si="8"/>
        <v>-5.3191489361702038E-2</v>
      </c>
      <c r="O572" s="355">
        <f t="shared" si="8"/>
        <v>0</v>
      </c>
      <c r="P572" s="355">
        <f t="shared" si="8"/>
        <v>-9.3457943925233655E-3</v>
      </c>
    </row>
    <row r="573" spans="2:16" x14ac:dyDescent="0.2">
      <c r="B573" s="351" t="s">
        <v>1740</v>
      </c>
      <c r="C573" s="351" t="s">
        <v>1753</v>
      </c>
      <c r="D573" s="351" t="s">
        <v>1755</v>
      </c>
      <c r="E573" s="351">
        <v>55</v>
      </c>
      <c r="F573" s="351">
        <v>0.89</v>
      </c>
      <c r="G573" s="354">
        <v>1.01</v>
      </c>
      <c r="H573" s="354">
        <v>1.06</v>
      </c>
      <c r="J573" s="351">
        <v>0.94</v>
      </c>
      <c r="K573" s="351">
        <v>1.01</v>
      </c>
      <c r="L573" s="354">
        <v>1.07</v>
      </c>
      <c r="N573" s="355">
        <f t="shared" si="8"/>
        <v>-5.3191489361702038E-2</v>
      </c>
      <c r="O573" s="355">
        <f t="shared" si="8"/>
        <v>0</v>
      </c>
      <c r="P573" s="355">
        <f t="shared" si="8"/>
        <v>-9.3457943925233655E-3</v>
      </c>
    </row>
    <row r="574" spans="2:16" x14ac:dyDescent="0.2">
      <c r="B574" s="351" t="s">
        <v>1740</v>
      </c>
      <c r="C574" s="351" t="s">
        <v>1753</v>
      </c>
      <c r="D574" s="351" t="s">
        <v>1755</v>
      </c>
      <c r="E574" s="351">
        <v>56</v>
      </c>
      <c r="F574" s="351">
        <v>0.89</v>
      </c>
      <c r="G574" s="354">
        <v>1.01</v>
      </c>
      <c r="H574" s="354">
        <v>1.05</v>
      </c>
      <c r="J574" s="351">
        <v>0.94</v>
      </c>
      <c r="K574" s="351">
        <v>1.01</v>
      </c>
      <c r="L574" s="354">
        <v>1.06</v>
      </c>
      <c r="N574" s="355">
        <f t="shared" si="8"/>
        <v>-5.3191489361702038E-2</v>
      </c>
      <c r="O574" s="355">
        <f t="shared" si="8"/>
        <v>0</v>
      </c>
      <c r="P574" s="355">
        <f t="shared" si="8"/>
        <v>-9.4339622641509413E-3</v>
      </c>
    </row>
    <row r="575" spans="2:16" x14ac:dyDescent="0.2">
      <c r="B575" s="351" t="s">
        <v>1740</v>
      </c>
      <c r="C575" s="351" t="s">
        <v>1753</v>
      </c>
      <c r="D575" s="351" t="s">
        <v>1755</v>
      </c>
      <c r="E575" s="351">
        <v>57</v>
      </c>
      <c r="F575" s="351">
        <v>0.89</v>
      </c>
      <c r="G575" s="354">
        <v>1.01</v>
      </c>
      <c r="H575" s="354">
        <v>1.05</v>
      </c>
      <c r="J575" s="351">
        <v>0.94</v>
      </c>
      <c r="K575" s="351">
        <v>1.01</v>
      </c>
      <c r="L575" s="354">
        <v>1.06</v>
      </c>
      <c r="N575" s="355">
        <f t="shared" si="8"/>
        <v>-5.3191489361702038E-2</v>
      </c>
      <c r="O575" s="355">
        <f t="shared" si="8"/>
        <v>0</v>
      </c>
      <c r="P575" s="355">
        <f t="shared" si="8"/>
        <v>-9.4339622641509413E-3</v>
      </c>
    </row>
    <row r="576" spans="2:16" x14ac:dyDescent="0.2">
      <c r="B576" s="351" t="s">
        <v>1740</v>
      </c>
      <c r="C576" s="351" t="s">
        <v>1753</v>
      </c>
      <c r="D576" s="351" t="s">
        <v>1755</v>
      </c>
      <c r="E576" s="351">
        <v>58</v>
      </c>
      <c r="F576" s="351">
        <v>0.89</v>
      </c>
      <c r="G576" s="354">
        <v>1.01</v>
      </c>
      <c r="H576" s="354">
        <v>1.05</v>
      </c>
      <c r="J576" s="351">
        <v>0.94</v>
      </c>
      <c r="K576" s="351">
        <v>1.01</v>
      </c>
      <c r="L576" s="354">
        <v>1.05</v>
      </c>
      <c r="N576" s="355">
        <f t="shared" si="8"/>
        <v>-5.3191489361702038E-2</v>
      </c>
      <c r="O576" s="355">
        <f t="shared" si="8"/>
        <v>0</v>
      </c>
      <c r="P576" s="355">
        <f t="shared" si="8"/>
        <v>0</v>
      </c>
    </row>
    <row r="577" spans="2:16" x14ac:dyDescent="0.2">
      <c r="B577" s="351" t="s">
        <v>1740</v>
      </c>
      <c r="C577" s="351" t="s">
        <v>1753</v>
      </c>
      <c r="D577" s="351" t="s">
        <v>1755</v>
      </c>
      <c r="E577" s="351">
        <v>59</v>
      </c>
      <c r="F577" s="351">
        <v>0.89</v>
      </c>
      <c r="G577" s="354">
        <v>1.01</v>
      </c>
      <c r="H577" s="354">
        <v>1.04</v>
      </c>
      <c r="J577" s="351">
        <v>0.94</v>
      </c>
      <c r="K577" s="351">
        <v>1.01</v>
      </c>
      <c r="L577" s="354">
        <v>1.05</v>
      </c>
      <c r="N577" s="355">
        <f t="shared" si="8"/>
        <v>-5.3191489361702038E-2</v>
      </c>
      <c r="O577" s="355">
        <f t="shared" si="8"/>
        <v>0</v>
      </c>
      <c r="P577" s="355">
        <f t="shared" si="8"/>
        <v>-9.52380952380949E-3</v>
      </c>
    </row>
    <row r="578" spans="2:16" x14ac:dyDescent="0.2">
      <c r="B578" s="351" t="s">
        <v>1740</v>
      </c>
      <c r="C578" s="351" t="s">
        <v>1753</v>
      </c>
      <c r="D578" s="351" t="s">
        <v>1755</v>
      </c>
      <c r="E578" s="351">
        <v>60</v>
      </c>
      <c r="F578" s="351">
        <v>0.89</v>
      </c>
      <c r="G578" s="354">
        <v>1.01</v>
      </c>
      <c r="H578" s="354">
        <v>1.04</v>
      </c>
      <c r="J578" s="351">
        <v>0.94</v>
      </c>
      <c r="K578" s="351">
        <v>1.01</v>
      </c>
      <c r="L578" s="354">
        <v>1.05</v>
      </c>
      <c r="N578" s="355">
        <f t="shared" si="8"/>
        <v>-5.3191489361702038E-2</v>
      </c>
      <c r="O578" s="355">
        <f t="shared" si="8"/>
        <v>0</v>
      </c>
      <c r="P578" s="355">
        <f t="shared" si="8"/>
        <v>-9.52380952380949E-3</v>
      </c>
    </row>
    <row r="579" spans="2:16" x14ac:dyDescent="0.2">
      <c r="B579" s="351" t="s">
        <v>1740</v>
      </c>
      <c r="C579" s="351" t="s">
        <v>1753</v>
      </c>
      <c r="D579" s="351" t="s">
        <v>1755</v>
      </c>
      <c r="E579" s="351">
        <v>61</v>
      </c>
      <c r="F579" s="351">
        <v>0.89</v>
      </c>
      <c r="G579" s="354">
        <v>1.01</v>
      </c>
      <c r="H579" s="354">
        <v>1.04</v>
      </c>
      <c r="J579" s="351">
        <v>0.94</v>
      </c>
      <c r="K579" s="351">
        <v>1.01</v>
      </c>
      <c r="L579" s="354">
        <v>1.04</v>
      </c>
      <c r="N579" s="355">
        <f t="shared" si="8"/>
        <v>-5.3191489361702038E-2</v>
      </c>
      <c r="O579" s="355">
        <f t="shared" si="8"/>
        <v>0</v>
      </c>
      <c r="P579" s="355">
        <f t="shared" si="8"/>
        <v>0</v>
      </c>
    </row>
    <row r="580" spans="2:16" x14ac:dyDescent="0.2">
      <c r="B580" s="351" t="s">
        <v>1740</v>
      </c>
      <c r="C580" s="351" t="s">
        <v>1753</v>
      </c>
      <c r="D580" s="351" t="s">
        <v>1755</v>
      </c>
      <c r="E580" s="351">
        <v>62</v>
      </c>
      <c r="F580" s="351">
        <v>0.89</v>
      </c>
      <c r="G580" s="354">
        <v>1.01</v>
      </c>
      <c r="H580" s="354">
        <v>1.03</v>
      </c>
      <c r="J580" s="351">
        <v>0.94</v>
      </c>
      <c r="K580" s="351">
        <v>1.01</v>
      </c>
      <c r="L580" s="354">
        <v>1.04</v>
      </c>
      <c r="N580" s="355">
        <f t="shared" si="8"/>
        <v>-5.3191489361702038E-2</v>
      </c>
      <c r="O580" s="355">
        <f t="shared" si="8"/>
        <v>0</v>
      </c>
      <c r="P580" s="355">
        <f t="shared" si="8"/>
        <v>-9.6153846153845812E-3</v>
      </c>
    </row>
    <row r="581" spans="2:16" x14ac:dyDescent="0.2">
      <c r="B581" s="351" t="s">
        <v>1740</v>
      </c>
      <c r="C581" s="351" t="s">
        <v>1753</v>
      </c>
      <c r="D581" s="351" t="s">
        <v>1755</v>
      </c>
      <c r="E581" s="351">
        <v>63</v>
      </c>
      <c r="F581" s="351">
        <v>0.89</v>
      </c>
      <c r="G581" s="354">
        <v>1.01</v>
      </c>
      <c r="H581" s="354">
        <v>1.03</v>
      </c>
      <c r="J581" s="351">
        <v>0.94</v>
      </c>
      <c r="K581" s="351">
        <v>1.01</v>
      </c>
      <c r="L581" s="354">
        <v>1.04</v>
      </c>
      <c r="N581" s="355">
        <f t="shared" si="8"/>
        <v>-5.3191489361702038E-2</v>
      </c>
      <c r="O581" s="355">
        <f t="shared" si="8"/>
        <v>0</v>
      </c>
      <c r="P581" s="355">
        <f t="shared" si="8"/>
        <v>-9.6153846153845812E-3</v>
      </c>
    </row>
    <row r="582" spans="2:16" x14ac:dyDescent="0.2">
      <c r="B582" s="351" t="s">
        <v>1740</v>
      </c>
      <c r="C582" s="351" t="s">
        <v>1753</v>
      </c>
      <c r="D582" s="351" t="s">
        <v>1755</v>
      </c>
      <c r="E582" s="351">
        <v>64</v>
      </c>
      <c r="F582" s="351">
        <v>0.89</v>
      </c>
      <c r="G582" s="354">
        <v>1.01</v>
      </c>
      <c r="H582" s="354">
        <v>1.03</v>
      </c>
      <c r="J582" s="351">
        <v>0.94</v>
      </c>
      <c r="K582" s="351">
        <v>1.01</v>
      </c>
      <c r="L582" s="354">
        <v>1.03</v>
      </c>
      <c r="N582" s="355">
        <f t="shared" si="8"/>
        <v>-5.3191489361702038E-2</v>
      </c>
      <c r="O582" s="355">
        <f t="shared" si="8"/>
        <v>0</v>
      </c>
      <c r="P582" s="355">
        <f t="shared" si="8"/>
        <v>0</v>
      </c>
    </row>
    <row r="583" spans="2:16" x14ac:dyDescent="0.2">
      <c r="B583" s="351" t="s">
        <v>1740</v>
      </c>
      <c r="C583" s="351" t="s">
        <v>1753</v>
      </c>
      <c r="D583" s="351" t="s">
        <v>1755</v>
      </c>
      <c r="E583" s="351">
        <v>65</v>
      </c>
      <c r="F583" s="351">
        <v>0.89</v>
      </c>
      <c r="G583" s="354">
        <v>1.01</v>
      </c>
      <c r="H583" s="354">
        <v>1.02</v>
      </c>
      <c r="J583" s="351">
        <v>0.94</v>
      </c>
      <c r="K583" s="351">
        <v>1.01</v>
      </c>
      <c r="L583" s="354">
        <v>1.03</v>
      </c>
      <c r="N583" s="355">
        <f t="shared" si="8"/>
        <v>-5.3191489361702038E-2</v>
      </c>
      <c r="O583" s="355">
        <f t="shared" si="8"/>
        <v>0</v>
      </c>
      <c r="P583" s="355">
        <f t="shared" si="8"/>
        <v>-9.7087378640776656E-3</v>
      </c>
    </row>
    <row r="584" spans="2:16" x14ac:dyDescent="0.2">
      <c r="B584" s="351" t="s">
        <v>1740</v>
      </c>
      <c r="C584" s="351" t="s">
        <v>1753</v>
      </c>
      <c r="D584" s="351" t="s">
        <v>1755</v>
      </c>
      <c r="E584" s="351">
        <v>66</v>
      </c>
      <c r="F584" s="351">
        <v>0.89</v>
      </c>
      <c r="G584" s="354">
        <v>1.01</v>
      </c>
      <c r="H584" s="354">
        <v>1.02</v>
      </c>
      <c r="J584" s="351">
        <v>0.94</v>
      </c>
      <c r="K584" s="351">
        <v>1.01</v>
      </c>
      <c r="L584" s="354">
        <v>1.03</v>
      </c>
      <c r="N584" s="355">
        <f t="shared" si="8"/>
        <v>-5.3191489361702038E-2</v>
      </c>
      <c r="O584" s="355">
        <f t="shared" si="8"/>
        <v>0</v>
      </c>
      <c r="P584" s="355">
        <f t="shared" si="8"/>
        <v>-9.7087378640776656E-3</v>
      </c>
    </row>
    <row r="585" spans="2:16" x14ac:dyDescent="0.2">
      <c r="B585" s="351" t="s">
        <v>1740</v>
      </c>
      <c r="C585" s="351" t="s">
        <v>1753</v>
      </c>
      <c r="D585" s="351" t="s">
        <v>1755</v>
      </c>
      <c r="E585" s="351">
        <v>67</v>
      </c>
      <c r="F585" s="351">
        <v>0.89</v>
      </c>
      <c r="G585" s="354">
        <v>1.01</v>
      </c>
      <c r="H585" s="354">
        <v>1.02</v>
      </c>
      <c r="J585" s="351">
        <v>0.94</v>
      </c>
      <c r="K585" s="351">
        <v>1.01</v>
      </c>
      <c r="L585" s="354">
        <v>1.02</v>
      </c>
      <c r="N585" s="355">
        <f t="shared" si="8"/>
        <v>-5.3191489361702038E-2</v>
      </c>
      <c r="O585" s="355">
        <f t="shared" si="8"/>
        <v>0</v>
      </c>
      <c r="P585" s="355">
        <f t="shared" si="8"/>
        <v>0</v>
      </c>
    </row>
    <row r="586" spans="2:16" x14ac:dyDescent="0.2">
      <c r="B586" s="351" t="s">
        <v>1740</v>
      </c>
      <c r="C586" s="351" t="s">
        <v>1753</v>
      </c>
      <c r="D586" s="351" t="s">
        <v>1755</v>
      </c>
      <c r="E586" s="351">
        <v>68</v>
      </c>
      <c r="F586" s="351">
        <v>0.89</v>
      </c>
      <c r="G586" s="354">
        <v>1.01</v>
      </c>
      <c r="H586" s="354">
        <v>1.02</v>
      </c>
      <c r="J586" s="351">
        <v>0.94</v>
      </c>
      <c r="K586" s="351">
        <v>1.01</v>
      </c>
      <c r="L586" s="354">
        <v>1.02</v>
      </c>
      <c r="N586" s="355">
        <f t="shared" si="8"/>
        <v>-5.3191489361702038E-2</v>
      </c>
      <c r="O586" s="355">
        <f t="shared" si="8"/>
        <v>0</v>
      </c>
      <c r="P586" s="355">
        <f t="shared" si="8"/>
        <v>0</v>
      </c>
    </row>
    <row r="587" spans="2:16" x14ac:dyDescent="0.2">
      <c r="B587" s="351" t="s">
        <v>1740</v>
      </c>
      <c r="C587" s="351" t="s">
        <v>1753</v>
      </c>
      <c r="D587" s="351" t="s">
        <v>1755</v>
      </c>
      <c r="E587" s="351">
        <v>69</v>
      </c>
      <c r="F587" s="351">
        <v>0.89</v>
      </c>
      <c r="G587" s="354">
        <v>1.01</v>
      </c>
      <c r="H587" s="354">
        <v>1.01</v>
      </c>
      <c r="J587" s="351">
        <v>0.94</v>
      </c>
      <c r="K587" s="351">
        <v>1.01</v>
      </c>
      <c r="L587" s="354">
        <v>1.02</v>
      </c>
      <c r="N587" s="355">
        <f t="shared" si="8"/>
        <v>-5.3191489361702038E-2</v>
      </c>
      <c r="O587" s="355">
        <f t="shared" si="8"/>
        <v>0</v>
      </c>
      <c r="P587" s="355">
        <f t="shared" si="8"/>
        <v>-9.8039215686274161E-3</v>
      </c>
    </row>
    <row r="588" spans="2:16" x14ac:dyDescent="0.2">
      <c r="B588" s="351" t="s">
        <v>1740</v>
      </c>
      <c r="C588" s="351" t="s">
        <v>1753</v>
      </c>
      <c r="D588" s="351" t="s">
        <v>1755</v>
      </c>
      <c r="E588" s="351">
        <v>70</v>
      </c>
      <c r="F588" s="351">
        <v>0.89</v>
      </c>
      <c r="G588" s="354">
        <v>1.01</v>
      </c>
      <c r="H588" s="354">
        <v>1.01</v>
      </c>
      <c r="J588" s="351">
        <v>0.94</v>
      </c>
      <c r="K588" s="351">
        <v>1.01</v>
      </c>
      <c r="L588" s="354">
        <v>1.01</v>
      </c>
      <c r="N588" s="355">
        <f t="shared" si="8"/>
        <v>-5.3191489361702038E-2</v>
      </c>
      <c r="O588" s="355">
        <f t="shared" si="8"/>
        <v>0</v>
      </c>
      <c r="P588" s="355">
        <f t="shared" si="8"/>
        <v>0</v>
      </c>
    </row>
    <row r="589" spans="2:16" x14ac:dyDescent="0.2">
      <c r="B589" s="351" t="s">
        <v>1740</v>
      </c>
      <c r="C589" s="351" t="s">
        <v>1753</v>
      </c>
      <c r="D589" s="351" t="s">
        <v>1755</v>
      </c>
      <c r="E589" s="351">
        <v>71</v>
      </c>
      <c r="F589" s="351">
        <v>0.89</v>
      </c>
      <c r="G589" s="354">
        <v>1.01</v>
      </c>
      <c r="H589" s="354">
        <v>1.01</v>
      </c>
      <c r="J589" s="351">
        <v>0.94</v>
      </c>
      <c r="K589" s="351">
        <v>1.01</v>
      </c>
      <c r="L589" s="354">
        <v>1.01</v>
      </c>
      <c r="N589" s="355">
        <f t="shared" ref="N589:P618" si="9">F589/J589-1</f>
        <v>-5.3191489361702038E-2</v>
      </c>
      <c r="O589" s="355">
        <f t="shared" si="9"/>
        <v>0</v>
      </c>
      <c r="P589" s="355">
        <f t="shared" si="9"/>
        <v>0</v>
      </c>
    </row>
    <row r="590" spans="2:16" x14ac:dyDescent="0.2">
      <c r="B590" s="351" t="s">
        <v>1740</v>
      </c>
      <c r="C590" s="351" t="s">
        <v>1753</v>
      </c>
      <c r="D590" s="351" t="s">
        <v>1755</v>
      </c>
      <c r="E590" s="351">
        <v>72</v>
      </c>
      <c r="F590" s="351">
        <v>0.89</v>
      </c>
      <c r="G590" s="354">
        <v>1.01</v>
      </c>
      <c r="H590" s="354">
        <v>1.01</v>
      </c>
      <c r="J590" s="351">
        <v>0.94</v>
      </c>
      <c r="K590" s="351">
        <v>1.01</v>
      </c>
      <c r="L590" s="354">
        <v>1.01</v>
      </c>
      <c r="N590" s="355">
        <f t="shared" si="9"/>
        <v>-5.3191489361702038E-2</v>
      </c>
      <c r="O590" s="355">
        <f t="shared" si="9"/>
        <v>0</v>
      </c>
      <c r="P590" s="355">
        <f t="shared" si="9"/>
        <v>0</v>
      </c>
    </row>
    <row r="591" spans="2:16" x14ac:dyDescent="0.2">
      <c r="B591" s="351" t="s">
        <v>1740</v>
      </c>
      <c r="C591" s="351" t="s">
        <v>1753</v>
      </c>
      <c r="D591" s="351" t="s">
        <v>1755</v>
      </c>
      <c r="E591" s="351">
        <v>73</v>
      </c>
      <c r="F591" s="351">
        <v>0.89</v>
      </c>
      <c r="G591" s="354">
        <v>1.01</v>
      </c>
      <c r="H591" s="354">
        <v>1.01</v>
      </c>
      <c r="J591" s="351">
        <v>0.94</v>
      </c>
      <c r="K591" s="351">
        <v>1.01</v>
      </c>
      <c r="L591" s="354">
        <v>1.01</v>
      </c>
      <c r="N591" s="355">
        <f t="shared" si="9"/>
        <v>-5.3191489361702038E-2</v>
      </c>
      <c r="O591" s="355">
        <f t="shared" si="9"/>
        <v>0</v>
      </c>
      <c r="P591" s="355">
        <f t="shared" si="9"/>
        <v>0</v>
      </c>
    </row>
    <row r="592" spans="2:16" x14ac:dyDescent="0.2">
      <c r="B592" s="351" t="s">
        <v>1740</v>
      </c>
      <c r="C592" s="351" t="s">
        <v>1753</v>
      </c>
      <c r="D592" s="351" t="s">
        <v>1755</v>
      </c>
      <c r="E592" s="351">
        <v>74</v>
      </c>
      <c r="F592" s="351">
        <v>0.89</v>
      </c>
      <c r="G592" s="354">
        <v>1</v>
      </c>
      <c r="H592" s="354">
        <v>1</v>
      </c>
      <c r="J592" s="351">
        <v>0.94</v>
      </c>
      <c r="K592" s="351">
        <v>1.01</v>
      </c>
      <c r="L592" s="354">
        <v>1.01</v>
      </c>
      <c r="N592" s="355">
        <f t="shared" si="9"/>
        <v>-5.3191489361702038E-2</v>
      </c>
      <c r="O592" s="355">
        <f t="shared" si="9"/>
        <v>-9.9009900990099098E-3</v>
      </c>
      <c r="P592" s="355">
        <f t="shared" si="9"/>
        <v>-9.9009900990099098E-3</v>
      </c>
    </row>
    <row r="593" spans="2:16" x14ac:dyDescent="0.2">
      <c r="B593" s="351" t="s">
        <v>1740</v>
      </c>
      <c r="C593" s="351" t="s">
        <v>1753</v>
      </c>
      <c r="D593" s="351" t="s">
        <v>1755</v>
      </c>
      <c r="E593" s="351">
        <v>75</v>
      </c>
      <c r="F593" s="351">
        <v>0.89</v>
      </c>
      <c r="G593" s="354">
        <v>1</v>
      </c>
      <c r="H593" s="354">
        <v>1</v>
      </c>
      <c r="J593" s="351">
        <v>0.94</v>
      </c>
      <c r="K593" s="351">
        <v>1.01</v>
      </c>
      <c r="L593" s="354">
        <v>1</v>
      </c>
      <c r="N593" s="355">
        <f t="shared" si="9"/>
        <v>-5.3191489361702038E-2</v>
      </c>
      <c r="O593" s="355">
        <f t="shared" si="9"/>
        <v>-9.9009900990099098E-3</v>
      </c>
      <c r="P593" s="355">
        <f t="shared" si="9"/>
        <v>0</v>
      </c>
    </row>
    <row r="594" spans="2:16" x14ac:dyDescent="0.2">
      <c r="B594" s="351" t="s">
        <v>1740</v>
      </c>
      <c r="C594" s="351" t="s">
        <v>1753</v>
      </c>
      <c r="D594" s="351" t="s">
        <v>1755</v>
      </c>
      <c r="E594" s="351">
        <v>76</v>
      </c>
      <c r="F594" s="351">
        <v>0.89</v>
      </c>
      <c r="G594" s="354">
        <v>1</v>
      </c>
      <c r="H594" s="354">
        <v>1</v>
      </c>
      <c r="J594" s="351">
        <v>0.94</v>
      </c>
      <c r="K594" s="351">
        <v>1.01</v>
      </c>
      <c r="L594" s="354">
        <v>1</v>
      </c>
      <c r="N594" s="355">
        <f t="shared" si="9"/>
        <v>-5.3191489361702038E-2</v>
      </c>
      <c r="O594" s="355">
        <f t="shared" si="9"/>
        <v>-9.9009900990099098E-3</v>
      </c>
      <c r="P594" s="355">
        <f t="shared" si="9"/>
        <v>0</v>
      </c>
    </row>
    <row r="595" spans="2:16" x14ac:dyDescent="0.2">
      <c r="B595" s="351" t="s">
        <v>1740</v>
      </c>
      <c r="C595" s="351" t="s">
        <v>1753</v>
      </c>
      <c r="D595" s="351" t="s">
        <v>1755</v>
      </c>
      <c r="E595" s="351">
        <v>77</v>
      </c>
      <c r="F595" s="351">
        <v>0.89</v>
      </c>
      <c r="G595" s="354">
        <v>1</v>
      </c>
      <c r="H595" s="354">
        <v>1</v>
      </c>
      <c r="J595" s="351">
        <v>0.94</v>
      </c>
      <c r="K595" s="351">
        <v>1.01</v>
      </c>
      <c r="L595" s="354">
        <v>1</v>
      </c>
      <c r="N595" s="355">
        <f t="shared" si="9"/>
        <v>-5.3191489361702038E-2</v>
      </c>
      <c r="O595" s="355">
        <f t="shared" si="9"/>
        <v>-9.9009900990099098E-3</v>
      </c>
      <c r="P595" s="355">
        <f t="shared" si="9"/>
        <v>0</v>
      </c>
    </row>
    <row r="596" spans="2:16" x14ac:dyDescent="0.2">
      <c r="B596" s="351" t="s">
        <v>1740</v>
      </c>
      <c r="C596" s="351" t="s">
        <v>1753</v>
      </c>
      <c r="D596" s="351" t="s">
        <v>1755</v>
      </c>
      <c r="E596" s="351">
        <v>78</v>
      </c>
      <c r="F596" s="351">
        <v>0.89</v>
      </c>
      <c r="G596" s="354">
        <v>1</v>
      </c>
      <c r="H596" s="354">
        <v>1</v>
      </c>
      <c r="J596" s="351">
        <v>0.94</v>
      </c>
      <c r="K596" s="351">
        <v>1.01</v>
      </c>
      <c r="L596" s="354">
        <v>1</v>
      </c>
      <c r="N596" s="355">
        <f t="shared" si="9"/>
        <v>-5.3191489361702038E-2</v>
      </c>
      <c r="O596" s="355">
        <f t="shared" si="9"/>
        <v>-9.9009900990099098E-3</v>
      </c>
      <c r="P596" s="355">
        <f t="shared" si="9"/>
        <v>0</v>
      </c>
    </row>
    <row r="597" spans="2:16" x14ac:dyDescent="0.2">
      <c r="B597" s="351" t="s">
        <v>1740</v>
      </c>
      <c r="C597" s="351" t="s">
        <v>1753</v>
      </c>
      <c r="D597" s="351" t="s">
        <v>1755</v>
      </c>
      <c r="E597" s="351">
        <v>79</v>
      </c>
      <c r="F597" s="351">
        <v>0.89</v>
      </c>
      <c r="G597" s="354">
        <v>1</v>
      </c>
      <c r="H597" s="354">
        <v>1</v>
      </c>
      <c r="J597" s="351">
        <v>0.94</v>
      </c>
      <c r="K597" s="351">
        <v>1.01</v>
      </c>
      <c r="L597" s="354">
        <v>1</v>
      </c>
      <c r="N597" s="355">
        <f t="shared" si="9"/>
        <v>-5.3191489361702038E-2</v>
      </c>
      <c r="O597" s="355">
        <f t="shared" si="9"/>
        <v>-9.9009900990099098E-3</v>
      </c>
      <c r="P597" s="355">
        <f t="shared" si="9"/>
        <v>0</v>
      </c>
    </row>
    <row r="598" spans="2:16" x14ac:dyDescent="0.2">
      <c r="B598" s="351" t="s">
        <v>1740</v>
      </c>
      <c r="C598" s="351" t="s">
        <v>1753</v>
      </c>
      <c r="D598" s="351" t="s">
        <v>1755</v>
      </c>
      <c r="E598" s="351">
        <v>80</v>
      </c>
      <c r="F598" s="351">
        <v>0.89</v>
      </c>
      <c r="G598" s="354">
        <v>1</v>
      </c>
      <c r="H598" s="354">
        <v>1</v>
      </c>
      <c r="J598" s="351">
        <v>0.94</v>
      </c>
      <c r="K598" s="351">
        <v>1.01</v>
      </c>
      <c r="L598" s="354">
        <v>1</v>
      </c>
      <c r="N598" s="355">
        <f t="shared" si="9"/>
        <v>-5.3191489361702038E-2</v>
      </c>
      <c r="O598" s="355">
        <f t="shared" si="9"/>
        <v>-9.9009900990099098E-3</v>
      </c>
      <c r="P598" s="355">
        <f t="shared" si="9"/>
        <v>0</v>
      </c>
    </row>
    <row r="599" spans="2:16" x14ac:dyDescent="0.2">
      <c r="B599" s="351" t="s">
        <v>1740</v>
      </c>
      <c r="C599" s="351" t="s">
        <v>1753</v>
      </c>
      <c r="D599" s="351" t="s">
        <v>1755</v>
      </c>
      <c r="E599" s="351">
        <v>81</v>
      </c>
      <c r="F599" s="351">
        <v>0.89</v>
      </c>
      <c r="G599" s="354">
        <v>1</v>
      </c>
      <c r="H599" s="354">
        <v>1</v>
      </c>
      <c r="J599" s="351">
        <v>0.94</v>
      </c>
      <c r="K599" s="351">
        <v>1.01</v>
      </c>
      <c r="L599" s="354">
        <v>1</v>
      </c>
      <c r="N599" s="355">
        <f t="shared" si="9"/>
        <v>-5.3191489361702038E-2</v>
      </c>
      <c r="O599" s="355">
        <f t="shared" si="9"/>
        <v>-9.9009900990099098E-3</v>
      </c>
      <c r="P599" s="355">
        <f t="shared" si="9"/>
        <v>0</v>
      </c>
    </row>
    <row r="600" spans="2:16" x14ac:dyDescent="0.2">
      <c r="B600" s="351" t="s">
        <v>1740</v>
      </c>
      <c r="C600" s="351" t="s">
        <v>1753</v>
      </c>
      <c r="D600" s="351" t="s">
        <v>1755</v>
      </c>
      <c r="E600" s="351">
        <v>82</v>
      </c>
      <c r="F600" s="351">
        <v>0.89</v>
      </c>
      <c r="G600" s="354">
        <v>1</v>
      </c>
      <c r="H600" s="354">
        <v>1</v>
      </c>
      <c r="J600" s="351">
        <v>0.94</v>
      </c>
      <c r="K600" s="351">
        <v>1.01</v>
      </c>
      <c r="L600" s="354">
        <v>1</v>
      </c>
      <c r="N600" s="355">
        <f t="shared" si="9"/>
        <v>-5.3191489361702038E-2</v>
      </c>
      <c r="O600" s="355">
        <f t="shared" si="9"/>
        <v>-9.9009900990099098E-3</v>
      </c>
      <c r="P600" s="355">
        <f t="shared" si="9"/>
        <v>0</v>
      </c>
    </row>
    <row r="601" spans="2:16" x14ac:dyDescent="0.2">
      <c r="B601" s="351" t="s">
        <v>1740</v>
      </c>
      <c r="C601" s="351" t="s">
        <v>1753</v>
      </c>
      <c r="D601" s="351" t="s">
        <v>1755</v>
      </c>
      <c r="E601" s="351">
        <v>83</v>
      </c>
      <c r="F601" s="351">
        <v>0.89</v>
      </c>
      <c r="G601" s="354">
        <v>1</v>
      </c>
      <c r="H601" s="354">
        <v>1</v>
      </c>
      <c r="J601" s="351">
        <v>0.94</v>
      </c>
      <c r="K601" s="351">
        <v>1.01</v>
      </c>
      <c r="L601" s="354">
        <v>1</v>
      </c>
      <c r="N601" s="355">
        <f t="shared" si="9"/>
        <v>-5.3191489361702038E-2</v>
      </c>
      <c r="O601" s="355">
        <f t="shared" si="9"/>
        <v>-9.9009900990099098E-3</v>
      </c>
      <c r="P601" s="355">
        <f t="shared" si="9"/>
        <v>0</v>
      </c>
    </row>
    <row r="602" spans="2:16" x14ac:dyDescent="0.2">
      <c r="B602" s="351" t="s">
        <v>1740</v>
      </c>
      <c r="C602" s="351" t="s">
        <v>1753</v>
      </c>
      <c r="D602" s="351" t="s">
        <v>1755</v>
      </c>
      <c r="E602" s="351">
        <v>84</v>
      </c>
      <c r="F602" s="351">
        <v>0.89</v>
      </c>
      <c r="G602" s="354">
        <v>1</v>
      </c>
      <c r="H602" s="354">
        <v>1</v>
      </c>
      <c r="J602" s="351">
        <v>0.94</v>
      </c>
      <c r="K602" s="351">
        <v>1.01</v>
      </c>
      <c r="L602" s="354">
        <v>1</v>
      </c>
      <c r="N602" s="355">
        <f t="shared" si="9"/>
        <v>-5.3191489361702038E-2</v>
      </c>
      <c r="O602" s="355">
        <f t="shared" si="9"/>
        <v>-9.9009900990099098E-3</v>
      </c>
      <c r="P602" s="355">
        <f t="shared" si="9"/>
        <v>0</v>
      </c>
    </row>
    <row r="603" spans="2:16" x14ac:dyDescent="0.2">
      <c r="B603" s="351" t="s">
        <v>1740</v>
      </c>
      <c r="C603" s="351" t="s">
        <v>1753</v>
      </c>
      <c r="D603" s="351" t="s">
        <v>1755</v>
      </c>
      <c r="E603" s="351">
        <v>85</v>
      </c>
      <c r="F603" s="351">
        <v>0.89</v>
      </c>
      <c r="G603" s="354">
        <v>1</v>
      </c>
      <c r="H603" s="354">
        <v>1</v>
      </c>
      <c r="J603" s="351">
        <v>0.94</v>
      </c>
      <c r="K603" s="351">
        <v>1.01</v>
      </c>
      <c r="L603" s="354">
        <v>1</v>
      </c>
      <c r="N603" s="355">
        <f t="shared" si="9"/>
        <v>-5.3191489361702038E-2</v>
      </c>
      <c r="O603" s="355">
        <f t="shared" si="9"/>
        <v>-9.9009900990099098E-3</v>
      </c>
      <c r="P603" s="355">
        <f t="shared" si="9"/>
        <v>0</v>
      </c>
    </row>
    <row r="604" spans="2:16" x14ac:dyDescent="0.2">
      <c r="B604" s="351" t="s">
        <v>1740</v>
      </c>
      <c r="C604" s="351" t="s">
        <v>1753</v>
      </c>
      <c r="D604" s="351" t="s">
        <v>1755</v>
      </c>
      <c r="E604" s="351">
        <v>86</v>
      </c>
      <c r="F604" s="351">
        <v>0.89</v>
      </c>
      <c r="G604" s="354">
        <v>1</v>
      </c>
      <c r="H604" s="354">
        <v>1</v>
      </c>
      <c r="J604" s="351">
        <v>0.94</v>
      </c>
      <c r="K604" s="351">
        <v>1.01</v>
      </c>
      <c r="L604" s="354">
        <v>1</v>
      </c>
      <c r="N604" s="355">
        <f t="shared" si="9"/>
        <v>-5.3191489361702038E-2</v>
      </c>
      <c r="O604" s="355">
        <f t="shared" si="9"/>
        <v>-9.9009900990099098E-3</v>
      </c>
      <c r="P604" s="355">
        <f t="shared" si="9"/>
        <v>0</v>
      </c>
    </row>
    <row r="605" spans="2:16" x14ac:dyDescent="0.2">
      <c r="B605" s="351" t="s">
        <v>1740</v>
      </c>
      <c r="C605" s="351" t="s">
        <v>1753</v>
      </c>
      <c r="D605" s="351" t="s">
        <v>1755</v>
      </c>
      <c r="E605" s="351">
        <v>87</v>
      </c>
      <c r="F605" s="351">
        <v>0.89</v>
      </c>
      <c r="G605" s="354">
        <v>1</v>
      </c>
      <c r="H605" s="354">
        <v>1</v>
      </c>
      <c r="J605" s="351">
        <v>0.94</v>
      </c>
      <c r="K605" s="351">
        <v>1.01</v>
      </c>
      <c r="L605" s="354">
        <v>1</v>
      </c>
      <c r="N605" s="355">
        <f t="shared" si="9"/>
        <v>-5.3191489361702038E-2</v>
      </c>
      <c r="O605" s="355">
        <f t="shared" si="9"/>
        <v>-9.9009900990099098E-3</v>
      </c>
      <c r="P605" s="355">
        <f t="shared" si="9"/>
        <v>0</v>
      </c>
    </row>
    <row r="606" spans="2:16" x14ac:dyDescent="0.2">
      <c r="B606" s="351" t="s">
        <v>1740</v>
      </c>
      <c r="C606" s="351" t="s">
        <v>1753</v>
      </c>
      <c r="D606" s="351" t="s">
        <v>1755</v>
      </c>
      <c r="E606" s="351">
        <v>88</v>
      </c>
      <c r="F606" s="351">
        <v>0.89</v>
      </c>
      <c r="G606" s="354">
        <v>1</v>
      </c>
      <c r="H606" s="354">
        <v>1</v>
      </c>
      <c r="J606" s="351">
        <v>0.94</v>
      </c>
      <c r="K606" s="351">
        <v>1.01</v>
      </c>
      <c r="L606" s="354">
        <v>1</v>
      </c>
      <c r="N606" s="355">
        <f t="shared" si="9"/>
        <v>-5.3191489361702038E-2</v>
      </c>
      <c r="O606" s="355">
        <f t="shared" si="9"/>
        <v>-9.9009900990099098E-3</v>
      </c>
      <c r="P606" s="355">
        <f t="shared" si="9"/>
        <v>0</v>
      </c>
    </row>
    <row r="607" spans="2:16" x14ac:dyDescent="0.2">
      <c r="B607" s="351" t="s">
        <v>1740</v>
      </c>
      <c r="C607" s="351" t="s">
        <v>1753</v>
      </c>
      <c r="D607" s="351" t="s">
        <v>1755</v>
      </c>
      <c r="E607" s="351">
        <v>89</v>
      </c>
      <c r="F607" s="351">
        <v>0.89</v>
      </c>
      <c r="G607" s="354">
        <v>1</v>
      </c>
      <c r="H607" s="354">
        <v>1</v>
      </c>
      <c r="J607" s="351">
        <v>0.94</v>
      </c>
      <c r="K607" s="351">
        <v>1.01</v>
      </c>
      <c r="L607" s="354">
        <v>1</v>
      </c>
      <c r="N607" s="355">
        <f t="shared" si="9"/>
        <v>-5.3191489361702038E-2</v>
      </c>
      <c r="O607" s="355">
        <f t="shared" si="9"/>
        <v>-9.9009900990099098E-3</v>
      </c>
      <c r="P607" s="355">
        <f t="shared" si="9"/>
        <v>0</v>
      </c>
    </row>
    <row r="608" spans="2:16" x14ac:dyDescent="0.2">
      <c r="B608" s="351" t="s">
        <v>1740</v>
      </c>
      <c r="C608" s="351" t="s">
        <v>1753</v>
      </c>
      <c r="D608" s="351" t="s">
        <v>1755</v>
      </c>
      <c r="E608" s="351">
        <v>90</v>
      </c>
      <c r="F608" s="351">
        <v>0.89</v>
      </c>
      <c r="G608" s="354">
        <v>1</v>
      </c>
      <c r="H608" s="354">
        <v>1</v>
      </c>
      <c r="J608" s="351">
        <v>0.94</v>
      </c>
      <c r="K608" s="351">
        <v>1.01</v>
      </c>
      <c r="L608" s="354">
        <v>1</v>
      </c>
      <c r="N608" s="355">
        <f t="shared" si="9"/>
        <v>-5.3191489361702038E-2</v>
      </c>
      <c r="O608" s="355">
        <f t="shared" si="9"/>
        <v>-9.9009900990099098E-3</v>
      </c>
      <c r="P608" s="355">
        <f t="shared" si="9"/>
        <v>0</v>
      </c>
    </row>
    <row r="609" spans="2:16" x14ac:dyDescent="0.2">
      <c r="B609" s="351" t="s">
        <v>1740</v>
      </c>
      <c r="C609" s="351" t="s">
        <v>1753</v>
      </c>
      <c r="D609" s="351" t="s">
        <v>1755</v>
      </c>
      <c r="E609" s="351">
        <v>91</v>
      </c>
      <c r="F609" s="351">
        <v>0.89</v>
      </c>
      <c r="G609" s="354">
        <v>1</v>
      </c>
      <c r="H609" s="354">
        <v>1</v>
      </c>
      <c r="J609" s="351">
        <v>0.94</v>
      </c>
      <c r="K609" s="351">
        <v>1.01</v>
      </c>
      <c r="L609" s="354">
        <v>1</v>
      </c>
      <c r="N609" s="355">
        <f t="shared" si="9"/>
        <v>-5.3191489361702038E-2</v>
      </c>
      <c r="O609" s="355">
        <f t="shared" si="9"/>
        <v>-9.9009900990099098E-3</v>
      </c>
      <c r="P609" s="355">
        <f t="shared" si="9"/>
        <v>0</v>
      </c>
    </row>
    <row r="610" spans="2:16" x14ac:dyDescent="0.2">
      <c r="B610" s="351" t="s">
        <v>1740</v>
      </c>
      <c r="C610" s="351" t="s">
        <v>1753</v>
      </c>
      <c r="D610" s="351" t="s">
        <v>1755</v>
      </c>
      <c r="E610" s="351">
        <v>92</v>
      </c>
      <c r="F610" s="351">
        <v>0.89</v>
      </c>
      <c r="G610" s="354">
        <v>1</v>
      </c>
      <c r="H610" s="354">
        <v>1</v>
      </c>
      <c r="J610" s="351">
        <v>0.94</v>
      </c>
      <c r="K610" s="351">
        <v>1.01</v>
      </c>
      <c r="L610" s="354">
        <v>1</v>
      </c>
      <c r="N610" s="355">
        <f t="shared" si="9"/>
        <v>-5.3191489361702038E-2</v>
      </c>
      <c r="O610" s="355">
        <f t="shared" si="9"/>
        <v>-9.9009900990099098E-3</v>
      </c>
      <c r="P610" s="355">
        <f t="shared" si="9"/>
        <v>0</v>
      </c>
    </row>
    <row r="611" spans="2:16" x14ac:dyDescent="0.2">
      <c r="B611" s="351" t="s">
        <v>1740</v>
      </c>
      <c r="C611" s="351" t="s">
        <v>1753</v>
      </c>
      <c r="D611" s="351" t="s">
        <v>1755</v>
      </c>
      <c r="E611" s="351">
        <v>93</v>
      </c>
      <c r="F611" s="351">
        <v>0.89</v>
      </c>
      <c r="G611" s="354">
        <v>1</v>
      </c>
      <c r="H611" s="354">
        <v>1</v>
      </c>
      <c r="J611" s="351">
        <v>0.94</v>
      </c>
      <c r="K611" s="351">
        <v>1.01</v>
      </c>
      <c r="L611" s="354">
        <v>1</v>
      </c>
      <c r="N611" s="355">
        <f t="shared" si="9"/>
        <v>-5.3191489361702038E-2</v>
      </c>
      <c r="O611" s="355">
        <f t="shared" si="9"/>
        <v>-9.9009900990099098E-3</v>
      </c>
      <c r="P611" s="355">
        <f t="shared" si="9"/>
        <v>0</v>
      </c>
    </row>
    <row r="612" spans="2:16" x14ac:dyDescent="0.2">
      <c r="B612" s="351" t="s">
        <v>1740</v>
      </c>
      <c r="C612" s="351" t="s">
        <v>1753</v>
      </c>
      <c r="D612" s="351" t="s">
        <v>1755</v>
      </c>
      <c r="E612" s="351">
        <v>94</v>
      </c>
      <c r="F612" s="351">
        <v>0.89</v>
      </c>
      <c r="G612" s="354">
        <v>1</v>
      </c>
      <c r="H612" s="354">
        <v>1</v>
      </c>
      <c r="J612" s="351">
        <v>0.94</v>
      </c>
      <c r="K612" s="351">
        <v>1.01</v>
      </c>
      <c r="L612" s="354">
        <v>1</v>
      </c>
      <c r="N612" s="355">
        <f t="shared" si="9"/>
        <v>-5.3191489361702038E-2</v>
      </c>
      <c r="O612" s="355">
        <f t="shared" si="9"/>
        <v>-9.9009900990099098E-3</v>
      </c>
      <c r="P612" s="355">
        <f t="shared" si="9"/>
        <v>0</v>
      </c>
    </row>
    <row r="613" spans="2:16" x14ac:dyDescent="0.2">
      <c r="B613" s="351" t="s">
        <v>1740</v>
      </c>
      <c r="C613" s="351" t="s">
        <v>1753</v>
      </c>
      <c r="D613" s="351" t="s">
        <v>1755</v>
      </c>
      <c r="E613" s="351">
        <v>95</v>
      </c>
      <c r="F613" s="351">
        <v>0.89</v>
      </c>
      <c r="G613" s="354">
        <v>1</v>
      </c>
      <c r="H613" s="354">
        <v>1</v>
      </c>
      <c r="J613" s="351">
        <v>0.94</v>
      </c>
      <c r="K613" s="351">
        <v>1.01</v>
      </c>
      <c r="L613" s="354">
        <v>1</v>
      </c>
      <c r="N613" s="355">
        <f t="shared" si="9"/>
        <v>-5.3191489361702038E-2</v>
      </c>
      <c r="O613" s="355">
        <f t="shared" si="9"/>
        <v>-9.9009900990099098E-3</v>
      </c>
      <c r="P613" s="355">
        <f t="shared" si="9"/>
        <v>0</v>
      </c>
    </row>
    <row r="614" spans="2:16" x14ac:dyDescent="0.2">
      <c r="B614" s="351" t="s">
        <v>1740</v>
      </c>
      <c r="C614" s="351" t="s">
        <v>1753</v>
      </c>
      <c r="D614" s="351" t="s">
        <v>1755</v>
      </c>
      <c r="E614" s="351">
        <v>96</v>
      </c>
      <c r="F614" s="351">
        <v>0.89</v>
      </c>
      <c r="G614" s="354">
        <v>1</v>
      </c>
      <c r="H614" s="354">
        <v>1</v>
      </c>
      <c r="J614" s="351">
        <v>0.94</v>
      </c>
      <c r="K614" s="351">
        <v>1.01</v>
      </c>
      <c r="L614" s="354">
        <v>1</v>
      </c>
      <c r="N614" s="355">
        <f t="shared" si="9"/>
        <v>-5.3191489361702038E-2</v>
      </c>
      <c r="O614" s="355">
        <f t="shared" si="9"/>
        <v>-9.9009900990099098E-3</v>
      </c>
      <c r="P614" s="355">
        <f t="shared" si="9"/>
        <v>0</v>
      </c>
    </row>
    <row r="615" spans="2:16" x14ac:dyDescent="0.2">
      <c r="B615" s="351" t="s">
        <v>1740</v>
      </c>
      <c r="C615" s="351" t="s">
        <v>1753</v>
      </c>
      <c r="D615" s="351" t="s">
        <v>1755</v>
      </c>
      <c r="E615" s="351">
        <v>97</v>
      </c>
      <c r="F615" s="351">
        <v>0.89</v>
      </c>
      <c r="G615" s="354">
        <v>1</v>
      </c>
      <c r="H615" s="354">
        <v>1</v>
      </c>
      <c r="J615" s="351">
        <v>0.94</v>
      </c>
      <c r="K615" s="351">
        <v>1.01</v>
      </c>
      <c r="L615" s="354">
        <v>1</v>
      </c>
      <c r="N615" s="355">
        <f t="shared" si="9"/>
        <v>-5.3191489361702038E-2</v>
      </c>
      <c r="O615" s="355">
        <f t="shared" si="9"/>
        <v>-9.9009900990099098E-3</v>
      </c>
      <c r="P615" s="355">
        <f t="shared" si="9"/>
        <v>0</v>
      </c>
    </row>
    <row r="616" spans="2:16" x14ac:dyDescent="0.2">
      <c r="B616" s="351" t="s">
        <v>1740</v>
      </c>
      <c r="C616" s="351" t="s">
        <v>1753</v>
      </c>
      <c r="D616" s="351" t="s">
        <v>1755</v>
      </c>
      <c r="E616" s="351">
        <v>98</v>
      </c>
      <c r="F616" s="351">
        <v>0.89</v>
      </c>
      <c r="G616" s="354">
        <v>1</v>
      </c>
      <c r="H616" s="354">
        <v>1</v>
      </c>
      <c r="J616" s="351">
        <v>0.94</v>
      </c>
      <c r="K616" s="351">
        <v>1.01</v>
      </c>
      <c r="L616" s="354">
        <v>1</v>
      </c>
      <c r="N616" s="355">
        <f t="shared" si="9"/>
        <v>-5.3191489361702038E-2</v>
      </c>
      <c r="O616" s="355">
        <f t="shared" si="9"/>
        <v>-9.9009900990099098E-3</v>
      </c>
      <c r="P616" s="355">
        <f t="shared" si="9"/>
        <v>0</v>
      </c>
    </row>
    <row r="617" spans="2:16" x14ac:dyDescent="0.2">
      <c r="B617" s="351" t="s">
        <v>1740</v>
      </c>
      <c r="C617" s="351" t="s">
        <v>1753</v>
      </c>
      <c r="D617" s="351" t="s">
        <v>1755</v>
      </c>
      <c r="E617" s="351">
        <v>99</v>
      </c>
      <c r="F617" s="351">
        <v>0.89</v>
      </c>
      <c r="G617" s="354">
        <v>1</v>
      </c>
      <c r="H617" s="354">
        <v>1</v>
      </c>
      <c r="J617" s="351">
        <v>0.94</v>
      </c>
      <c r="K617" s="351">
        <v>1.01</v>
      </c>
      <c r="L617" s="354">
        <v>1</v>
      </c>
      <c r="N617" s="355">
        <f t="shared" si="9"/>
        <v>-5.3191489361702038E-2</v>
      </c>
      <c r="O617" s="355">
        <f t="shared" si="9"/>
        <v>-9.9009900990099098E-3</v>
      </c>
      <c r="P617" s="355">
        <f t="shared" si="9"/>
        <v>0</v>
      </c>
    </row>
    <row r="618" spans="2:16" x14ac:dyDescent="0.2">
      <c r="B618" s="351" t="s">
        <v>1740</v>
      </c>
      <c r="C618" s="351" t="s">
        <v>1753</v>
      </c>
      <c r="D618" s="351" t="s">
        <v>1755</v>
      </c>
      <c r="E618" s="351">
        <v>100</v>
      </c>
      <c r="F618" s="351">
        <v>0.89</v>
      </c>
      <c r="G618" s="354">
        <v>1</v>
      </c>
      <c r="H618" s="354">
        <v>1</v>
      </c>
      <c r="J618" s="351">
        <v>0.94</v>
      </c>
      <c r="K618" s="351">
        <v>1.01</v>
      </c>
      <c r="L618" s="354">
        <v>1</v>
      </c>
      <c r="N618" s="355">
        <f t="shared" si="9"/>
        <v>-5.3191489361702038E-2</v>
      </c>
      <c r="O618" s="355">
        <f t="shared" si="9"/>
        <v>-9.9009900990099098E-3</v>
      </c>
      <c r="P618" s="355">
        <f t="shared" si="9"/>
        <v>0</v>
      </c>
    </row>
  </sheetData>
  <mergeCells count="3">
    <mergeCell ref="F11:H11"/>
    <mergeCell ref="J11:L11"/>
    <mergeCell ref="N11:P1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I115"/>
  <sheetViews>
    <sheetView workbookViewId="0">
      <selection activeCell="E9" sqref="E9"/>
    </sheetView>
  </sheetViews>
  <sheetFormatPr baseColWidth="10" defaultColWidth="9.1640625" defaultRowHeight="13" x14ac:dyDescent="0.15"/>
  <cols>
    <col min="1" max="1" width="15.1640625" style="176" customWidth="1"/>
    <col min="2" max="2" width="19.1640625" style="176" customWidth="1"/>
    <col min="3" max="16384" width="9.1640625" style="176"/>
  </cols>
  <sheetData>
    <row r="1" spans="1:9" ht="21" x14ac:dyDescent="0.15">
      <c r="A1" s="277" t="s">
        <v>1769</v>
      </c>
    </row>
    <row r="2" spans="1:9" x14ac:dyDescent="0.15">
      <c r="A2" s="356" t="s">
        <v>1756</v>
      </c>
      <c r="C2" s="357">
        <f>INTAKE!S58</f>
        <v>1</v>
      </c>
      <c r="F2" s="356"/>
    </row>
    <row r="3" spans="1:9" x14ac:dyDescent="0.15">
      <c r="A3" s="356" t="s">
        <v>1757</v>
      </c>
      <c r="C3" s="357">
        <f>ROUND(INTAKE!S53/INTAKE!S52,2)</f>
        <v>1</v>
      </c>
    </row>
    <row r="5" spans="1:9" ht="15" x14ac:dyDescent="0.2">
      <c r="A5" s="356" t="s">
        <v>1758</v>
      </c>
      <c r="C5" s="358">
        <f>VLOOKUP($C2,$A$15:$B$115,2,TRUE)</f>
        <v>1</v>
      </c>
      <c r="D5" s="359"/>
    </row>
    <row r="6" spans="1:9" ht="15" x14ac:dyDescent="0.2">
      <c r="A6" s="356" t="s">
        <v>1759</v>
      </c>
      <c r="C6" s="358">
        <f>VLOOKUP($C3,$A$15:$B$115,2,TRUE)</f>
        <v>1</v>
      </c>
      <c r="D6" s="359"/>
    </row>
    <row r="7" spans="1:9" ht="15" x14ac:dyDescent="0.2">
      <c r="A7" s="356"/>
      <c r="C7" s="360"/>
      <c r="D7" s="360"/>
      <c r="H7" s="187"/>
      <c r="I7" s="187"/>
    </row>
    <row r="8" spans="1:9" x14ac:dyDescent="0.15">
      <c r="A8" s="356" t="s">
        <v>1760</v>
      </c>
      <c r="C8" s="361" t="s">
        <v>1761</v>
      </c>
      <c r="D8" s="361" t="s">
        <v>1762</v>
      </c>
      <c r="G8" s="362" t="s">
        <v>1763</v>
      </c>
    </row>
    <row r="9" spans="1:9" ht="15" x14ac:dyDescent="0.2">
      <c r="A9" s="356" t="s">
        <v>1764</v>
      </c>
      <c r="C9" s="363">
        <f>IF(CALC!D15&gt;0,MAX($I$14,((1/3)*$C$6+(2/3)*$C$5)/$C$5),((1/3)*$C$6+(2/3)*$C$5)/$C$5)</f>
        <v>1</v>
      </c>
      <c r="D9" s="364">
        <f>MAX(1/C9,'PART ADJ'!$F$5)</f>
        <v>1</v>
      </c>
      <c r="E9" s="363"/>
      <c r="G9" s="365">
        <v>0</v>
      </c>
      <c r="H9" s="366">
        <v>0.68</v>
      </c>
      <c r="I9" s="367">
        <v>1.02</v>
      </c>
    </row>
    <row r="10" spans="1:9" ht="15" x14ac:dyDescent="0.2">
      <c r="A10" s="356" t="s">
        <v>1765</v>
      </c>
      <c r="C10" s="363">
        <f>MAX(1,((1/8)*$C$6+(7/8)*$C$5)/$C$5)</f>
        <v>1</v>
      </c>
      <c r="D10" s="364">
        <f>MAX(1/C10,'PART ADJ'!$F$6)</f>
        <v>1</v>
      </c>
      <c r="E10" s="363"/>
      <c r="G10" s="368">
        <v>0.69</v>
      </c>
      <c r="H10" s="369">
        <v>0.73</v>
      </c>
      <c r="I10" s="370">
        <v>1.01</v>
      </c>
    </row>
    <row r="11" spans="1:9" ht="15" x14ac:dyDescent="0.2">
      <c r="G11" s="371">
        <v>0.74</v>
      </c>
      <c r="H11" s="372">
        <v>1</v>
      </c>
      <c r="I11" s="373">
        <v>1</v>
      </c>
    </row>
    <row r="13" spans="1:9" x14ac:dyDescent="0.15">
      <c r="G13" s="176" t="str">
        <f>A3</f>
        <v>Anthem Participation based on Net Eligibles</v>
      </c>
    </row>
    <row r="14" spans="1:9" ht="27" x14ac:dyDescent="0.2">
      <c r="A14" s="374" t="s">
        <v>1766</v>
      </c>
      <c r="B14" s="375" t="s">
        <v>1767</v>
      </c>
      <c r="G14" s="376">
        <f>C3</f>
        <v>1</v>
      </c>
      <c r="H14" s="377"/>
      <c r="I14" s="378">
        <f>IF(G14&lt;=H9,I9,IF(AND(G14&lt;=H10,G14&gt;=G10),I10,IF(AND(G14&lt;=H11,G14&gt;=G11),I11,"error")))</f>
        <v>1</v>
      </c>
    </row>
    <row r="15" spans="1:9" ht="13.5" customHeight="1" x14ac:dyDescent="0.15">
      <c r="A15" s="379">
        <v>0</v>
      </c>
      <c r="B15" s="380">
        <v>2.5</v>
      </c>
      <c r="F15" s="363"/>
    </row>
    <row r="16" spans="1:9" ht="13.5" customHeight="1" x14ac:dyDescent="0.15">
      <c r="A16" s="381">
        <v>0.01</v>
      </c>
      <c r="B16" s="382">
        <v>2.4</v>
      </c>
      <c r="D16" s="383"/>
      <c r="E16" s="383"/>
      <c r="F16" s="363"/>
      <c r="I16" s="384"/>
    </row>
    <row r="17" spans="1:8" ht="13.5" customHeight="1" x14ac:dyDescent="0.15">
      <c r="A17" s="381">
        <v>0.02</v>
      </c>
      <c r="B17" s="382">
        <v>2.2999999999999998</v>
      </c>
      <c r="D17" s="385"/>
      <c r="E17" s="385"/>
      <c r="F17" s="363"/>
      <c r="G17" s="385"/>
      <c r="H17" s="385"/>
    </row>
    <row r="18" spans="1:8" ht="13.5" customHeight="1" x14ac:dyDescent="0.15">
      <c r="A18" s="381">
        <v>0.03</v>
      </c>
      <c r="B18" s="382">
        <v>2.2000000000000002</v>
      </c>
      <c r="D18" s="385"/>
      <c r="E18" s="385"/>
      <c r="F18" s="363"/>
    </row>
    <row r="19" spans="1:8" ht="13.5" customHeight="1" x14ac:dyDescent="0.15">
      <c r="A19" s="381">
        <v>0.04</v>
      </c>
      <c r="B19" s="382">
        <v>2.15</v>
      </c>
      <c r="D19" s="385"/>
      <c r="E19" s="385"/>
      <c r="F19" s="363"/>
    </row>
    <row r="20" spans="1:8" ht="13.5" customHeight="1" x14ac:dyDescent="0.15">
      <c r="A20" s="381">
        <v>0.05</v>
      </c>
      <c r="B20" s="382">
        <v>2.1</v>
      </c>
      <c r="D20" s="385"/>
      <c r="E20" s="385"/>
      <c r="F20" s="363"/>
    </row>
    <row r="21" spans="1:8" ht="13.5" customHeight="1" x14ac:dyDescent="0.15">
      <c r="A21" s="381">
        <v>0.06</v>
      </c>
      <c r="B21" s="382">
        <v>2.0499999999999998</v>
      </c>
      <c r="D21" s="385"/>
      <c r="E21" s="385"/>
      <c r="F21" s="363"/>
    </row>
    <row r="22" spans="1:8" ht="13.5" customHeight="1" x14ac:dyDescent="0.15">
      <c r="A22" s="381">
        <v>7.0000000000000007E-2</v>
      </c>
      <c r="B22" s="382">
        <v>2</v>
      </c>
      <c r="D22" s="385"/>
      <c r="E22" s="385"/>
      <c r="F22" s="363"/>
    </row>
    <row r="23" spans="1:8" ht="13.5" customHeight="1" x14ac:dyDescent="0.15">
      <c r="A23" s="381">
        <v>0.08</v>
      </c>
      <c r="B23" s="382">
        <v>1.95</v>
      </c>
      <c r="D23" s="385"/>
      <c r="E23" s="385"/>
      <c r="F23" s="363"/>
    </row>
    <row r="24" spans="1:8" ht="13.5" customHeight="1" x14ac:dyDescent="0.15">
      <c r="A24" s="381">
        <v>0.09</v>
      </c>
      <c r="B24" s="382">
        <v>1.9</v>
      </c>
      <c r="D24" s="385"/>
      <c r="E24" s="385"/>
      <c r="F24" s="363"/>
    </row>
    <row r="25" spans="1:8" ht="13.5" customHeight="1" x14ac:dyDescent="0.15">
      <c r="A25" s="381">
        <v>0.1</v>
      </c>
      <c r="B25" s="382">
        <v>1.85</v>
      </c>
      <c r="D25" s="385"/>
      <c r="E25" s="385"/>
      <c r="F25" s="363"/>
    </row>
    <row r="26" spans="1:8" ht="13.5" customHeight="1" x14ac:dyDescent="0.15">
      <c r="A26" s="381">
        <v>0.11</v>
      </c>
      <c r="B26" s="382">
        <v>1.8</v>
      </c>
      <c r="D26" s="385"/>
      <c r="E26" s="385"/>
      <c r="F26" s="363"/>
    </row>
    <row r="27" spans="1:8" ht="13.5" customHeight="1" x14ac:dyDescent="0.15">
      <c r="A27" s="381">
        <v>0.12</v>
      </c>
      <c r="B27" s="382">
        <v>1.76</v>
      </c>
      <c r="D27" s="385"/>
      <c r="E27" s="385"/>
      <c r="F27" s="363"/>
    </row>
    <row r="28" spans="1:8" ht="13.5" customHeight="1" x14ac:dyDescent="0.15">
      <c r="A28" s="381">
        <v>0.13</v>
      </c>
      <c r="B28" s="382">
        <v>1.72</v>
      </c>
      <c r="D28" s="385"/>
      <c r="E28" s="385"/>
      <c r="F28" s="363"/>
    </row>
    <row r="29" spans="1:8" ht="13.5" customHeight="1" x14ac:dyDescent="0.15">
      <c r="A29" s="381">
        <v>0.14000000000000001</v>
      </c>
      <c r="B29" s="382">
        <v>1.68</v>
      </c>
      <c r="D29" s="385"/>
      <c r="E29" s="385"/>
      <c r="F29" s="363"/>
    </row>
    <row r="30" spans="1:8" ht="13.5" customHeight="1" x14ac:dyDescent="0.15">
      <c r="A30" s="381">
        <v>0.15</v>
      </c>
      <c r="B30" s="382">
        <v>1.64</v>
      </c>
      <c r="D30" s="385"/>
      <c r="E30" s="385"/>
      <c r="F30" s="363"/>
    </row>
    <row r="31" spans="1:8" ht="13.5" customHeight="1" x14ac:dyDescent="0.15">
      <c r="A31" s="381">
        <v>0.16</v>
      </c>
      <c r="B31" s="382">
        <v>1.61</v>
      </c>
      <c r="D31" s="385"/>
      <c r="E31" s="385"/>
      <c r="F31" s="363"/>
    </row>
    <row r="32" spans="1:8" ht="13.5" customHeight="1" x14ac:dyDescent="0.15">
      <c r="A32" s="381">
        <v>0.17</v>
      </c>
      <c r="B32" s="382">
        <v>1.58</v>
      </c>
      <c r="D32" s="385"/>
      <c r="E32" s="385"/>
      <c r="F32" s="363"/>
    </row>
    <row r="33" spans="1:6" ht="13.5" customHeight="1" x14ac:dyDescent="0.15">
      <c r="A33" s="381">
        <v>0.18</v>
      </c>
      <c r="B33" s="382">
        <v>1.55</v>
      </c>
      <c r="D33" s="385"/>
      <c r="E33" s="385"/>
      <c r="F33" s="363"/>
    </row>
    <row r="34" spans="1:6" ht="13.5" customHeight="1" x14ac:dyDescent="0.15">
      <c r="A34" s="381">
        <v>0.19</v>
      </c>
      <c r="B34" s="382">
        <v>1.52</v>
      </c>
      <c r="D34" s="385"/>
      <c r="E34" s="385"/>
      <c r="F34" s="363"/>
    </row>
    <row r="35" spans="1:6" ht="13.5" customHeight="1" x14ac:dyDescent="0.15">
      <c r="A35" s="381">
        <v>0.2</v>
      </c>
      <c r="B35" s="382">
        <v>1.49</v>
      </c>
      <c r="D35" s="385"/>
      <c r="E35" s="385"/>
      <c r="F35" s="363"/>
    </row>
    <row r="36" spans="1:6" ht="13.5" customHeight="1" x14ac:dyDescent="0.15">
      <c r="A36" s="381">
        <v>0.21</v>
      </c>
      <c r="B36" s="382">
        <v>1.46</v>
      </c>
      <c r="D36" s="385"/>
      <c r="E36" s="385"/>
      <c r="F36" s="363"/>
    </row>
    <row r="37" spans="1:6" ht="13.5" customHeight="1" x14ac:dyDescent="0.15">
      <c r="A37" s="381">
        <v>0.22</v>
      </c>
      <c r="B37" s="382">
        <v>1.43</v>
      </c>
      <c r="D37" s="385"/>
      <c r="E37" s="385"/>
      <c r="F37" s="363"/>
    </row>
    <row r="38" spans="1:6" ht="13.5" customHeight="1" x14ac:dyDescent="0.15">
      <c r="A38" s="381">
        <v>0.23</v>
      </c>
      <c r="B38" s="382">
        <v>1.4</v>
      </c>
      <c r="D38" s="385"/>
      <c r="E38" s="385"/>
      <c r="F38" s="363"/>
    </row>
    <row r="39" spans="1:6" ht="13.5" customHeight="1" x14ac:dyDescent="0.15">
      <c r="A39" s="381">
        <v>0.24</v>
      </c>
      <c r="B39" s="382">
        <v>1.38</v>
      </c>
      <c r="D39" s="385"/>
      <c r="E39" s="385"/>
      <c r="F39" s="363"/>
    </row>
    <row r="40" spans="1:6" x14ac:dyDescent="0.15">
      <c r="A40" s="381">
        <v>0.25</v>
      </c>
      <c r="B40" s="382">
        <v>1.36</v>
      </c>
      <c r="D40" s="385"/>
      <c r="E40" s="385"/>
      <c r="F40" s="363"/>
    </row>
    <row r="41" spans="1:6" x14ac:dyDescent="0.15">
      <c r="A41" s="381">
        <v>0.26</v>
      </c>
      <c r="B41" s="382">
        <v>1.34</v>
      </c>
      <c r="D41" s="385"/>
      <c r="E41" s="385"/>
      <c r="F41" s="363"/>
    </row>
    <row r="42" spans="1:6" x14ac:dyDescent="0.15">
      <c r="A42" s="381">
        <v>0.27</v>
      </c>
      <c r="B42" s="382">
        <v>1.32</v>
      </c>
      <c r="D42" s="385"/>
      <c r="E42" s="385"/>
      <c r="F42" s="363"/>
    </row>
    <row r="43" spans="1:6" x14ac:dyDescent="0.15">
      <c r="A43" s="381">
        <v>0.28000000000000003</v>
      </c>
      <c r="B43" s="382">
        <v>1.3</v>
      </c>
      <c r="D43" s="385"/>
      <c r="E43" s="385"/>
      <c r="F43" s="363"/>
    </row>
    <row r="44" spans="1:6" x14ac:dyDescent="0.15">
      <c r="A44" s="381">
        <v>0.28999999999999998</v>
      </c>
      <c r="B44" s="382">
        <v>1.28</v>
      </c>
      <c r="D44" s="385"/>
      <c r="E44" s="385"/>
      <c r="F44" s="363"/>
    </row>
    <row r="45" spans="1:6" x14ac:dyDescent="0.15">
      <c r="A45" s="381">
        <v>0.3</v>
      </c>
      <c r="B45" s="382">
        <v>1.27</v>
      </c>
      <c r="D45" s="385"/>
      <c r="E45" s="385"/>
      <c r="F45" s="363"/>
    </row>
    <row r="46" spans="1:6" x14ac:dyDescent="0.15">
      <c r="A46" s="381">
        <v>0.31</v>
      </c>
      <c r="B46" s="382">
        <v>1.26</v>
      </c>
      <c r="D46" s="385"/>
      <c r="E46" s="385"/>
      <c r="F46" s="363"/>
    </row>
    <row r="47" spans="1:6" x14ac:dyDescent="0.15">
      <c r="A47" s="381">
        <v>0.32</v>
      </c>
      <c r="B47" s="382">
        <v>1.25</v>
      </c>
      <c r="D47" s="385"/>
      <c r="E47" s="385"/>
      <c r="F47" s="363"/>
    </row>
    <row r="48" spans="1:6" x14ac:dyDescent="0.15">
      <c r="A48" s="381">
        <v>0.33</v>
      </c>
      <c r="B48" s="382">
        <v>1.24</v>
      </c>
      <c r="D48" s="385"/>
      <c r="E48" s="385"/>
      <c r="F48" s="363"/>
    </row>
    <row r="49" spans="1:6" x14ac:dyDescent="0.15">
      <c r="A49" s="381">
        <v>0.34</v>
      </c>
      <c r="B49" s="382">
        <v>1.23</v>
      </c>
      <c r="D49" s="385"/>
      <c r="E49" s="385"/>
      <c r="F49" s="363"/>
    </row>
    <row r="50" spans="1:6" x14ac:dyDescent="0.15">
      <c r="A50" s="381">
        <v>0.35</v>
      </c>
      <c r="B50" s="382">
        <v>1.22</v>
      </c>
      <c r="D50" s="385"/>
      <c r="E50" s="385"/>
      <c r="F50" s="363"/>
    </row>
    <row r="51" spans="1:6" x14ac:dyDescent="0.15">
      <c r="A51" s="381">
        <v>0.36</v>
      </c>
      <c r="B51" s="382">
        <v>1.21</v>
      </c>
      <c r="D51" s="385"/>
      <c r="E51" s="385"/>
      <c r="F51" s="363"/>
    </row>
    <row r="52" spans="1:6" x14ac:dyDescent="0.15">
      <c r="A52" s="381">
        <v>0.37</v>
      </c>
      <c r="B52" s="382">
        <v>1.2</v>
      </c>
      <c r="D52" s="385"/>
      <c r="E52" s="385"/>
      <c r="F52" s="363"/>
    </row>
    <row r="53" spans="1:6" x14ac:dyDescent="0.15">
      <c r="A53" s="381">
        <v>0.38</v>
      </c>
      <c r="B53" s="382">
        <v>1.19</v>
      </c>
      <c r="D53" s="385"/>
      <c r="E53" s="385"/>
      <c r="F53" s="363"/>
    </row>
    <row r="54" spans="1:6" x14ac:dyDescent="0.15">
      <c r="A54" s="381">
        <v>0.39</v>
      </c>
      <c r="B54" s="382">
        <v>1.18</v>
      </c>
      <c r="D54" s="385"/>
      <c r="E54" s="385"/>
      <c r="F54" s="363"/>
    </row>
    <row r="55" spans="1:6" x14ac:dyDescent="0.15">
      <c r="A55" s="381">
        <v>0.4</v>
      </c>
      <c r="B55" s="382">
        <v>1.17</v>
      </c>
      <c r="D55" s="385"/>
      <c r="E55" s="385"/>
      <c r="F55" s="363"/>
    </row>
    <row r="56" spans="1:6" x14ac:dyDescent="0.15">
      <c r="A56" s="381">
        <v>0.41</v>
      </c>
      <c r="B56" s="382">
        <v>1.1599999999999999</v>
      </c>
      <c r="D56" s="385"/>
      <c r="E56" s="385"/>
      <c r="F56" s="363"/>
    </row>
    <row r="57" spans="1:6" x14ac:dyDescent="0.15">
      <c r="A57" s="381">
        <v>0.42</v>
      </c>
      <c r="B57" s="382">
        <v>1.1499999999999999</v>
      </c>
      <c r="D57" s="385"/>
      <c r="E57" s="385"/>
      <c r="F57" s="363"/>
    </row>
    <row r="58" spans="1:6" x14ac:dyDescent="0.15">
      <c r="A58" s="381">
        <v>0.43</v>
      </c>
      <c r="B58" s="382">
        <v>1.1399999999999999</v>
      </c>
      <c r="D58" s="385"/>
      <c r="E58" s="385"/>
      <c r="F58" s="363"/>
    </row>
    <row r="59" spans="1:6" x14ac:dyDescent="0.15">
      <c r="A59" s="381">
        <v>0.44</v>
      </c>
      <c r="B59" s="382">
        <v>1.1299999999999999</v>
      </c>
      <c r="D59" s="385"/>
      <c r="E59" s="385"/>
      <c r="F59" s="363"/>
    </row>
    <row r="60" spans="1:6" x14ac:dyDescent="0.15">
      <c r="A60" s="381">
        <v>0.45</v>
      </c>
      <c r="B60" s="382">
        <v>1.1200000000000001</v>
      </c>
      <c r="D60" s="385"/>
      <c r="E60" s="385"/>
      <c r="F60" s="363"/>
    </row>
    <row r="61" spans="1:6" x14ac:dyDescent="0.15">
      <c r="A61" s="381">
        <v>0.46</v>
      </c>
      <c r="B61" s="382">
        <v>1.1100000000000001</v>
      </c>
      <c r="D61" s="385"/>
      <c r="E61" s="385"/>
      <c r="F61" s="363"/>
    </row>
    <row r="62" spans="1:6" x14ac:dyDescent="0.15">
      <c r="A62" s="381">
        <v>0.47</v>
      </c>
      <c r="B62" s="382">
        <v>1.1000000000000001</v>
      </c>
      <c r="D62" s="385"/>
      <c r="E62" s="385"/>
      <c r="F62" s="363"/>
    </row>
    <row r="63" spans="1:6" x14ac:dyDescent="0.15">
      <c r="A63" s="381">
        <v>0.48</v>
      </c>
      <c r="B63" s="382">
        <v>1.0900000000000001</v>
      </c>
      <c r="D63" s="385"/>
      <c r="E63" s="385"/>
      <c r="F63" s="363"/>
    </row>
    <row r="64" spans="1:6" x14ac:dyDescent="0.15">
      <c r="A64" s="381">
        <v>0.49</v>
      </c>
      <c r="B64" s="382">
        <v>1.0900000000000001</v>
      </c>
      <c r="D64" s="385"/>
      <c r="E64" s="385"/>
      <c r="F64" s="363"/>
    </row>
    <row r="65" spans="1:6" x14ac:dyDescent="0.15">
      <c r="A65" s="381">
        <v>0.5</v>
      </c>
      <c r="B65" s="382">
        <v>1.08</v>
      </c>
      <c r="D65" s="385"/>
      <c r="E65" s="385"/>
      <c r="F65" s="363"/>
    </row>
    <row r="66" spans="1:6" x14ac:dyDescent="0.15">
      <c r="A66" s="381">
        <v>0.51</v>
      </c>
      <c r="B66" s="382">
        <v>1.08</v>
      </c>
      <c r="D66" s="385"/>
      <c r="E66" s="385"/>
      <c r="F66" s="363"/>
    </row>
    <row r="67" spans="1:6" x14ac:dyDescent="0.15">
      <c r="A67" s="381">
        <v>0.52</v>
      </c>
      <c r="B67" s="382">
        <v>1.07</v>
      </c>
      <c r="D67" s="385"/>
      <c r="E67" s="385"/>
      <c r="F67" s="363"/>
    </row>
    <row r="68" spans="1:6" x14ac:dyDescent="0.15">
      <c r="A68" s="381">
        <v>0.53</v>
      </c>
      <c r="B68" s="382">
        <v>1.07</v>
      </c>
      <c r="D68" s="385"/>
      <c r="E68" s="385"/>
      <c r="F68" s="363"/>
    </row>
    <row r="69" spans="1:6" x14ac:dyDescent="0.15">
      <c r="A69" s="381">
        <v>0.54</v>
      </c>
      <c r="B69" s="382">
        <v>1.06</v>
      </c>
      <c r="D69" s="385"/>
      <c r="E69" s="385"/>
      <c r="F69" s="363"/>
    </row>
    <row r="70" spans="1:6" x14ac:dyDescent="0.15">
      <c r="A70" s="381">
        <v>0.55000000000000004</v>
      </c>
      <c r="B70" s="382">
        <v>1.06</v>
      </c>
      <c r="D70" s="385"/>
      <c r="E70" s="385"/>
      <c r="F70" s="363"/>
    </row>
    <row r="71" spans="1:6" x14ac:dyDescent="0.15">
      <c r="A71" s="381">
        <v>0.56000000000000005</v>
      </c>
      <c r="B71" s="382">
        <v>1.05</v>
      </c>
      <c r="D71" s="385"/>
      <c r="E71" s="385"/>
      <c r="F71" s="363"/>
    </row>
    <row r="72" spans="1:6" x14ac:dyDescent="0.15">
      <c r="A72" s="381">
        <v>0.56999999999999995</v>
      </c>
      <c r="B72" s="382">
        <v>1.05</v>
      </c>
      <c r="D72" s="385"/>
      <c r="E72" s="385"/>
      <c r="F72" s="363"/>
    </row>
    <row r="73" spans="1:6" x14ac:dyDescent="0.15">
      <c r="A73" s="381">
        <v>0.57999999999999996</v>
      </c>
      <c r="B73" s="382">
        <v>1.05</v>
      </c>
      <c r="D73" s="385"/>
      <c r="E73" s="385"/>
      <c r="F73" s="363"/>
    </row>
    <row r="74" spans="1:6" x14ac:dyDescent="0.15">
      <c r="A74" s="381">
        <v>0.59</v>
      </c>
      <c r="B74" s="382">
        <v>1.04</v>
      </c>
      <c r="D74" s="385"/>
      <c r="E74" s="385"/>
      <c r="F74" s="363"/>
    </row>
    <row r="75" spans="1:6" x14ac:dyDescent="0.15">
      <c r="A75" s="381">
        <v>0.6</v>
      </c>
      <c r="B75" s="382">
        <v>1.04</v>
      </c>
      <c r="D75" s="385"/>
      <c r="E75" s="385"/>
      <c r="F75" s="363"/>
    </row>
    <row r="76" spans="1:6" x14ac:dyDescent="0.15">
      <c r="A76" s="381">
        <v>0.61</v>
      </c>
      <c r="B76" s="382">
        <v>1.04</v>
      </c>
      <c r="D76" s="385"/>
      <c r="E76" s="385"/>
      <c r="F76" s="363"/>
    </row>
    <row r="77" spans="1:6" x14ac:dyDescent="0.15">
      <c r="A77" s="381">
        <v>0.62</v>
      </c>
      <c r="B77" s="382">
        <v>1.03</v>
      </c>
      <c r="D77" s="385"/>
      <c r="E77" s="385"/>
      <c r="F77" s="363"/>
    </row>
    <row r="78" spans="1:6" x14ac:dyDescent="0.15">
      <c r="A78" s="381">
        <v>0.63</v>
      </c>
      <c r="B78" s="382">
        <v>1.03</v>
      </c>
      <c r="D78" s="385"/>
      <c r="E78" s="385"/>
      <c r="F78" s="363"/>
    </row>
    <row r="79" spans="1:6" x14ac:dyDescent="0.15">
      <c r="A79" s="381">
        <v>0.64</v>
      </c>
      <c r="B79" s="382">
        <v>1.03</v>
      </c>
      <c r="D79" s="385"/>
      <c r="E79" s="385"/>
      <c r="F79" s="363"/>
    </row>
    <row r="80" spans="1:6" x14ac:dyDescent="0.15">
      <c r="A80" s="381">
        <v>0.65</v>
      </c>
      <c r="B80" s="382">
        <v>1.02</v>
      </c>
      <c r="D80" s="385"/>
      <c r="E80" s="385"/>
      <c r="F80" s="363"/>
    </row>
    <row r="81" spans="1:6" x14ac:dyDescent="0.15">
      <c r="A81" s="381">
        <v>0.66</v>
      </c>
      <c r="B81" s="382">
        <v>1.02</v>
      </c>
      <c r="D81" s="385"/>
      <c r="E81" s="385"/>
      <c r="F81" s="363"/>
    </row>
    <row r="82" spans="1:6" x14ac:dyDescent="0.15">
      <c r="A82" s="381">
        <v>0.67</v>
      </c>
      <c r="B82" s="382">
        <v>1.02</v>
      </c>
      <c r="D82" s="385"/>
      <c r="E82" s="385"/>
      <c r="F82" s="363"/>
    </row>
    <row r="83" spans="1:6" x14ac:dyDescent="0.15">
      <c r="A83" s="381">
        <v>0.68</v>
      </c>
      <c r="B83" s="382">
        <v>1.02</v>
      </c>
      <c r="D83" s="385"/>
      <c r="E83" s="385"/>
      <c r="F83" s="363"/>
    </row>
    <row r="84" spans="1:6" x14ac:dyDescent="0.15">
      <c r="A84" s="381">
        <v>0.69</v>
      </c>
      <c r="B84" s="382">
        <v>1.01</v>
      </c>
      <c r="D84" s="385"/>
      <c r="E84" s="385"/>
      <c r="F84" s="363"/>
    </row>
    <row r="85" spans="1:6" x14ac:dyDescent="0.15">
      <c r="A85" s="381">
        <v>0.7</v>
      </c>
      <c r="B85" s="382">
        <v>1.01</v>
      </c>
      <c r="D85" s="385"/>
      <c r="E85" s="385"/>
      <c r="F85" s="363"/>
    </row>
    <row r="86" spans="1:6" x14ac:dyDescent="0.15">
      <c r="A86" s="381">
        <v>0.71</v>
      </c>
      <c r="B86" s="382">
        <v>1.01</v>
      </c>
      <c r="D86" s="385"/>
      <c r="E86" s="385"/>
      <c r="F86" s="363"/>
    </row>
    <row r="87" spans="1:6" x14ac:dyDescent="0.15">
      <c r="A87" s="381">
        <v>0.72</v>
      </c>
      <c r="B87" s="382">
        <v>1.01</v>
      </c>
      <c r="D87" s="385"/>
      <c r="E87" s="385"/>
      <c r="F87" s="363"/>
    </row>
    <row r="88" spans="1:6" x14ac:dyDescent="0.15">
      <c r="A88" s="381">
        <v>0.73</v>
      </c>
      <c r="B88" s="382">
        <v>1.01</v>
      </c>
      <c r="D88" s="385"/>
      <c r="E88" s="385"/>
      <c r="F88" s="363"/>
    </row>
    <row r="89" spans="1:6" x14ac:dyDescent="0.15">
      <c r="A89" s="381">
        <v>0.74</v>
      </c>
      <c r="B89" s="382">
        <v>1</v>
      </c>
      <c r="D89" s="385"/>
      <c r="E89" s="385"/>
      <c r="F89" s="363"/>
    </row>
    <row r="90" spans="1:6" x14ac:dyDescent="0.15">
      <c r="A90" s="381">
        <v>0.75</v>
      </c>
      <c r="B90" s="382">
        <v>1</v>
      </c>
      <c r="D90" s="385"/>
      <c r="E90" s="385"/>
      <c r="F90" s="363"/>
    </row>
    <row r="91" spans="1:6" x14ac:dyDescent="0.15">
      <c r="A91" s="381">
        <v>0.76</v>
      </c>
      <c r="B91" s="382">
        <v>1</v>
      </c>
      <c r="D91" s="385"/>
      <c r="E91" s="385"/>
      <c r="F91" s="363"/>
    </row>
    <row r="92" spans="1:6" x14ac:dyDescent="0.15">
      <c r="A92" s="381">
        <v>0.77</v>
      </c>
      <c r="B92" s="382">
        <v>1</v>
      </c>
      <c r="D92" s="385"/>
      <c r="E92" s="385"/>
      <c r="F92" s="363"/>
    </row>
    <row r="93" spans="1:6" x14ac:dyDescent="0.15">
      <c r="A93" s="381">
        <v>0.78</v>
      </c>
      <c r="B93" s="382">
        <v>1</v>
      </c>
      <c r="D93" s="385"/>
      <c r="E93" s="385"/>
      <c r="F93" s="363"/>
    </row>
    <row r="94" spans="1:6" x14ac:dyDescent="0.15">
      <c r="A94" s="381">
        <v>0.79</v>
      </c>
      <c r="B94" s="382">
        <v>1</v>
      </c>
      <c r="D94" s="385"/>
      <c r="E94" s="385"/>
      <c r="F94" s="363"/>
    </row>
    <row r="95" spans="1:6" x14ac:dyDescent="0.15">
      <c r="A95" s="381">
        <v>0.8</v>
      </c>
      <c r="B95" s="382">
        <v>1</v>
      </c>
      <c r="D95" s="385"/>
      <c r="E95" s="385"/>
      <c r="F95" s="363"/>
    </row>
    <row r="96" spans="1:6" x14ac:dyDescent="0.15">
      <c r="A96" s="381">
        <v>0.81</v>
      </c>
      <c r="B96" s="382">
        <v>1</v>
      </c>
      <c r="D96" s="385"/>
      <c r="E96" s="385"/>
      <c r="F96" s="363"/>
    </row>
    <row r="97" spans="1:6" x14ac:dyDescent="0.15">
      <c r="A97" s="381">
        <v>0.82</v>
      </c>
      <c r="B97" s="382">
        <v>1</v>
      </c>
      <c r="D97" s="385"/>
      <c r="E97" s="385"/>
      <c r="F97" s="363"/>
    </row>
    <row r="98" spans="1:6" x14ac:dyDescent="0.15">
      <c r="A98" s="381">
        <v>0.83</v>
      </c>
      <c r="B98" s="382">
        <v>1</v>
      </c>
      <c r="D98" s="385"/>
      <c r="E98" s="385"/>
      <c r="F98" s="363"/>
    </row>
    <row r="99" spans="1:6" x14ac:dyDescent="0.15">
      <c r="A99" s="381">
        <v>0.84</v>
      </c>
      <c r="B99" s="382">
        <v>1</v>
      </c>
      <c r="D99" s="385"/>
      <c r="E99" s="385"/>
      <c r="F99" s="363"/>
    </row>
    <row r="100" spans="1:6" x14ac:dyDescent="0.15">
      <c r="A100" s="381">
        <v>0.85</v>
      </c>
      <c r="B100" s="382">
        <v>1</v>
      </c>
      <c r="D100" s="385"/>
      <c r="E100" s="385"/>
      <c r="F100" s="363"/>
    </row>
    <row r="101" spans="1:6" x14ac:dyDescent="0.15">
      <c r="A101" s="381">
        <v>0.86</v>
      </c>
      <c r="B101" s="382">
        <v>1</v>
      </c>
      <c r="D101" s="385"/>
      <c r="E101" s="385"/>
      <c r="F101" s="363"/>
    </row>
    <row r="102" spans="1:6" x14ac:dyDescent="0.15">
      <c r="A102" s="381">
        <v>0.87</v>
      </c>
      <c r="B102" s="382">
        <v>1</v>
      </c>
      <c r="D102" s="385"/>
      <c r="E102" s="385"/>
      <c r="F102" s="363"/>
    </row>
    <row r="103" spans="1:6" x14ac:dyDescent="0.15">
      <c r="A103" s="381">
        <v>0.88</v>
      </c>
      <c r="B103" s="382">
        <v>1</v>
      </c>
      <c r="D103" s="385"/>
      <c r="E103" s="385"/>
      <c r="F103" s="363"/>
    </row>
    <row r="104" spans="1:6" x14ac:dyDescent="0.15">
      <c r="A104" s="381">
        <v>0.89</v>
      </c>
      <c r="B104" s="382">
        <v>1</v>
      </c>
      <c r="D104" s="385"/>
      <c r="E104" s="385"/>
      <c r="F104" s="363"/>
    </row>
    <row r="105" spans="1:6" x14ac:dyDescent="0.15">
      <c r="A105" s="381">
        <v>0.9</v>
      </c>
      <c r="B105" s="382">
        <v>1</v>
      </c>
      <c r="D105" s="385"/>
      <c r="E105" s="385"/>
      <c r="F105" s="363"/>
    </row>
    <row r="106" spans="1:6" x14ac:dyDescent="0.15">
      <c r="A106" s="381">
        <v>0.91</v>
      </c>
      <c r="B106" s="382">
        <v>1</v>
      </c>
      <c r="D106" s="385"/>
      <c r="E106" s="385"/>
      <c r="F106" s="363"/>
    </row>
    <row r="107" spans="1:6" x14ac:dyDescent="0.15">
      <c r="A107" s="381">
        <v>0.92</v>
      </c>
      <c r="B107" s="382">
        <v>1</v>
      </c>
      <c r="D107" s="385"/>
      <c r="E107" s="385"/>
      <c r="F107" s="363"/>
    </row>
    <row r="108" spans="1:6" x14ac:dyDescent="0.15">
      <c r="A108" s="381">
        <v>0.93</v>
      </c>
      <c r="B108" s="382">
        <v>1</v>
      </c>
      <c r="D108" s="385"/>
      <c r="E108" s="385"/>
      <c r="F108" s="363"/>
    </row>
    <row r="109" spans="1:6" x14ac:dyDescent="0.15">
      <c r="A109" s="381">
        <v>0.94</v>
      </c>
      <c r="B109" s="382">
        <v>1</v>
      </c>
      <c r="D109" s="385"/>
      <c r="E109" s="385"/>
      <c r="F109" s="363"/>
    </row>
    <row r="110" spans="1:6" x14ac:dyDescent="0.15">
      <c r="A110" s="381">
        <v>0.95</v>
      </c>
      <c r="B110" s="382">
        <v>1</v>
      </c>
      <c r="D110" s="385"/>
      <c r="E110" s="385"/>
      <c r="F110" s="363"/>
    </row>
    <row r="111" spans="1:6" x14ac:dyDescent="0.15">
      <c r="A111" s="381">
        <v>0.96</v>
      </c>
      <c r="B111" s="382">
        <v>1</v>
      </c>
      <c r="D111" s="385"/>
      <c r="E111" s="385"/>
      <c r="F111" s="363"/>
    </row>
    <row r="112" spans="1:6" x14ac:dyDescent="0.15">
      <c r="A112" s="381">
        <v>0.97</v>
      </c>
      <c r="B112" s="382">
        <v>1</v>
      </c>
      <c r="D112" s="385"/>
      <c r="E112" s="385"/>
      <c r="F112" s="363"/>
    </row>
    <row r="113" spans="1:6" x14ac:dyDescent="0.15">
      <c r="A113" s="381">
        <v>0.98</v>
      </c>
      <c r="B113" s="382">
        <v>1</v>
      </c>
      <c r="D113" s="385"/>
      <c r="E113" s="385"/>
      <c r="F113" s="363"/>
    </row>
    <row r="114" spans="1:6" x14ac:dyDescent="0.15">
      <c r="A114" s="381">
        <v>0.99</v>
      </c>
      <c r="B114" s="382">
        <v>1</v>
      </c>
      <c r="D114" s="385"/>
      <c r="E114" s="385"/>
      <c r="F114" s="363"/>
    </row>
    <row r="115" spans="1:6" x14ac:dyDescent="0.15">
      <c r="A115" s="386">
        <v>1</v>
      </c>
      <c r="B115" s="387">
        <v>1</v>
      </c>
      <c r="D115" s="385"/>
      <c r="E115" s="385"/>
      <c r="F115" s="363"/>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A7"/>
  <sheetViews>
    <sheetView workbookViewId="0">
      <selection activeCell="H7" sqref="H7"/>
    </sheetView>
  </sheetViews>
  <sheetFormatPr baseColWidth="10" defaultColWidth="8.83203125" defaultRowHeight="15" x14ac:dyDescent="0.2"/>
  <sheetData>
    <row r="1" spans="1:1" x14ac:dyDescent="0.2">
      <c r="A1" s="356" t="s">
        <v>1768</v>
      </c>
    </row>
    <row r="2" spans="1:1" x14ac:dyDescent="0.2">
      <c r="A2" s="176">
        <v>1</v>
      </c>
    </row>
    <row r="3" spans="1:1" x14ac:dyDescent="0.2">
      <c r="A3" s="176">
        <v>2</v>
      </c>
    </row>
    <row r="4" spans="1:1" x14ac:dyDescent="0.2">
      <c r="A4" s="176">
        <v>3</v>
      </c>
    </row>
    <row r="5" spans="1:1" x14ac:dyDescent="0.2">
      <c r="A5" s="176">
        <v>4</v>
      </c>
    </row>
    <row r="6" spans="1:1" x14ac:dyDescent="0.2">
      <c r="A6" s="176">
        <v>5</v>
      </c>
    </row>
    <row r="7" spans="1:1" x14ac:dyDescent="0.2">
      <c r="A7" s="176">
        <v>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X87"/>
  <sheetViews>
    <sheetView showGridLines="0" zoomScale="85" zoomScaleNormal="85" workbookViewId="0"/>
  </sheetViews>
  <sheetFormatPr baseColWidth="10" defaultColWidth="9.1640625" defaultRowHeight="14.25" customHeight="1" x14ac:dyDescent="0.2"/>
  <cols>
    <col min="1" max="1" width="2.6640625" style="72" customWidth="1"/>
    <col min="2" max="2" width="7.83203125" style="72" customWidth="1"/>
    <col min="3" max="3" width="8.6640625" style="72" customWidth="1"/>
    <col min="4" max="4" width="9.83203125" style="72" customWidth="1"/>
    <col min="5" max="13" width="14.6640625" style="72" customWidth="1"/>
    <col min="14" max="14" width="8.6640625" style="72" customWidth="1"/>
    <col min="15" max="15" width="6.6640625" style="72" customWidth="1"/>
    <col min="16" max="16" width="8.6640625" style="72" customWidth="1"/>
    <col min="17" max="17" width="11.6640625" style="72" customWidth="1"/>
    <col min="18" max="18" width="8.6640625" style="72" customWidth="1"/>
    <col min="19" max="24" width="11.6640625" style="72" customWidth="1"/>
    <col min="25" max="47" width="22.5" style="72" customWidth="1"/>
    <col min="48" max="48" width="6.5" style="72" customWidth="1"/>
    <col min="49" max="50" width="20.83203125" style="72" customWidth="1"/>
    <col min="51" max="58" width="18.5" style="72" customWidth="1"/>
    <col min="59" max="16384" width="9.1640625" style="72"/>
  </cols>
  <sheetData>
    <row r="1" spans="1:24" ht="23" x14ac:dyDescent="0.2">
      <c r="A1" s="397"/>
      <c r="B1" s="277" t="s">
        <v>1868</v>
      </c>
      <c r="C1" s="258"/>
      <c r="D1" s="258"/>
      <c r="E1" s="258"/>
      <c r="F1" s="258"/>
      <c r="G1" s="258"/>
      <c r="H1" s="258"/>
      <c r="I1" s="258"/>
      <c r="J1" s="258"/>
      <c r="K1" s="258"/>
      <c r="L1" s="258"/>
      <c r="M1" s="258"/>
      <c r="N1" s="258"/>
    </row>
    <row r="2" spans="1:24" ht="23" x14ac:dyDescent="0.2">
      <c r="A2" s="397"/>
      <c r="B2" s="275" t="s">
        <v>1949</v>
      </c>
      <c r="C2" s="276"/>
      <c r="D2" s="276"/>
      <c r="E2" s="276"/>
      <c r="F2" s="276"/>
      <c r="G2" s="258"/>
      <c r="H2" s="258"/>
      <c r="I2" s="258"/>
      <c r="J2" s="258"/>
      <c r="K2" s="258"/>
      <c r="L2" s="258"/>
      <c r="M2" s="258"/>
      <c r="N2" s="258"/>
    </row>
    <row r="3" spans="1:24" s="281" customFormat="1" ht="14.25" customHeight="1" thickBot="1" x14ac:dyDescent="0.25">
      <c r="A3" s="398"/>
      <c r="B3" s="278"/>
      <c r="C3" s="279"/>
      <c r="D3" s="279"/>
      <c r="E3" s="279"/>
      <c r="F3" s="279"/>
      <c r="G3" s="279"/>
      <c r="H3" s="279"/>
      <c r="I3" s="279"/>
      <c r="J3" s="279"/>
      <c r="K3" s="280"/>
      <c r="L3" s="279"/>
      <c r="M3" s="280"/>
      <c r="N3" s="258"/>
      <c r="O3" s="72"/>
      <c r="P3" s="72"/>
      <c r="Q3" s="72"/>
      <c r="R3" s="72"/>
      <c r="S3" s="72"/>
      <c r="T3" s="72"/>
      <c r="U3" s="72"/>
      <c r="V3" s="72"/>
      <c r="W3" s="72"/>
      <c r="X3" s="72"/>
    </row>
    <row r="4" spans="1:24" s="73" customFormat="1" ht="20" customHeight="1" thickTop="1" thickBot="1" x14ac:dyDescent="0.3">
      <c r="A4" s="397"/>
      <c r="B4" s="1544" t="s">
        <v>1867</v>
      </c>
      <c r="C4" s="1545"/>
      <c r="D4" s="1545"/>
      <c r="E4" s="1545"/>
      <c r="F4" s="1545"/>
      <c r="G4" s="1545"/>
      <c r="H4" s="1545"/>
      <c r="I4" s="1545"/>
      <c r="J4" s="1545"/>
      <c r="K4" s="1545"/>
      <c r="L4" s="1545"/>
      <c r="M4" s="1546"/>
      <c r="N4" s="258"/>
      <c r="O4" s="72"/>
      <c r="P4" s="72"/>
      <c r="Q4" s="72"/>
      <c r="R4" s="72"/>
      <c r="S4" s="72"/>
      <c r="T4" s="72"/>
      <c r="U4" s="72"/>
      <c r="V4" s="72"/>
      <c r="W4" s="72"/>
      <c r="X4" s="72"/>
    </row>
    <row r="5" spans="1:24" s="73" customFormat="1" ht="20" customHeight="1" thickTop="1" x14ac:dyDescent="0.2">
      <c r="A5" s="397"/>
      <c r="B5" s="1547" t="s">
        <v>1965</v>
      </c>
      <c r="C5" s="1548"/>
      <c r="D5" s="1548"/>
      <c r="E5" s="1548"/>
      <c r="F5" s="1548"/>
      <c r="G5" s="1548"/>
      <c r="H5" s="1548"/>
      <c r="I5" s="1548"/>
      <c r="J5" s="1548"/>
      <c r="K5" s="1548"/>
      <c r="L5" s="1548"/>
      <c r="M5" s="1549"/>
      <c r="N5" s="258"/>
      <c r="O5" s="72"/>
      <c r="P5" s="72"/>
      <c r="Q5" s="72"/>
      <c r="R5" s="72"/>
      <c r="S5" s="72"/>
      <c r="T5" s="72"/>
      <c r="U5" s="72"/>
      <c r="V5" s="72"/>
      <c r="W5" s="72"/>
      <c r="X5" s="72"/>
    </row>
    <row r="6" spans="1:24" s="73" customFormat="1" ht="14.25" customHeight="1" x14ac:dyDescent="0.2">
      <c r="A6" s="397"/>
      <c r="B6" s="1536" t="s">
        <v>1966</v>
      </c>
      <c r="C6" s="1537"/>
      <c r="D6" s="1538" t="s">
        <v>1971</v>
      </c>
      <c r="E6" s="1539"/>
      <c r="F6" s="1538" t="s">
        <v>1972</v>
      </c>
      <c r="G6" s="1539"/>
      <c r="H6" s="1538" t="s">
        <v>1970</v>
      </c>
      <c r="I6" s="1539"/>
      <c r="J6" s="1540" t="s">
        <v>1968</v>
      </c>
      <c r="K6" s="1541"/>
      <c r="L6" s="1540" t="s">
        <v>1969</v>
      </c>
      <c r="M6" s="1541"/>
      <c r="N6" s="258"/>
      <c r="O6" s="72"/>
      <c r="P6" s="72"/>
      <c r="Q6" s="72"/>
      <c r="R6" s="72"/>
      <c r="S6" s="72"/>
      <c r="T6" s="72"/>
      <c r="U6" s="72"/>
      <c r="V6" s="72"/>
      <c r="W6" s="72"/>
      <c r="X6" s="72"/>
    </row>
    <row r="7" spans="1:24" s="73" customFormat="1" ht="14.25" customHeight="1" x14ac:dyDescent="0.2">
      <c r="A7" s="397"/>
      <c r="B7" s="678"/>
      <c r="C7" s="679"/>
      <c r="D7" s="704" t="s">
        <v>26</v>
      </c>
      <c r="E7" s="309" t="s">
        <v>80</v>
      </c>
      <c r="F7" s="704" t="s">
        <v>26</v>
      </c>
      <c r="G7" s="309" t="s">
        <v>80</v>
      </c>
      <c r="H7" s="691" t="s">
        <v>26</v>
      </c>
      <c r="I7" s="308" t="s">
        <v>80</v>
      </c>
      <c r="J7" s="700" t="s">
        <v>1706</v>
      </c>
      <c r="K7" s="703" t="s">
        <v>1705</v>
      </c>
      <c r="L7" s="700" t="s">
        <v>1706</v>
      </c>
      <c r="M7" s="703" t="s">
        <v>1705</v>
      </c>
      <c r="N7" s="258"/>
      <c r="O7" s="72"/>
      <c r="P7" s="72"/>
      <c r="Q7" s="72"/>
      <c r="R7" s="72"/>
      <c r="S7" s="72"/>
      <c r="T7" s="72"/>
      <c r="U7" s="72"/>
      <c r="V7" s="72"/>
      <c r="W7" s="72"/>
      <c r="X7" s="72"/>
    </row>
    <row r="8" spans="1:24" s="73" customFormat="1" ht="14.25" customHeight="1" x14ac:dyDescent="0.2">
      <c r="A8" s="397"/>
      <c r="B8" s="489" t="s">
        <v>81</v>
      </c>
      <c r="C8" s="586">
        <f>'DENTAL INTAKE'!H5</f>
        <v>19</v>
      </c>
      <c r="D8" s="597">
        <f>'DENTAL INTAKE'!H4</f>
        <v>15</v>
      </c>
      <c r="E8" s="592">
        <f>C8*D8</f>
        <v>285</v>
      </c>
      <c r="F8" s="585">
        <f>'DENTAL INTAKE'!H16</f>
        <v>0</v>
      </c>
      <c r="G8" s="592">
        <f>C8*F8</f>
        <v>0</v>
      </c>
      <c r="H8" s="702">
        <f>'DENTAL INTAKE'!H6</f>
        <v>0</v>
      </c>
      <c r="I8" s="698">
        <f>C8*H8</f>
        <v>0</v>
      </c>
      <c r="J8" s="701">
        <f t="shared" ref="J8:J13" si="0">I8-E8</f>
        <v>-285</v>
      </c>
      <c r="K8" s="695">
        <f>IF(J8=0,0,SUM(J8/E8))</f>
        <v>-1</v>
      </c>
      <c r="L8" s="701">
        <f t="shared" ref="L8:L13" si="1">I8-G8</f>
        <v>0</v>
      </c>
      <c r="M8" s="695">
        <f>IF(L8=0,0,SUM(L8/G8))</f>
        <v>0</v>
      </c>
      <c r="N8" s="258"/>
      <c r="O8" s="72"/>
      <c r="P8" s="72"/>
      <c r="Q8" s="72"/>
      <c r="R8" s="72"/>
      <c r="S8" s="72"/>
      <c r="T8" s="72"/>
      <c r="U8" s="72"/>
      <c r="V8" s="72"/>
      <c r="W8" s="72"/>
      <c r="X8" s="72"/>
    </row>
    <row r="9" spans="1:24" s="73" customFormat="1" ht="14.25" customHeight="1" x14ac:dyDescent="0.2">
      <c r="A9" s="397"/>
      <c r="B9" s="489" t="s">
        <v>82</v>
      </c>
      <c r="C9" s="586">
        <f>'DENTAL INTAKE'!I5</f>
        <v>20</v>
      </c>
      <c r="D9" s="597">
        <f>'DENTAL INTAKE'!I4</f>
        <v>16</v>
      </c>
      <c r="E9" s="592">
        <f t="shared" ref="E9:E11" si="2">C9*D9</f>
        <v>320</v>
      </c>
      <c r="F9" s="585">
        <f>'DENTAL INTAKE'!I16</f>
        <v>0</v>
      </c>
      <c r="G9" s="592">
        <f>C9*F9</f>
        <v>0</v>
      </c>
      <c r="H9" s="702">
        <f>'DENTAL INTAKE'!I6</f>
        <v>0</v>
      </c>
      <c r="I9" s="698">
        <f>C9*H9</f>
        <v>0</v>
      </c>
      <c r="J9" s="701">
        <f t="shared" si="0"/>
        <v>-320</v>
      </c>
      <c r="K9" s="695">
        <f t="shared" ref="K9:K11" si="3">IF(J9=0,0,SUM(J9/E9))</f>
        <v>-1</v>
      </c>
      <c r="L9" s="701">
        <f t="shared" si="1"/>
        <v>0</v>
      </c>
      <c r="M9" s="695">
        <f>IF(L9=0,0,SUM(L9/G9))</f>
        <v>0</v>
      </c>
      <c r="N9" s="258"/>
      <c r="O9" s="72"/>
      <c r="P9" s="72"/>
      <c r="Q9" s="72"/>
      <c r="R9" s="72"/>
      <c r="S9" s="72"/>
      <c r="T9" s="72"/>
      <c r="U9" s="72"/>
      <c r="V9" s="72"/>
      <c r="W9" s="72"/>
      <c r="X9" s="72"/>
    </row>
    <row r="10" spans="1:24" s="73" customFormat="1" ht="14.25" customHeight="1" x14ac:dyDescent="0.2">
      <c r="A10" s="397"/>
      <c r="B10" s="489" t="s">
        <v>84</v>
      </c>
      <c r="C10" s="586">
        <f>'DENTAL INTAKE'!J5</f>
        <v>21</v>
      </c>
      <c r="D10" s="597">
        <f>'DENTAL INTAKE'!J4</f>
        <v>17</v>
      </c>
      <c r="E10" s="592">
        <f t="shared" si="2"/>
        <v>357</v>
      </c>
      <c r="F10" s="585">
        <f>'DENTAL INTAKE'!J16</f>
        <v>0</v>
      </c>
      <c r="G10" s="592">
        <f>C10*F10</f>
        <v>0</v>
      </c>
      <c r="H10" s="702">
        <f>'DENTAL INTAKE'!J6</f>
        <v>0</v>
      </c>
      <c r="I10" s="698">
        <f>C10*H10</f>
        <v>0</v>
      </c>
      <c r="J10" s="701">
        <f t="shared" si="0"/>
        <v>-357</v>
      </c>
      <c r="K10" s="695">
        <f t="shared" si="3"/>
        <v>-1</v>
      </c>
      <c r="L10" s="701">
        <f t="shared" si="1"/>
        <v>0</v>
      </c>
      <c r="M10" s="695">
        <f>IF(L10=0,0,SUM(L10/G10))</f>
        <v>0</v>
      </c>
      <c r="N10" s="258"/>
      <c r="O10" s="72"/>
      <c r="P10" s="72"/>
      <c r="Q10" s="72"/>
      <c r="R10" s="72"/>
      <c r="S10" s="72"/>
      <c r="T10" s="72"/>
      <c r="U10" s="72"/>
      <c r="V10" s="72"/>
      <c r="W10" s="72"/>
      <c r="X10" s="72"/>
    </row>
    <row r="11" spans="1:24" s="73" customFormat="1" ht="14.25" customHeight="1" x14ac:dyDescent="0.2">
      <c r="A11" s="397"/>
      <c r="B11" s="489" t="s">
        <v>85</v>
      </c>
      <c r="C11" s="586">
        <f>'DENTAL INTAKE'!K5</f>
        <v>22</v>
      </c>
      <c r="D11" s="597">
        <f>'DENTAL INTAKE'!K4</f>
        <v>18</v>
      </c>
      <c r="E11" s="592">
        <f t="shared" si="2"/>
        <v>396</v>
      </c>
      <c r="F11" s="585">
        <f>'DENTAL INTAKE'!K16</f>
        <v>0</v>
      </c>
      <c r="G11" s="592">
        <f>C11*F11</f>
        <v>0</v>
      </c>
      <c r="H11" s="702">
        <f>'DENTAL INTAKE'!K6</f>
        <v>0</v>
      </c>
      <c r="I11" s="698">
        <f>C11*H11</f>
        <v>0</v>
      </c>
      <c r="J11" s="701">
        <f t="shared" si="0"/>
        <v>-396</v>
      </c>
      <c r="K11" s="695">
        <f t="shared" si="3"/>
        <v>-1</v>
      </c>
      <c r="L11" s="701">
        <f t="shared" si="1"/>
        <v>0</v>
      </c>
      <c r="M11" s="695">
        <f>IF(L11=0,0,SUM(L11/G11))</f>
        <v>0</v>
      </c>
      <c r="N11" s="258"/>
      <c r="O11" s="72"/>
      <c r="P11" s="72"/>
      <c r="Q11" s="72"/>
      <c r="R11" s="72"/>
      <c r="S11" s="72"/>
      <c r="T11" s="72"/>
      <c r="U11" s="72"/>
      <c r="V11" s="72"/>
      <c r="W11" s="72"/>
      <c r="X11" s="72"/>
    </row>
    <row r="12" spans="1:24" s="73" customFormat="1" ht="18" customHeight="1" x14ac:dyDescent="0.2">
      <c r="A12" s="397"/>
      <c r="B12" s="221"/>
      <c r="C12" s="220" t="s">
        <v>1690</v>
      </c>
      <c r="D12" s="587"/>
      <c r="E12" s="306">
        <f>SUM(E8:E11)</f>
        <v>1358</v>
      </c>
      <c r="F12" s="587"/>
      <c r="G12" s="593">
        <f>SUM(G8:G11)</f>
        <v>0</v>
      </c>
      <c r="H12" s="692"/>
      <c r="I12" s="307">
        <f>SUM(I8:I11)</f>
        <v>0</v>
      </c>
      <c r="J12" s="696">
        <f t="shared" si="0"/>
        <v>-1358</v>
      </c>
      <c r="K12" s="1553">
        <f>IF(K11="","",SUM(J12/E12))</f>
        <v>-1</v>
      </c>
      <c r="L12" s="696">
        <f t="shared" si="1"/>
        <v>0</v>
      </c>
      <c r="M12" s="1553" t="e">
        <f>IF(M11="","",SUM(L12/G12))</f>
        <v>#DIV/0!</v>
      </c>
      <c r="N12" s="258"/>
      <c r="O12" s="72"/>
      <c r="P12" s="72"/>
      <c r="Q12" s="72"/>
      <c r="R12" s="72"/>
      <c r="S12" s="72"/>
      <c r="T12" s="72"/>
      <c r="U12" s="72"/>
      <c r="V12" s="72"/>
      <c r="W12" s="72"/>
      <c r="X12" s="72"/>
    </row>
    <row r="13" spans="1:24" s="73" customFormat="1" ht="18" customHeight="1" thickBot="1" x14ac:dyDescent="0.25">
      <c r="A13" s="397"/>
      <c r="B13" s="405"/>
      <c r="C13" s="406" t="s">
        <v>1691</v>
      </c>
      <c r="D13" s="407"/>
      <c r="E13" s="408">
        <f>E12*12</f>
        <v>16296</v>
      </c>
      <c r="F13" s="411"/>
      <c r="G13" s="408">
        <f>G12*12</f>
        <v>0</v>
      </c>
      <c r="H13" s="412"/>
      <c r="I13" s="410">
        <f>I12*12</f>
        <v>0</v>
      </c>
      <c r="J13" s="697">
        <f t="shared" si="0"/>
        <v>-16296</v>
      </c>
      <c r="K13" s="1554"/>
      <c r="L13" s="697">
        <f t="shared" si="1"/>
        <v>0</v>
      </c>
      <c r="M13" s="1554"/>
      <c r="N13" s="258"/>
      <c r="O13" s="72"/>
      <c r="P13" s="72"/>
      <c r="Q13" s="72"/>
      <c r="R13" s="72"/>
      <c r="S13" s="72"/>
      <c r="T13" s="72"/>
      <c r="U13" s="72"/>
      <c r="V13" s="72"/>
      <c r="W13" s="72"/>
      <c r="X13" s="72"/>
    </row>
    <row r="14" spans="1:24" ht="14.25" customHeight="1" thickTop="1" thickBot="1" x14ac:dyDescent="0.25">
      <c r="A14" s="399"/>
      <c r="B14" s="260"/>
      <c r="C14" s="260"/>
      <c r="D14" s="260"/>
      <c r="E14" s="260"/>
      <c r="F14" s="260"/>
      <c r="G14" s="260"/>
      <c r="H14" s="260"/>
      <c r="I14" s="260"/>
      <c r="J14" s="260"/>
      <c r="K14" s="260"/>
      <c r="L14" s="260"/>
      <c r="M14" s="260"/>
      <c r="N14" s="258"/>
    </row>
    <row r="15" spans="1:24" s="73" customFormat="1" ht="20" customHeight="1" thickTop="1" x14ac:dyDescent="0.2">
      <c r="A15" s="397"/>
      <c r="B15" s="1547" t="s">
        <v>1967</v>
      </c>
      <c r="C15" s="1548"/>
      <c r="D15" s="1548"/>
      <c r="E15" s="1548"/>
      <c r="F15" s="1548"/>
      <c r="G15" s="1548"/>
      <c r="H15" s="1548"/>
      <c r="I15" s="1548"/>
      <c r="J15" s="1548"/>
      <c r="K15" s="1548"/>
      <c r="L15" s="1548"/>
      <c r="M15" s="1549"/>
      <c r="N15" s="258"/>
      <c r="O15" s="72"/>
      <c r="P15" s="72"/>
      <c r="Q15" s="72"/>
      <c r="R15" s="72"/>
      <c r="S15" s="72"/>
      <c r="T15" s="72"/>
      <c r="U15" s="72"/>
      <c r="V15" s="72"/>
      <c r="W15" s="72"/>
      <c r="X15" s="72"/>
    </row>
    <row r="16" spans="1:24" s="73" customFormat="1" ht="14.25" customHeight="1" x14ac:dyDescent="0.2">
      <c r="A16" s="397"/>
      <c r="B16" s="1536" t="s">
        <v>1966</v>
      </c>
      <c r="C16" s="1537"/>
      <c r="D16" s="1538" t="s">
        <v>1971</v>
      </c>
      <c r="E16" s="1539"/>
      <c r="F16" s="1538" t="s">
        <v>1972</v>
      </c>
      <c r="G16" s="1539"/>
      <c r="H16" s="1538" t="s">
        <v>1970</v>
      </c>
      <c r="I16" s="1539"/>
      <c r="J16" s="1540" t="s">
        <v>1968</v>
      </c>
      <c r="K16" s="1541"/>
      <c r="L16" s="1540" t="s">
        <v>1969</v>
      </c>
      <c r="M16" s="1541"/>
      <c r="N16" s="258"/>
      <c r="O16" s="72"/>
      <c r="P16" s="72"/>
      <c r="Q16" s="72"/>
      <c r="R16" s="72"/>
      <c r="S16" s="72"/>
      <c r="T16" s="72"/>
      <c r="U16" s="72"/>
      <c r="V16" s="72"/>
      <c r="W16" s="72"/>
      <c r="X16" s="72"/>
    </row>
    <row r="17" spans="1:14" ht="14.25" customHeight="1" x14ac:dyDescent="0.2">
      <c r="A17" s="399"/>
      <c r="B17" s="678"/>
      <c r="C17" s="679"/>
      <c r="D17" s="705" t="s">
        <v>26</v>
      </c>
      <c r="E17" s="305" t="s">
        <v>80</v>
      </c>
      <c r="F17" s="705" t="s">
        <v>26</v>
      </c>
      <c r="G17" s="305" t="s">
        <v>80</v>
      </c>
      <c r="H17" s="691" t="s">
        <v>26</v>
      </c>
      <c r="I17" s="308" t="s">
        <v>80</v>
      </c>
      <c r="J17" s="700" t="s">
        <v>1706</v>
      </c>
      <c r="K17" s="703" t="s">
        <v>1705</v>
      </c>
      <c r="L17" s="700" t="s">
        <v>1706</v>
      </c>
      <c r="M17" s="703" t="s">
        <v>1705</v>
      </c>
      <c r="N17" s="258"/>
    </row>
    <row r="18" spans="1:14" ht="14.25" customHeight="1" x14ac:dyDescent="0.2">
      <c r="A18" s="399"/>
      <c r="B18" s="489" t="s">
        <v>81</v>
      </c>
      <c r="C18" s="586">
        <f>'DENTAL INTAKE'!H8</f>
        <v>27</v>
      </c>
      <c r="D18" s="585">
        <f>'DENTAL INTAKE'!H7</f>
        <v>23</v>
      </c>
      <c r="E18" s="592">
        <f t="shared" ref="E18:E21" si="4">C18*D18</f>
        <v>621</v>
      </c>
      <c r="F18" s="585">
        <f>'DENTAL INTAKE'!H17</f>
        <v>0</v>
      </c>
      <c r="G18" s="592">
        <f>C18*F18</f>
        <v>0</v>
      </c>
      <c r="H18" s="702">
        <f>'DENTAL INTAKE'!H9</f>
        <v>0</v>
      </c>
      <c r="I18" s="698">
        <f>C18*H18</f>
        <v>0</v>
      </c>
      <c r="J18" s="701">
        <f>I18-E18</f>
        <v>-621</v>
      </c>
      <c r="K18" s="695">
        <f>IF(J18=0,0,SUM(J18/E18))</f>
        <v>-1</v>
      </c>
      <c r="L18" s="701">
        <f t="shared" ref="L18:L21" si="5">I18-G18</f>
        <v>0</v>
      </c>
      <c r="M18" s="695">
        <f>IF(L18=0,0,SUM(L18/G18))</f>
        <v>0</v>
      </c>
      <c r="N18" s="258"/>
    </row>
    <row r="19" spans="1:14" ht="14.25" customHeight="1" x14ac:dyDescent="0.2">
      <c r="A19" s="399"/>
      <c r="B19" s="489" t="s">
        <v>82</v>
      </c>
      <c r="C19" s="586">
        <f>'DENTAL INTAKE'!I8</f>
        <v>28</v>
      </c>
      <c r="D19" s="585">
        <f>'DENTAL INTAKE'!I7</f>
        <v>24</v>
      </c>
      <c r="E19" s="592">
        <f t="shared" si="4"/>
        <v>672</v>
      </c>
      <c r="F19" s="585">
        <f>'DENTAL INTAKE'!I17</f>
        <v>0</v>
      </c>
      <c r="G19" s="592">
        <f>C19*F19</f>
        <v>0</v>
      </c>
      <c r="H19" s="702">
        <f>'DENTAL INTAKE'!I9</f>
        <v>0</v>
      </c>
      <c r="I19" s="698">
        <f>C19*H19</f>
        <v>0</v>
      </c>
      <c r="J19" s="701">
        <f>I19-E19</f>
        <v>-672</v>
      </c>
      <c r="K19" s="695">
        <f t="shared" ref="K19:K21" si="6">IF(J19=0,0,SUM(J19/E19))</f>
        <v>-1</v>
      </c>
      <c r="L19" s="701">
        <f t="shared" si="5"/>
        <v>0</v>
      </c>
      <c r="M19" s="695">
        <f>IF(L19=0,0,SUM(L19/G19))</f>
        <v>0</v>
      </c>
      <c r="N19" s="258"/>
    </row>
    <row r="20" spans="1:14" ht="14.25" customHeight="1" x14ac:dyDescent="0.2">
      <c r="A20" s="399"/>
      <c r="B20" s="489" t="s">
        <v>84</v>
      </c>
      <c r="C20" s="586">
        <f>'DENTAL INTAKE'!J8</f>
        <v>29</v>
      </c>
      <c r="D20" s="585">
        <f>'DENTAL INTAKE'!J7</f>
        <v>25</v>
      </c>
      <c r="E20" s="592">
        <f t="shared" si="4"/>
        <v>725</v>
      </c>
      <c r="F20" s="585">
        <f>'DENTAL INTAKE'!J17</f>
        <v>0</v>
      </c>
      <c r="G20" s="592">
        <f>C20*F20</f>
        <v>0</v>
      </c>
      <c r="H20" s="702">
        <f>'DENTAL INTAKE'!J9</f>
        <v>0</v>
      </c>
      <c r="I20" s="698">
        <f>C20*H20</f>
        <v>0</v>
      </c>
      <c r="J20" s="701">
        <f>I20-E20</f>
        <v>-725</v>
      </c>
      <c r="K20" s="695">
        <f t="shared" si="6"/>
        <v>-1</v>
      </c>
      <c r="L20" s="701">
        <f t="shared" si="5"/>
        <v>0</v>
      </c>
      <c r="M20" s="695">
        <f>IF(L20=0,0,SUM(L20/G20))</f>
        <v>0</v>
      </c>
      <c r="N20" s="258"/>
    </row>
    <row r="21" spans="1:14" ht="14.25" customHeight="1" x14ac:dyDescent="0.2">
      <c r="A21" s="399"/>
      <c r="B21" s="489" t="s">
        <v>85</v>
      </c>
      <c r="C21" s="586">
        <f>'DENTAL INTAKE'!K8</f>
        <v>30</v>
      </c>
      <c r="D21" s="585">
        <f>'DENTAL INTAKE'!K7</f>
        <v>26</v>
      </c>
      <c r="E21" s="592">
        <f t="shared" si="4"/>
        <v>780</v>
      </c>
      <c r="F21" s="585">
        <f>'DENTAL INTAKE'!K17</f>
        <v>0</v>
      </c>
      <c r="G21" s="592">
        <f>C21*F21</f>
        <v>0</v>
      </c>
      <c r="H21" s="702">
        <f>'DENTAL INTAKE'!K9</f>
        <v>0</v>
      </c>
      <c r="I21" s="698">
        <f>C21*H21</f>
        <v>0</v>
      </c>
      <c r="J21" s="701">
        <f>I21-E21</f>
        <v>-780</v>
      </c>
      <c r="K21" s="695">
        <f t="shared" si="6"/>
        <v>-1</v>
      </c>
      <c r="L21" s="701">
        <f t="shared" si="5"/>
        <v>0</v>
      </c>
      <c r="M21" s="695">
        <f>IF(L21=0,0,SUM(L21/G21))</f>
        <v>0</v>
      </c>
      <c r="N21" s="258"/>
    </row>
    <row r="22" spans="1:14" ht="18" customHeight="1" x14ac:dyDescent="0.2">
      <c r="A22" s="399"/>
      <c r="B22" s="221"/>
      <c r="C22" s="588" t="s">
        <v>1690</v>
      </c>
      <c r="D22" s="1559"/>
      <c r="E22" s="593">
        <f>SUM(E18:E21)</f>
        <v>2798</v>
      </c>
      <c r="F22" s="1557"/>
      <c r="G22" s="306">
        <f>SUM(G18:G21)</f>
        <v>0</v>
      </c>
      <c r="H22" s="1555"/>
      <c r="I22" s="307">
        <f>SUM(I18:I21)</f>
        <v>0</v>
      </c>
      <c r="J22" s="696">
        <f t="shared" ref="J22:J23" si="7">I22-E22</f>
        <v>-2798</v>
      </c>
      <c r="K22" s="1553">
        <f>IF(K21="","",SUM(J22/E22))</f>
        <v>-1</v>
      </c>
      <c r="L22" s="696">
        <f>I22-G22</f>
        <v>0</v>
      </c>
      <c r="M22" s="1553" t="e">
        <f>IF(M21="","",SUM(L22/G22))</f>
        <v>#DIV/0!</v>
      </c>
      <c r="N22" s="258"/>
    </row>
    <row r="23" spans="1:14" ht="18" customHeight="1" thickBot="1" x14ac:dyDescent="0.25">
      <c r="A23" s="399"/>
      <c r="B23" s="405"/>
      <c r="C23" s="406" t="s">
        <v>1691</v>
      </c>
      <c r="D23" s="1560"/>
      <c r="E23" s="706">
        <f>E22*12</f>
        <v>33576</v>
      </c>
      <c r="F23" s="1558"/>
      <c r="G23" s="408">
        <f>G22*12</f>
        <v>0</v>
      </c>
      <c r="H23" s="1556"/>
      <c r="I23" s="410">
        <f>I22*12</f>
        <v>0</v>
      </c>
      <c r="J23" s="697">
        <f t="shared" si="7"/>
        <v>-33576</v>
      </c>
      <c r="K23" s="1554"/>
      <c r="L23" s="697">
        <f>I23-G23</f>
        <v>0</v>
      </c>
      <c r="M23" s="1554"/>
      <c r="N23" s="258"/>
    </row>
    <row r="24" spans="1:14" ht="14" customHeight="1" thickTop="1" thickBot="1" x14ac:dyDescent="0.25">
      <c r="A24" s="399"/>
      <c r="B24" s="260"/>
      <c r="C24" s="260"/>
      <c r="D24" s="260"/>
      <c r="E24" s="260"/>
      <c r="F24" s="260"/>
      <c r="G24" s="260"/>
      <c r="H24" s="260"/>
      <c r="I24" s="260"/>
      <c r="J24" s="260"/>
      <c r="K24" s="260"/>
      <c r="L24" s="260"/>
      <c r="M24" s="260"/>
      <c r="N24" s="258"/>
    </row>
    <row r="25" spans="1:14" s="73" customFormat="1" ht="20" customHeight="1" thickTop="1" x14ac:dyDescent="0.25">
      <c r="A25" s="397"/>
      <c r="B25" s="1550" t="s">
        <v>1782</v>
      </c>
      <c r="C25" s="1551"/>
      <c r="D25" s="1551"/>
      <c r="E25" s="1551"/>
      <c r="F25" s="1551"/>
      <c r="G25" s="1551"/>
      <c r="H25" s="1551"/>
      <c r="I25" s="1551"/>
      <c r="J25" s="1551"/>
      <c r="K25" s="1551"/>
      <c r="L25" s="1551"/>
      <c r="M25" s="1552"/>
      <c r="N25" s="400"/>
    </row>
    <row r="26" spans="1:14" s="73" customFormat="1" ht="14.25" customHeight="1" x14ac:dyDescent="0.2">
      <c r="A26" s="397"/>
      <c r="B26" s="1536" t="s">
        <v>1966</v>
      </c>
      <c r="C26" s="1537"/>
      <c r="D26" s="1542" t="s">
        <v>1971</v>
      </c>
      <c r="E26" s="1543"/>
      <c r="F26" s="1542" t="s">
        <v>1972</v>
      </c>
      <c r="G26" s="1543"/>
      <c r="H26" s="1538" t="s">
        <v>1970</v>
      </c>
      <c r="I26" s="1539"/>
      <c r="J26" s="1540" t="s">
        <v>1968</v>
      </c>
      <c r="K26" s="1541"/>
      <c r="L26" s="1540" t="s">
        <v>1969</v>
      </c>
      <c r="M26" s="1541"/>
      <c r="N26" s="400"/>
    </row>
    <row r="27" spans="1:14" s="73" customFormat="1" ht="17.25" customHeight="1" x14ac:dyDescent="0.2">
      <c r="A27" s="397"/>
      <c r="B27" s="678"/>
      <c r="C27" s="591"/>
      <c r="D27" s="704" t="s">
        <v>26</v>
      </c>
      <c r="E27" s="309" t="s">
        <v>80</v>
      </c>
      <c r="F27" s="704" t="s">
        <v>26</v>
      </c>
      <c r="G27" s="309" t="s">
        <v>80</v>
      </c>
      <c r="H27" s="662" t="s">
        <v>26</v>
      </c>
      <c r="I27" s="308" t="s">
        <v>80</v>
      </c>
      <c r="J27" s="700" t="s">
        <v>1706</v>
      </c>
      <c r="K27" s="703" t="s">
        <v>1705</v>
      </c>
      <c r="L27" s="693" t="s">
        <v>1706</v>
      </c>
      <c r="M27" s="703" t="s">
        <v>1705</v>
      </c>
      <c r="N27" s="400"/>
    </row>
    <row r="28" spans="1:14" s="73" customFormat="1" ht="14.25" customHeight="1" x14ac:dyDescent="0.2">
      <c r="A28" s="397"/>
      <c r="B28" s="589" t="s">
        <v>81</v>
      </c>
      <c r="C28" s="586">
        <f>'DENTAL INTAKE'!H11</f>
        <v>35</v>
      </c>
      <c r="D28" s="585">
        <f>'DENTAL INTAKE'!H10</f>
        <v>31</v>
      </c>
      <c r="E28" s="592">
        <f>C28*D28</f>
        <v>1085</v>
      </c>
      <c r="F28" s="585">
        <f>'DENTAL INTAKE'!H18</f>
        <v>0</v>
      </c>
      <c r="G28" s="707">
        <f>C28*F28</f>
        <v>0</v>
      </c>
      <c r="H28" s="663">
        <f>'DENTAL INTAKE'!H12</f>
        <v>0</v>
      </c>
      <c r="I28" s="698">
        <f t="shared" ref="I28:I31" si="8">C28*H28</f>
        <v>0</v>
      </c>
      <c r="J28" s="701">
        <f t="shared" ref="J28:J33" si="9">I28-E28</f>
        <v>-1085</v>
      </c>
      <c r="K28" s="695">
        <f>IF(J28=0,0,SUM(J28/E28))</f>
        <v>-1</v>
      </c>
      <c r="L28" s="701">
        <f t="shared" ref="L28:L31" si="10">I28-G28</f>
        <v>0</v>
      </c>
      <c r="M28" s="695">
        <f>IF(L28=0,0,SUM(L28/G28))</f>
        <v>0</v>
      </c>
      <c r="N28" s="400"/>
    </row>
    <row r="29" spans="1:14" s="73" customFormat="1" ht="14.25" customHeight="1" x14ac:dyDescent="0.2">
      <c r="A29" s="397"/>
      <c r="B29" s="589" t="s">
        <v>82</v>
      </c>
      <c r="C29" s="586">
        <f>'DENTAL INTAKE'!I11</f>
        <v>36</v>
      </c>
      <c r="D29" s="585">
        <f>'DENTAL INTAKE'!I10</f>
        <v>32</v>
      </c>
      <c r="E29" s="592">
        <f>C29*D29</f>
        <v>1152</v>
      </c>
      <c r="F29" s="585">
        <f>'DENTAL INTAKE'!I18</f>
        <v>0</v>
      </c>
      <c r="G29" s="707">
        <f>C29*F29</f>
        <v>0</v>
      </c>
      <c r="H29" s="663">
        <f>'DENTAL INTAKE'!I12</f>
        <v>0</v>
      </c>
      <c r="I29" s="698">
        <f t="shared" si="8"/>
        <v>0</v>
      </c>
      <c r="J29" s="701">
        <f t="shared" si="9"/>
        <v>-1152</v>
      </c>
      <c r="K29" s="695">
        <f t="shared" ref="K29:K31" si="11">IF(J29=0,0,SUM(J29/E29))</f>
        <v>-1</v>
      </c>
      <c r="L29" s="701">
        <f t="shared" si="10"/>
        <v>0</v>
      </c>
      <c r="M29" s="695">
        <f>IF(L29=0,0,SUM(L29/G29))</f>
        <v>0</v>
      </c>
      <c r="N29" s="400"/>
    </row>
    <row r="30" spans="1:14" s="73" customFormat="1" ht="14.25" customHeight="1" x14ac:dyDescent="0.2">
      <c r="A30" s="397"/>
      <c r="B30" s="589" t="s">
        <v>84</v>
      </c>
      <c r="C30" s="586">
        <f>'DENTAL INTAKE'!J11</f>
        <v>37</v>
      </c>
      <c r="D30" s="585">
        <f>'DENTAL INTAKE'!J10</f>
        <v>33</v>
      </c>
      <c r="E30" s="592">
        <f>C30*D30</f>
        <v>1221</v>
      </c>
      <c r="F30" s="585">
        <f>'DENTAL INTAKE'!J18</f>
        <v>0</v>
      </c>
      <c r="G30" s="707">
        <f>C30*F30</f>
        <v>0</v>
      </c>
      <c r="H30" s="663">
        <f>'DENTAL INTAKE'!J12</f>
        <v>0</v>
      </c>
      <c r="I30" s="698">
        <f t="shared" si="8"/>
        <v>0</v>
      </c>
      <c r="J30" s="701">
        <f t="shared" si="9"/>
        <v>-1221</v>
      </c>
      <c r="K30" s="695">
        <f t="shared" si="11"/>
        <v>-1</v>
      </c>
      <c r="L30" s="701">
        <f t="shared" si="10"/>
        <v>0</v>
      </c>
      <c r="M30" s="695">
        <f>IF(L30=0,0,SUM(L30/G30))</f>
        <v>0</v>
      </c>
      <c r="N30" s="400"/>
    </row>
    <row r="31" spans="1:14" ht="14.25" customHeight="1" x14ac:dyDescent="0.2">
      <c r="A31" s="397"/>
      <c r="B31" s="590" t="s">
        <v>85</v>
      </c>
      <c r="C31" s="586">
        <f>'DENTAL INTAKE'!K11</f>
        <v>38</v>
      </c>
      <c r="D31" s="585">
        <f>'DENTAL INTAKE'!K10</f>
        <v>34</v>
      </c>
      <c r="E31" s="592">
        <f>C31*D31</f>
        <v>1292</v>
      </c>
      <c r="F31" s="585">
        <f>'DENTAL INTAKE'!K18</f>
        <v>0</v>
      </c>
      <c r="G31" s="707">
        <f>C31*F31</f>
        <v>0</v>
      </c>
      <c r="H31" s="663">
        <f>'DENTAL INTAKE'!K12</f>
        <v>0</v>
      </c>
      <c r="I31" s="698">
        <f t="shared" si="8"/>
        <v>0</v>
      </c>
      <c r="J31" s="701">
        <f t="shared" si="9"/>
        <v>-1292</v>
      </c>
      <c r="K31" s="695">
        <f t="shared" si="11"/>
        <v>-1</v>
      </c>
      <c r="L31" s="701">
        <f t="shared" si="10"/>
        <v>0</v>
      </c>
      <c r="M31" s="695">
        <f>IF(L31=0,0,SUM(L31/G31))</f>
        <v>0</v>
      </c>
      <c r="N31" s="400"/>
    </row>
    <row r="32" spans="1:14" ht="18" customHeight="1" x14ac:dyDescent="0.2">
      <c r="A32" s="397"/>
      <c r="B32" s="221"/>
      <c r="C32" s="588" t="s">
        <v>1690</v>
      </c>
      <c r="D32" s="587"/>
      <c r="E32" s="306">
        <f>SUM(E28:E31)</f>
        <v>4750</v>
      </c>
      <c r="F32" s="587"/>
      <c r="G32" s="306">
        <f>SUM(G28:G31)</f>
        <v>0</v>
      </c>
      <c r="H32" s="699"/>
      <c r="I32" s="307">
        <f>SUM(I28:I31)</f>
        <v>0</v>
      </c>
      <c r="J32" s="696">
        <f t="shared" si="9"/>
        <v>-4750</v>
      </c>
      <c r="K32" s="1553">
        <f>IF(K31="","",SUM(J32/E32))</f>
        <v>-1</v>
      </c>
      <c r="L32" s="696">
        <f>I32-G32</f>
        <v>0</v>
      </c>
      <c r="M32" s="1553" t="e">
        <f>IF(M31="","",SUM(L32/G32))</f>
        <v>#DIV/0!</v>
      </c>
      <c r="N32" s="400"/>
    </row>
    <row r="33" spans="1:14" ht="18" customHeight="1" thickBot="1" x14ac:dyDescent="0.25">
      <c r="A33" s="397"/>
      <c r="B33" s="405"/>
      <c r="C33" s="406" t="s">
        <v>1691</v>
      </c>
      <c r="D33" s="407"/>
      <c r="E33" s="408">
        <f>E32*12</f>
        <v>57000</v>
      </c>
      <c r="F33" s="407"/>
      <c r="G33" s="408">
        <f>G32*12</f>
        <v>0</v>
      </c>
      <c r="H33" s="409"/>
      <c r="I33" s="410">
        <f>I32*12</f>
        <v>0</v>
      </c>
      <c r="J33" s="697">
        <f t="shared" si="9"/>
        <v>-57000</v>
      </c>
      <c r="K33" s="1554"/>
      <c r="L33" s="697">
        <f>I33-G33</f>
        <v>0</v>
      </c>
      <c r="M33" s="1554"/>
      <c r="N33" s="400"/>
    </row>
    <row r="34" spans="1:14" ht="14.25" customHeight="1" thickTop="1" thickBot="1" x14ac:dyDescent="0.25">
      <c r="A34" s="397"/>
      <c r="B34" s="260"/>
      <c r="C34" s="260"/>
      <c r="D34" s="260"/>
      <c r="E34" s="260"/>
      <c r="F34" s="260"/>
      <c r="G34" s="260"/>
      <c r="H34" s="260"/>
      <c r="I34" s="260"/>
      <c r="J34" s="260"/>
      <c r="K34" s="260"/>
      <c r="L34" s="260"/>
      <c r="M34" s="260"/>
      <c r="N34" s="260"/>
    </row>
    <row r="35" spans="1:14" ht="20" customHeight="1" thickTop="1" x14ac:dyDescent="0.25">
      <c r="A35" s="397"/>
      <c r="B35" s="690" t="s">
        <v>1783</v>
      </c>
      <c r="C35" s="630"/>
      <c r="D35" s="630"/>
      <c r="E35" s="630"/>
      <c r="F35" s="630"/>
      <c r="G35" s="630"/>
      <c r="H35" s="630"/>
      <c r="I35" s="630"/>
      <c r="J35" s="630"/>
      <c r="K35" s="630"/>
      <c r="L35" s="630"/>
      <c r="M35" s="689"/>
      <c r="N35" s="260"/>
    </row>
    <row r="36" spans="1:14" ht="14.25" customHeight="1" x14ac:dyDescent="0.2">
      <c r="A36" s="397"/>
      <c r="B36" s="1536" t="s">
        <v>1966</v>
      </c>
      <c r="C36" s="1537"/>
      <c r="D36" s="1542" t="s">
        <v>1971</v>
      </c>
      <c r="E36" s="1543"/>
      <c r="F36" s="1542" t="s">
        <v>1972</v>
      </c>
      <c r="G36" s="1543"/>
      <c r="H36" s="1538" t="s">
        <v>1970</v>
      </c>
      <c r="I36" s="1539"/>
      <c r="J36" s="1540" t="s">
        <v>1968</v>
      </c>
      <c r="K36" s="1541"/>
      <c r="L36" s="1540" t="s">
        <v>1969</v>
      </c>
      <c r="M36" s="1541"/>
      <c r="N36" s="260"/>
    </row>
    <row r="37" spans="1:14" ht="14.25" customHeight="1" x14ac:dyDescent="0.2">
      <c r="A37" s="397"/>
      <c r="B37" s="678"/>
      <c r="C37" s="591"/>
      <c r="D37" s="704" t="s">
        <v>26</v>
      </c>
      <c r="E37" s="309" t="s">
        <v>80</v>
      </c>
      <c r="F37" s="704" t="s">
        <v>26</v>
      </c>
      <c r="G37" s="309" t="s">
        <v>80</v>
      </c>
      <c r="H37" s="691" t="s">
        <v>26</v>
      </c>
      <c r="I37" s="594" t="s">
        <v>80</v>
      </c>
      <c r="J37" s="693" t="s">
        <v>1706</v>
      </c>
      <c r="K37" s="708" t="s">
        <v>1705</v>
      </c>
      <c r="L37" s="693" t="s">
        <v>1706</v>
      </c>
      <c r="M37" s="703" t="s">
        <v>1705</v>
      </c>
      <c r="N37" s="260"/>
    </row>
    <row r="38" spans="1:14" ht="14.25" customHeight="1" x14ac:dyDescent="0.2">
      <c r="A38" s="397"/>
      <c r="B38" s="589" t="s">
        <v>81</v>
      </c>
      <c r="C38" s="586">
        <f>'DENTAL INTAKE'!H24</f>
        <v>11</v>
      </c>
      <c r="D38" s="664">
        <f>'DENTAL INTAKE'!H23</f>
        <v>7</v>
      </c>
      <c r="E38" s="592">
        <f>C38*D38</f>
        <v>77</v>
      </c>
      <c r="F38" s="664">
        <f>'DENTAL INTAKE'!H26</f>
        <v>0</v>
      </c>
      <c r="G38" s="592">
        <f>C38*F38</f>
        <v>0</v>
      </c>
      <c r="H38" s="665">
        <f>'DENTAL INTAKE'!H25</f>
        <v>0</v>
      </c>
      <c r="I38" s="595">
        <f>C38*H38</f>
        <v>0</v>
      </c>
      <c r="J38" s="694">
        <f t="shared" ref="J38:J43" si="12">I38-E38</f>
        <v>-77</v>
      </c>
      <c r="K38" s="695">
        <f t="shared" ref="K38:K41" si="13">IF(J38=0,0,SUM(J38/E38))</f>
        <v>-1</v>
      </c>
      <c r="L38" s="694">
        <f t="shared" ref="L38:L41" si="14">I38-G38</f>
        <v>0</v>
      </c>
      <c r="M38" s="695">
        <f>IF(L38=0,0,SUM(L38/G38))</f>
        <v>0</v>
      </c>
      <c r="N38" s="260"/>
    </row>
    <row r="39" spans="1:14" ht="14.25" customHeight="1" x14ac:dyDescent="0.2">
      <c r="A39" s="397"/>
      <c r="B39" s="589" t="s">
        <v>82</v>
      </c>
      <c r="C39" s="586">
        <f>'DENTAL INTAKE'!I24</f>
        <v>12</v>
      </c>
      <c r="D39" s="664">
        <f>'DENTAL INTAKE'!I23</f>
        <v>8</v>
      </c>
      <c r="E39" s="592">
        <f>C39*D39</f>
        <v>96</v>
      </c>
      <c r="F39" s="664">
        <f>'DENTAL INTAKE'!I26</f>
        <v>0</v>
      </c>
      <c r="G39" s="592">
        <f>C39*F39</f>
        <v>0</v>
      </c>
      <c r="H39" s="665">
        <f>'DENTAL INTAKE'!I25</f>
        <v>0</v>
      </c>
      <c r="I39" s="595">
        <f>C39*H39</f>
        <v>0</v>
      </c>
      <c r="J39" s="694">
        <f t="shared" si="12"/>
        <v>-96</v>
      </c>
      <c r="K39" s="695">
        <f t="shared" si="13"/>
        <v>-1</v>
      </c>
      <c r="L39" s="694">
        <f t="shared" si="14"/>
        <v>0</v>
      </c>
      <c r="M39" s="695">
        <f>IF(L39=0,0,SUM(L39/G39))</f>
        <v>0</v>
      </c>
      <c r="N39" s="260"/>
    </row>
    <row r="40" spans="1:14" ht="14.25" customHeight="1" x14ac:dyDescent="0.2">
      <c r="A40" s="397"/>
      <c r="B40" s="589" t="s">
        <v>84</v>
      </c>
      <c r="C40" s="586">
        <f>'DENTAL INTAKE'!J24</f>
        <v>13</v>
      </c>
      <c r="D40" s="664">
        <f>'DENTAL INTAKE'!J23</f>
        <v>9</v>
      </c>
      <c r="E40" s="592">
        <f>C40*D40</f>
        <v>117</v>
      </c>
      <c r="F40" s="664">
        <f>'DENTAL INTAKE'!J26</f>
        <v>0</v>
      </c>
      <c r="G40" s="592">
        <f>C40*F40</f>
        <v>0</v>
      </c>
      <c r="H40" s="665">
        <f>'DENTAL INTAKE'!J25</f>
        <v>0</v>
      </c>
      <c r="I40" s="595">
        <f>C40*H40</f>
        <v>0</v>
      </c>
      <c r="J40" s="694">
        <f t="shared" si="12"/>
        <v>-117</v>
      </c>
      <c r="K40" s="695">
        <f t="shared" si="13"/>
        <v>-1</v>
      </c>
      <c r="L40" s="694">
        <f t="shared" si="14"/>
        <v>0</v>
      </c>
      <c r="M40" s="695">
        <f>IF(L40=0,0,SUM(L40/G40))</f>
        <v>0</v>
      </c>
      <c r="N40" s="260"/>
    </row>
    <row r="41" spans="1:14" ht="14.25" customHeight="1" x14ac:dyDescent="0.2">
      <c r="A41" s="397"/>
      <c r="B41" s="589" t="s">
        <v>85</v>
      </c>
      <c r="C41" s="586">
        <f>'DENTAL INTAKE'!K24</f>
        <v>14</v>
      </c>
      <c r="D41" s="664">
        <f>'DENTAL INTAKE'!K23</f>
        <v>10</v>
      </c>
      <c r="E41" s="592">
        <f>C41*D41</f>
        <v>140</v>
      </c>
      <c r="F41" s="664">
        <f>'DENTAL INTAKE'!K26</f>
        <v>0</v>
      </c>
      <c r="G41" s="592">
        <f>C41*F41</f>
        <v>0</v>
      </c>
      <c r="H41" s="665">
        <f>'DENTAL INTAKE'!K25</f>
        <v>0</v>
      </c>
      <c r="I41" s="595">
        <f>C41*H41</f>
        <v>0</v>
      </c>
      <c r="J41" s="694">
        <f t="shared" si="12"/>
        <v>-140</v>
      </c>
      <c r="K41" s="695">
        <f t="shared" si="13"/>
        <v>-1</v>
      </c>
      <c r="L41" s="694">
        <f t="shared" si="14"/>
        <v>0</v>
      </c>
      <c r="M41" s="695">
        <f>IF(L41=0,0,SUM(L41/G41))</f>
        <v>0</v>
      </c>
      <c r="N41" s="260"/>
    </row>
    <row r="42" spans="1:14" s="73" customFormat="1" ht="18" customHeight="1" x14ac:dyDescent="0.2">
      <c r="A42" s="397"/>
      <c r="B42" s="221"/>
      <c r="C42" s="628" t="s">
        <v>1690</v>
      </c>
      <c r="D42" s="587"/>
      <c r="E42" s="306">
        <f>SUM(E38:E41)</f>
        <v>430</v>
      </c>
      <c r="F42" s="587"/>
      <c r="G42" s="306">
        <f>SUM(G38:G41)</f>
        <v>0</v>
      </c>
      <c r="H42" s="692"/>
      <c r="I42" s="596">
        <f>SUM(I38:I41)</f>
        <v>0</v>
      </c>
      <c r="J42" s="696">
        <f t="shared" si="12"/>
        <v>-430</v>
      </c>
      <c r="K42" s="1553">
        <f>IF(K41="","",SUM(J42/E42))</f>
        <v>-1</v>
      </c>
      <c r="L42" s="696">
        <f>I42-G42</f>
        <v>0</v>
      </c>
      <c r="M42" s="1553" t="e">
        <f>IF(M41="","",SUM(L42/G42))</f>
        <v>#DIV/0!</v>
      </c>
      <c r="N42" s="260"/>
    </row>
    <row r="43" spans="1:14" s="73" customFormat="1" ht="18" customHeight="1" thickBot="1" x14ac:dyDescent="0.25">
      <c r="A43" s="397"/>
      <c r="B43" s="405"/>
      <c r="C43" s="406" t="s">
        <v>1691</v>
      </c>
      <c r="D43" s="407"/>
      <c r="E43" s="408">
        <f>E42*12</f>
        <v>5160</v>
      </c>
      <c r="F43" s="407"/>
      <c r="G43" s="408">
        <f>G42*12</f>
        <v>0</v>
      </c>
      <c r="H43" s="409"/>
      <c r="I43" s="410">
        <f>I42*12</f>
        <v>0</v>
      </c>
      <c r="J43" s="697">
        <f t="shared" si="12"/>
        <v>-5160</v>
      </c>
      <c r="K43" s="1554"/>
      <c r="L43" s="697">
        <f>I43-G43</f>
        <v>0</v>
      </c>
      <c r="M43" s="1554"/>
      <c r="N43" s="260"/>
    </row>
    <row r="44" spans="1:14" s="73" customFormat="1" ht="14.25" customHeight="1" thickTop="1" x14ac:dyDescent="0.2">
      <c r="A44" s="397"/>
      <c r="B44" s="400"/>
      <c r="C44" s="400"/>
      <c r="D44" s="400"/>
      <c r="E44" s="400"/>
      <c r="F44" s="400"/>
      <c r="G44" s="400"/>
      <c r="H44" s="400"/>
      <c r="I44" s="400"/>
      <c r="J44" s="400"/>
      <c r="K44" s="400"/>
      <c r="L44" s="400"/>
      <c r="M44" s="400"/>
      <c r="N44" s="400"/>
    </row>
    <row r="45" spans="1:14" s="73" customFormat="1" ht="14.25" customHeight="1" x14ac:dyDescent="0.2"/>
    <row r="46" spans="1:14" s="73" customFormat="1" ht="14.25" customHeight="1" x14ac:dyDescent="0.2"/>
    <row r="47" spans="1:14" s="73" customFormat="1" ht="17.25" customHeight="1" x14ac:dyDescent="0.2"/>
    <row r="48" spans="1:14" s="73" customFormat="1" ht="14.25" customHeight="1" x14ac:dyDescent="0.2"/>
    <row r="49" spans="1:24" s="73" customFormat="1" ht="14.25" customHeight="1" x14ac:dyDescent="0.2"/>
    <row r="50" spans="1:24" s="73" customFormat="1" ht="14.25" customHeight="1" x14ac:dyDescent="0.2"/>
    <row r="51" spans="1:24" ht="14.25" customHeight="1" x14ac:dyDescent="0.2">
      <c r="A51" s="73"/>
      <c r="B51" s="73"/>
      <c r="C51" s="73"/>
      <c r="D51" s="73"/>
      <c r="E51" s="73"/>
      <c r="F51" s="73"/>
      <c r="G51" s="73"/>
      <c r="H51" s="73"/>
      <c r="I51" s="73"/>
      <c r="J51" s="73"/>
      <c r="K51" s="73"/>
      <c r="L51" s="73"/>
      <c r="M51" s="73"/>
      <c r="N51" s="73"/>
      <c r="O51" s="73"/>
      <c r="P51" s="73"/>
      <c r="Q51" s="73"/>
      <c r="R51" s="73"/>
      <c r="S51" s="73"/>
      <c r="T51" s="73"/>
      <c r="U51" s="73"/>
      <c r="V51" s="73"/>
      <c r="W51" s="73"/>
      <c r="X51" s="73"/>
    </row>
    <row r="52" spans="1:24" ht="14.25" customHeight="1" x14ac:dyDescent="0.2">
      <c r="A52" s="73"/>
      <c r="B52" s="73"/>
      <c r="C52" s="73"/>
      <c r="D52" s="73"/>
      <c r="E52" s="73"/>
      <c r="F52" s="73"/>
      <c r="G52" s="73"/>
      <c r="H52" s="73"/>
      <c r="I52" s="73"/>
      <c r="J52" s="73"/>
      <c r="K52" s="73"/>
      <c r="L52" s="73"/>
      <c r="M52" s="73"/>
      <c r="N52" s="73"/>
      <c r="O52" s="73"/>
      <c r="P52" s="73"/>
      <c r="Q52" s="73"/>
      <c r="R52" s="73"/>
      <c r="S52" s="73"/>
      <c r="T52" s="73"/>
      <c r="U52" s="73"/>
      <c r="V52" s="73"/>
      <c r="W52" s="73"/>
      <c r="X52" s="73"/>
    </row>
    <row r="53" spans="1:24" ht="14.25" customHeight="1" x14ac:dyDescent="0.2">
      <c r="A53" s="73"/>
      <c r="B53" s="73"/>
      <c r="C53" s="73"/>
      <c r="D53" s="73"/>
      <c r="E53" s="73"/>
      <c r="F53" s="73"/>
      <c r="G53" s="73"/>
      <c r="H53" s="73"/>
      <c r="I53" s="73"/>
      <c r="J53" s="73"/>
      <c r="K53" s="73"/>
      <c r="L53" s="73"/>
      <c r="M53" s="73"/>
      <c r="N53" s="73"/>
      <c r="O53" s="73"/>
      <c r="P53" s="73"/>
      <c r="Q53" s="73"/>
      <c r="R53" s="73"/>
      <c r="S53" s="73"/>
      <c r="T53" s="73"/>
      <c r="U53" s="73"/>
      <c r="V53" s="73"/>
      <c r="W53" s="73"/>
      <c r="X53" s="73"/>
    </row>
    <row r="54" spans="1:24" ht="14.25" customHeight="1" x14ac:dyDescent="0.2">
      <c r="A54" s="73"/>
      <c r="B54" s="73"/>
      <c r="C54" s="73"/>
      <c r="D54" s="73"/>
      <c r="E54" s="73"/>
      <c r="F54" s="73"/>
      <c r="G54" s="73"/>
      <c r="H54" s="73"/>
      <c r="I54" s="73"/>
      <c r="J54" s="73"/>
      <c r="K54" s="73"/>
      <c r="L54" s="73"/>
      <c r="M54" s="73"/>
      <c r="N54" s="73"/>
      <c r="O54" s="73"/>
      <c r="P54" s="73"/>
      <c r="Q54" s="73"/>
      <c r="R54" s="73"/>
      <c r="S54" s="73"/>
      <c r="T54" s="73"/>
      <c r="U54" s="73"/>
      <c r="V54" s="73"/>
      <c r="W54" s="73"/>
      <c r="X54" s="73"/>
    </row>
    <row r="55" spans="1:24" ht="14.25" customHeight="1" x14ac:dyDescent="0.2">
      <c r="A55" s="73"/>
      <c r="B55" s="73"/>
      <c r="C55" s="73"/>
      <c r="D55" s="73"/>
      <c r="E55" s="73"/>
      <c r="F55" s="73"/>
      <c r="G55" s="73"/>
      <c r="H55" s="73"/>
      <c r="I55" s="73"/>
      <c r="J55" s="73"/>
      <c r="K55" s="73"/>
      <c r="L55" s="73"/>
      <c r="M55" s="73"/>
      <c r="N55" s="73"/>
      <c r="O55" s="73"/>
      <c r="P55" s="73"/>
      <c r="Q55" s="73"/>
      <c r="R55" s="73"/>
      <c r="S55" s="73"/>
      <c r="T55" s="73"/>
      <c r="U55" s="73"/>
      <c r="V55" s="73"/>
      <c r="W55" s="73"/>
      <c r="X55" s="73"/>
    </row>
    <row r="56" spans="1:24" ht="14.25" customHeight="1" x14ac:dyDescent="0.2">
      <c r="A56" s="73"/>
      <c r="B56" s="73"/>
      <c r="C56" s="73"/>
      <c r="D56" s="73"/>
      <c r="E56" s="73"/>
      <c r="F56" s="73"/>
      <c r="G56" s="73"/>
      <c r="H56" s="73"/>
      <c r="I56" s="73"/>
      <c r="J56" s="73"/>
      <c r="K56" s="73"/>
      <c r="L56" s="73"/>
      <c r="M56" s="73"/>
      <c r="N56" s="73"/>
      <c r="O56" s="73"/>
      <c r="P56" s="73"/>
      <c r="Q56" s="73"/>
      <c r="R56" s="73"/>
      <c r="S56" s="73"/>
      <c r="T56" s="73"/>
      <c r="U56" s="73"/>
      <c r="V56" s="73"/>
      <c r="W56" s="73"/>
      <c r="X56" s="73"/>
    </row>
    <row r="57" spans="1:24" ht="14.25" customHeight="1" x14ac:dyDescent="0.2">
      <c r="A57" s="73"/>
      <c r="B57" s="73"/>
      <c r="C57" s="73"/>
      <c r="D57" s="73"/>
      <c r="E57" s="73"/>
      <c r="F57" s="73"/>
      <c r="G57" s="73"/>
      <c r="H57" s="73"/>
      <c r="I57" s="73"/>
      <c r="J57" s="73"/>
      <c r="K57" s="73"/>
      <c r="L57" s="73"/>
      <c r="M57" s="73"/>
      <c r="N57" s="73"/>
      <c r="O57" s="73"/>
      <c r="P57" s="73"/>
      <c r="Q57" s="73"/>
      <c r="R57" s="73"/>
      <c r="S57" s="73"/>
      <c r="T57" s="73"/>
      <c r="U57" s="73"/>
      <c r="V57" s="73"/>
      <c r="W57" s="73"/>
      <c r="X57" s="73"/>
    </row>
    <row r="58" spans="1:24" ht="14.25" customHeight="1" x14ac:dyDescent="0.2">
      <c r="A58" s="73"/>
      <c r="B58" s="73"/>
      <c r="C58" s="73"/>
      <c r="D58" s="73"/>
      <c r="E58" s="73"/>
      <c r="F58" s="73"/>
      <c r="G58" s="73"/>
      <c r="H58" s="73"/>
      <c r="I58" s="73"/>
      <c r="J58" s="73"/>
      <c r="K58" s="73"/>
      <c r="L58" s="73"/>
      <c r="M58" s="73"/>
      <c r="N58" s="73"/>
      <c r="O58" s="73"/>
      <c r="P58" s="73"/>
      <c r="Q58" s="73"/>
      <c r="R58" s="73"/>
      <c r="S58" s="73"/>
      <c r="T58" s="73"/>
      <c r="U58" s="73"/>
      <c r="V58" s="73"/>
      <c r="W58" s="73"/>
      <c r="X58" s="73"/>
    </row>
    <row r="59" spans="1:24" ht="13.25" customHeight="1" x14ac:dyDescent="0.2">
      <c r="A59" s="73"/>
      <c r="B59" s="73"/>
      <c r="C59" s="73"/>
      <c r="D59" s="73"/>
      <c r="E59" s="73"/>
      <c r="F59" s="73"/>
      <c r="G59" s="73"/>
      <c r="H59" s="73"/>
      <c r="I59" s="73"/>
      <c r="J59" s="73"/>
      <c r="K59" s="73"/>
      <c r="L59" s="73"/>
      <c r="M59" s="73"/>
      <c r="N59" s="73"/>
      <c r="O59" s="73"/>
      <c r="P59" s="73"/>
      <c r="Q59" s="73"/>
      <c r="R59" s="73"/>
      <c r="S59" s="73"/>
      <c r="T59" s="73"/>
      <c r="U59" s="73"/>
      <c r="V59" s="73"/>
      <c r="W59" s="73"/>
      <c r="X59" s="73"/>
    </row>
    <row r="60" spans="1:24" ht="14.25" customHeight="1" x14ac:dyDescent="0.2">
      <c r="A60" s="73"/>
      <c r="B60" s="73"/>
      <c r="C60" s="73"/>
      <c r="D60" s="73"/>
      <c r="E60" s="73"/>
      <c r="F60" s="73"/>
      <c r="G60" s="73"/>
      <c r="H60" s="73"/>
      <c r="I60" s="73"/>
      <c r="J60" s="73"/>
      <c r="K60" s="73"/>
      <c r="L60" s="73"/>
      <c r="M60" s="73"/>
      <c r="N60" s="73"/>
      <c r="O60" s="73"/>
      <c r="P60" s="73"/>
      <c r="Q60" s="73"/>
      <c r="R60" s="73"/>
      <c r="S60" s="73"/>
      <c r="T60" s="73"/>
      <c r="U60" s="73"/>
      <c r="V60" s="73"/>
      <c r="W60" s="73"/>
      <c r="X60" s="73"/>
    </row>
    <row r="61" spans="1:24" ht="14.25" customHeight="1" x14ac:dyDescent="0.2">
      <c r="A61" s="73"/>
      <c r="B61" s="73"/>
      <c r="C61" s="73"/>
      <c r="D61" s="73"/>
      <c r="E61" s="73"/>
      <c r="F61" s="73"/>
      <c r="G61" s="73"/>
      <c r="H61" s="73"/>
      <c r="I61" s="73"/>
      <c r="J61" s="73"/>
      <c r="K61" s="73"/>
      <c r="L61" s="73"/>
      <c r="M61" s="73"/>
      <c r="N61" s="73"/>
      <c r="O61" s="73"/>
      <c r="P61" s="73"/>
      <c r="Q61" s="73"/>
      <c r="R61" s="73"/>
      <c r="S61" s="73"/>
      <c r="T61" s="73"/>
      <c r="U61" s="73"/>
      <c r="V61" s="73"/>
      <c r="W61" s="73"/>
      <c r="X61" s="73"/>
    </row>
    <row r="62" spans="1:24" ht="14.25" customHeight="1" x14ac:dyDescent="0.2">
      <c r="A62" s="73"/>
      <c r="B62" s="73"/>
      <c r="C62" s="73"/>
      <c r="D62" s="73"/>
      <c r="E62" s="73"/>
      <c r="F62" s="73"/>
      <c r="G62" s="73"/>
      <c r="H62" s="73"/>
      <c r="I62" s="73"/>
      <c r="J62" s="73"/>
      <c r="K62" s="73"/>
      <c r="L62" s="73"/>
      <c r="M62" s="73"/>
      <c r="N62" s="73"/>
      <c r="O62" s="73"/>
      <c r="P62" s="73"/>
      <c r="Q62" s="73"/>
      <c r="R62" s="73"/>
      <c r="S62" s="73"/>
      <c r="T62" s="73"/>
      <c r="U62" s="73"/>
      <c r="V62" s="73"/>
      <c r="W62" s="73"/>
      <c r="X62" s="73"/>
    </row>
    <row r="63" spans="1:24" ht="14.25" customHeight="1" x14ac:dyDescent="0.2">
      <c r="A63" s="73"/>
      <c r="B63" s="73"/>
      <c r="C63" s="73"/>
      <c r="D63" s="73"/>
      <c r="E63" s="73"/>
      <c r="F63" s="73"/>
      <c r="G63" s="73"/>
      <c r="H63" s="73"/>
      <c r="I63" s="73"/>
      <c r="J63" s="73"/>
      <c r="K63" s="73"/>
      <c r="L63" s="73"/>
      <c r="M63" s="73"/>
      <c r="N63" s="73"/>
      <c r="O63" s="73"/>
      <c r="P63" s="73"/>
      <c r="Q63" s="73"/>
      <c r="R63" s="73"/>
      <c r="S63" s="73"/>
      <c r="T63" s="73"/>
      <c r="U63" s="73"/>
      <c r="V63" s="73"/>
      <c r="W63" s="73"/>
      <c r="X63" s="73"/>
    </row>
    <row r="64" spans="1:24" ht="14.25" customHeight="1" x14ac:dyDescent="0.2">
      <c r="A64" s="73"/>
      <c r="B64" s="73"/>
      <c r="C64" s="73"/>
      <c r="D64" s="73"/>
      <c r="E64" s="73"/>
      <c r="F64" s="73"/>
      <c r="G64" s="73"/>
      <c r="H64" s="73"/>
      <c r="I64" s="73"/>
      <c r="J64" s="73"/>
      <c r="K64" s="73"/>
      <c r="L64" s="73"/>
      <c r="M64" s="73"/>
      <c r="N64" s="73"/>
      <c r="O64" s="73"/>
      <c r="P64" s="73"/>
      <c r="Q64" s="73"/>
      <c r="R64" s="73"/>
      <c r="S64" s="73"/>
      <c r="T64" s="73"/>
      <c r="U64" s="73"/>
      <c r="V64" s="73"/>
      <c r="W64" s="73"/>
      <c r="X64" s="73"/>
    </row>
    <row r="65" spans="1:24" ht="14.25" customHeight="1" x14ac:dyDescent="0.2">
      <c r="A65" s="73"/>
      <c r="B65" s="73"/>
      <c r="C65" s="73"/>
      <c r="D65" s="73"/>
      <c r="E65" s="73"/>
      <c r="F65" s="73"/>
      <c r="G65" s="73"/>
      <c r="H65" s="73"/>
      <c r="I65" s="73"/>
      <c r="J65" s="73"/>
      <c r="K65" s="73"/>
      <c r="L65" s="73"/>
      <c r="M65" s="73"/>
      <c r="N65" s="73"/>
      <c r="O65" s="73"/>
      <c r="P65" s="73"/>
      <c r="Q65" s="73"/>
      <c r="R65" s="73"/>
      <c r="S65" s="73"/>
      <c r="T65" s="73"/>
      <c r="U65" s="73"/>
      <c r="V65" s="73"/>
      <c r="W65" s="73"/>
      <c r="X65" s="73"/>
    </row>
    <row r="66" spans="1:24" ht="14.25" customHeight="1" x14ac:dyDescent="0.2">
      <c r="A66" s="73"/>
      <c r="B66" s="73"/>
      <c r="C66" s="73"/>
      <c r="D66" s="73"/>
      <c r="E66" s="73"/>
      <c r="F66" s="73"/>
      <c r="G66" s="73"/>
      <c r="H66" s="73"/>
      <c r="I66" s="73"/>
      <c r="J66" s="73"/>
      <c r="K66" s="73"/>
      <c r="L66" s="73"/>
      <c r="M66" s="73"/>
      <c r="N66" s="73"/>
      <c r="O66" s="73"/>
      <c r="P66" s="73"/>
      <c r="Q66" s="73"/>
      <c r="R66" s="73"/>
      <c r="S66" s="73"/>
      <c r="T66" s="73"/>
      <c r="U66" s="73"/>
      <c r="V66" s="73"/>
      <c r="W66" s="73"/>
      <c r="X66" s="73"/>
    </row>
    <row r="67" spans="1:24" ht="14.25" customHeight="1" x14ac:dyDescent="0.2">
      <c r="A67" s="73"/>
      <c r="B67" s="73"/>
      <c r="C67" s="73"/>
      <c r="D67" s="73"/>
      <c r="E67" s="73"/>
      <c r="F67" s="73"/>
      <c r="G67" s="73"/>
      <c r="H67" s="73"/>
      <c r="I67" s="73"/>
      <c r="J67" s="73"/>
      <c r="K67" s="73"/>
      <c r="L67" s="73"/>
      <c r="M67" s="73"/>
      <c r="N67" s="73"/>
      <c r="O67" s="73"/>
      <c r="P67" s="73"/>
      <c r="Q67" s="73"/>
      <c r="R67" s="73"/>
      <c r="S67" s="73"/>
      <c r="T67" s="73"/>
      <c r="U67" s="73"/>
      <c r="V67" s="73"/>
      <c r="W67" s="73"/>
      <c r="X67" s="73"/>
    </row>
    <row r="68" spans="1:24" ht="14.25" customHeight="1" x14ac:dyDescent="0.2">
      <c r="A68" s="73"/>
      <c r="B68" s="73"/>
      <c r="C68" s="73"/>
      <c r="D68" s="73"/>
      <c r="E68" s="73"/>
      <c r="F68" s="73"/>
      <c r="G68" s="73"/>
      <c r="H68" s="73"/>
      <c r="I68" s="73"/>
      <c r="J68" s="73"/>
      <c r="K68" s="73"/>
      <c r="L68" s="73"/>
      <c r="M68" s="73"/>
      <c r="N68" s="73"/>
      <c r="O68" s="73"/>
      <c r="P68" s="73"/>
      <c r="Q68" s="73"/>
      <c r="R68" s="73"/>
      <c r="S68" s="73"/>
      <c r="T68" s="73"/>
      <c r="U68" s="73"/>
      <c r="V68" s="73"/>
      <c r="W68" s="73"/>
      <c r="X68" s="73"/>
    </row>
    <row r="69" spans="1:24" ht="14.25" customHeight="1" x14ac:dyDescent="0.2">
      <c r="A69" s="73"/>
      <c r="B69" s="73"/>
      <c r="C69" s="73"/>
      <c r="D69" s="73"/>
      <c r="E69" s="73"/>
      <c r="F69" s="73"/>
      <c r="G69" s="73"/>
      <c r="H69" s="73"/>
      <c r="I69" s="73"/>
      <c r="J69" s="73"/>
      <c r="K69" s="73"/>
      <c r="L69" s="73"/>
      <c r="M69" s="73"/>
      <c r="N69" s="73"/>
      <c r="O69" s="73"/>
      <c r="P69" s="73"/>
      <c r="Q69" s="73"/>
      <c r="R69" s="73"/>
      <c r="S69" s="73"/>
      <c r="T69" s="73"/>
      <c r="U69" s="73"/>
      <c r="V69" s="73"/>
      <c r="W69" s="73"/>
      <c r="X69" s="73"/>
    </row>
    <row r="70" spans="1:24" ht="14.25" customHeight="1" x14ac:dyDescent="0.2">
      <c r="A70" s="73"/>
      <c r="B70" s="73"/>
      <c r="C70" s="73"/>
      <c r="D70" s="73"/>
      <c r="E70" s="73"/>
      <c r="F70" s="73"/>
      <c r="G70" s="73"/>
      <c r="H70" s="73"/>
      <c r="I70" s="73"/>
      <c r="J70" s="73"/>
      <c r="K70" s="73"/>
      <c r="L70" s="73"/>
      <c r="M70" s="73"/>
      <c r="N70" s="73"/>
      <c r="O70" s="73"/>
      <c r="P70" s="73"/>
      <c r="Q70" s="73"/>
      <c r="R70" s="73"/>
      <c r="S70" s="73"/>
      <c r="T70" s="73"/>
      <c r="U70" s="73"/>
      <c r="V70" s="73"/>
      <c r="W70" s="73"/>
      <c r="X70" s="73"/>
    </row>
    <row r="71" spans="1:24" ht="14.25" customHeight="1" x14ac:dyDescent="0.2">
      <c r="A71" s="73"/>
      <c r="B71" s="73"/>
      <c r="C71" s="73"/>
      <c r="D71" s="73"/>
      <c r="E71" s="73"/>
      <c r="F71" s="73"/>
      <c r="G71" s="73"/>
      <c r="H71" s="73"/>
      <c r="I71" s="73"/>
      <c r="J71" s="73"/>
      <c r="K71" s="73"/>
      <c r="L71" s="73"/>
      <c r="M71" s="73"/>
      <c r="N71" s="73"/>
      <c r="O71" s="73"/>
      <c r="P71" s="73"/>
      <c r="Q71" s="73"/>
      <c r="R71" s="73"/>
      <c r="S71" s="73"/>
      <c r="T71" s="73"/>
      <c r="U71" s="73"/>
      <c r="V71" s="73"/>
      <c r="W71" s="73"/>
      <c r="X71" s="73"/>
    </row>
    <row r="72" spans="1:24" ht="14.25" customHeight="1" x14ac:dyDescent="0.2">
      <c r="A72" s="73"/>
      <c r="B72" s="73"/>
      <c r="C72" s="73"/>
      <c r="D72" s="73"/>
      <c r="E72" s="73"/>
      <c r="F72" s="73"/>
      <c r="G72" s="73"/>
      <c r="H72" s="73"/>
      <c r="I72" s="73"/>
      <c r="J72" s="73"/>
      <c r="K72" s="73"/>
      <c r="L72" s="73"/>
      <c r="M72" s="73"/>
      <c r="N72" s="73"/>
      <c r="O72" s="73"/>
      <c r="P72" s="73"/>
      <c r="Q72" s="73"/>
      <c r="R72" s="73"/>
      <c r="S72" s="73"/>
      <c r="T72" s="73"/>
      <c r="U72" s="73"/>
      <c r="V72" s="73"/>
      <c r="W72" s="73"/>
      <c r="X72" s="73"/>
    </row>
    <row r="73" spans="1:24" ht="14.25" customHeight="1" x14ac:dyDescent="0.2">
      <c r="A73" s="73"/>
      <c r="B73" s="73"/>
      <c r="C73" s="73"/>
      <c r="D73" s="73"/>
      <c r="E73" s="73"/>
      <c r="F73" s="73"/>
      <c r="G73" s="73"/>
      <c r="H73" s="73"/>
      <c r="I73" s="73"/>
      <c r="J73" s="73"/>
      <c r="K73" s="73"/>
      <c r="L73" s="73"/>
      <c r="M73" s="73"/>
      <c r="N73" s="73"/>
      <c r="O73" s="73"/>
      <c r="P73" s="73"/>
      <c r="Q73" s="73"/>
      <c r="R73" s="73"/>
      <c r="S73" s="73"/>
      <c r="T73" s="73"/>
      <c r="U73" s="73"/>
      <c r="V73" s="73"/>
      <c r="W73" s="73"/>
      <c r="X73" s="73"/>
    </row>
    <row r="74" spans="1:24" ht="14.25" customHeight="1" x14ac:dyDescent="0.2">
      <c r="A74" s="73"/>
      <c r="B74" s="73"/>
      <c r="C74" s="73"/>
      <c r="D74" s="73"/>
      <c r="E74" s="73"/>
      <c r="F74" s="73"/>
      <c r="G74" s="73"/>
      <c r="H74" s="73"/>
      <c r="I74" s="73"/>
      <c r="J74" s="73"/>
      <c r="K74" s="73"/>
      <c r="L74" s="73"/>
      <c r="M74" s="73"/>
      <c r="N74" s="73"/>
      <c r="O74" s="73"/>
      <c r="P74" s="73"/>
      <c r="Q74" s="73"/>
      <c r="R74" s="73"/>
      <c r="S74" s="73"/>
      <c r="T74" s="73"/>
      <c r="U74" s="73"/>
      <c r="V74" s="73"/>
      <c r="W74" s="73"/>
      <c r="X74" s="73"/>
    </row>
    <row r="75" spans="1:24" ht="14.25" customHeight="1" x14ac:dyDescent="0.2">
      <c r="A75" s="73"/>
      <c r="B75" s="73"/>
      <c r="C75" s="73"/>
      <c r="D75" s="73"/>
      <c r="E75" s="73"/>
      <c r="F75" s="73"/>
      <c r="G75" s="73"/>
      <c r="H75" s="73"/>
      <c r="I75" s="73"/>
      <c r="J75" s="73"/>
      <c r="K75" s="73"/>
      <c r="L75" s="73"/>
      <c r="M75" s="73"/>
      <c r="N75" s="73"/>
      <c r="O75" s="73"/>
      <c r="P75" s="73"/>
      <c r="Q75" s="73"/>
      <c r="R75" s="73"/>
      <c r="S75" s="73"/>
      <c r="T75" s="73"/>
      <c r="U75" s="73"/>
      <c r="V75" s="73"/>
      <c r="W75" s="73"/>
      <c r="X75" s="73"/>
    </row>
    <row r="76" spans="1:24" ht="14.25" customHeight="1" x14ac:dyDescent="0.2">
      <c r="A76" s="73"/>
      <c r="B76" s="73"/>
      <c r="C76" s="73"/>
      <c r="D76" s="73"/>
      <c r="E76" s="73"/>
      <c r="F76" s="73"/>
      <c r="G76" s="73"/>
      <c r="H76" s="73"/>
      <c r="I76" s="73"/>
      <c r="J76" s="73"/>
      <c r="K76" s="73"/>
      <c r="L76" s="73"/>
      <c r="M76" s="73"/>
      <c r="N76" s="73"/>
      <c r="O76" s="73"/>
      <c r="P76" s="73"/>
      <c r="Q76" s="73"/>
      <c r="R76" s="73"/>
      <c r="S76" s="73"/>
      <c r="T76" s="73"/>
      <c r="U76" s="73"/>
      <c r="V76" s="73"/>
      <c r="W76" s="73"/>
      <c r="X76" s="73"/>
    </row>
    <row r="77" spans="1:24" ht="14.25" customHeight="1" x14ac:dyDescent="0.2">
      <c r="A77" s="73"/>
      <c r="B77" s="73"/>
      <c r="C77" s="73"/>
      <c r="D77" s="73"/>
      <c r="E77" s="73"/>
      <c r="F77" s="73"/>
      <c r="G77" s="73"/>
      <c r="H77" s="73"/>
      <c r="I77" s="73"/>
      <c r="J77" s="73"/>
      <c r="K77" s="73"/>
      <c r="L77" s="73"/>
      <c r="M77" s="73"/>
      <c r="N77" s="73"/>
      <c r="O77" s="73"/>
      <c r="P77" s="73"/>
      <c r="Q77" s="73"/>
      <c r="R77" s="73"/>
      <c r="S77" s="73"/>
      <c r="T77" s="73"/>
      <c r="U77" s="73"/>
      <c r="V77" s="73"/>
      <c r="W77" s="73"/>
      <c r="X77" s="73"/>
    </row>
    <row r="78" spans="1:24" ht="14.25" customHeight="1" x14ac:dyDescent="0.2">
      <c r="A78" s="73"/>
      <c r="B78" s="73"/>
      <c r="C78" s="73"/>
      <c r="D78" s="73"/>
      <c r="E78" s="73"/>
      <c r="F78" s="73"/>
      <c r="G78" s="73"/>
      <c r="H78" s="73"/>
      <c r="I78" s="73"/>
      <c r="J78" s="73"/>
      <c r="K78" s="73"/>
      <c r="L78" s="73"/>
      <c r="M78" s="73"/>
      <c r="N78" s="73"/>
      <c r="O78" s="73"/>
      <c r="P78" s="73"/>
      <c r="Q78" s="73"/>
      <c r="R78" s="73"/>
      <c r="S78" s="73"/>
      <c r="T78" s="73"/>
      <c r="U78" s="73"/>
      <c r="V78" s="73"/>
      <c r="W78" s="73"/>
      <c r="X78" s="73"/>
    </row>
    <row r="79" spans="1:24" ht="14.25" customHeight="1" x14ac:dyDescent="0.2">
      <c r="A79" s="73"/>
      <c r="B79" s="73"/>
      <c r="C79" s="73"/>
      <c r="D79" s="73"/>
      <c r="E79" s="73"/>
      <c r="F79" s="73"/>
      <c r="G79" s="73"/>
      <c r="H79" s="73"/>
      <c r="I79" s="73"/>
      <c r="J79" s="73"/>
      <c r="K79" s="73"/>
      <c r="L79" s="73"/>
      <c r="M79" s="73"/>
      <c r="N79" s="73"/>
      <c r="O79" s="73"/>
      <c r="P79" s="73"/>
      <c r="Q79" s="73"/>
      <c r="R79" s="73"/>
      <c r="S79" s="73"/>
      <c r="T79" s="73"/>
      <c r="U79" s="73"/>
      <c r="V79" s="73"/>
      <c r="W79" s="73"/>
      <c r="X79" s="73"/>
    </row>
    <row r="80" spans="1:24" ht="14.25" customHeight="1" x14ac:dyDescent="0.2">
      <c r="A80" s="73"/>
      <c r="B80" s="73"/>
      <c r="C80" s="73"/>
      <c r="D80" s="73"/>
      <c r="E80" s="73"/>
      <c r="F80" s="73"/>
      <c r="G80" s="73"/>
      <c r="H80" s="73"/>
      <c r="I80" s="73"/>
      <c r="J80" s="73"/>
      <c r="K80" s="73"/>
      <c r="L80" s="73"/>
      <c r="M80" s="73"/>
      <c r="N80" s="73"/>
      <c r="O80" s="73"/>
      <c r="P80" s="73"/>
      <c r="Q80" s="73"/>
      <c r="R80" s="73"/>
      <c r="S80" s="73"/>
      <c r="T80" s="73"/>
      <c r="U80" s="73"/>
      <c r="V80" s="73"/>
      <c r="W80" s="73"/>
      <c r="X80" s="73"/>
    </row>
    <row r="81" spans="1:24" ht="14.25" customHeight="1" x14ac:dyDescent="0.2">
      <c r="A81" s="73"/>
      <c r="B81" s="73"/>
      <c r="C81" s="73"/>
      <c r="D81" s="73"/>
      <c r="E81" s="73"/>
      <c r="F81" s="73"/>
      <c r="G81" s="73"/>
      <c r="H81" s="73"/>
      <c r="I81" s="73"/>
      <c r="J81" s="73"/>
      <c r="K81" s="73"/>
      <c r="L81" s="73"/>
      <c r="M81" s="73"/>
      <c r="N81" s="73"/>
      <c r="O81" s="73"/>
      <c r="P81" s="73"/>
      <c r="Q81" s="73"/>
      <c r="R81" s="73"/>
      <c r="S81" s="73"/>
      <c r="T81" s="73"/>
      <c r="U81" s="73"/>
      <c r="V81" s="73"/>
      <c r="W81" s="73"/>
      <c r="X81" s="73"/>
    </row>
    <row r="82" spans="1:24" ht="14.25" customHeight="1" x14ac:dyDescent="0.2">
      <c r="A82" s="73"/>
      <c r="B82" s="73"/>
      <c r="C82" s="73"/>
      <c r="D82" s="73"/>
      <c r="E82" s="73"/>
      <c r="F82" s="73"/>
      <c r="G82" s="73"/>
      <c r="H82" s="73"/>
      <c r="I82" s="73"/>
      <c r="J82" s="73"/>
      <c r="K82" s="73"/>
      <c r="L82" s="73"/>
      <c r="M82" s="73"/>
      <c r="N82" s="73"/>
      <c r="O82" s="73"/>
      <c r="P82" s="73"/>
      <c r="Q82" s="73"/>
      <c r="R82" s="73"/>
      <c r="S82" s="73"/>
      <c r="T82" s="73"/>
      <c r="U82" s="73"/>
      <c r="V82" s="73"/>
      <c r="W82" s="73"/>
      <c r="X82" s="73"/>
    </row>
    <row r="83" spans="1:24" ht="14.25" customHeight="1" x14ac:dyDescent="0.2">
      <c r="A83" s="73"/>
      <c r="B83" s="73"/>
      <c r="C83" s="73"/>
      <c r="D83" s="73"/>
      <c r="E83" s="73"/>
      <c r="F83" s="73"/>
      <c r="G83" s="73"/>
      <c r="H83" s="73"/>
      <c r="I83" s="73"/>
      <c r="J83" s="73"/>
      <c r="K83" s="73"/>
      <c r="L83" s="73"/>
      <c r="M83" s="73"/>
      <c r="N83" s="73"/>
      <c r="O83" s="73"/>
      <c r="P83" s="73"/>
      <c r="Q83" s="73"/>
      <c r="R83" s="73"/>
      <c r="S83" s="73"/>
      <c r="T83" s="73"/>
      <c r="U83" s="73"/>
      <c r="V83" s="73"/>
      <c r="W83" s="73"/>
      <c r="X83" s="73"/>
    </row>
    <row r="84" spans="1:24" ht="14.25" customHeight="1" x14ac:dyDescent="0.2">
      <c r="A84" s="73"/>
      <c r="B84" s="73"/>
      <c r="C84" s="73"/>
      <c r="D84" s="73"/>
      <c r="E84" s="73"/>
      <c r="F84" s="73"/>
      <c r="G84" s="73"/>
      <c r="H84" s="73"/>
      <c r="I84" s="73"/>
      <c r="J84" s="73"/>
      <c r="K84" s="73"/>
      <c r="L84" s="73"/>
      <c r="M84" s="73"/>
      <c r="N84" s="73"/>
      <c r="O84" s="73"/>
      <c r="P84" s="73"/>
      <c r="Q84" s="73"/>
      <c r="R84" s="73"/>
      <c r="S84" s="73"/>
      <c r="T84" s="73"/>
      <c r="U84" s="73"/>
      <c r="V84" s="73"/>
      <c r="W84" s="73"/>
      <c r="X84" s="73"/>
    </row>
    <row r="85" spans="1:24" ht="14.25" customHeight="1" x14ac:dyDescent="0.2">
      <c r="O85" s="73"/>
      <c r="P85" s="73"/>
      <c r="Q85" s="73"/>
      <c r="R85" s="73"/>
      <c r="S85" s="73"/>
      <c r="T85" s="73"/>
      <c r="U85" s="73"/>
      <c r="V85" s="73"/>
      <c r="W85" s="73"/>
      <c r="X85" s="73"/>
    </row>
    <row r="86" spans="1:24" ht="14.25" customHeight="1" x14ac:dyDescent="0.2">
      <c r="O86" s="73"/>
      <c r="P86" s="73"/>
      <c r="Q86" s="73"/>
      <c r="R86" s="73"/>
      <c r="S86" s="73"/>
      <c r="T86" s="73"/>
      <c r="U86" s="73"/>
      <c r="V86" s="73"/>
      <c r="W86" s="73"/>
      <c r="X86" s="73"/>
    </row>
    <row r="87" spans="1:24" ht="14.25" customHeight="1" x14ac:dyDescent="0.2">
      <c r="O87" s="73"/>
      <c r="P87" s="73"/>
      <c r="Q87" s="73"/>
      <c r="R87" s="73"/>
      <c r="S87" s="73"/>
      <c r="T87" s="73"/>
      <c r="U87" s="73"/>
      <c r="V87" s="73"/>
      <c r="W87" s="73"/>
      <c r="X87" s="73"/>
    </row>
  </sheetData>
  <mergeCells count="39">
    <mergeCell ref="M32:M33"/>
    <mergeCell ref="M42:M43"/>
    <mergeCell ref="K42:K43"/>
    <mergeCell ref="L6:M6"/>
    <mergeCell ref="L16:M16"/>
    <mergeCell ref="L26:M26"/>
    <mergeCell ref="L36:M36"/>
    <mergeCell ref="K32:K33"/>
    <mergeCell ref="B4:M4"/>
    <mergeCell ref="B5:M5"/>
    <mergeCell ref="B15:M15"/>
    <mergeCell ref="B25:M25"/>
    <mergeCell ref="K22:K23"/>
    <mergeCell ref="K12:K13"/>
    <mergeCell ref="M12:M13"/>
    <mergeCell ref="M22:M23"/>
    <mergeCell ref="H22:H23"/>
    <mergeCell ref="F22:F23"/>
    <mergeCell ref="D22:D23"/>
    <mergeCell ref="B6:C6"/>
    <mergeCell ref="D6:E6"/>
    <mergeCell ref="F6:G6"/>
    <mergeCell ref="H6:I6"/>
    <mergeCell ref="J6:K6"/>
    <mergeCell ref="D26:E26"/>
    <mergeCell ref="F26:G26"/>
    <mergeCell ref="H26:I26"/>
    <mergeCell ref="J26:K26"/>
    <mergeCell ref="B36:C36"/>
    <mergeCell ref="D36:E36"/>
    <mergeCell ref="F36:G36"/>
    <mergeCell ref="H36:I36"/>
    <mergeCell ref="J36:K36"/>
    <mergeCell ref="B26:C26"/>
    <mergeCell ref="B16:C16"/>
    <mergeCell ref="D16:E16"/>
    <mergeCell ref="F16:G16"/>
    <mergeCell ref="H16:I16"/>
    <mergeCell ref="J16:K16"/>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5:M24"/>
  <sheetViews>
    <sheetView zoomScale="85" zoomScaleNormal="85" workbookViewId="0">
      <selection activeCell="E1" sqref="E1"/>
    </sheetView>
  </sheetViews>
  <sheetFormatPr baseColWidth="10" defaultColWidth="8.83203125" defaultRowHeight="14" x14ac:dyDescent="0.2"/>
  <cols>
    <col min="1" max="1" width="27.1640625" style="75" customWidth="1"/>
    <col min="2" max="2" width="1.6640625" style="76" customWidth="1"/>
    <col min="3" max="3" width="9.6640625" style="75" customWidth="1"/>
    <col min="4" max="4" width="1.6640625" style="75" customWidth="1"/>
    <col min="5" max="5" width="22.6640625" style="75" customWidth="1"/>
    <col min="6" max="6" width="1.6640625" style="75" customWidth="1"/>
    <col min="7" max="7" width="22.6640625" style="75" hidden="1" customWidth="1"/>
    <col min="8" max="8" width="1.6640625" style="75" hidden="1" customWidth="1"/>
    <col min="9" max="9" width="22.6640625" style="75" hidden="1" customWidth="1"/>
    <col min="10" max="10" width="1.6640625" style="75" hidden="1" customWidth="1"/>
    <col min="11" max="11" width="22.6640625" style="75" customWidth="1"/>
    <col min="12" max="12" width="1.6640625" style="75" customWidth="1"/>
    <col min="13" max="13" width="22.6640625" style="75" customWidth="1"/>
    <col min="14" max="16384" width="8.83203125" style="75"/>
  </cols>
  <sheetData>
    <row r="5" spans="1:13" x14ac:dyDescent="0.2">
      <c r="E5" s="77"/>
      <c r="F5" s="77"/>
      <c r="G5" s="77" t="s">
        <v>375</v>
      </c>
      <c r="H5" s="77"/>
      <c r="I5" s="77" t="s">
        <v>376</v>
      </c>
      <c r="J5" s="77"/>
      <c r="K5" s="77"/>
      <c r="L5" s="77"/>
      <c r="M5" s="77"/>
    </row>
    <row r="6" spans="1:13" x14ac:dyDescent="0.2">
      <c r="E6" s="77" t="s">
        <v>63</v>
      </c>
      <c r="F6" s="77"/>
      <c r="G6" s="77" t="s">
        <v>377</v>
      </c>
      <c r="H6" s="77"/>
      <c r="I6" s="77" t="s">
        <v>377</v>
      </c>
      <c r="J6" s="77"/>
      <c r="K6" s="77" t="s">
        <v>378</v>
      </c>
      <c r="L6" s="77"/>
      <c r="M6" s="77" t="s">
        <v>379</v>
      </c>
    </row>
    <row r="7" spans="1:13" x14ac:dyDescent="0.2">
      <c r="A7" s="1561" t="s">
        <v>33</v>
      </c>
      <c r="B7" s="1561"/>
      <c r="C7" s="1561"/>
      <c r="E7" s="78"/>
      <c r="G7" s="79"/>
      <c r="I7" s="78"/>
      <c r="K7" s="79"/>
      <c r="M7" s="304">
        <f>K7</f>
        <v>0</v>
      </c>
    </row>
    <row r="8" spans="1:13" x14ac:dyDescent="0.2">
      <c r="A8" s="1562" t="s">
        <v>380</v>
      </c>
      <c r="B8" s="1562"/>
      <c r="C8" s="1562"/>
    </row>
    <row r="9" spans="1:13" x14ac:dyDescent="0.2">
      <c r="A9" s="1561" t="s">
        <v>381</v>
      </c>
      <c r="B9" s="1561"/>
      <c r="C9" s="1561"/>
      <c r="E9" s="78"/>
      <c r="G9" s="79"/>
      <c r="I9" s="78"/>
      <c r="K9" s="79"/>
      <c r="M9" s="304">
        <f>K9</f>
        <v>0</v>
      </c>
    </row>
    <row r="10" spans="1:13" x14ac:dyDescent="0.2">
      <c r="A10" s="1562" t="s">
        <v>382</v>
      </c>
      <c r="B10" s="1562"/>
      <c r="C10" s="1562"/>
    </row>
    <row r="11" spans="1:13" x14ac:dyDescent="0.2">
      <c r="A11" s="1561" t="s">
        <v>383</v>
      </c>
      <c r="B11" s="1561"/>
      <c r="C11" s="1561"/>
      <c r="E11" s="78"/>
      <c r="G11" s="79"/>
      <c r="I11" s="78"/>
      <c r="K11" s="79"/>
      <c r="M11" s="304">
        <f>K11</f>
        <v>0</v>
      </c>
    </row>
    <row r="12" spans="1:13" x14ac:dyDescent="0.2">
      <c r="A12" s="1562" t="s">
        <v>384</v>
      </c>
      <c r="B12" s="1562"/>
      <c r="C12" s="1562"/>
    </row>
    <row r="13" spans="1:13" x14ac:dyDescent="0.2">
      <c r="A13" s="1561" t="s">
        <v>385</v>
      </c>
      <c r="B13" s="1561"/>
      <c r="C13" s="1561"/>
      <c r="E13" s="78"/>
      <c r="G13" s="79"/>
      <c r="I13" s="78"/>
      <c r="K13" s="79"/>
      <c r="M13" s="304">
        <f>K13</f>
        <v>0</v>
      </c>
    </row>
    <row r="14" spans="1:13" x14ac:dyDescent="0.2">
      <c r="A14" s="1562" t="s">
        <v>386</v>
      </c>
      <c r="B14" s="1562"/>
      <c r="C14" s="1562"/>
    </row>
    <row r="15" spans="1:13" x14ac:dyDescent="0.2">
      <c r="C15" s="80" t="s">
        <v>387</v>
      </c>
      <c r="D15" s="77"/>
      <c r="E15" s="81" t="s">
        <v>388</v>
      </c>
      <c r="F15" s="77"/>
      <c r="G15" s="80" t="s">
        <v>388</v>
      </c>
      <c r="H15" s="77"/>
      <c r="I15" s="81" t="s">
        <v>388</v>
      </c>
      <c r="J15" s="77"/>
      <c r="K15" s="80" t="s">
        <v>388</v>
      </c>
      <c r="L15" s="77"/>
      <c r="M15" s="81" t="s">
        <v>388</v>
      </c>
    </row>
    <row r="16" spans="1:13" x14ac:dyDescent="0.2">
      <c r="A16" s="79" t="s">
        <v>389</v>
      </c>
      <c r="C16" s="79"/>
      <c r="E16" s="78"/>
      <c r="G16" s="79"/>
      <c r="I16" s="78"/>
      <c r="K16" s="79"/>
      <c r="M16" s="78"/>
    </row>
    <row r="17" spans="1:13" x14ac:dyDescent="0.2">
      <c r="A17" s="75" t="s">
        <v>390</v>
      </c>
    </row>
    <row r="18" spans="1:13" x14ac:dyDescent="0.2">
      <c r="A18" s="79" t="s">
        <v>391</v>
      </c>
      <c r="C18" s="79"/>
      <c r="E18" s="78"/>
      <c r="G18" s="79"/>
      <c r="I18" s="78"/>
      <c r="K18" s="79"/>
      <c r="M18" s="78"/>
    </row>
    <row r="19" spans="1:13" x14ac:dyDescent="0.2">
      <c r="A19" s="75" t="s">
        <v>392</v>
      </c>
    </row>
    <row r="21" spans="1:13" x14ac:dyDescent="0.2">
      <c r="A21" s="82" t="s">
        <v>393</v>
      </c>
      <c r="B21" s="79"/>
      <c r="C21" s="79"/>
      <c r="D21" s="79"/>
      <c r="E21" s="79"/>
      <c r="F21" s="79"/>
      <c r="G21" s="79"/>
      <c r="H21" s="79"/>
      <c r="I21" s="79"/>
      <c r="J21" s="79"/>
      <c r="K21" s="79"/>
      <c r="L21" s="79"/>
      <c r="M21" s="79"/>
    </row>
    <row r="22" spans="1:13" x14ac:dyDescent="0.2">
      <c r="A22" s="76"/>
      <c r="C22" s="76"/>
      <c r="D22" s="76"/>
      <c r="E22" s="76"/>
      <c r="F22" s="76"/>
      <c r="G22" s="76"/>
      <c r="H22" s="76"/>
      <c r="I22" s="76"/>
      <c r="J22" s="76"/>
      <c r="K22" s="76"/>
      <c r="L22" s="76"/>
      <c r="M22" s="76"/>
    </row>
    <row r="23" spans="1:13" x14ac:dyDescent="0.2">
      <c r="A23" s="82" t="s">
        <v>394</v>
      </c>
      <c r="B23" s="79"/>
      <c r="C23" s="79"/>
      <c r="D23" s="79"/>
      <c r="E23" s="79"/>
      <c r="F23" s="79"/>
      <c r="G23" s="79"/>
      <c r="H23" s="79"/>
      <c r="I23" s="79"/>
      <c r="J23" s="79"/>
      <c r="K23" s="79"/>
      <c r="L23" s="79"/>
      <c r="M23" s="79"/>
    </row>
    <row r="24" spans="1:13" x14ac:dyDescent="0.2">
      <c r="B24" s="75"/>
    </row>
  </sheetData>
  <mergeCells count="8">
    <mergeCell ref="A13:C13"/>
    <mergeCell ref="A14:C14"/>
    <mergeCell ref="A7:C7"/>
    <mergeCell ref="A8:C8"/>
    <mergeCell ref="A9:C9"/>
    <mergeCell ref="A10:C10"/>
    <mergeCell ref="A11:C11"/>
    <mergeCell ref="A12:C1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dimension ref="A1:BB78"/>
  <sheetViews>
    <sheetView zoomScale="85" zoomScaleNormal="85" workbookViewId="0">
      <selection activeCell="F3" sqref="F3:G11"/>
    </sheetView>
  </sheetViews>
  <sheetFormatPr baseColWidth="10" defaultColWidth="9.1640625" defaultRowHeight="15" x14ac:dyDescent="0.2"/>
  <cols>
    <col min="1" max="1" width="3.83203125" style="88" bestFit="1" customWidth="1"/>
    <col min="2" max="2" width="32.1640625" style="88" customWidth="1"/>
    <col min="3" max="3" width="39.5" style="88" customWidth="1"/>
    <col min="4" max="4" width="3.6640625" style="88" customWidth="1"/>
    <col min="5" max="5" width="3.83203125" style="88" bestFit="1" customWidth="1"/>
    <col min="6" max="6" width="32.1640625" style="88" customWidth="1"/>
    <col min="7" max="7" width="39.5" style="88" customWidth="1"/>
    <col min="8" max="8" width="3.5" style="88" customWidth="1"/>
    <col min="9" max="9" width="3.83203125" style="88" bestFit="1" customWidth="1"/>
    <col min="10" max="10" width="32.1640625" style="88" customWidth="1"/>
    <col min="11" max="11" width="39.5" style="88" customWidth="1"/>
    <col min="12" max="16" width="9.33203125" style="88" customWidth="1"/>
    <col min="17" max="27" width="9.1640625" style="88"/>
    <col min="28" max="28" width="37.33203125" style="88" bestFit="1" customWidth="1"/>
    <col min="29" max="29" width="9.1640625" style="88" hidden="1" customWidth="1"/>
    <col min="30" max="30" width="42" style="88" hidden="1" customWidth="1"/>
    <col min="31" max="31" width="14.5" style="88" hidden="1" customWidth="1"/>
    <col min="32" max="32" width="40.33203125" style="88" hidden="1" customWidth="1"/>
    <col min="33" max="33" width="9.1640625" style="88" hidden="1" customWidth="1"/>
    <col min="34" max="34" width="22" style="88" hidden="1" customWidth="1"/>
    <col min="35" max="35" width="37.1640625" style="88" hidden="1" customWidth="1"/>
    <col min="36" max="37" width="16.5" style="88" hidden="1" customWidth="1"/>
    <col min="38" max="38" width="13" style="88" hidden="1" customWidth="1"/>
    <col min="39" max="40" width="11.5" style="88" hidden="1" customWidth="1"/>
    <col min="41" max="41" width="47.5" style="88" hidden="1" customWidth="1"/>
    <col min="42" max="42" width="42" style="88" hidden="1" customWidth="1"/>
    <col min="43" max="43" width="32.1640625" style="88" hidden="1" customWidth="1"/>
    <col min="44" max="44" width="32.5" style="88" hidden="1" customWidth="1"/>
    <col min="45" max="45" width="11.5" style="88" hidden="1" customWidth="1"/>
    <col min="46" max="46" width="37.83203125" style="88" hidden="1" customWidth="1"/>
    <col min="47" max="48" width="33" style="88" hidden="1" customWidth="1"/>
    <col min="49" max="49" width="9.1640625" style="88" hidden="1" customWidth="1"/>
    <col min="50" max="50" width="12.83203125" style="88" hidden="1" customWidth="1"/>
    <col min="51" max="51" width="12" style="88" hidden="1" customWidth="1"/>
    <col min="52" max="52" width="46.33203125" style="88" hidden="1" customWidth="1"/>
    <col min="53" max="53" width="11" style="88" hidden="1" customWidth="1"/>
    <col min="54" max="54" width="47.83203125" style="128" hidden="1" customWidth="1"/>
    <col min="55" max="16384" width="9.1640625" style="88"/>
  </cols>
  <sheetData>
    <row r="1" spans="1:54" ht="24" x14ac:dyDescent="0.3">
      <c r="A1" s="83"/>
      <c r="B1" s="84" t="s">
        <v>395</v>
      </c>
      <c r="C1" s="85"/>
      <c r="D1" s="85"/>
      <c r="E1" s="83"/>
      <c r="F1" s="86"/>
      <c r="G1" s="87"/>
      <c r="H1" s="85"/>
      <c r="J1" s="89"/>
      <c r="K1" s="90"/>
      <c r="L1" s="91"/>
      <c r="M1" s="91"/>
      <c r="N1" s="91"/>
      <c r="O1" s="91"/>
      <c r="P1" s="91"/>
      <c r="AC1" s="88" t="s">
        <v>51</v>
      </c>
      <c r="AD1" s="92"/>
      <c r="AE1" s="88" t="s">
        <v>396</v>
      </c>
      <c r="AF1" s="88" t="s">
        <v>397</v>
      </c>
      <c r="AG1" s="93" t="s">
        <v>398</v>
      </c>
      <c r="AH1" s="88" t="s">
        <v>399</v>
      </c>
      <c r="AI1" s="92" t="s">
        <v>400</v>
      </c>
      <c r="AJ1" s="94" t="s">
        <v>401</v>
      </c>
      <c r="AK1" s="94" t="s">
        <v>402</v>
      </c>
      <c r="AL1" s="94" t="s">
        <v>403</v>
      </c>
      <c r="AM1" s="94" t="s">
        <v>404</v>
      </c>
      <c r="AN1" s="95" t="s">
        <v>405</v>
      </c>
      <c r="AO1" s="96" t="s">
        <v>406</v>
      </c>
      <c r="AP1" s="97" t="s">
        <v>407</v>
      </c>
      <c r="AQ1" s="94" t="s">
        <v>408</v>
      </c>
      <c r="AR1" s="94" t="s">
        <v>409</v>
      </c>
      <c r="AS1" s="95" t="s">
        <v>410</v>
      </c>
      <c r="AT1" s="94" t="s">
        <v>411</v>
      </c>
      <c r="AU1" s="98" t="s">
        <v>412</v>
      </c>
      <c r="AV1" s="98" t="s">
        <v>413</v>
      </c>
      <c r="AW1" s="94" t="s">
        <v>414</v>
      </c>
      <c r="AX1" s="94" t="s">
        <v>403</v>
      </c>
      <c r="AY1" s="94" t="s">
        <v>404</v>
      </c>
      <c r="AZ1" s="94" t="s">
        <v>401</v>
      </c>
      <c r="BA1" s="95" t="s">
        <v>415</v>
      </c>
      <c r="BB1" s="94" t="s">
        <v>406</v>
      </c>
    </row>
    <row r="2" spans="1:54" ht="29" x14ac:dyDescent="0.25">
      <c r="A2" s="83"/>
      <c r="B2" s="1575" t="s">
        <v>416</v>
      </c>
      <c r="C2" s="1575"/>
      <c r="D2" s="85"/>
      <c r="E2" s="83"/>
      <c r="F2" s="1576" t="s">
        <v>417</v>
      </c>
      <c r="G2" s="1576"/>
      <c r="H2" s="85"/>
      <c r="J2" s="89"/>
      <c r="K2" s="90"/>
      <c r="L2" s="91"/>
      <c r="M2" s="91"/>
      <c r="N2" s="91"/>
      <c r="O2" s="91"/>
      <c r="P2" s="91"/>
      <c r="AC2" s="88" t="s">
        <v>57</v>
      </c>
      <c r="AD2" s="99"/>
      <c r="AE2" s="88" t="s">
        <v>418</v>
      </c>
      <c r="AF2" s="88" t="s">
        <v>419</v>
      </c>
      <c r="AG2" s="100">
        <v>0.5</v>
      </c>
      <c r="AH2" s="88" t="s">
        <v>420</v>
      </c>
      <c r="AI2" s="99" t="s">
        <v>421</v>
      </c>
      <c r="AJ2" s="94" t="s">
        <v>422</v>
      </c>
      <c r="AK2" s="94" t="s">
        <v>423</v>
      </c>
      <c r="AL2" s="94" t="s">
        <v>424</v>
      </c>
      <c r="AM2" s="94" t="s">
        <v>425</v>
      </c>
      <c r="AN2" s="95" t="s">
        <v>426</v>
      </c>
      <c r="AO2" s="96" t="s">
        <v>427</v>
      </c>
      <c r="AP2" s="97" t="s">
        <v>428</v>
      </c>
      <c r="AQ2" s="94" t="s">
        <v>429</v>
      </c>
      <c r="AR2" s="94" t="s">
        <v>430</v>
      </c>
      <c r="AS2" s="95" t="s">
        <v>431</v>
      </c>
      <c r="AT2" s="94" t="s">
        <v>432</v>
      </c>
      <c r="AU2" s="98" t="s">
        <v>433</v>
      </c>
      <c r="AV2" s="98"/>
      <c r="AW2" s="94" t="s">
        <v>434</v>
      </c>
      <c r="AX2" s="94" t="s">
        <v>435</v>
      </c>
      <c r="AY2" s="94" t="s">
        <v>436</v>
      </c>
      <c r="AZ2" s="94" t="s">
        <v>437</v>
      </c>
      <c r="BA2" s="95" t="s">
        <v>438</v>
      </c>
      <c r="BB2" s="94" t="s">
        <v>427</v>
      </c>
    </row>
    <row r="3" spans="1:54" x14ac:dyDescent="0.2">
      <c r="A3" s="83"/>
      <c r="B3" s="1577" t="s">
        <v>439</v>
      </c>
      <c r="C3" s="1577"/>
      <c r="D3" s="101"/>
      <c r="E3" s="83"/>
      <c r="F3" s="1577" t="s">
        <v>440</v>
      </c>
      <c r="G3" s="1577"/>
      <c r="H3" s="101"/>
      <c r="J3" s="102"/>
      <c r="K3" s="102"/>
      <c r="L3" s="103"/>
      <c r="M3" s="103"/>
      <c r="N3" s="103"/>
      <c r="O3" s="103"/>
      <c r="P3" s="103"/>
      <c r="AD3" s="99"/>
      <c r="AG3" s="100">
        <v>1</v>
      </c>
      <c r="AH3" s="88" t="s">
        <v>441</v>
      </c>
      <c r="AI3" s="99"/>
      <c r="AJ3" s="94" t="s">
        <v>442</v>
      </c>
      <c r="AK3" s="94" t="s">
        <v>443</v>
      </c>
      <c r="AL3" s="94" t="s">
        <v>435</v>
      </c>
      <c r="AM3" s="94" t="s">
        <v>444</v>
      </c>
      <c r="AN3" s="95" t="s">
        <v>431</v>
      </c>
      <c r="AO3" s="96" t="s">
        <v>445</v>
      </c>
      <c r="AP3" s="97"/>
      <c r="AQ3" s="94" t="s">
        <v>446</v>
      </c>
      <c r="AR3" s="94" t="s">
        <v>447</v>
      </c>
      <c r="AS3" s="95" t="s">
        <v>448</v>
      </c>
      <c r="AT3" s="94" t="s">
        <v>449</v>
      </c>
      <c r="AU3" s="98"/>
      <c r="AV3" s="98"/>
      <c r="AW3" s="94" t="s">
        <v>450</v>
      </c>
      <c r="AX3" s="94" t="s">
        <v>451</v>
      </c>
      <c r="AY3" s="94" t="s">
        <v>452</v>
      </c>
      <c r="AZ3" s="94" t="s">
        <v>453</v>
      </c>
      <c r="BA3" s="95" t="s">
        <v>454</v>
      </c>
      <c r="BB3" s="94" t="s">
        <v>445</v>
      </c>
    </row>
    <row r="4" spans="1:54" ht="16" x14ac:dyDescent="0.2">
      <c r="A4" s="83"/>
      <c r="B4" s="1577"/>
      <c r="C4" s="1577"/>
      <c r="D4" s="101"/>
      <c r="E4" s="83"/>
      <c r="F4" s="1577"/>
      <c r="G4" s="1577"/>
      <c r="H4" s="101"/>
      <c r="J4" s="102"/>
      <c r="K4" s="102"/>
      <c r="L4" s="103"/>
      <c r="M4" s="103"/>
      <c r="N4" s="103"/>
      <c r="O4" s="103"/>
      <c r="P4" s="103"/>
      <c r="AD4" s="99"/>
      <c r="AH4" s="88" t="s">
        <v>455</v>
      </c>
      <c r="AI4" s="99"/>
      <c r="AJ4" s="94" t="s">
        <v>456</v>
      </c>
      <c r="AK4" s="94" t="s">
        <v>457</v>
      </c>
      <c r="AL4" s="94" t="s">
        <v>180</v>
      </c>
      <c r="AM4" s="94" t="s">
        <v>436</v>
      </c>
      <c r="AN4" s="95" t="s">
        <v>448</v>
      </c>
      <c r="AO4" s="96" t="s">
        <v>458</v>
      </c>
      <c r="AQ4" s="94" t="s">
        <v>459</v>
      </c>
      <c r="AR4" s="94" t="s">
        <v>460</v>
      </c>
      <c r="AS4" s="95" t="s">
        <v>461</v>
      </c>
      <c r="AT4" s="94" t="s">
        <v>462</v>
      </c>
      <c r="AU4" s="104"/>
      <c r="AV4" s="104"/>
      <c r="AW4" s="94" t="s">
        <v>463</v>
      </c>
      <c r="AX4" s="94" t="s">
        <v>464</v>
      </c>
      <c r="AY4" s="94" t="s">
        <v>465</v>
      </c>
      <c r="AZ4" s="94" t="s">
        <v>466</v>
      </c>
      <c r="BB4" s="94" t="s">
        <v>467</v>
      </c>
    </row>
    <row r="5" spans="1:54" ht="16" x14ac:dyDescent="0.2">
      <c r="A5" s="83"/>
      <c r="B5" s="1577"/>
      <c r="C5" s="1577"/>
      <c r="D5" s="101"/>
      <c r="E5" s="83"/>
      <c r="F5" s="1577"/>
      <c r="G5" s="1577"/>
      <c r="H5" s="101"/>
      <c r="J5" s="102"/>
      <c r="K5" s="102"/>
      <c r="L5" s="103"/>
      <c r="M5" s="103"/>
      <c r="N5" s="103"/>
      <c r="O5" s="103"/>
      <c r="P5" s="103"/>
      <c r="AD5" s="99"/>
      <c r="AH5" s="88" t="s">
        <v>468</v>
      </c>
      <c r="AI5" s="99"/>
      <c r="AJ5" s="94" t="s">
        <v>198</v>
      </c>
      <c r="AK5" s="94" t="s">
        <v>469</v>
      </c>
      <c r="AL5" s="94" t="s">
        <v>451</v>
      </c>
      <c r="AM5" s="94" t="s">
        <v>470</v>
      </c>
      <c r="AN5" s="95" t="s">
        <v>461</v>
      </c>
      <c r="AO5" s="96" t="s">
        <v>411</v>
      </c>
      <c r="AQ5" s="94" t="s">
        <v>471</v>
      </c>
      <c r="AR5" s="94" t="s">
        <v>472</v>
      </c>
      <c r="AT5" s="94" t="s">
        <v>473</v>
      </c>
      <c r="AU5" s="104"/>
      <c r="AV5" s="104"/>
      <c r="AW5" s="94" t="s">
        <v>474</v>
      </c>
      <c r="AX5" s="94" t="s">
        <v>475</v>
      </c>
      <c r="AY5" s="94" t="s">
        <v>476</v>
      </c>
      <c r="AZ5" s="94" t="s">
        <v>477</v>
      </c>
      <c r="BB5" s="94" t="s">
        <v>478</v>
      </c>
    </row>
    <row r="6" spans="1:54" x14ac:dyDescent="0.2">
      <c r="A6" s="83"/>
      <c r="B6" s="1577"/>
      <c r="C6" s="1577"/>
      <c r="D6" s="101"/>
      <c r="E6" s="83"/>
      <c r="F6" s="1577"/>
      <c r="G6" s="1577"/>
      <c r="H6" s="101"/>
      <c r="J6" s="102"/>
      <c r="K6" s="102"/>
      <c r="L6" s="103"/>
      <c r="M6" s="103"/>
      <c r="N6" s="103"/>
      <c r="O6" s="103"/>
      <c r="P6" s="103"/>
      <c r="AD6" s="99"/>
      <c r="AH6" s="88" t="s">
        <v>479</v>
      </c>
      <c r="AI6" s="99"/>
      <c r="AJ6" s="94" t="s">
        <v>480</v>
      </c>
      <c r="AK6" s="94" t="s">
        <v>481</v>
      </c>
      <c r="AL6" s="94" t="s">
        <v>127</v>
      </c>
      <c r="AM6" s="94" t="s">
        <v>452</v>
      </c>
      <c r="AO6" s="96" t="s">
        <v>482</v>
      </c>
      <c r="AQ6" s="94" t="s">
        <v>483</v>
      </c>
      <c r="AR6" s="94" t="s">
        <v>484</v>
      </c>
      <c r="AT6" s="94" t="s">
        <v>485</v>
      </c>
      <c r="AX6" s="94" t="s">
        <v>424</v>
      </c>
      <c r="AY6" s="94" t="s">
        <v>486</v>
      </c>
      <c r="AZ6" s="94" t="s">
        <v>487</v>
      </c>
      <c r="BB6" s="94" t="s">
        <v>488</v>
      </c>
    </row>
    <row r="7" spans="1:54" ht="16" x14ac:dyDescent="0.2">
      <c r="A7" s="83"/>
      <c r="B7" s="1577"/>
      <c r="C7" s="1577"/>
      <c r="D7" s="101"/>
      <c r="E7" s="83"/>
      <c r="F7" s="1577"/>
      <c r="G7" s="1577"/>
      <c r="H7" s="101"/>
      <c r="J7" s="102"/>
      <c r="K7" s="102"/>
      <c r="L7" s="103"/>
      <c r="M7" s="103"/>
      <c r="N7" s="103"/>
      <c r="O7" s="103"/>
      <c r="P7" s="103"/>
      <c r="AD7" s="99"/>
      <c r="AH7" s="88" t="s">
        <v>489</v>
      </c>
      <c r="AI7" s="99"/>
      <c r="AJ7" s="94" t="s">
        <v>490</v>
      </c>
      <c r="AK7" s="94" t="s">
        <v>491</v>
      </c>
      <c r="AL7" s="94" t="s">
        <v>464</v>
      </c>
      <c r="AM7" s="94" t="s">
        <v>465</v>
      </c>
      <c r="AO7" s="96" t="s">
        <v>492</v>
      </c>
      <c r="AQ7" s="94" t="s">
        <v>493</v>
      </c>
      <c r="AR7" s="94" t="s">
        <v>494</v>
      </c>
      <c r="AT7" s="94" t="s">
        <v>495</v>
      </c>
      <c r="AU7" s="104"/>
      <c r="AV7" s="104"/>
      <c r="AX7" s="94" t="s">
        <v>180</v>
      </c>
      <c r="AY7" s="94" t="s">
        <v>496</v>
      </c>
      <c r="AZ7" s="104"/>
      <c r="BB7" s="94" t="s">
        <v>492</v>
      </c>
    </row>
    <row r="8" spans="1:54" ht="16" x14ac:dyDescent="0.2">
      <c r="A8" s="83"/>
      <c r="B8" s="1577"/>
      <c r="C8" s="1577"/>
      <c r="D8" s="101"/>
      <c r="E8" s="83"/>
      <c r="F8" s="1577"/>
      <c r="G8" s="1577"/>
      <c r="H8" s="101"/>
      <c r="J8" s="105"/>
      <c r="K8" s="106"/>
      <c r="L8" s="107"/>
      <c r="M8" s="107"/>
      <c r="N8" s="107"/>
      <c r="O8" s="107"/>
      <c r="P8" s="107"/>
      <c r="AD8" s="99"/>
      <c r="AH8" s="88" t="s">
        <v>497</v>
      </c>
      <c r="AI8" s="99"/>
      <c r="AJ8" s="94" t="s">
        <v>498</v>
      </c>
      <c r="AK8" s="94" t="s">
        <v>499</v>
      </c>
      <c r="AL8" s="94" t="s">
        <v>189</v>
      </c>
      <c r="AM8" s="94" t="s">
        <v>486</v>
      </c>
      <c r="AO8" s="96" t="s">
        <v>500</v>
      </c>
      <c r="AQ8" s="94" t="s">
        <v>494</v>
      </c>
      <c r="AR8" s="94" t="s">
        <v>501</v>
      </c>
      <c r="AT8" s="94" t="s">
        <v>502</v>
      </c>
      <c r="AU8" s="104"/>
      <c r="AV8" s="104"/>
      <c r="AX8" s="94" t="s">
        <v>127</v>
      </c>
      <c r="AY8" s="94" t="s">
        <v>503</v>
      </c>
      <c r="AZ8" s="104"/>
      <c r="BB8" s="94" t="s">
        <v>504</v>
      </c>
    </row>
    <row r="9" spans="1:54" ht="16" x14ac:dyDescent="0.2">
      <c r="A9" s="83"/>
      <c r="B9" s="1577"/>
      <c r="C9" s="1577"/>
      <c r="D9" s="101"/>
      <c r="E9" s="83"/>
      <c r="F9" s="1577"/>
      <c r="G9" s="1577"/>
      <c r="H9" s="108"/>
      <c r="J9" s="109"/>
      <c r="K9" s="110"/>
      <c r="L9" s="107"/>
      <c r="M9" s="107"/>
      <c r="N9" s="107"/>
      <c r="O9" s="107"/>
      <c r="P9" s="107"/>
      <c r="AD9" s="99"/>
      <c r="AH9" s="88" t="s">
        <v>505</v>
      </c>
      <c r="AI9" s="99"/>
      <c r="AJ9" s="94" t="s">
        <v>506</v>
      </c>
      <c r="AK9" s="94" t="s">
        <v>507</v>
      </c>
      <c r="AL9" s="94" t="s">
        <v>475</v>
      </c>
      <c r="AM9" s="94" t="s">
        <v>496</v>
      </c>
      <c r="AO9" s="96" t="s">
        <v>508</v>
      </c>
      <c r="AQ9" s="111"/>
      <c r="AR9" s="94" t="s">
        <v>509</v>
      </c>
      <c r="AT9" s="104"/>
      <c r="AU9" s="104"/>
      <c r="AV9" s="104"/>
      <c r="AX9" s="94" t="s">
        <v>189</v>
      </c>
      <c r="AY9" s="94" t="s">
        <v>510</v>
      </c>
      <c r="AZ9" s="104"/>
      <c r="BB9" s="94" t="s">
        <v>508</v>
      </c>
    </row>
    <row r="10" spans="1:54" ht="16" x14ac:dyDescent="0.2">
      <c r="A10" s="83"/>
      <c r="B10" s="1577"/>
      <c r="C10" s="1577"/>
      <c r="D10" s="101"/>
      <c r="E10" s="83"/>
      <c r="F10" s="1577"/>
      <c r="G10" s="1577"/>
      <c r="H10" s="108"/>
      <c r="J10" s="112"/>
      <c r="K10" s="106"/>
      <c r="L10" s="113"/>
      <c r="M10" s="113"/>
      <c r="N10" s="113"/>
      <c r="O10" s="113"/>
      <c r="P10" s="113"/>
      <c r="AD10" s="99"/>
      <c r="AH10" s="88" t="s">
        <v>511</v>
      </c>
      <c r="AI10" s="99"/>
      <c r="AJ10" s="94" t="s">
        <v>512</v>
      </c>
      <c r="AK10" s="94" t="s">
        <v>513</v>
      </c>
      <c r="AL10" s="94" t="s">
        <v>514</v>
      </c>
      <c r="AM10" s="94" t="s">
        <v>503</v>
      </c>
      <c r="AO10" s="96" t="s">
        <v>515</v>
      </c>
      <c r="AQ10" s="111"/>
      <c r="AT10" s="104"/>
      <c r="AU10" s="104"/>
      <c r="AV10" s="104"/>
      <c r="AX10" s="94" t="s">
        <v>514</v>
      </c>
      <c r="AY10" s="94" t="s">
        <v>516</v>
      </c>
      <c r="AZ10" s="104"/>
      <c r="BB10" s="94" t="s">
        <v>515</v>
      </c>
    </row>
    <row r="11" spans="1:54" ht="49.5" customHeight="1" thickBot="1" x14ac:dyDescent="0.25">
      <c r="A11" s="83"/>
      <c r="B11" s="1577"/>
      <c r="C11" s="1577"/>
      <c r="D11" s="101"/>
      <c r="E11" s="83"/>
      <c r="F11" s="1577"/>
      <c r="G11" s="1577"/>
      <c r="H11" s="108"/>
      <c r="J11" s="112"/>
      <c r="K11" s="106"/>
      <c r="L11" s="114"/>
      <c r="M11" s="114"/>
      <c r="N11" s="114"/>
      <c r="O11" s="114"/>
      <c r="P11" s="114"/>
      <c r="AD11" s="99"/>
      <c r="AH11" s="88" t="s">
        <v>517</v>
      </c>
      <c r="AI11" s="99"/>
      <c r="AJ11" s="94" t="s">
        <v>518</v>
      </c>
      <c r="AK11" s="94" t="s">
        <v>519</v>
      </c>
      <c r="AL11" s="94" t="s">
        <v>520</v>
      </c>
      <c r="AM11" s="94" t="s">
        <v>510</v>
      </c>
      <c r="AO11" s="96" t="s">
        <v>521</v>
      </c>
      <c r="AX11" s="94" t="s">
        <v>520</v>
      </c>
      <c r="AY11" s="94" t="s">
        <v>522</v>
      </c>
      <c r="AZ11" s="104"/>
      <c r="BB11" s="94" t="s">
        <v>521</v>
      </c>
    </row>
    <row r="12" spans="1:54" ht="16" x14ac:dyDescent="0.2">
      <c r="A12" s="83"/>
      <c r="B12" s="1578" t="s">
        <v>523</v>
      </c>
      <c r="C12" s="1579"/>
      <c r="D12" s="101"/>
      <c r="E12" s="83"/>
      <c r="F12" s="115"/>
      <c r="G12" s="116"/>
      <c r="H12" s="108"/>
      <c r="J12" s="112"/>
      <c r="K12" s="106"/>
      <c r="L12" s="113"/>
      <c r="M12" s="113"/>
      <c r="N12" s="113"/>
      <c r="O12" s="113"/>
      <c r="P12" s="113"/>
      <c r="AD12" s="99"/>
      <c r="AH12" s="88" t="s">
        <v>524</v>
      </c>
      <c r="AI12" s="99"/>
      <c r="AJ12" s="94" t="s">
        <v>469</v>
      </c>
      <c r="AK12" s="94"/>
      <c r="AL12" s="94"/>
      <c r="AM12" s="94" t="s">
        <v>516</v>
      </c>
      <c r="AO12" s="96" t="s">
        <v>525</v>
      </c>
      <c r="AY12" s="94" t="s">
        <v>526</v>
      </c>
      <c r="AZ12" s="104"/>
      <c r="BB12" s="94" t="s">
        <v>525</v>
      </c>
    </row>
    <row r="13" spans="1:54" ht="48.75" customHeight="1" x14ac:dyDescent="0.2">
      <c r="A13" s="83"/>
      <c r="B13" s="1573" t="s">
        <v>527</v>
      </c>
      <c r="C13" s="1574"/>
      <c r="D13" s="108"/>
      <c r="E13" s="83"/>
      <c r="F13" s="117"/>
      <c r="G13" s="118"/>
      <c r="H13" s="108"/>
      <c r="J13" s="112"/>
      <c r="K13" s="106"/>
      <c r="L13" s="107"/>
      <c r="M13" s="107"/>
      <c r="N13" s="107"/>
      <c r="O13" s="107"/>
      <c r="P13" s="107"/>
      <c r="AD13" s="97"/>
      <c r="AH13" s="88" t="s">
        <v>528</v>
      </c>
      <c r="AJ13" s="94" t="s">
        <v>491</v>
      </c>
      <c r="AK13" s="94"/>
      <c r="AM13" s="94" t="s">
        <v>522</v>
      </c>
      <c r="AO13" s="96" t="s">
        <v>473</v>
      </c>
      <c r="AY13" s="94" t="s">
        <v>425</v>
      </c>
      <c r="AZ13" s="104"/>
      <c r="BB13" s="94" t="s">
        <v>473</v>
      </c>
    </row>
    <row r="14" spans="1:54" ht="16" x14ac:dyDescent="0.2">
      <c r="A14" s="83"/>
      <c r="B14" s="1569"/>
      <c r="C14" s="1570"/>
      <c r="D14" s="108"/>
      <c r="E14" s="83"/>
      <c r="F14" s="117"/>
      <c r="G14" s="118"/>
      <c r="H14" s="101"/>
      <c r="J14" s="112"/>
      <c r="K14" s="106"/>
      <c r="L14" s="107"/>
      <c r="M14" s="107"/>
      <c r="N14" s="107"/>
      <c r="O14" s="107"/>
      <c r="P14" s="107"/>
      <c r="AD14" s="97"/>
      <c r="AH14" s="88" t="s">
        <v>529</v>
      </c>
      <c r="AJ14" s="94" t="s">
        <v>507</v>
      </c>
      <c r="AM14" s="94" t="s">
        <v>526</v>
      </c>
      <c r="AO14" s="96" t="s">
        <v>530</v>
      </c>
      <c r="AY14" s="94" t="s">
        <v>444</v>
      </c>
      <c r="AZ14" s="104"/>
      <c r="BB14" s="94" t="s">
        <v>530</v>
      </c>
    </row>
    <row r="15" spans="1:54" ht="16" x14ac:dyDescent="0.2">
      <c r="A15" s="83"/>
      <c r="B15" s="1569"/>
      <c r="C15" s="1570"/>
      <c r="D15" s="108"/>
      <c r="E15" s="83"/>
      <c r="F15" s="117"/>
      <c r="G15" s="118"/>
      <c r="H15" s="101"/>
      <c r="J15" s="112"/>
      <c r="K15" s="106"/>
      <c r="L15" s="107"/>
      <c r="M15" s="107"/>
      <c r="N15" s="107"/>
      <c r="O15" s="107"/>
      <c r="P15" s="107"/>
      <c r="AD15" s="97"/>
      <c r="AH15" s="88" t="s">
        <v>531</v>
      </c>
      <c r="AJ15" s="94" t="s">
        <v>513</v>
      </c>
      <c r="AO15" s="96" t="s">
        <v>532</v>
      </c>
      <c r="AY15" s="94" t="s">
        <v>470</v>
      </c>
      <c r="BB15" s="94" t="s">
        <v>532</v>
      </c>
    </row>
    <row r="16" spans="1:54" ht="16.5" customHeight="1" x14ac:dyDescent="0.2">
      <c r="A16" s="83"/>
      <c r="B16" s="1569"/>
      <c r="C16" s="1570"/>
      <c r="D16" s="108"/>
      <c r="E16" s="83"/>
      <c r="F16" s="117"/>
      <c r="G16" s="118"/>
      <c r="H16" s="101"/>
      <c r="J16" s="112"/>
      <c r="K16" s="106"/>
      <c r="L16" s="107"/>
      <c r="M16" s="107"/>
      <c r="N16" s="107"/>
      <c r="O16" s="107"/>
      <c r="P16" s="107"/>
      <c r="AD16" s="98"/>
      <c r="AH16" s="88" t="s">
        <v>533</v>
      </c>
      <c r="AM16" s="94"/>
      <c r="AO16" s="96" t="s">
        <v>534</v>
      </c>
      <c r="BB16" s="94" t="s">
        <v>535</v>
      </c>
    </row>
    <row r="17" spans="1:54" ht="18.75" customHeight="1" x14ac:dyDescent="0.25">
      <c r="A17" s="83"/>
      <c r="B17" s="119" t="s">
        <v>536</v>
      </c>
      <c r="C17" s="120"/>
      <c r="D17" s="108"/>
      <c r="E17" s="83"/>
      <c r="F17" s="121"/>
      <c r="G17" s="116"/>
      <c r="H17" s="122"/>
      <c r="I17" s="123"/>
      <c r="J17" s="123"/>
      <c r="K17" s="123"/>
      <c r="L17" s="107"/>
      <c r="M17" s="107"/>
      <c r="N17" s="107"/>
      <c r="O17" s="107"/>
      <c r="P17" s="107"/>
      <c r="AD17" s="98"/>
      <c r="AH17" s="88" t="s">
        <v>537</v>
      </c>
      <c r="BB17" s="124"/>
    </row>
    <row r="18" spans="1:54" ht="15" customHeight="1" x14ac:dyDescent="0.2">
      <c r="A18" s="83"/>
      <c r="B18" s="119" t="s">
        <v>538</v>
      </c>
      <c r="C18" s="125"/>
      <c r="D18" s="108"/>
      <c r="E18" s="83"/>
      <c r="F18" s="121"/>
      <c r="G18" s="116"/>
      <c r="H18" s="101"/>
      <c r="K18" s="106"/>
      <c r="L18" s="107"/>
      <c r="M18" s="107"/>
      <c r="N18" s="107"/>
      <c r="O18" s="107"/>
      <c r="P18" s="107"/>
      <c r="AD18" s="98"/>
      <c r="AH18" s="88" t="s">
        <v>539</v>
      </c>
      <c r="BB18" s="124"/>
    </row>
    <row r="19" spans="1:54" ht="19.5" customHeight="1" thickBot="1" x14ac:dyDescent="0.25">
      <c r="A19" s="83"/>
      <c r="B19" s="126" t="s">
        <v>540</v>
      </c>
      <c r="C19" s="127"/>
      <c r="D19" s="108"/>
      <c r="E19" s="83"/>
      <c r="F19" s="121"/>
      <c r="G19" s="116"/>
      <c r="H19" s="101"/>
      <c r="L19" s="107"/>
      <c r="M19" s="107"/>
      <c r="N19" s="107"/>
      <c r="O19" s="107"/>
      <c r="P19" s="107"/>
    </row>
    <row r="20" spans="1:54" ht="19.5" customHeight="1" x14ac:dyDescent="0.2">
      <c r="A20" s="83"/>
      <c r="B20" s="121"/>
      <c r="C20" s="116"/>
      <c r="D20" s="108"/>
      <c r="E20" s="83"/>
      <c r="F20" s="121"/>
      <c r="G20" s="116"/>
      <c r="H20" s="101"/>
    </row>
    <row r="21" spans="1:54" ht="33.75" customHeight="1" x14ac:dyDescent="0.25">
      <c r="A21" s="83"/>
      <c r="B21" s="1571" t="s">
        <v>541</v>
      </c>
      <c r="C21" s="1571"/>
      <c r="D21" s="1571"/>
      <c r="E21" s="1571"/>
      <c r="F21" s="1571"/>
      <c r="G21" s="1571"/>
      <c r="H21" s="101"/>
    </row>
    <row r="22" spans="1:54" ht="80.25" customHeight="1" x14ac:dyDescent="0.2">
      <c r="A22" s="129"/>
      <c r="B22" s="1572" t="s">
        <v>542</v>
      </c>
      <c r="C22" s="1572"/>
      <c r="D22" s="1572"/>
      <c r="E22" s="1572"/>
      <c r="F22" s="1572"/>
      <c r="G22" s="1572"/>
      <c r="H22" s="83"/>
    </row>
    <row r="23" spans="1:54" ht="19.5" customHeight="1" thickBot="1" x14ac:dyDescent="0.25">
      <c r="A23" s="83"/>
      <c r="B23" s="83"/>
      <c r="C23" s="116"/>
      <c r="D23" s="101"/>
      <c r="E23" s="83"/>
      <c r="F23" s="83"/>
      <c r="G23" s="116"/>
      <c r="H23" s="83"/>
    </row>
    <row r="24" spans="1:54" ht="23.25" customHeight="1" thickBot="1" x14ac:dyDescent="0.25">
      <c r="A24" s="1563" t="s">
        <v>543</v>
      </c>
      <c r="B24" s="130" t="s">
        <v>544</v>
      </c>
      <c r="C24" s="131" t="s">
        <v>545</v>
      </c>
      <c r="D24" s="101"/>
      <c r="E24" s="1563" t="s">
        <v>546</v>
      </c>
      <c r="F24" s="130" t="s">
        <v>544</v>
      </c>
      <c r="G24" s="131" t="s">
        <v>545</v>
      </c>
      <c r="H24" s="83"/>
    </row>
    <row r="25" spans="1:54" ht="23.25" customHeight="1" thickBot="1" x14ac:dyDescent="0.25">
      <c r="A25" s="1564"/>
      <c r="B25" s="132" t="s">
        <v>547</v>
      </c>
      <c r="C25" s="133"/>
      <c r="D25" s="101"/>
      <c r="E25" s="1564"/>
      <c r="F25" s="132" t="s">
        <v>547</v>
      </c>
      <c r="G25" s="133"/>
      <c r="H25" s="83"/>
    </row>
    <row r="26" spans="1:54" ht="30" customHeight="1" thickBot="1" x14ac:dyDescent="0.25">
      <c r="A26" s="1564"/>
      <c r="B26" s="1567" t="s">
        <v>548</v>
      </c>
      <c r="C26" s="1568"/>
      <c r="D26" s="101"/>
      <c r="E26" s="1564"/>
      <c r="F26" s="1567" t="s">
        <v>548</v>
      </c>
      <c r="G26" s="1568"/>
      <c r="H26" s="83"/>
    </row>
    <row r="27" spans="1:54" ht="23.25" customHeight="1" x14ac:dyDescent="0.2">
      <c r="A27" s="1565"/>
      <c r="B27" s="134" t="s">
        <v>33</v>
      </c>
      <c r="C27" s="135"/>
      <c r="D27" s="101"/>
      <c r="E27" s="1565"/>
      <c r="F27" s="134" t="s">
        <v>33</v>
      </c>
      <c r="G27" s="135"/>
      <c r="H27" s="83"/>
    </row>
    <row r="28" spans="1:54" ht="23.25" customHeight="1" x14ac:dyDescent="0.2">
      <c r="A28" s="1565"/>
      <c r="B28" s="136" t="s">
        <v>549</v>
      </c>
      <c r="C28" s="137"/>
      <c r="D28" s="101"/>
      <c r="E28" s="1565"/>
      <c r="F28" s="136" t="s">
        <v>549</v>
      </c>
      <c r="G28" s="137"/>
      <c r="H28" s="83"/>
    </row>
    <row r="29" spans="1:54" ht="23.25" customHeight="1" x14ac:dyDescent="0.2">
      <c r="A29" s="1565"/>
      <c r="B29" s="136" t="s">
        <v>550</v>
      </c>
      <c r="C29" s="137"/>
      <c r="D29" s="83"/>
      <c r="E29" s="1565"/>
      <c r="F29" s="136" t="s">
        <v>550</v>
      </c>
      <c r="G29" s="137"/>
      <c r="H29" s="83"/>
    </row>
    <row r="30" spans="1:54" ht="23.25" customHeight="1" x14ac:dyDescent="0.2">
      <c r="A30" s="1565"/>
      <c r="B30" s="136" t="s">
        <v>551</v>
      </c>
      <c r="C30" s="137"/>
      <c r="D30" s="83"/>
      <c r="E30" s="1565"/>
      <c r="F30" s="136" t="s">
        <v>551</v>
      </c>
      <c r="G30" s="137"/>
      <c r="H30" s="83"/>
    </row>
    <row r="31" spans="1:54" ht="23.25" customHeight="1" x14ac:dyDescent="0.2">
      <c r="A31" s="1565"/>
      <c r="B31" s="136" t="s">
        <v>552</v>
      </c>
      <c r="C31" s="137"/>
      <c r="D31" s="83"/>
      <c r="E31" s="1565"/>
      <c r="F31" s="136" t="s">
        <v>552</v>
      </c>
      <c r="G31" s="137"/>
      <c r="H31" s="101"/>
    </row>
    <row r="32" spans="1:54" ht="23.25" customHeight="1" x14ac:dyDescent="0.2">
      <c r="A32" s="1565"/>
      <c r="B32" s="136" t="s">
        <v>553</v>
      </c>
      <c r="C32" s="137"/>
      <c r="D32" s="83"/>
      <c r="E32" s="1565"/>
      <c r="F32" s="136" t="s">
        <v>553</v>
      </c>
      <c r="G32" s="137"/>
      <c r="H32" s="101"/>
    </row>
    <row r="33" spans="1:11" ht="23.25" customHeight="1" thickBot="1" x14ac:dyDescent="0.25">
      <c r="A33" s="1566"/>
      <c r="B33" s="138" t="s">
        <v>554</v>
      </c>
      <c r="C33" s="139"/>
      <c r="D33" s="83"/>
      <c r="E33" s="1566"/>
      <c r="F33" s="138" t="s">
        <v>554</v>
      </c>
      <c r="G33" s="139"/>
      <c r="H33" s="101"/>
    </row>
    <row r="34" spans="1:11" ht="23.25" customHeight="1" thickBot="1" x14ac:dyDescent="0.25">
      <c r="A34" s="83"/>
      <c r="B34" s="83"/>
      <c r="C34" s="83"/>
      <c r="D34" s="83"/>
      <c r="E34" s="140"/>
      <c r="F34" s="121"/>
      <c r="G34" s="141"/>
      <c r="H34" s="83"/>
    </row>
    <row r="35" spans="1:11" ht="23.25" customHeight="1" thickBot="1" x14ac:dyDescent="0.25">
      <c r="A35" s="1563" t="s">
        <v>555</v>
      </c>
      <c r="B35" s="142" t="s">
        <v>544</v>
      </c>
      <c r="C35" s="131" t="s">
        <v>556</v>
      </c>
      <c r="D35" s="83"/>
      <c r="E35" s="1563" t="s">
        <v>557</v>
      </c>
      <c r="F35" s="142" t="s">
        <v>544</v>
      </c>
      <c r="G35" s="131" t="s">
        <v>556</v>
      </c>
      <c r="H35" s="83"/>
    </row>
    <row r="36" spans="1:11" ht="23.25" customHeight="1" thickBot="1" x14ac:dyDescent="0.25">
      <c r="A36" s="1564"/>
      <c r="B36" s="132" t="s">
        <v>547</v>
      </c>
      <c r="C36" s="133"/>
      <c r="D36" s="101"/>
      <c r="E36" s="1564"/>
      <c r="F36" s="132" t="s">
        <v>547</v>
      </c>
      <c r="G36" s="133"/>
      <c r="H36" s="83"/>
    </row>
    <row r="37" spans="1:11" ht="30" customHeight="1" thickBot="1" x14ac:dyDescent="0.25">
      <c r="A37" s="1564"/>
      <c r="B37" s="1567" t="s">
        <v>548</v>
      </c>
      <c r="C37" s="1568"/>
      <c r="D37" s="101"/>
      <c r="E37" s="1564"/>
      <c r="F37" s="1567" t="s">
        <v>548</v>
      </c>
      <c r="G37" s="1568"/>
      <c r="H37" s="83"/>
    </row>
    <row r="38" spans="1:11" ht="23.25" customHeight="1" x14ac:dyDescent="0.2">
      <c r="A38" s="1565"/>
      <c r="B38" s="134" t="s">
        <v>549</v>
      </c>
      <c r="C38" s="135"/>
      <c r="D38" s="101"/>
      <c r="E38" s="1565"/>
      <c r="F38" s="134" t="s">
        <v>549</v>
      </c>
      <c r="G38" s="135"/>
      <c r="H38" s="83"/>
    </row>
    <row r="39" spans="1:11" ht="23.25" customHeight="1" x14ac:dyDescent="0.2">
      <c r="A39" s="1565"/>
      <c r="B39" s="136" t="s">
        <v>550</v>
      </c>
      <c r="C39" s="137"/>
      <c r="D39" s="101"/>
      <c r="E39" s="1565"/>
      <c r="F39" s="136" t="s">
        <v>550</v>
      </c>
      <c r="G39" s="137"/>
      <c r="H39" s="83"/>
    </row>
    <row r="40" spans="1:11" ht="23.25" customHeight="1" x14ac:dyDescent="0.2">
      <c r="A40" s="1565"/>
      <c r="B40" s="136" t="s">
        <v>551</v>
      </c>
      <c r="C40" s="137"/>
      <c r="D40" s="101"/>
      <c r="E40" s="1565"/>
      <c r="F40" s="136" t="s">
        <v>551</v>
      </c>
      <c r="G40" s="137"/>
      <c r="H40" s="83"/>
    </row>
    <row r="41" spans="1:11" ht="23.25" customHeight="1" x14ac:dyDescent="0.2">
      <c r="A41" s="1565"/>
      <c r="B41" s="136" t="s">
        <v>558</v>
      </c>
      <c r="C41" s="137"/>
      <c r="D41" s="83"/>
      <c r="E41" s="1565"/>
      <c r="F41" s="136" t="s">
        <v>558</v>
      </c>
      <c r="G41" s="137"/>
      <c r="H41" s="83"/>
    </row>
    <row r="42" spans="1:11" ht="23.25" customHeight="1" x14ac:dyDescent="0.2">
      <c r="A42" s="1565"/>
      <c r="B42" s="136" t="s">
        <v>552</v>
      </c>
      <c r="C42" s="137"/>
      <c r="D42" s="83"/>
      <c r="E42" s="1565"/>
      <c r="F42" s="136" t="s">
        <v>552</v>
      </c>
      <c r="G42" s="137"/>
      <c r="H42" s="83"/>
    </row>
    <row r="43" spans="1:11" ht="23.25" customHeight="1" x14ac:dyDescent="0.2">
      <c r="A43" s="1565"/>
      <c r="B43" s="136" t="s">
        <v>553</v>
      </c>
      <c r="C43" s="137"/>
      <c r="D43" s="83"/>
      <c r="E43" s="1565"/>
      <c r="F43" s="136" t="s">
        <v>553</v>
      </c>
      <c r="G43" s="137"/>
      <c r="H43" s="83"/>
    </row>
    <row r="44" spans="1:11" ht="23.25" customHeight="1" thickBot="1" x14ac:dyDescent="0.25">
      <c r="A44" s="1566"/>
      <c r="B44" s="138" t="s">
        <v>554</v>
      </c>
      <c r="C44" s="139"/>
      <c r="D44" s="83"/>
      <c r="E44" s="1566"/>
      <c r="F44" s="138" t="s">
        <v>554</v>
      </c>
      <c r="G44" s="139"/>
      <c r="H44" s="83"/>
    </row>
    <row r="45" spans="1:11" ht="23.25" customHeight="1" thickBot="1" x14ac:dyDescent="0.25">
      <c r="A45" s="83"/>
      <c r="B45" s="83"/>
      <c r="C45" s="83"/>
      <c r="D45" s="83"/>
      <c r="E45" s="83"/>
      <c r="F45" s="83"/>
      <c r="G45" s="83"/>
      <c r="H45" s="83"/>
      <c r="K45" s="143"/>
    </row>
    <row r="46" spans="1:11" ht="71.25" customHeight="1" thickBot="1" x14ac:dyDescent="0.25">
      <c r="A46" s="1563" t="s">
        <v>559</v>
      </c>
      <c r="B46" s="130" t="s">
        <v>544</v>
      </c>
      <c r="C46" s="131" t="s">
        <v>560</v>
      </c>
      <c r="D46" s="83"/>
      <c r="E46" s="1563" t="s">
        <v>561</v>
      </c>
      <c r="F46" s="130" t="s">
        <v>544</v>
      </c>
      <c r="G46" s="131" t="s">
        <v>560</v>
      </c>
      <c r="H46" s="83"/>
    </row>
    <row r="47" spans="1:11" ht="23.25" customHeight="1" thickBot="1" x14ac:dyDescent="0.25">
      <c r="A47" s="1565"/>
      <c r="B47" s="144" t="s">
        <v>547</v>
      </c>
      <c r="C47" s="145"/>
      <c r="D47" s="83"/>
      <c r="E47" s="1565"/>
      <c r="F47" s="144" t="s">
        <v>547</v>
      </c>
      <c r="G47" s="145"/>
      <c r="H47" s="83"/>
    </row>
    <row r="48" spans="1:11" ht="30" customHeight="1" thickBot="1" x14ac:dyDescent="0.25">
      <c r="A48" s="1564"/>
      <c r="B48" s="1567" t="s">
        <v>548</v>
      </c>
      <c r="C48" s="1568"/>
      <c r="D48" s="83"/>
      <c r="E48" s="1564"/>
      <c r="F48" s="1567" t="s">
        <v>548</v>
      </c>
      <c r="G48" s="1568"/>
      <c r="H48" s="83"/>
    </row>
    <row r="49" spans="1:10" ht="23.25" customHeight="1" thickBot="1" x14ac:dyDescent="0.25">
      <c r="A49" s="1565"/>
      <c r="B49" s="146" t="s">
        <v>33</v>
      </c>
      <c r="C49" s="147"/>
      <c r="D49" s="83"/>
      <c r="E49" s="1564"/>
      <c r="F49" s="148" t="s">
        <v>33</v>
      </c>
      <c r="G49" s="149"/>
      <c r="H49" s="83"/>
    </row>
    <row r="50" spans="1:10" ht="23.25" customHeight="1" x14ac:dyDescent="0.2">
      <c r="A50" s="1565"/>
      <c r="B50" s="150" t="s">
        <v>549</v>
      </c>
      <c r="C50" s="151"/>
      <c r="D50" s="83"/>
      <c r="E50" s="1565"/>
      <c r="F50" s="146" t="s">
        <v>549</v>
      </c>
      <c r="G50" s="147"/>
      <c r="H50" s="83"/>
    </row>
    <row r="51" spans="1:10" ht="23.25" customHeight="1" x14ac:dyDescent="0.2">
      <c r="A51" s="1565"/>
      <c r="B51" s="150" t="s">
        <v>552</v>
      </c>
      <c r="C51" s="151"/>
      <c r="D51" s="83"/>
      <c r="E51" s="1565"/>
      <c r="F51" s="150" t="s">
        <v>552</v>
      </c>
      <c r="G51" s="151"/>
      <c r="H51" s="83"/>
      <c r="J51" s="152"/>
    </row>
    <row r="52" spans="1:10" ht="23.25" customHeight="1" x14ac:dyDescent="0.2">
      <c r="A52" s="1565"/>
      <c r="B52" s="150" t="s">
        <v>553</v>
      </c>
      <c r="C52" s="151"/>
      <c r="D52" s="83"/>
      <c r="E52" s="1565"/>
      <c r="F52" s="150" t="s">
        <v>553</v>
      </c>
      <c r="G52" s="151"/>
      <c r="H52" s="83"/>
    </row>
    <row r="53" spans="1:10" ht="23.25" customHeight="1" thickBot="1" x14ac:dyDescent="0.25">
      <c r="A53" s="1566"/>
      <c r="B53" s="153" t="s">
        <v>554</v>
      </c>
      <c r="C53" s="154"/>
      <c r="D53" s="83"/>
      <c r="E53" s="1566"/>
      <c r="F53" s="153" t="s">
        <v>554</v>
      </c>
      <c r="G53" s="154"/>
      <c r="H53" s="83"/>
    </row>
    <row r="54" spans="1:10" ht="16" x14ac:dyDescent="0.2">
      <c r="A54" s="83"/>
      <c r="B54" s="83"/>
      <c r="C54" s="83"/>
      <c r="D54" s="83"/>
      <c r="E54" s="83"/>
      <c r="F54" s="155"/>
      <c r="G54" s="83"/>
      <c r="H54" s="83"/>
    </row>
    <row r="55" spans="1:10" ht="16" x14ac:dyDescent="0.2">
      <c r="B55" s="152"/>
    </row>
    <row r="68" spans="4:16" x14ac:dyDescent="0.2">
      <c r="L68" s="100"/>
      <c r="M68" s="100"/>
      <c r="N68" s="100"/>
      <c r="O68" s="100"/>
      <c r="P68" s="100"/>
    </row>
    <row r="69" spans="4:16" x14ac:dyDescent="0.2">
      <c r="L69" s="100"/>
      <c r="M69" s="100"/>
      <c r="N69" s="100"/>
      <c r="O69" s="100"/>
      <c r="P69" s="100"/>
    </row>
    <row r="71" spans="4:16" x14ac:dyDescent="0.2">
      <c r="H71" s="100"/>
    </row>
    <row r="72" spans="4:16" x14ac:dyDescent="0.2">
      <c r="H72" s="100"/>
    </row>
    <row r="77" spans="4:16" x14ac:dyDescent="0.2">
      <c r="D77" s="100"/>
    </row>
    <row r="78" spans="4:16" x14ac:dyDescent="0.2">
      <c r="D78" s="100"/>
    </row>
  </sheetData>
  <mergeCells count="21">
    <mergeCell ref="B13:C13"/>
    <mergeCell ref="B2:C2"/>
    <mergeCell ref="F2:G2"/>
    <mergeCell ref="B3:C11"/>
    <mergeCell ref="F3:G11"/>
    <mergeCell ref="B12:C12"/>
    <mergeCell ref="B14:C16"/>
    <mergeCell ref="B21:G21"/>
    <mergeCell ref="B22:G22"/>
    <mergeCell ref="A24:A33"/>
    <mergeCell ref="E24:E33"/>
    <mergeCell ref="B26:C26"/>
    <mergeCell ref="F26:G26"/>
    <mergeCell ref="A35:A44"/>
    <mergeCell ref="E35:E44"/>
    <mergeCell ref="B37:C37"/>
    <mergeCell ref="F37:G37"/>
    <mergeCell ref="A46:A53"/>
    <mergeCell ref="E46:E53"/>
    <mergeCell ref="B48:C48"/>
    <mergeCell ref="F48:G48"/>
  </mergeCells>
  <dataValidations count="25">
    <dataValidation type="list" allowBlank="1" showInputMessage="1" showErrorMessage="1" prompt="Stop Loss Options are listed as &quot;Group Size&quot;/&quot;Specific Level&quot;/&quot;Aggrigate Corridor&quot;" sqref="C19">
      <formula1>$AH$1:$AH$18</formula1>
    </dataValidation>
    <dataValidation type="list" allowBlank="1" showInputMessage="1" showErrorMessage="1" prompt="Deductible and OOP must match for embedded or non-embedded" sqref="C49 G49">
      <formula1>$AQ$1:$AQ$8</formula1>
    </dataValidation>
    <dataValidation type="list" allowBlank="1" showInputMessage="1" showErrorMessage="1" sqref="C33 G53 G33 C53 C44 G44">
      <formula1>$AC$1:$AC$2</formula1>
    </dataValidation>
    <dataValidation type="list" allowBlank="1" showInputMessage="1" showErrorMessage="1" sqref="G34">
      <formula1>$AG$1:$AG$3</formula1>
    </dataValidation>
    <dataValidation type="list" allowBlank="1" showInputMessage="1" showErrorMessage="1" prompt="Standard Refund Level is 2/3" sqref="C18">
      <formula1>$AG$1:$AG$3</formula1>
    </dataValidation>
    <dataValidation type="list" allowBlank="1" showInputMessage="1" showErrorMessage="1" sqref="C17">
      <formula1>$AE$1:$AE$2</formula1>
    </dataValidation>
    <dataValidation type="list" allowBlank="1" showInputMessage="1" showErrorMessage="1" prompt="Select a Base Plan then select Customization Options" sqref="C36 G36">
      <formula1>$AU$1:$AU$2</formula1>
    </dataValidation>
    <dataValidation type="list" allowBlank="1" showInputMessage="1" showErrorMessage="1" prompt="Select a Base Plan then select Customization Options" sqref="C47 G47">
      <formula1>$AP$1:$AP$2</formula1>
    </dataValidation>
    <dataValidation type="list" allowBlank="1" showInputMessage="1" showErrorMessage="1" prompt="Select a Base Plan then select Customization Options" sqref="C25 G25">
      <formula1>$AI$1:$AI$2</formula1>
    </dataValidation>
    <dataValidation type="list" allowBlank="1" showInputMessage="1" showErrorMessage="1" sqref="C42 G42">
      <formula1>$BA$1:$BA$3</formula1>
    </dataValidation>
    <dataValidation type="list" allowBlank="1" showInputMessage="1" showErrorMessage="1" sqref="C41 G41">
      <formula1>$AZ$1:$AZ$6</formula1>
    </dataValidation>
    <dataValidation type="list" allowBlank="1" showInputMessage="1" showErrorMessage="1" sqref="C39 G39">
      <formula1>$AX$1:$AX$11</formula1>
    </dataValidation>
    <dataValidation type="list" allowBlank="1" showInputMessage="1" showErrorMessage="1" sqref="C38 G38">
      <formula1>$AW$1:$AW$5</formula1>
    </dataValidation>
    <dataValidation type="list" allowBlank="1" showInputMessage="1" showErrorMessage="1" sqref="C51 G51">
      <formula1>$AS$1:$AS$4</formula1>
    </dataValidation>
    <dataValidation type="list" allowBlank="1" showInputMessage="1" showErrorMessage="1" prompt="In order to quote a Custom Plan, you will need to select that plan type for a Standard Quote here." sqref="C13">
      <formula1>$AD$1:$AD$7</formula1>
    </dataValidation>
    <dataValidation type="list" allowBlank="1" showInputMessage="1" showErrorMessage="1" prompt="Plans with a separate Rx deductible cannot exceed $6850 when combined with the medical Deductible" sqref="C32 G32">
      <formula1>$AO$1:$AO$16</formula1>
    </dataValidation>
    <dataValidation type="list" allowBlank="1" showInputMessage="1" showErrorMessage="1" prompt="Plans with a separate Rx deductible cannot exceed $6850 when combined with the medical Deductible" sqref="C43 G43">
      <formula1>$BB$1:$BB$16</formula1>
    </dataValidation>
    <dataValidation type="list" allowBlank="1" showInputMessage="1" showErrorMessage="1" prompt="Plans with a separate Rx deductible cannot exceed $6850 when combined with the medical Deductible" sqref="C52 G52">
      <formula1>$AT$1:$AT$8</formula1>
    </dataValidation>
    <dataValidation type="list" allowBlank="1" showInputMessage="1" showErrorMessage="1" sqref="C27 G27">
      <formula1>$AJ$1:$AJ$15</formula1>
    </dataValidation>
    <dataValidation type="list" allowBlank="1" showInputMessage="1" showErrorMessage="1" sqref="C31 G31">
      <formula1>$AN$1:$AN$5</formula1>
    </dataValidation>
    <dataValidation type="list" allowBlank="1" showInputMessage="1" showErrorMessage="1" prompt="Deductible and OOP must match for embedded or non-embedded" sqref="C50 G50">
      <formula1>$AR$1:$AR$9</formula1>
    </dataValidation>
    <dataValidation type="list" allowBlank="1" showInputMessage="1" showErrorMessage="1" prompt="Urgent Care Copay must be greater than or equal to the Specialist Copay." sqref="C40 G40">
      <formula1>$AY$1:$AY$15</formula1>
    </dataValidation>
    <dataValidation type="list" allowBlank="1" showInputMessage="1" showErrorMessage="1" sqref="C28 G28">
      <formula1>$AK$1:$AK$1213</formula1>
    </dataValidation>
    <dataValidation type="list" allowBlank="1" showInputMessage="1" showErrorMessage="1" sqref="C29 G29">
      <formula1>$AL$1:$AL$11</formula1>
    </dataValidation>
    <dataValidation type="list" allowBlank="1" showInputMessage="1" showErrorMessage="1" prompt="Urgent Care Copay must be greater than or equal to the Specialist Copay." sqref="C30 G30">
      <formula1>$AM$1:$AM$14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nchor moveWithCells="1">
                  <from>
                    <xdr:col>1</xdr:col>
                    <xdr:colOff>0</xdr:colOff>
                    <xdr:row>13</xdr:row>
                    <xdr:rowOff>50800</xdr:rowOff>
                  </from>
                  <to>
                    <xdr:col>1</xdr:col>
                    <xdr:colOff>838200</xdr:colOff>
                    <xdr:row>14</xdr:row>
                    <xdr:rowOff>76200</xdr:rowOff>
                  </to>
                </anchor>
              </controlPr>
            </control>
          </mc:Choice>
          <mc:Fallback/>
        </mc:AlternateContent>
        <mc:AlternateContent xmlns:mc="http://schemas.openxmlformats.org/markup-compatibility/2006">
          <mc:Choice Requires="x14">
            <control shapeId="5122" r:id="rId5" name="Check Box 2">
              <controlPr defaultSize="0" autoFill="0" autoLine="0" autoPict="0">
                <anchor moveWithCells="1">
                  <from>
                    <xdr:col>1</xdr:col>
                    <xdr:colOff>0</xdr:colOff>
                    <xdr:row>14</xdr:row>
                    <xdr:rowOff>25400</xdr:rowOff>
                  </from>
                  <to>
                    <xdr:col>1</xdr:col>
                    <xdr:colOff>825500</xdr:colOff>
                    <xdr:row>15</xdr:row>
                    <xdr:rowOff>63500</xdr:rowOff>
                  </to>
                </anchor>
              </controlPr>
            </control>
          </mc:Choice>
          <mc:Fallback/>
        </mc:AlternateContent>
        <mc:AlternateContent xmlns:mc="http://schemas.openxmlformats.org/markup-compatibility/2006">
          <mc:Choice Requires="x14">
            <control shapeId="5123" r:id="rId6" name="Check Box 3">
              <controlPr defaultSize="0" autoFill="0" autoLine="0" autoPict="0">
                <anchor moveWithCells="1">
                  <from>
                    <xdr:col>1</xdr:col>
                    <xdr:colOff>0</xdr:colOff>
                    <xdr:row>15</xdr:row>
                    <xdr:rowOff>0</xdr:rowOff>
                  </from>
                  <to>
                    <xdr:col>1</xdr:col>
                    <xdr:colOff>825500</xdr:colOff>
                    <xdr:row>16</xdr:row>
                    <xdr:rowOff>25400</xdr:rowOff>
                  </to>
                </anchor>
              </controlPr>
            </control>
          </mc:Choice>
          <mc:Fallback/>
        </mc:AlternateContent>
      </controls>
    </mc:Choice>
    <mc:Fallback/>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L9"/>
  <sheetViews>
    <sheetView workbookViewId="0">
      <selection activeCell="A12" sqref="A12"/>
    </sheetView>
  </sheetViews>
  <sheetFormatPr baseColWidth="10" defaultColWidth="8.83203125" defaultRowHeight="15" x14ac:dyDescent="0.2"/>
  <cols>
    <col min="1" max="1" width="3.83203125" customWidth="1"/>
  </cols>
  <sheetData>
    <row r="1" spans="1:12" ht="24" x14ac:dyDescent="0.3">
      <c r="A1" s="156"/>
      <c r="B1" s="84" t="s">
        <v>562</v>
      </c>
      <c r="C1" s="85"/>
      <c r="D1" s="156"/>
      <c r="E1" s="156"/>
      <c r="F1" s="156"/>
      <c r="G1" s="156"/>
      <c r="H1" s="156"/>
      <c r="I1" s="156"/>
      <c r="J1" s="156"/>
      <c r="K1" s="156"/>
      <c r="L1" s="156"/>
    </row>
    <row r="2" spans="1:12" x14ac:dyDescent="0.2">
      <c r="A2" s="156"/>
      <c r="B2" s="156"/>
      <c r="C2" s="156"/>
      <c r="D2" s="156"/>
      <c r="E2" s="156"/>
      <c r="F2" s="156"/>
      <c r="G2" s="156"/>
      <c r="H2" s="156"/>
      <c r="I2" s="156"/>
      <c r="J2" s="156"/>
      <c r="K2" s="156"/>
      <c r="L2" s="156"/>
    </row>
    <row r="3" spans="1:12" ht="16" x14ac:dyDescent="0.2">
      <c r="A3" s="156"/>
      <c r="B3" s="157" t="s">
        <v>563</v>
      </c>
      <c r="C3" s="158"/>
      <c r="D3" s="158"/>
      <c r="E3" s="158"/>
      <c r="F3" s="159" t="s">
        <v>564</v>
      </c>
      <c r="G3" s="156"/>
      <c r="H3" s="156"/>
      <c r="I3" s="156"/>
      <c r="J3" s="156"/>
      <c r="K3" s="156"/>
      <c r="L3" s="156"/>
    </row>
    <row r="4" spans="1:12" ht="16" x14ac:dyDescent="0.2">
      <c r="A4" s="156"/>
      <c r="B4" s="160" t="s">
        <v>565</v>
      </c>
      <c r="C4" s="161"/>
      <c r="D4" s="161"/>
      <c r="E4" s="161"/>
      <c r="F4" s="161"/>
      <c r="G4" s="156"/>
      <c r="H4" s="156"/>
      <c r="I4" s="156"/>
      <c r="J4" s="156"/>
      <c r="K4" s="156"/>
      <c r="L4" s="156"/>
    </row>
    <row r="5" spans="1:12" x14ac:dyDescent="0.2">
      <c r="A5" s="156"/>
      <c r="B5" s="156"/>
      <c r="C5" s="156"/>
      <c r="D5" s="156"/>
      <c r="E5" s="156"/>
      <c r="F5" s="156"/>
      <c r="G5" s="156"/>
      <c r="H5" s="156"/>
      <c r="I5" s="156"/>
      <c r="J5" s="156"/>
      <c r="K5" s="156"/>
      <c r="L5" s="156"/>
    </row>
    <row r="6" spans="1:12" x14ac:dyDescent="0.2">
      <c r="A6" s="156"/>
      <c r="B6" s="162" t="s">
        <v>566</v>
      </c>
      <c r="C6" s="163"/>
      <c r="D6" s="156"/>
      <c r="E6" s="156"/>
      <c r="F6" s="156"/>
      <c r="G6" s="156"/>
      <c r="H6" s="156"/>
      <c r="I6" s="156"/>
      <c r="J6" s="156"/>
      <c r="K6" s="156"/>
      <c r="L6" s="156"/>
    </row>
    <row r="7" spans="1:12" x14ac:dyDescent="0.2">
      <c r="A7" s="156"/>
      <c r="B7" s="162" t="s">
        <v>567</v>
      </c>
      <c r="C7" s="163"/>
      <c r="D7" s="156"/>
      <c r="E7" s="156"/>
      <c r="F7" s="156"/>
      <c r="G7" s="156"/>
      <c r="H7" s="156"/>
      <c r="I7" s="156"/>
      <c r="J7" s="156"/>
      <c r="K7" s="156"/>
      <c r="L7" s="156"/>
    </row>
    <row r="8" spans="1:12" x14ac:dyDescent="0.2">
      <c r="A8" s="156"/>
      <c r="B8" s="156"/>
      <c r="C8" s="156"/>
      <c r="D8" s="156"/>
      <c r="E8" s="156"/>
      <c r="F8" s="156"/>
      <c r="G8" s="156"/>
      <c r="H8" s="156"/>
      <c r="I8" s="156"/>
      <c r="J8" s="156"/>
      <c r="K8" s="156"/>
      <c r="L8" s="156"/>
    </row>
    <row r="9" spans="1:12" x14ac:dyDescent="0.2">
      <c r="A9" s="156"/>
      <c r="B9" s="156"/>
      <c r="C9" s="156"/>
      <c r="D9" s="156"/>
      <c r="E9" s="156"/>
      <c r="F9" s="156"/>
      <c r="G9" s="156"/>
      <c r="H9" s="156"/>
      <c r="I9" s="156"/>
      <c r="J9" s="156"/>
      <c r="K9" s="156"/>
      <c r="L9" s="156"/>
    </row>
  </sheetData>
  <hyperlinks>
    <hyperlink ref="F3" r:id="rId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pageSetUpPr fitToPage="1"/>
  </sheetPr>
  <dimension ref="A1:K37"/>
  <sheetViews>
    <sheetView topLeftCell="A7" workbookViewId="0">
      <selection activeCell="A19" sqref="A19"/>
    </sheetView>
  </sheetViews>
  <sheetFormatPr baseColWidth="10" defaultColWidth="8.83203125" defaultRowHeight="15" x14ac:dyDescent="0.2"/>
  <cols>
    <col min="1" max="1" width="40.83203125" customWidth="1"/>
    <col min="2" max="2" width="11.1640625" customWidth="1"/>
    <col min="3" max="5" width="10.5" bestFit="1" customWidth="1"/>
    <col min="7" max="7" width="8.1640625" bestFit="1" customWidth="1"/>
    <col min="8" max="8" width="9.5" bestFit="1" customWidth="1"/>
    <col min="9" max="9" width="9.5" customWidth="1"/>
    <col min="10" max="10" width="9.5" bestFit="1" customWidth="1"/>
  </cols>
  <sheetData>
    <row r="1" spans="1:10" s="445" customFormat="1" ht="29.5" customHeight="1" x14ac:dyDescent="0.2">
      <c r="A1" s="1583" t="s">
        <v>1796</v>
      </c>
      <c r="B1" s="1583"/>
      <c r="C1" s="1583"/>
      <c r="D1" s="1583"/>
      <c r="E1" s="1583"/>
      <c r="F1" s="1583"/>
      <c r="G1" s="1583"/>
      <c r="H1" s="1583"/>
      <c r="I1" s="1583"/>
      <c r="J1" s="1583"/>
    </row>
    <row r="2" spans="1:10" s="447" customFormat="1" ht="16" x14ac:dyDescent="0.2">
      <c r="A2" s="446" t="s">
        <v>1797</v>
      </c>
      <c r="B2" s="1584" t="str">
        <f>INTAKE!E5</f>
        <v>Test Client</v>
      </c>
      <c r="C2" s="1585"/>
      <c r="D2" s="1585"/>
      <c r="E2" s="1585"/>
      <c r="F2" s="1585"/>
      <c r="G2" s="1585"/>
      <c r="H2" s="1585"/>
      <c r="I2" s="1585"/>
      <c r="J2" s="1586"/>
    </row>
    <row r="3" spans="1:10" s="447" customFormat="1" ht="16" x14ac:dyDescent="0.2">
      <c r="A3" s="446" t="s">
        <v>11</v>
      </c>
      <c r="B3" s="1587">
        <f>INTAKE!E7</f>
        <v>43387</v>
      </c>
      <c r="C3" s="1588"/>
      <c r="D3" s="1588"/>
      <c r="E3" s="1588"/>
      <c r="F3" s="1588"/>
      <c r="G3" s="1588"/>
      <c r="H3" s="1588"/>
      <c r="I3" s="1588"/>
      <c r="J3" s="1589"/>
    </row>
    <row r="4" spans="1:10" ht="16" x14ac:dyDescent="0.2">
      <c r="A4" s="446" t="s">
        <v>1798</v>
      </c>
      <c r="B4" s="1590">
        <f>INTAKE!E40</f>
        <v>0.04</v>
      </c>
      <c r="C4" s="1591"/>
      <c r="D4" s="1591"/>
      <c r="E4" s="1591"/>
      <c r="F4" s="1591"/>
      <c r="G4" s="1591"/>
      <c r="H4" s="1591"/>
      <c r="I4" s="1591"/>
      <c r="J4" s="1592"/>
    </row>
    <row r="5" spans="1:10" x14ac:dyDescent="0.2">
      <c r="A5" s="448"/>
      <c r="B5" s="449" t="s">
        <v>48</v>
      </c>
      <c r="C5" s="449" t="s">
        <v>49</v>
      </c>
      <c r="D5" s="449" t="s">
        <v>94</v>
      </c>
      <c r="E5" s="449" t="s">
        <v>95</v>
      </c>
      <c r="F5" s="449" t="s">
        <v>96</v>
      </c>
      <c r="G5" s="450"/>
      <c r="H5" s="450"/>
      <c r="I5" s="450"/>
      <c r="J5" s="450"/>
    </row>
    <row r="6" spans="1:10" x14ac:dyDescent="0.2">
      <c r="A6" s="451" t="s">
        <v>1799</v>
      </c>
      <c r="B6" s="452"/>
      <c r="C6" s="452"/>
      <c r="D6" s="452"/>
      <c r="E6" s="452"/>
      <c r="F6" s="452"/>
    </row>
    <row r="7" spans="1:10" ht="16" thickBot="1" x14ac:dyDescent="0.25">
      <c r="A7" s="451" t="s">
        <v>1800</v>
      </c>
      <c r="B7" s="453" t="str">
        <f>IF(B6="","",1)</f>
        <v/>
      </c>
      <c r="C7" s="453" t="str">
        <f t="shared" ref="C7:D7" si="0">IF(C6="","",1)</f>
        <v/>
      </c>
      <c r="D7" s="453" t="str">
        <f t="shared" si="0"/>
        <v/>
      </c>
      <c r="E7" s="453" t="str">
        <f>IF(E6="","",0.5)</f>
        <v/>
      </c>
      <c r="F7" s="453" t="str">
        <f>IF(F6="","",0.5)</f>
        <v/>
      </c>
      <c r="G7" s="453">
        <f>SUM(B7:F7)</f>
        <v>0</v>
      </c>
    </row>
    <row r="8" spans="1:10" ht="31" thickBot="1" x14ac:dyDescent="0.25">
      <c r="A8" s="1593" t="s">
        <v>1801</v>
      </c>
      <c r="B8" s="1594"/>
      <c r="C8" s="1594"/>
      <c r="D8" s="1594"/>
      <c r="E8" s="1595"/>
      <c r="F8" s="454" t="s">
        <v>1802</v>
      </c>
      <c r="G8" s="1593" t="s">
        <v>1803</v>
      </c>
      <c r="H8" s="1594"/>
      <c r="I8" s="1594"/>
      <c r="J8" s="1596"/>
    </row>
    <row r="9" spans="1:10" ht="16" thickBot="1" x14ac:dyDescent="0.25">
      <c r="A9" s="455" t="s">
        <v>1804</v>
      </c>
      <c r="B9" s="456" t="s">
        <v>30</v>
      </c>
      <c r="C9" s="456" t="s">
        <v>1805</v>
      </c>
      <c r="D9" s="456" t="s">
        <v>1806</v>
      </c>
      <c r="E9" s="456" t="s">
        <v>1807</v>
      </c>
      <c r="F9" s="457" t="s">
        <v>1705</v>
      </c>
      <c r="G9" s="456" t="s">
        <v>30</v>
      </c>
      <c r="H9" s="456" t="s">
        <v>1805</v>
      </c>
      <c r="I9" s="456" t="s">
        <v>1806</v>
      </c>
      <c r="J9" s="456" t="s">
        <v>1807</v>
      </c>
    </row>
    <row r="10" spans="1:10" ht="14" customHeight="1" x14ac:dyDescent="0.2">
      <c r="A10" s="458" t="s">
        <v>1808</v>
      </c>
      <c r="B10" s="459">
        <v>100</v>
      </c>
      <c r="C10" s="459">
        <v>200</v>
      </c>
      <c r="D10" s="459">
        <v>300</v>
      </c>
      <c r="E10" s="459">
        <v>400</v>
      </c>
      <c r="F10" s="460">
        <f>$B$4</f>
        <v>0.04</v>
      </c>
      <c r="G10" s="459">
        <f>SUM(B10)-(B10*$G$7%)</f>
        <v>100</v>
      </c>
      <c r="H10" s="459">
        <f t="shared" ref="H10" si="1">SUM(C10)-(C10*$G$7%)</f>
        <v>200</v>
      </c>
      <c r="I10" s="459">
        <f t="shared" ref="I10:I11" si="2">SUM(D10)-(D10*$G$7%)</f>
        <v>300</v>
      </c>
      <c r="J10" s="459">
        <f t="shared" ref="J10:J14" si="3">SUM(E10)-(E10*$G$7%)</f>
        <v>400</v>
      </c>
    </row>
    <row r="11" spans="1:10" ht="14" customHeight="1" x14ac:dyDescent="0.2">
      <c r="A11" s="461"/>
      <c r="B11" s="462"/>
      <c r="C11" s="462"/>
      <c r="D11" s="462"/>
      <c r="E11" s="462"/>
      <c r="F11" s="463">
        <f>$B$4</f>
        <v>0.04</v>
      </c>
      <c r="G11" s="462">
        <f>SUM(B11)-(B11*$G$7%)</f>
        <v>0</v>
      </c>
      <c r="H11" s="462">
        <f t="shared" ref="H11" si="4">SUM(C11)-(C11*$G$7%)</f>
        <v>0</v>
      </c>
      <c r="I11" s="462">
        <f t="shared" si="2"/>
        <v>0</v>
      </c>
      <c r="J11" s="462">
        <f t="shared" si="3"/>
        <v>0</v>
      </c>
    </row>
    <row r="12" spans="1:10" ht="14" customHeight="1" x14ac:dyDescent="0.2">
      <c r="A12" s="461"/>
      <c r="B12" s="462"/>
      <c r="C12" s="462"/>
      <c r="D12" s="462"/>
      <c r="E12" s="462"/>
      <c r="F12" s="463">
        <f t="shared" ref="F12:F17" si="5">$B$4</f>
        <v>0.04</v>
      </c>
      <c r="G12" s="462">
        <f t="shared" ref="G12:I14" si="6">SUM(B12)-(B12*$G$7%)</f>
        <v>0</v>
      </c>
      <c r="H12" s="462">
        <f t="shared" si="6"/>
        <v>0</v>
      </c>
      <c r="I12" s="462">
        <f t="shared" si="6"/>
        <v>0</v>
      </c>
      <c r="J12" s="462">
        <f t="shared" si="3"/>
        <v>0</v>
      </c>
    </row>
    <row r="13" spans="1:10" ht="14" customHeight="1" x14ac:dyDescent="0.2">
      <c r="A13" s="464"/>
      <c r="B13" s="465"/>
      <c r="C13" s="465"/>
      <c r="D13" s="465"/>
      <c r="E13" s="465"/>
      <c r="F13" s="463">
        <f t="shared" si="5"/>
        <v>0.04</v>
      </c>
      <c r="G13" s="462">
        <f t="shared" si="6"/>
        <v>0</v>
      </c>
      <c r="H13" s="462">
        <f t="shared" si="6"/>
        <v>0</v>
      </c>
      <c r="I13" s="462">
        <f t="shared" si="6"/>
        <v>0</v>
      </c>
      <c r="J13" s="462">
        <f t="shared" si="3"/>
        <v>0</v>
      </c>
    </row>
    <row r="14" spans="1:10" ht="14" customHeight="1" x14ac:dyDescent="0.2">
      <c r="A14" s="464"/>
      <c r="B14" s="465"/>
      <c r="C14" s="465"/>
      <c r="D14" s="465"/>
      <c r="E14" s="465"/>
      <c r="F14" s="463">
        <f t="shared" si="5"/>
        <v>0.04</v>
      </c>
      <c r="G14" s="462">
        <f t="shared" si="6"/>
        <v>0</v>
      </c>
      <c r="H14" s="462">
        <f t="shared" si="6"/>
        <v>0</v>
      </c>
      <c r="I14" s="462">
        <f t="shared" si="6"/>
        <v>0</v>
      </c>
      <c r="J14" s="462">
        <f t="shared" si="3"/>
        <v>0</v>
      </c>
    </row>
    <row r="15" spans="1:10" ht="6" customHeight="1" x14ac:dyDescent="0.2">
      <c r="A15" s="466"/>
      <c r="B15" s="467"/>
      <c r="C15" s="467"/>
      <c r="D15" s="467"/>
      <c r="E15" s="467"/>
      <c r="F15" s="468"/>
      <c r="G15" s="469"/>
      <c r="H15" s="469"/>
      <c r="I15" s="469"/>
      <c r="J15" s="470"/>
    </row>
    <row r="16" spans="1:10" ht="14.5" customHeight="1" x14ac:dyDescent="0.2">
      <c r="A16" s="471" t="s">
        <v>1809</v>
      </c>
      <c r="B16" s="472"/>
      <c r="C16" s="472"/>
      <c r="D16" s="472"/>
      <c r="E16" s="472"/>
      <c r="F16" s="463">
        <f t="shared" si="5"/>
        <v>0.04</v>
      </c>
      <c r="G16" s="1580" t="s">
        <v>1810</v>
      </c>
      <c r="H16" s="1581"/>
      <c r="I16" s="1581"/>
      <c r="J16" s="1582"/>
    </row>
    <row r="17" spans="1:10" ht="14.5" customHeight="1" x14ac:dyDescent="0.2">
      <c r="A17" s="471" t="s">
        <v>1809</v>
      </c>
      <c r="B17" s="472"/>
      <c r="C17" s="472"/>
      <c r="D17" s="472"/>
      <c r="E17" s="472"/>
      <c r="F17" s="463">
        <f t="shared" si="5"/>
        <v>0.04</v>
      </c>
      <c r="G17" s="1580" t="s">
        <v>1810</v>
      </c>
      <c r="H17" s="1581"/>
      <c r="I17" s="1581"/>
      <c r="J17" s="1582"/>
    </row>
    <row r="18" spans="1:10" ht="6" customHeight="1" x14ac:dyDescent="0.2">
      <c r="A18" s="466"/>
      <c r="B18" s="467"/>
      <c r="C18" s="467"/>
      <c r="D18" s="467"/>
      <c r="E18" s="467"/>
      <c r="F18" s="468"/>
      <c r="G18" s="469"/>
      <c r="H18" s="469"/>
      <c r="I18" s="469"/>
      <c r="J18" s="470"/>
    </row>
    <row r="19" spans="1:10" x14ac:dyDescent="0.2">
      <c r="A19" s="473" t="s">
        <v>1811</v>
      </c>
      <c r="B19" s="474"/>
      <c r="C19" s="474"/>
      <c r="D19" s="474"/>
      <c r="E19" s="474"/>
      <c r="F19" s="475"/>
      <c r="G19" s="476"/>
      <c r="H19" s="476"/>
      <c r="I19" s="476"/>
      <c r="J19" s="477"/>
    </row>
    <row r="20" spans="1:10" x14ac:dyDescent="0.2">
      <c r="A20" s="478" t="s">
        <v>1812</v>
      </c>
      <c r="B20" s="472"/>
      <c r="C20" s="472"/>
      <c r="D20" s="472"/>
      <c r="E20" s="472"/>
      <c r="F20" s="479"/>
      <c r="G20" s="480"/>
      <c r="H20" s="480"/>
      <c r="I20" s="480"/>
      <c r="J20" s="481"/>
    </row>
    <row r="21" spans="1:10" x14ac:dyDescent="0.2">
      <c r="A21" s="478" t="s">
        <v>49</v>
      </c>
      <c r="B21" s="472"/>
      <c r="C21" s="472"/>
      <c r="D21" s="472"/>
      <c r="E21" s="472"/>
      <c r="F21" s="479"/>
      <c r="G21" s="480"/>
      <c r="H21" s="480"/>
      <c r="I21" s="480"/>
      <c r="J21" s="481"/>
    </row>
    <row r="22" spans="1:10" x14ac:dyDescent="0.2">
      <c r="A22" s="478" t="s">
        <v>1813</v>
      </c>
      <c r="B22" s="472"/>
      <c r="C22" s="472"/>
      <c r="D22" s="472"/>
      <c r="E22" s="472"/>
      <c r="F22" s="479"/>
      <c r="G22" s="480"/>
      <c r="H22" s="480"/>
      <c r="I22" s="480"/>
      <c r="J22" s="481"/>
    </row>
    <row r="23" spans="1:10" x14ac:dyDescent="0.2">
      <c r="A23" s="478" t="s">
        <v>1814</v>
      </c>
      <c r="B23" s="472"/>
      <c r="C23" s="472"/>
      <c r="D23" s="472"/>
      <c r="E23" s="472"/>
      <c r="F23" s="479"/>
      <c r="G23" s="480"/>
      <c r="H23" s="480"/>
      <c r="I23" s="480"/>
      <c r="J23" s="481"/>
    </row>
    <row r="24" spans="1:10" x14ac:dyDescent="0.2">
      <c r="A24" s="478" t="s">
        <v>95</v>
      </c>
      <c r="B24" s="472"/>
      <c r="C24" s="472"/>
      <c r="D24" s="472"/>
      <c r="E24" s="472"/>
      <c r="F24" s="479"/>
      <c r="G24" s="480"/>
      <c r="H24" s="480"/>
      <c r="I24" s="480"/>
      <c r="J24" s="481"/>
    </row>
    <row r="25" spans="1:10" x14ac:dyDescent="0.2">
      <c r="A25" s="478" t="s">
        <v>96</v>
      </c>
      <c r="B25" s="472"/>
      <c r="C25" s="472"/>
      <c r="D25" s="472"/>
      <c r="E25" s="472"/>
      <c r="F25" s="479"/>
      <c r="G25" s="480"/>
      <c r="H25" s="480"/>
      <c r="I25" s="480"/>
      <c r="J25" s="481"/>
    </row>
    <row r="26" spans="1:10" x14ac:dyDescent="0.2">
      <c r="A26" s="478" t="s">
        <v>1815</v>
      </c>
      <c r="B26" s="472"/>
      <c r="C26" s="472"/>
      <c r="D26" s="472"/>
      <c r="E26" s="472"/>
      <c r="F26" s="479"/>
      <c r="G26" s="480"/>
      <c r="H26" s="480"/>
      <c r="I26" s="480"/>
      <c r="J26" s="481"/>
    </row>
    <row r="27" spans="1:10" x14ac:dyDescent="0.2">
      <c r="A27" s="478" t="s">
        <v>1816</v>
      </c>
      <c r="B27" s="472"/>
      <c r="C27" s="472"/>
      <c r="D27" s="472"/>
      <c r="E27" s="472"/>
      <c r="F27" s="479"/>
      <c r="G27" s="480"/>
      <c r="H27" s="480"/>
      <c r="I27" s="480"/>
      <c r="J27" s="481"/>
    </row>
    <row r="28" spans="1:10" x14ac:dyDescent="0.2">
      <c r="A28" s="478" t="s">
        <v>1817</v>
      </c>
      <c r="B28" s="472"/>
      <c r="C28" s="472"/>
      <c r="D28" s="472"/>
      <c r="E28" s="472"/>
      <c r="F28" s="479"/>
      <c r="G28" s="480"/>
      <c r="H28" s="480"/>
      <c r="I28" s="480"/>
      <c r="J28" s="481"/>
    </row>
    <row r="29" spans="1:10" x14ac:dyDescent="0.2">
      <c r="A29" s="478" t="s">
        <v>1818</v>
      </c>
      <c r="B29" s="472"/>
      <c r="C29" s="472"/>
      <c r="D29" s="472"/>
      <c r="E29" s="472"/>
      <c r="F29" s="479"/>
      <c r="G29" s="480"/>
      <c r="H29" s="480"/>
      <c r="I29" s="480"/>
      <c r="J29" s="481"/>
    </row>
    <row r="30" spans="1:10" x14ac:dyDescent="0.2">
      <c r="A30" s="478" t="s">
        <v>1819</v>
      </c>
      <c r="B30" s="472"/>
      <c r="C30" s="472"/>
      <c r="D30" s="472"/>
      <c r="E30" s="472"/>
      <c r="F30" s="479"/>
      <c r="G30" s="480"/>
      <c r="H30" s="480"/>
      <c r="I30" s="480"/>
      <c r="J30" s="481"/>
    </row>
    <row r="31" spans="1:10" ht="16" thickBot="1" x14ac:dyDescent="0.25">
      <c r="A31" s="482"/>
      <c r="B31" s="483"/>
      <c r="C31" s="484"/>
      <c r="D31" s="484"/>
      <c r="E31" s="484"/>
      <c r="F31" s="484"/>
      <c r="G31" s="485"/>
      <c r="H31" s="485"/>
      <c r="I31" s="485"/>
      <c r="J31" s="486"/>
    </row>
    <row r="32" spans="1:10" x14ac:dyDescent="0.2">
      <c r="A32" s="487"/>
    </row>
    <row r="37" spans="8:11" x14ac:dyDescent="0.2">
      <c r="H37" s="488">
        <f t="shared" ref="H37:I37" si="7">B15*0.97</f>
        <v>0</v>
      </c>
      <c r="I37" s="488">
        <f t="shared" si="7"/>
        <v>0</v>
      </c>
      <c r="K37" s="488">
        <f t="shared" ref="K37" si="8">E15*0.97</f>
        <v>0</v>
      </c>
    </row>
  </sheetData>
  <mergeCells count="8">
    <mergeCell ref="G16:J16"/>
    <mergeCell ref="G17:J17"/>
    <mergeCell ref="A1:J1"/>
    <mergeCell ref="B2:J2"/>
    <mergeCell ref="B3:J3"/>
    <mergeCell ref="B4:J4"/>
    <mergeCell ref="A8:E8"/>
    <mergeCell ref="G8:J8"/>
  </mergeCells>
  <dataValidations count="1">
    <dataValidation type="list" allowBlank="1" showInputMessage="1" showErrorMessage="1" sqref="B6:F6">
      <formula1>"X,"</formula1>
    </dataValidation>
  </dataValidations>
  <pageMargins left="0.7" right="0.7" top="0.75" bottom="0.75" header="0.3" footer="0.3"/>
  <pageSetup scale="75"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E48"/>
  <sheetViews>
    <sheetView workbookViewId="0">
      <selection activeCell="B11" sqref="B11"/>
    </sheetView>
  </sheetViews>
  <sheetFormatPr baseColWidth="10" defaultColWidth="9.1640625" defaultRowHeight="15" x14ac:dyDescent="0.2"/>
  <cols>
    <col min="1" max="1" width="43.83203125" style="166" bestFit="1" customWidth="1"/>
    <col min="2" max="2" width="43.83203125" style="166" customWidth="1"/>
    <col min="3" max="3" width="16.6640625" style="166" bestFit="1" customWidth="1"/>
    <col min="4" max="4" width="18.1640625" style="166" bestFit="1" customWidth="1"/>
    <col min="5" max="16384" width="9.1640625" style="166"/>
  </cols>
  <sheetData>
    <row r="1" spans="1:5" x14ac:dyDescent="0.2">
      <c r="A1" s="165" t="s">
        <v>585</v>
      </c>
      <c r="B1" s="165" t="s">
        <v>586</v>
      </c>
      <c r="C1" s="165"/>
    </row>
    <row r="2" spans="1:5" x14ac:dyDescent="0.2">
      <c r="A2" s="167"/>
      <c r="B2" s="167"/>
      <c r="C2" s="167"/>
    </row>
    <row r="3" spans="1:5" x14ac:dyDescent="0.2">
      <c r="A3" s="168" t="s">
        <v>587</v>
      </c>
      <c r="B3" s="166" t="s">
        <v>588</v>
      </c>
    </row>
    <row r="4" spans="1:5" x14ac:dyDescent="0.2">
      <c r="A4" s="168" t="s">
        <v>589</v>
      </c>
      <c r="B4" s="166" t="s">
        <v>590</v>
      </c>
    </row>
    <row r="5" spans="1:5" x14ac:dyDescent="0.2">
      <c r="A5" s="168" t="s">
        <v>591</v>
      </c>
      <c r="B5" s="166" t="s">
        <v>592</v>
      </c>
    </row>
    <row r="6" spans="1:5" x14ac:dyDescent="0.2">
      <c r="A6" s="168" t="s">
        <v>593</v>
      </c>
      <c r="B6" s="169" t="s">
        <v>594</v>
      </c>
      <c r="C6" s="169"/>
    </row>
    <row r="7" spans="1:5" x14ac:dyDescent="0.2">
      <c r="A7" s="168" t="s">
        <v>595</v>
      </c>
      <c r="B7" s="169" t="s">
        <v>596</v>
      </c>
      <c r="C7" s="169"/>
    </row>
    <row r="8" spans="1:5" x14ac:dyDescent="0.2">
      <c r="A8" s="168" t="s">
        <v>597</v>
      </c>
      <c r="B8" s="169" t="s">
        <v>598</v>
      </c>
      <c r="C8" s="169"/>
    </row>
    <row r="9" spans="1:5" x14ac:dyDescent="0.2">
      <c r="A9" s="168" t="s">
        <v>599</v>
      </c>
      <c r="B9" s="166" t="s">
        <v>600</v>
      </c>
    </row>
    <row r="11" spans="1:5" x14ac:dyDescent="0.2">
      <c r="A11" s="170" t="s">
        <v>601</v>
      </c>
      <c r="B11" s="170" t="s">
        <v>602</v>
      </c>
      <c r="C11" s="170" t="s">
        <v>603</v>
      </c>
      <c r="D11" s="171" t="s">
        <v>604</v>
      </c>
      <c r="E11" s="170"/>
    </row>
    <row r="12" spans="1:5" s="615" customFormat="1" x14ac:dyDescent="0.2">
      <c r="A12" s="616" t="s">
        <v>46</v>
      </c>
      <c r="B12" s="616" t="s">
        <v>1873</v>
      </c>
      <c r="C12" s="616" t="s">
        <v>46</v>
      </c>
      <c r="D12" s="616" t="s">
        <v>46</v>
      </c>
      <c r="E12" s="616"/>
    </row>
    <row r="13" spans="1:5" x14ac:dyDescent="0.2">
      <c r="A13" s="169" t="s">
        <v>605</v>
      </c>
      <c r="B13" s="166" t="s">
        <v>606</v>
      </c>
      <c r="C13" s="169" t="s">
        <v>607</v>
      </c>
      <c r="D13" t="s">
        <v>612</v>
      </c>
      <c r="E13" s="169"/>
    </row>
    <row r="14" spans="1:5" x14ac:dyDescent="0.2">
      <c r="A14" s="166" t="s">
        <v>609</v>
      </c>
      <c r="B14" s="166" t="s">
        <v>610</v>
      </c>
      <c r="C14" s="166" t="s">
        <v>611</v>
      </c>
      <c r="D14" s="169" t="s">
        <v>21</v>
      </c>
    </row>
    <row r="15" spans="1:5" x14ac:dyDescent="0.2">
      <c r="A15" s="166" t="s">
        <v>613</v>
      </c>
      <c r="B15" s="169" t="s">
        <v>614</v>
      </c>
      <c r="C15" s="169" t="s">
        <v>615</v>
      </c>
      <c r="D15" t="s">
        <v>625</v>
      </c>
      <c r="E15" s="169"/>
    </row>
    <row r="16" spans="1:5" x14ac:dyDescent="0.2">
      <c r="A16" s="166" t="s">
        <v>617</v>
      </c>
      <c r="B16" s="169" t="s">
        <v>633</v>
      </c>
      <c r="C16" s="169" t="s">
        <v>611</v>
      </c>
      <c r="D16" t="s">
        <v>616</v>
      </c>
      <c r="E16" s="169"/>
    </row>
    <row r="17" spans="1:5" x14ac:dyDescent="0.2">
      <c r="A17" s="166" t="s">
        <v>620</v>
      </c>
      <c r="B17" s="169" t="s">
        <v>621</v>
      </c>
      <c r="C17" s="169" t="s">
        <v>615</v>
      </c>
      <c r="D17" t="s">
        <v>619</v>
      </c>
      <c r="E17" s="169"/>
    </row>
    <row r="18" spans="1:5" x14ac:dyDescent="0.2">
      <c r="A18" s="169" t="s">
        <v>623</v>
      </c>
      <c r="B18" s="169" t="s">
        <v>606</v>
      </c>
      <c r="C18" s="169" t="s">
        <v>624</v>
      </c>
      <c r="D18" t="s">
        <v>622</v>
      </c>
      <c r="E18" s="169"/>
    </row>
    <row r="19" spans="1:5" x14ac:dyDescent="0.2">
      <c r="A19" s="169" t="s">
        <v>16</v>
      </c>
      <c r="B19" s="169" t="s">
        <v>19</v>
      </c>
      <c r="C19" s="169" t="s">
        <v>626</v>
      </c>
      <c r="D19" t="s">
        <v>608</v>
      </c>
      <c r="E19" s="169"/>
    </row>
    <row r="20" spans="1:5" x14ac:dyDescent="0.2">
      <c r="A20" s="169" t="s">
        <v>627</v>
      </c>
      <c r="B20" s="169" t="s">
        <v>628</v>
      </c>
      <c r="C20" s="169" t="s">
        <v>629</v>
      </c>
      <c r="E20" s="169"/>
    </row>
    <row r="21" spans="1:5" x14ac:dyDescent="0.2">
      <c r="A21" s="169" t="s">
        <v>630</v>
      </c>
      <c r="B21" s="169" t="s">
        <v>631</v>
      </c>
      <c r="C21" s="169" t="s">
        <v>629</v>
      </c>
      <c r="E21" s="169"/>
    </row>
    <row r="22" spans="1:5" x14ac:dyDescent="0.2">
      <c r="A22" s="166" t="s">
        <v>632</v>
      </c>
      <c r="B22" s="169" t="s">
        <v>635</v>
      </c>
      <c r="C22" s="169" t="s">
        <v>615</v>
      </c>
      <c r="E22" s="169"/>
    </row>
    <row r="23" spans="1:5" x14ac:dyDescent="0.2">
      <c r="A23" s="166" t="s">
        <v>634</v>
      </c>
      <c r="B23" s="169" t="s">
        <v>645</v>
      </c>
      <c r="C23" s="169" t="s">
        <v>615</v>
      </c>
      <c r="E23" s="169"/>
    </row>
    <row r="24" spans="1:5" x14ac:dyDescent="0.2">
      <c r="A24" s="166" t="s">
        <v>636</v>
      </c>
      <c r="B24" s="169" t="s">
        <v>637</v>
      </c>
      <c r="C24" s="169" t="s">
        <v>615</v>
      </c>
      <c r="E24" s="169"/>
    </row>
    <row r="25" spans="1:5" x14ac:dyDescent="0.2">
      <c r="A25" s="169" t="s">
        <v>638</v>
      </c>
      <c r="B25" s="169" t="s">
        <v>639</v>
      </c>
      <c r="C25" s="169" t="s">
        <v>629</v>
      </c>
      <c r="E25" s="169"/>
    </row>
    <row r="26" spans="1:5" x14ac:dyDescent="0.2">
      <c r="A26" s="166" t="s">
        <v>640</v>
      </c>
      <c r="B26" s="169" t="s">
        <v>641</v>
      </c>
      <c r="C26" s="166" t="s">
        <v>626</v>
      </c>
    </row>
    <row r="27" spans="1:5" x14ac:dyDescent="0.2">
      <c r="A27" s="169" t="s">
        <v>642</v>
      </c>
      <c r="B27" s="169" t="s">
        <v>643</v>
      </c>
      <c r="C27" s="169" t="s">
        <v>644</v>
      </c>
      <c r="E27" s="169"/>
    </row>
    <row r="28" spans="1:5" x14ac:dyDescent="0.2">
      <c r="A28" s="166" t="s">
        <v>646</v>
      </c>
      <c r="B28" s="169" t="s">
        <v>618</v>
      </c>
      <c r="C28" s="166" t="s">
        <v>611</v>
      </c>
    </row>
    <row r="29" spans="1:5" x14ac:dyDescent="0.2">
      <c r="A29" s="169"/>
      <c r="B29" s="169"/>
      <c r="C29" s="169"/>
    </row>
    <row r="31" spans="1:5" x14ac:dyDescent="0.2">
      <c r="A31" s="170" t="s">
        <v>647</v>
      </c>
      <c r="B31" s="172"/>
      <c r="C31" s="172"/>
    </row>
    <row r="32" spans="1:5" x14ac:dyDescent="0.2">
      <c r="A32" s="169" t="s">
        <v>648</v>
      </c>
      <c r="B32" s="169" t="s">
        <v>649</v>
      </c>
      <c r="C32" s="169"/>
    </row>
    <row r="33" spans="1:2" x14ac:dyDescent="0.2">
      <c r="A33" s="166" t="s">
        <v>650</v>
      </c>
      <c r="B33" s="166" t="s">
        <v>651</v>
      </c>
    </row>
    <row r="34" spans="1:2" x14ac:dyDescent="0.2">
      <c r="A34" s="166" t="s">
        <v>652</v>
      </c>
      <c r="B34" s="166" t="s">
        <v>653</v>
      </c>
    </row>
    <row r="35" spans="1:2" x14ac:dyDescent="0.2">
      <c r="A35" s="166" t="s">
        <v>654</v>
      </c>
      <c r="B35" s="166" t="s">
        <v>655</v>
      </c>
    </row>
    <row r="43" spans="1:2" x14ac:dyDescent="0.2">
      <c r="B43" s="617" t="s">
        <v>98</v>
      </c>
    </row>
    <row r="48" spans="1:2" x14ac:dyDescent="0.2">
      <c r="B48" s="617" t="s">
        <v>98</v>
      </c>
    </row>
  </sheetData>
  <sortState ref="D12:D18">
    <sortCondition ref="D12:D18"/>
  </sortState>
  <hyperlinks>
    <hyperlink ref="A7" r:id="rId1"/>
    <hyperlink ref="A4" r:id="rId2" display="mailto:AnthemLife&amp;DisUW_West@wellpoint.com"/>
    <hyperlink ref="A6" r:id="rId3" tooltip="mailto:QuoteAnthemSouth@Wellpoint.com" display="mailto:QuoteAnthemSouth@Wellpoint.com"/>
    <hyperlink ref="A3" r:id="rId4" tooltip="mailto:LGCaseImplementation@WellPoint.com" display="mailto:LGCaseImplementation@WellPoint.com"/>
    <hyperlink ref="A5" r:id="rId5"/>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6:B23"/>
  <sheetViews>
    <sheetView topLeftCell="A4" workbookViewId="0">
      <selection activeCell="I6" sqref="I6"/>
    </sheetView>
  </sheetViews>
  <sheetFormatPr baseColWidth="10" defaultColWidth="8.83203125" defaultRowHeight="15" x14ac:dyDescent="0.2"/>
  <cols>
    <col min="1" max="1" width="10.5" bestFit="1" customWidth="1"/>
  </cols>
  <sheetData>
    <row r="6" spans="1:2" x14ac:dyDescent="0.2">
      <c r="A6" s="718" t="s">
        <v>1991</v>
      </c>
    </row>
    <row r="7" spans="1:2" x14ac:dyDescent="0.2">
      <c r="A7">
        <v>1</v>
      </c>
      <c r="B7" t="s">
        <v>1993</v>
      </c>
    </row>
    <row r="8" spans="1:2" x14ac:dyDescent="0.2">
      <c r="A8">
        <v>2</v>
      </c>
      <c r="B8" t="s">
        <v>1994</v>
      </c>
    </row>
    <row r="10" spans="1:2" x14ac:dyDescent="0.2">
      <c r="A10" s="718" t="s">
        <v>1992</v>
      </c>
    </row>
    <row r="11" spans="1:2" x14ac:dyDescent="0.2">
      <c r="A11" s="717" t="s">
        <v>1978</v>
      </c>
    </row>
    <row r="12" spans="1:2" x14ac:dyDescent="0.2">
      <c r="A12" s="717" t="s">
        <v>1979</v>
      </c>
    </row>
    <row r="13" spans="1:2" x14ac:dyDescent="0.2">
      <c r="A13" s="717" t="s">
        <v>1980</v>
      </c>
    </row>
    <row r="14" spans="1:2" x14ac:dyDescent="0.2">
      <c r="A14" s="717" t="s">
        <v>1981</v>
      </c>
    </row>
    <row r="15" spans="1:2" x14ac:dyDescent="0.2">
      <c r="A15" s="717" t="s">
        <v>1982</v>
      </c>
    </row>
    <row r="16" spans="1:2" x14ac:dyDescent="0.2">
      <c r="A16" s="717" t="s">
        <v>1983</v>
      </c>
    </row>
    <row r="17" spans="1:2" x14ac:dyDescent="0.2">
      <c r="A17" s="717" t="s">
        <v>1984</v>
      </c>
    </row>
    <row r="18" spans="1:2" x14ac:dyDescent="0.2">
      <c r="A18" s="717">
        <v>8</v>
      </c>
      <c r="B18" s="445" t="s">
        <v>1985</v>
      </c>
    </row>
    <row r="19" spans="1:2" x14ac:dyDescent="0.2">
      <c r="A19" s="717">
        <v>9</v>
      </c>
      <c r="B19" s="445" t="s">
        <v>1986</v>
      </c>
    </row>
    <row r="20" spans="1:2" x14ac:dyDescent="0.2">
      <c r="A20" s="717">
        <v>10</v>
      </c>
      <c r="B20" s="445" t="s">
        <v>1987</v>
      </c>
    </row>
    <row r="21" spans="1:2" x14ac:dyDescent="0.2">
      <c r="A21" s="717">
        <v>11</v>
      </c>
      <c r="B21" s="445" t="s">
        <v>1988</v>
      </c>
    </row>
    <row r="22" spans="1:2" x14ac:dyDescent="0.2">
      <c r="A22" s="717">
        <v>12</v>
      </c>
      <c r="B22" s="445" t="s">
        <v>1989</v>
      </c>
    </row>
    <row r="23" spans="1:2" x14ac:dyDescent="0.2">
      <c r="A23" s="717">
        <v>13</v>
      </c>
      <c r="B23" s="445" t="s">
        <v>1990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UW</vt:lpstr>
      <vt:lpstr>SIC Look Up</vt:lpstr>
      <vt:lpstr>BENREVO</vt:lpstr>
      <vt:lpstr>INTAKE</vt:lpstr>
      <vt:lpstr>FORMULAS</vt:lpstr>
      <vt:lpstr>EXHIBIT</vt:lpstr>
      <vt:lpstr>PLANS</vt:lpstr>
      <vt:lpstr>DENTAL INTAKE</vt:lpstr>
      <vt:lpstr>CALC</vt:lpstr>
      <vt:lpstr>PART ADJ</vt:lpstr>
      <vt:lpstr>PART ADJ 2</vt:lpstr>
      <vt:lpstr>CODE</vt:lpstr>
      <vt:lpstr>ANCILLARY EXHIBIT</vt:lpstr>
      <vt:lpstr>PROPOSAL</vt:lpstr>
      <vt:lpstr>ABF</vt:lpstr>
      <vt:lpstr>AHM</vt:lpstr>
      <vt:lpstr>SOLD PLANS CONFIRMATION</vt:lpstr>
      <vt:lpstr>CONTACTS</vt:lpstr>
      <vt:lpstr>REVISIONS</vt:lpstr>
    </vt:vector>
  </TitlesOfParts>
  <Company>WellPoint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Ellman, Susan</dc:creator>
  <cp:lastModifiedBy>Microsoft Office User</cp:lastModifiedBy>
  <dcterms:created xsi:type="dcterms:W3CDTF">2017-06-30T22:39:47Z</dcterms:created>
  <dcterms:modified xsi:type="dcterms:W3CDTF">2018-04-27T02:04:13Z</dcterms:modified>
</cp:coreProperties>
</file>